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ables/table11.xml" ContentType="application/vnd.openxmlformats-officedocument.spreadsheetml.table+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ables/table12.xml" ContentType="application/vnd.openxmlformats-officedocument.spreadsheetml.table+xml"/>
  <Override PartName="/xl/worksheets/sheet32.xml" ContentType="application/vnd.openxmlformats-officedocument.spreadsheetml.worksheet+xml"/>
  <Override PartName="/xl/worksheets/sheet33.xml" ContentType="application/vnd.openxmlformats-officedocument.spreadsheetml.worksheet+xml"/>
  <Override PartName="/xl/tables/table13.xml" ContentType="application/vnd.openxmlformats-officedocument.spreadsheetml.table+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5161f2a8cec4b7e" /></Relationships>
</file>

<file path=xl/workbook.xml><?xml version="1.0" encoding="utf-8"?>
<x:workbook xmlns:x="http://schemas.openxmlformats.org/spreadsheetml/2006/main">
  <x:sheets>
    <x:sheet xmlns:r="http://schemas.openxmlformats.org/officeDocument/2006/relationships" name="README" sheetId="1" r:id="R82bbdefd1e4b4f2b"/>
    <x:sheet xmlns:r="http://schemas.openxmlformats.org/officeDocument/2006/relationships" name="Source_Registry" sheetId="2" r:id="R638770b7e9d64d51"/>
    <x:sheet xmlns:r="http://schemas.openxmlformats.org/officeDocument/2006/relationships" name="TE_Cards" sheetId="3" r:id="Re43bf7dd448b4942"/>
    <x:sheet xmlns:r="http://schemas.openxmlformats.org/officeDocument/2006/relationships" name="Madden19_TE_Weights" sheetId="4" r:id="R3558eeb59d9f4c68"/>
    <x:sheet xmlns:r="http://schemas.openxmlformats.org/officeDocument/2006/relationships" name="Progression_Logs" sheetId="5" r:id="R8d73e7bbbe3d4935"/>
    <x:sheet xmlns:r="http://schemas.openxmlformats.org/officeDocument/2006/relationships" name="Research_Findings" sheetId="6" r:id="R856a7e7191a54473"/>
    <x:sheet xmlns:r="http://schemas.openxmlformats.org/officeDocument/2006/relationships" name="External_References" sheetId="7" r:id="R1f7c0bf7891a4cf4"/>
    <x:sheet xmlns:r="http://schemas.openxmlformats.org/officeDocument/2006/relationships" name="Center_Cards" sheetId="8" r:id="R5760d50073c749a5"/>
    <x:sheet xmlns:r="http://schemas.openxmlformats.org/officeDocument/2006/relationships" name="Extraction_Queue" sheetId="9" r:id="R0917e1eb638140b7"/>
    <x:sheet xmlns:r="http://schemas.openxmlformats.org/officeDocument/2006/relationships" name="Model_Registry" sheetId="10" r:id="R5c55a8192a164211"/>
    <x:sheet xmlns:r="http://schemas.openxmlformats.org/officeDocument/2006/relationships" name="Validation_Summary" sheetId="11" r:id="R8bbff4aab9ca42a9"/>
    <x:sheet xmlns:r="http://schemas.openxmlformats.org/officeDocument/2006/relationships" name="TE_Analysis" sheetId="12" r:id="R89659baec6ad4625"/>
    <x:sheet xmlns:r="http://schemas.openxmlformats.org/officeDocument/2006/relationships" name="TE_Blind_Test_v1.1" sheetId="13" r:id="Ra58c47fb20dc4465"/>
    <x:sheet xmlns:r="http://schemas.openxmlformats.org/officeDocument/2006/relationships" name="Ingestion_Log" sheetId="14" r:id="R583d949358854a25"/>
    <x:sheet xmlns:r="http://schemas.openxmlformats.org/officeDocument/2006/relationships" name="TE_VT_Model_v1.2" sheetId="15" r:id="Ra8f1110a552d4480"/>
    <x:sheet xmlns:r="http://schemas.openxmlformats.org/officeDocument/2006/relationships" name="TE_VT_Model_v1.3" sheetId="16" r:id="R7b71b4ccc4d647d8"/>
    <x:sheet xmlns:r="http://schemas.openxmlformats.org/officeDocument/2006/relationships" name="TE_VT_Architecture" sheetId="17" r:id="R86208c76997a4f91"/>
    <x:sheet xmlns:r="http://schemas.openxmlformats.org/officeDocument/2006/relationships" name="TE_VT_Prospective" sheetId="18" r:id="R1e2f75cef62c4db9"/>
    <x:sheet xmlns:r="http://schemas.openxmlformats.org/officeDocument/2006/relationships" name="TE_Gritty_Audit" sheetId="19" r:id="R9bb386353054401c"/>
    <x:sheet xmlns:r="http://schemas.openxmlformats.org/officeDocument/2006/relationships" name="TE_Gritty_Prospective" sheetId="20" r:id="R22a9e19ed05d466c"/>
    <x:sheet xmlns:r="http://schemas.openxmlformats.org/officeDocument/2006/relationships" name="TE_PRR_Audit" sheetId="21" r:id="Ra4d54960c90f41b8"/>
    <x:sheet xmlns:r="http://schemas.openxmlformats.org/officeDocument/2006/relationships" name="TE_STATUS_BOARD" sheetId="22" r:id="R14ca2fca49814f14"/>
    <x:sheet xmlns:r="http://schemas.openxmlformats.org/officeDocument/2006/relationships" name="TE_Moneyball_Method" sheetId="23" r:id="R3655c9cfb5be425e"/>
    <x:sheet xmlns:r="http://schemas.openxmlformats.org/officeDocument/2006/relationships" name="TE_Moneyball_Cards" sheetId="24" r:id="R04b0b79f6f3e4214"/>
    <x:sheet xmlns:r="http://schemas.openxmlformats.org/officeDocument/2006/relationships" name="TE_Role_Rankings" sheetId="25" r:id="Raf6d7c1554c443d0"/>
    <x:sheet xmlns:r="http://schemas.openxmlformats.org/officeDocument/2006/relationships" name="TE_Attribute_Value" sheetId="26" r:id="Rc79b8ec7a4ae495c"/>
    <x:sheet xmlns:r="http://schemas.openxmlformats.org/officeDocument/2006/relationships" name="TE_Moneyball_Dashboard" sheetId="27" r:id="Rf942103060904e78"/>
    <x:sheet xmlns:r="http://schemas.openxmlformats.org/officeDocument/2006/relationships" name="TE_Moneyball_Backlog" sheetId="28" r:id="R600e03d7ec654145"/>
    <x:sheet xmlns:r="http://schemas.openxmlformats.org/officeDocument/2006/relationships" name="TE_Validation_Plan" sheetId="29" r:id="Rd8052cf112054042"/>
    <x:sheet xmlns:r="http://schemas.openxmlformats.org/officeDocument/2006/relationships" name="TE_Test_Pairings" sheetId="30" r:id="R09fb4183817f4be4"/>
    <x:sheet xmlns:r="http://schemas.openxmlformats.org/officeDocument/2006/relationships" name="TE_Gameplay_Log" sheetId="31" r:id="R3d44b90e2d6a48f6"/>
    <x:sheet xmlns:r="http://schemas.openxmlformats.org/officeDocument/2006/relationships" name="TE_Sim_Summary" sheetId="32" r:id="R6bc41c87120f4ec2"/>
    <x:sheet xmlns:r="http://schemas.openxmlformats.org/officeDocument/2006/relationships" name="TE_Market_Prices" sheetId="33" r:id="R258ef414d3084842"/>
    <x:sheet xmlns:r="http://schemas.openxmlformats.org/officeDocument/2006/relationships" name="TE_Weight_Calibration" sheetId="34" r:id="R5a6cabddbe62447b"/>
    <x:sheet xmlns:r="http://schemas.openxmlformats.org/officeDocument/2006/relationships" name="TE_Validation_Dashboard" sheetId="35" r:id="R904a89bbcf0243a6"/>
    <x:sheet xmlns:r="http://schemas.openxmlformats.org/officeDocument/2006/relationships" name="QB_Cards" sheetId="36" r:id="R251c78a4aa7b40f1"/>
    <x:sheet xmlns:r="http://schemas.openxmlformats.org/officeDocument/2006/relationships" name="Madden19_QB_Weights" sheetId="37" r:id="R1e9302f9a70746f0"/>
    <x:sheet xmlns:r="http://schemas.openxmlformats.org/officeDocument/2006/relationships" name="QB_Model_Weights" sheetId="38" r:id="Re754dd883ea84536"/>
    <x:sheet xmlns:r="http://schemas.openxmlformats.org/officeDocument/2006/relationships" name="QB_Validation" sheetId="39" r:id="R8afe61b4355a4377"/>
    <x:sheet xmlns:r="http://schemas.openxmlformats.org/officeDocument/2006/relationships" name="QB_Thresholds" sheetId="40" r:id="R22cb68b100294600"/>
    <x:sheet xmlns:r="http://schemas.openxmlformats.org/officeDocument/2006/relationships" name="QB_Progression" sheetId="41" r:id="R810b97958168467b"/>
    <x:sheet xmlns:r="http://schemas.openxmlformats.org/officeDocument/2006/relationships" name="QB_Failed_Hypotheses" sheetId="42" r:id="Rb01483d93ea148ae"/>
    <x:sheet xmlns:r="http://schemas.openxmlformats.org/officeDocument/2006/relationships" name="QB_Formula_Research" sheetId="43" r:id="R325baf68442c41e4"/>
    <x:sheet xmlns:r="http://schemas.openxmlformats.org/officeDocument/2006/relationships" name="QB_STATUS_BOARD" sheetId="44" r:id="R411b2b77664a409d"/>
    <x:sheet xmlns:r="http://schemas.openxmlformats.org/officeDocument/2006/relationships" name="QB_Prospective" sheetId="45" r:id="R03a4abb2756944ac"/>
    <x:sheet xmlns:r="http://schemas.openxmlformats.org/officeDocument/2006/relationships" name="QB_Backlog" sheetId="46" r:id="Rbd4c184011924785"/>
    <x:sheet xmlns:r="http://schemas.openxmlformats.org/officeDocument/2006/relationships" name="QB_Ingestion_Log" sheetId="47" r:id="R722e466b96c04ef1"/>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00"/>
    <x:numFmt numFmtId="201" formatCode="0"/>
    <x:numFmt numFmtId="202" formatCode="0.0%"/>
    <x:numFmt numFmtId="203" formatCode="0.00"/>
    <x:numFmt numFmtId="204" formatCode="0%"/>
    <x:numFmt numFmtId="205" formatCode="#,##0.00"/>
  </x:numFmts>
  <x:fonts count="15">
    <x:font>
      <x:sz val="11"/>
      <x:name val="Carlito"/>
    </x:font>
    <x:font>
      <x:b/>
      <x:sz val="16"/>
      <x:color rgb="FFFFFFFF"/>
      <x:name val="Carlito"/>
    </x:font>
    <x:font>
      <x:i/>
      <x:sz val="11"/>
      <x:color rgb="FF1F1F1F"/>
      <x:name val="Carlito"/>
    </x:font>
    <x:font>
      <x:b/>
      <x:sz val="11"/>
      <x:color rgb="FFFFFFFF"/>
      <x:name val="Carlito"/>
    </x:font>
    <x:font>
      <x:i/>
      <x:sz val="11"/>
      <x:name val="Carlito"/>
    </x:font>
    <x:font>
      <x:b/>
      <x:sz val="13"/>
      <x:color rgb="FFFFFFFF"/>
      <x:name val="Carlito"/>
    </x:font>
    <x:font>
      <x:b/>
      <x:sz val="12"/>
      <x:color rgb="FFFFFFFF"/>
      <x:name val="Carlito"/>
    </x:font>
    <x:font>
      <x:b/>
      <x:sz val="11"/>
      <x:name val="Carlito"/>
    </x:font>
    <x:font>
      <x:b/>
      <x:sz val="15"/>
      <x:color rgb="FFFFFFFF"/>
      <x:name val="Carlito"/>
    </x:font>
    <x:font>
      <x:b/>
      <x:sz val="12"/>
      <x:color rgb="FF000000"/>
      <x:name val="Carlito"/>
    </x:font>
    <x:font>
      <x:b/>
      <x:sz val="17"/>
      <x:color rgb="FFFFFFFF"/>
      <x:name val="Carlito"/>
    </x:font>
    <x:font>
      <x:b/>
      <x:sz val="14"/>
      <x:color rgb="FFFFFFFF"/>
      <x:name val="Carlito"/>
    </x:font>
    <x:font>
      <x:sz val="11"/>
      <x:color rgb="FF172B3A"/>
      <x:name val="Carlito"/>
    </x:font>
    <x:font>
      <x:i/>
      <x:sz val="10"/>
      <x:color rgb="FF172B3A"/>
      <x:name val="Carlito"/>
    </x:font>
    <x:font>
      <x:b/>
      <x:sz val="15"/>
      <x:color rgb="FF006100"/>
      <x:name val="Carlito"/>
    </x:font>
  </x:fonts>
  <x:fills count="82">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4472C4"/>
      </x:patternFill>
    </x:fill>
    <x:fill>
      <x:patternFill patternType="solid">
        <x:fgColor rgb="FF70AD47"/>
      </x:patternFill>
    </x:fill>
    <x:fill>
      <x:patternFill patternType="solid">
        <x:fgColor rgb="FFA5A5A5"/>
      </x:patternFill>
    </x:fill>
    <x:fill>
      <x:patternFill patternType="solid">
        <x:fgColor rgb="FFFFC000"/>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4472C4"/>
      </x:patternFill>
    </x:fill>
    <x:fill>
      <x:patternFill patternType="solid">
        <x:fgColor rgb="FF70AD47"/>
      </x:patternFill>
    </x:fill>
    <x:fill>
      <x:patternFill patternType="solid">
        <x:fgColor rgb="FFC00000"/>
      </x:patternFill>
    </x:fill>
    <x:fill>
      <x:patternFill patternType="solid">
        <x:fgColor rgb="FFF4B183"/>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4472C4"/>
      </x:patternFill>
    </x:fill>
    <x:fill>
      <x:patternFill patternType="solid">
        <x:fgColor rgb="FF8064A2"/>
      </x:patternFill>
    </x:fill>
    <x:fill>
      <x:patternFill patternType="solid">
        <x:fgColor rgb="FFF4B183"/>
      </x:patternFill>
    </x:fill>
    <x:fill>
      <x:patternFill patternType="solid">
        <x:fgColor rgb="FF70AD47"/>
      </x:patternFill>
    </x:fill>
    <x:fill>
      <x:patternFill patternType="solid">
        <x:fgColor rgb="FFA9D18E"/>
      </x:patternFill>
    </x:fill>
    <x:fill>
      <x:patternFill patternType="solid">
        <x:fgColor rgb="FFC00000"/>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4472C4"/>
      </x:patternFill>
    </x:fill>
    <x:fill>
      <x:patternFill patternType="solid">
        <x:fgColor rgb="FF9DC3E6"/>
      </x:patternFill>
    </x:fill>
    <x:fill>
      <x:patternFill patternType="solid">
        <x:fgColor rgb="FF8064A2"/>
      </x:patternFill>
    </x:fill>
    <x:fill>
      <x:patternFill patternType="solid">
        <x:fgColor rgb="FFCCC0DA"/>
      </x:patternFill>
    </x:fill>
    <x:fill>
      <x:patternFill patternType="solid">
        <x:fgColor rgb="FFC00000"/>
      </x:patternFill>
    </x:fill>
    <x:fill>
      <x:patternFill patternType="solid">
        <x:fgColor rgb="FFF4B183"/>
      </x:patternFill>
    </x:fill>
    <x:fill>
      <x:patternFill patternType="solid">
        <x:fgColor rgb="FF70AD47"/>
      </x:patternFill>
    </x:fill>
    <x:fill>
      <x:patternFill patternType="solid">
        <x:fgColor rgb="FFA9D18E"/>
      </x:patternFill>
    </x:fill>
    <x:fill>
      <x:patternFill patternType="solid">
        <x:fgColor rgb="FFFFC000"/>
      </x:patternFill>
    </x:fill>
    <x:fill>
      <x:patternFill patternType="solid">
        <x:fgColor rgb="FFFFD966"/>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4472C4"/>
      </x:patternFill>
    </x:fill>
    <x:fill>
      <x:patternFill patternType="solid">
        <x:fgColor rgb="FF9DC3E6"/>
      </x:patternFill>
    </x:fill>
    <x:fill>
      <x:patternFill patternType="solid">
        <x:fgColor rgb="FF70AD47"/>
      </x:patternFill>
    </x:fill>
    <x:fill>
      <x:patternFill patternType="solid">
        <x:fgColor rgb="FFA9D18E"/>
      </x:patternFill>
    </x:fill>
    <x:fill>
      <x:patternFill patternType="solid">
        <x:fgColor rgb="FF8064A2"/>
      </x:patternFill>
    </x:fill>
    <x:fill>
      <x:patternFill patternType="solid">
        <x:fgColor rgb="FFCCC0DA"/>
      </x:patternFill>
    </x:fill>
    <x:fill>
      <x:patternFill patternType="solid">
        <x:fgColor rgb="FFC65911"/>
      </x:patternFill>
    </x:fill>
    <x:fill>
      <x:patternFill patternType="solid">
        <x:fgColor rgb="FFF4B183"/>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4472C4"/>
      </x:patternFill>
    </x:fill>
    <x:fill>
      <x:patternFill patternType="solid">
        <x:fgColor rgb="FF9DC3E6"/>
      </x:patternFill>
    </x:fill>
    <x:fill>
      <x:patternFill patternType="solid">
        <x:fgColor rgb="FFC65911"/>
      </x:patternFill>
    </x:fill>
    <x:fill>
      <x:patternFill patternType="solid">
        <x:fgColor rgb="FFF4B183"/>
      </x:patternFill>
    </x:fill>
    <x:fill>
      <x:patternFill patternType="solid">
        <x:fgColor rgb="FF70AD47"/>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4472C4"/>
      </x:patternFill>
    </x:fill>
    <x:fill>
      <x:patternFill patternType="solid">
        <x:fgColor rgb="FF9DC3E6"/>
      </x:patternFill>
    </x:fill>
    <x:fill>
      <x:patternFill patternType="solid">
        <x:fgColor rgb="FF70AD47"/>
      </x:patternFill>
    </x:fill>
    <x:fill>
      <x:patternFill patternType="solid">
        <x:fgColor rgb="FFA9D18E"/>
      </x:patternFill>
    </x:fill>
    <x:fill>
      <x:patternFill patternType="solid">
        <x:fgColor rgb="FFC00000"/>
      </x:patternFill>
    </x:fill>
    <x:fill>
      <x:patternFill patternType="solid">
        <x:fgColor rgb="FFF4CCCC"/>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4472C4"/>
      </x:patternFill>
    </x:fill>
    <x:fill>
      <x:patternFill patternType="solid">
        <x:fgColor rgb="FF70AD47"/>
      </x:patternFill>
    </x:fill>
    <x:fill>
      <x:patternFill patternType="solid">
        <x:fgColor rgb="FF9DC3E6"/>
      </x:patternFill>
    </x:fill>
    <x:fill>
      <x:patternFill patternType="solid">
        <x:fgColor rgb="FFFFFFFF"/>
      </x:patternFill>
    </x:fill>
    <x:fill>
      <x:patternFill patternType="solid">
        <x:fgColor rgb="FFD9EAF7"/>
      </x:patternFill>
    </x:fill>
    <x:fill>
      <x:patternFill patternType="solid">
        <x:fgColor rgb="FF0B1F33"/>
      </x:patternFill>
    </x:fill>
    <x:fill>
      <x:patternFill patternType="solid">
        <x:fgColor rgb="FF2F75B5"/>
      </x:patternFill>
    </x:fill>
    <x:fill>
      <x:patternFill patternType="solid">
        <x:fgColor rgb="FFFFF2CC"/>
      </x:patternFill>
    </x:fill>
    <x:fill>
      <x:patternFill patternType="solid">
        <x:fgColor rgb="FFE2F0D9"/>
      </x:patternFill>
    </x:fill>
    <x:fill>
      <x:patternFill patternType="solid">
        <x:fgColor rgb="FFFCE4D6"/>
      </x:patternFill>
    </x:fill>
  </x:fills>
  <x:borders count="2">
    <x:border/>
    <x:border/>
  </x:borders>
  <x:cellStyleXfs count="1">
    <x:xf numFmtId="0" fontId="0" fillId="0" borderId="0"/>
  </x:cellStyleXfs>
  <x:cellXfs count="30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applyAlignment="1">
      <x:alignment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applyAlignment="1">
      <x:alignment wrapText="1"/>
    </x:xf>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2" fillId="3" borderId="0" xfId="0" applyNumberFormat="1" applyFont="1" applyFill="1" applyBorder="1" applyAlignment="1">
      <x:alignment vertical="top" wrapText="1"/>
    </x:xf>
    <x:xf numFmtId="0" fontId="3" fillId="4"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2" fillId="3" borderId="1" xfId="0" applyNumberFormat="1" applyFont="1" applyFill="1" applyBorder="1" applyAlignment="1">
      <x:alignment vertical="top" wrapText="1"/>
    </x:xf>
    <x:xf numFmtId="0" fontId="3" fillId="4"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x:xf numFmtId="0" fontId="0" fillId="5" borderId="0" xfId="0" applyNumberFormat="1" applyFont="1" applyFill="1" applyBorder="1"/>
    <x:xf numFmtId="0" fontId="1" fillId="5" borderId="0" xfId="0" applyNumberFormat="1" applyFont="1" applyFill="1" applyBorder="1"/>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horizontal="center" wrapText="1"/>
    </x:xf>
    <x:xf numFmtId="200" fontId="0" fillId="0" borderId="0" xfId="0" applyNumberFormat="1" applyFont="1" applyFill="1" applyBorder="1"/>
    <x:xf numFmtId="201" fontId="0" fillId="0" borderId="0" xfId="0" applyNumberFormat="1" applyFont="1" applyFill="1" applyBorder="1"/>
    <x:xf numFmtId="201"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8" borderId="0" xfId="0" applyNumberFormat="1" applyFont="1" applyFill="1" applyBorder="1"/>
    <x:xf numFmtId="0" fontId="5" fillId="8" borderId="0" xfId="0" applyNumberFormat="1" applyFont="1" applyFill="1" applyBorder="1"/>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wrapText="1"/>
    </x:xf>
    <x:xf numFmtId="0" fontId="0" fillId="10" borderId="0" xfId="0" applyNumberFormat="1" applyFont="1" applyFill="1" applyBorder="1"/>
    <x:xf numFmtId="0" fontId="6" fillId="10" borderId="0" xfId="0" applyNumberFormat="1" applyFont="1" applyFill="1" applyBorder="1"/>
    <x:xf numFmtId="0" fontId="0" fillId="11" borderId="0" xfId="0" applyNumberFormat="1" applyFont="1" applyFill="1" applyBorder="1"/>
    <x:xf numFmtId="0" fontId="7" fillId="11" borderId="0" xfId="0" applyNumberFormat="1" applyFont="1" applyFill="1" applyBorder="1"/>
    <x:xf numFmtId="0" fontId="7" fillId="11" borderId="0" xfId="0" applyNumberFormat="1" applyFont="1" applyFill="1" applyBorder="1" applyAlignment="1">
      <x:alignment wrapText="1"/>
    </x:xf>
    <x:xf numFmtId="0" fontId="5" fillId="5"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5" fillId="2" borderId="0" xfId="0" applyNumberFormat="1" applyFont="1" applyFill="1" applyBorder="1"/>
    <x:xf numFmtId="0" fontId="0" fillId="12" borderId="0" xfId="0" applyNumberFormat="1" applyFont="1" applyFill="1" applyBorder="1"/>
    <x:xf numFmtId="0" fontId="1" fillId="12" borderId="0" xfId="0" applyNumberFormat="1" applyFont="1" applyFill="1" applyBorder="1"/>
    <x:xf numFmtId="0" fontId="0" fillId="13" borderId="0" xfId="0" applyNumberFormat="1" applyFont="1" applyFill="1" applyBorder="1"/>
    <x:xf numFmtId="0" fontId="4" fillId="13" borderId="0" xfId="0" applyNumberFormat="1" applyFont="1" applyFill="1" applyBorder="1"/>
    <x:xf numFmtId="0" fontId="4" fillId="13" borderId="0" xfId="0" applyNumberFormat="1" applyFont="1" applyFill="1" applyBorder="1" applyAlignment="1">
      <x:alignment wrapText="1"/>
    </x:xf>
    <x:xf numFmtId="0" fontId="0" fillId="14" borderId="0" xfId="0" applyNumberFormat="1" applyFont="1" applyFill="1" applyBorder="1"/>
    <x:xf numFmtId="0" fontId="3" fillId="14" borderId="0" xfId="0" applyNumberFormat="1" applyFont="1" applyFill="1" applyBorder="1"/>
    <x:xf numFmtId="0" fontId="3" fillId="14" borderId="0" xfId="0" applyNumberFormat="1" applyFont="1" applyFill="1" applyBorder="1" applyAlignment="1">
      <x:alignment wrapText="1"/>
    </x:xf>
    <x:xf numFmtId="202" fontId="0" fillId="0" borderId="0" xfId="0" applyNumberFormat="1" applyFont="1" applyFill="1" applyBorder="1"/>
    <x:xf numFmtId="202" fontId="0" fillId="0" borderId="0" xfId="0" applyNumberFormat="1" applyFont="1" applyFill="1" applyBorder="1" applyAlignment="1">
      <x:alignment wrapText="1"/>
    </x:xf>
    <x:xf numFmtId="0" fontId="0" fillId="15" borderId="0" xfId="0" applyNumberFormat="1" applyFont="1" applyFill="1" applyBorder="1"/>
    <x:xf numFmtId="0" fontId="6" fillId="15" borderId="0" xfId="0" applyNumberFormat="1" applyFont="1" applyFill="1" applyBorder="1"/>
    <x:xf numFmtId="0" fontId="0" fillId="16" borderId="0" xfId="0" applyNumberFormat="1" applyFont="1" applyFill="1" applyBorder="1"/>
    <x:xf numFmtId="0" fontId="3" fillId="16" borderId="0" xfId="0" applyNumberFormat="1" applyFont="1" applyFill="1" applyBorder="1"/>
    <x:xf numFmtId="0" fontId="3" fillId="16" borderId="0" xfId="0" applyNumberFormat="1" applyFont="1" applyFill="1" applyBorder="1" applyAlignment="1">
      <x:alignment wrapText="1"/>
    </x:xf>
    <x:xf numFmtId="0" fontId="6" fillId="12" borderId="0" xfId="0" applyNumberFormat="1" applyFont="1" applyFill="1" applyBorder="1"/>
    <x:xf numFmtId="0" fontId="0" fillId="17" borderId="0" xfId="0" applyNumberFormat="1" applyFont="1" applyFill="1" applyBorder="1"/>
    <x:xf numFmtId="0" fontId="6" fillId="17" borderId="0" xfId="0" applyNumberFormat="1" applyFont="1" applyFill="1" applyBorder="1"/>
    <x:xf numFmtId="0" fontId="0" fillId="18" borderId="0" xfId="0" applyNumberFormat="1" applyFont="1" applyFill="1" applyBorder="1"/>
    <x:xf numFmtId="0" fontId="7" fillId="18" borderId="0" xfId="0" applyNumberFormat="1" applyFont="1" applyFill="1" applyBorder="1"/>
    <x:xf numFmtId="0" fontId="7" fillId="18" borderId="0" xfId="0" applyNumberFormat="1" applyFont="1" applyFill="1" applyBorder="1" applyAlignment="1">
      <x:alignment wrapText="1"/>
    </x:xf>
    <x:xf numFmtId="0" fontId="8" fillId="12" borderId="0" xfId="0" applyNumberFormat="1" applyFont="1" applyFill="1" applyBorder="1"/>
    <x:xf numFmtId="0" fontId="1" fillId="12" borderId="0" xfId="0" applyNumberFormat="1" applyFont="1" applyFill="1" applyBorder="1" applyAlignment="1">
      <x:alignment vertical="top"/>
    </x:xf>
    <x:xf numFmtId="0" fontId="4" fillId="13" borderId="0" xfId="0" applyNumberFormat="1" applyFont="1" applyFill="1" applyBorder="1" applyAlignment="1">
      <x:alignment vertical="top" wrapText="1"/>
    </x:xf>
    <x:xf numFmtId="0" fontId="3" fillId="14"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0" fontId="6" fillId="15" borderId="0" xfId="0" applyNumberFormat="1" applyFont="1" applyFill="1" applyBorder="1" applyAlignment="1">
      <x:alignment vertical="top"/>
    </x:xf>
    <x:xf numFmtId="0" fontId="3" fillId="16"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6" fillId="12" borderId="0" xfId="0" applyNumberFormat="1" applyFont="1" applyFill="1" applyBorder="1" applyAlignment="1">
      <x:alignment vertical="top"/>
    </x:xf>
    <x:xf numFmtId="0" fontId="6" fillId="17"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8" fillId="12" borderId="0" xfId="0" applyNumberFormat="1" applyFont="1" applyFill="1" applyBorder="1" applyAlignment="1">
      <x:alignment vertical="top"/>
    </x:xf>
    <x:xf numFmtId="0" fontId="6" fillId="8" borderId="0" xfId="0" applyNumberFormat="1" applyFont="1" applyFill="1" applyBorder="1"/>
    <x:xf numFmtId="0" fontId="6" fillId="2" borderId="0" xfId="0" applyNumberFormat="1" applyFont="1" applyFill="1" applyBorder="1"/>
    <x:xf numFmtId="0" fontId="8" fillId="2" borderId="0" xfId="0" applyNumberFormat="1" applyFont="1" applyFill="1" applyBorder="1"/>
    <x:xf numFmtId="0" fontId="1" fillId="2" borderId="0" xfId="0" applyNumberFormat="1" applyFont="1" applyFill="1" applyBorder="1" applyAlignment="1">
      <x:alignment vertical="top"/>
    </x:xf>
    <x:xf numFmtId="0" fontId="4"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6" fillId="8" borderId="0" xfId="0" applyNumberFormat="1" applyFont="1" applyFill="1" applyBorder="1" applyAlignment="1">
      <x:alignment vertical="top"/>
    </x:xf>
    <x:xf numFmtId="0" fontId="3" fillId="9" borderId="0" xfId="0" applyNumberFormat="1" applyFont="1" applyFill="1" applyBorder="1" applyAlignment="1">
      <x:alignment vertical="top" wrapText="1"/>
    </x:xf>
    <x:xf numFmtId="0" fontId="6" fillId="2" borderId="0" xfId="0" applyNumberFormat="1" applyFont="1" applyFill="1" applyBorder="1" applyAlignment="1">
      <x:alignment vertical="top"/>
    </x:xf>
    <x:xf numFmtId="0" fontId="8" fillId="2" borderId="0" xfId="0" applyNumberFormat="1" applyFont="1" applyFill="1" applyBorder="1" applyAlignment="1">
      <x:alignment vertical="top"/>
    </x:xf>
    <x:xf numFmtId="0" fontId="0" fillId="19" borderId="0" xfId="0" applyNumberFormat="1" applyFont="1" applyFill="1" applyBorder="1"/>
    <x:xf numFmtId="0" fontId="1" fillId="19" borderId="0" xfId="0" applyNumberFormat="1" applyFont="1" applyFill="1" applyBorder="1"/>
    <x:xf numFmtId="0" fontId="0" fillId="20" borderId="0" xfId="0" applyNumberFormat="1" applyFont="1" applyFill="1" applyBorder="1"/>
    <x:xf numFmtId="0" fontId="4" fillId="20" borderId="0" xfId="0" applyNumberFormat="1" applyFont="1" applyFill="1" applyBorder="1"/>
    <x:xf numFmtId="0" fontId="4" fillId="20" borderId="0" xfId="0" applyNumberFormat="1" applyFont="1" applyFill="1" applyBorder="1" applyAlignment="1">
      <x:alignment wrapText="1"/>
    </x:xf>
    <x:xf numFmtId="0" fontId="0" fillId="21" borderId="0" xfId="0" applyNumberFormat="1" applyFont="1" applyFill="1" applyBorder="1"/>
    <x:xf numFmtId="0" fontId="3" fillId="21" borderId="0" xfId="0" applyNumberFormat="1" applyFont="1" applyFill="1" applyBorder="1"/>
    <x:xf numFmtId="0" fontId="3" fillId="21" borderId="0" xfId="0" applyNumberFormat="1" applyFont="1" applyFill="1" applyBorder="1" applyAlignment="1">
      <x:alignment wrapText="1"/>
    </x:xf>
    <x:xf numFmtId="0" fontId="0" fillId="22" borderId="0" xfId="0" applyNumberFormat="1" applyFont="1" applyFill="1" applyBorder="1"/>
    <x:xf numFmtId="0" fontId="6" fillId="22" borderId="0" xfId="0" applyNumberFormat="1" applyFont="1" applyFill="1" applyBorder="1"/>
    <x:xf numFmtId="0" fontId="0" fillId="23" borderId="0" xfId="0" applyNumberFormat="1" applyFont="1" applyFill="1" applyBorder="1"/>
    <x:xf numFmtId="0" fontId="3" fillId="23" borderId="0" xfId="0" applyNumberFormat="1" applyFont="1" applyFill="1" applyBorder="1"/>
    <x:xf numFmtId="0" fontId="0" fillId="24" borderId="0" xfId="0" applyNumberFormat="1" applyFont="1" applyFill="1" applyBorder="1"/>
    <x:xf numFmtId="0" fontId="7" fillId="24" borderId="0" xfId="0" applyNumberFormat="1" applyFont="1" applyFill="1" applyBorder="1"/>
    <x:xf numFmtId="0" fontId="0" fillId="25" borderId="0" xfId="0" applyNumberFormat="1" applyFont="1" applyFill="1" applyBorder="1"/>
    <x:xf numFmtId="0" fontId="6" fillId="25" borderId="0" xfId="0" applyNumberFormat="1" applyFont="1" applyFill="1" applyBorder="1"/>
    <x:xf numFmtId="0" fontId="0" fillId="26" borderId="0" xfId="0" applyNumberFormat="1" applyFont="1" applyFill="1" applyBorder="1"/>
    <x:xf numFmtId="0" fontId="7" fillId="26" borderId="0" xfId="0" applyNumberFormat="1" applyFont="1" applyFill="1" applyBorder="1"/>
    <x:xf numFmtId="0" fontId="0" fillId="27" borderId="0" xfId="0" applyNumberFormat="1" applyFont="1" applyFill="1" applyBorder="1"/>
    <x:xf numFmtId="0" fontId="5" fillId="27" borderId="0" xfId="0" applyNumberFormat="1" applyFont="1" applyFill="1" applyBorder="1"/>
    <x:xf numFmtId="0" fontId="6" fillId="9" borderId="0" xfId="0" applyNumberFormat="1" applyFont="1" applyFill="1" applyBorder="1"/>
    <x:xf numFmtId="0" fontId="5" fillId="17" borderId="0" xfId="0" applyNumberFormat="1" applyFont="1" applyFill="1" applyBorder="1"/>
    <x:xf numFmtId="0" fontId="0" fillId="28" borderId="0" xfId="0" applyNumberFormat="1" applyFont="1" applyFill="1" applyBorder="1"/>
    <x:xf numFmtId="0" fontId="1" fillId="28" borderId="0" xfId="0" applyNumberFormat="1" applyFont="1" applyFill="1" applyBorder="1"/>
    <x:xf numFmtId="0" fontId="0" fillId="29" borderId="0" xfId="0" applyNumberFormat="1" applyFont="1" applyFill="1" applyBorder="1"/>
    <x:xf numFmtId="0" fontId="4" fillId="29" borderId="0" xfId="0" applyNumberFormat="1" applyFont="1" applyFill="1" applyBorder="1"/>
    <x:xf numFmtId="0" fontId="4" fillId="29" borderId="0" xfId="0" applyNumberFormat="1" applyFont="1" applyFill="1" applyBorder="1" applyAlignment="1">
      <x:alignment wrapText="1"/>
    </x:xf>
    <x:xf numFmtId="0" fontId="0" fillId="30" borderId="0" xfId="0" applyNumberFormat="1" applyFont="1" applyFill="1" applyBorder="1"/>
    <x:xf numFmtId="0" fontId="3" fillId="30" borderId="0" xfId="0" applyNumberFormat="1" applyFont="1" applyFill="1" applyBorder="1"/>
    <x:xf numFmtId="0" fontId="3" fillId="30" borderId="0" xfId="0" applyNumberFormat="1" applyFont="1" applyFill="1" applyBorder="1" applyAlignment="1">
      <x:alignment wrapText="1"/>
    </x:xf>
    <x:xf numFmtId="0" fontId="0" fillId="31" borderId="0" xfId="0" applyNumberFormat="1" applyFont="1" applyFill="1" applyBorder="1"/>
    <x:xf numFmtId="0" fontId="6" fillId="31" borderId="0" xfId="0" applyNumberFormat="1" applyFont="1" applyFill="1" applyBorder="1"/>
    <x:xf numFmtId="0" fontId="0" fillId="32" borderId="0" xfId="0" applyNumberFormat="1" applyFont="1" applyFill="1" applyBorder="1"/>
    <x:xf numFmtId="0" fontId="7" fillId="32" borderId="0" xfId="0" applyNumberFormat="1" applyFont="1" applyFill="1" applyBorder="1"/>
    <x:xf numFmtId="0" fontId="0" fillId="33" borderId="0" xfId="0" applyNumberFormat="1" applyFont="1" applyFill="1" applyBorder="1"/>
    <x:xf numFmtId="0" fontId="6" fillId="33" borderId="0" xfId="0" applyNumberFormat="1" applyFont="1" applyFill="1" applyBorder="1"/>
    <x:xf numFmtId="0" fontId="0" fillId="34" borderId="0" xfId="0" applyNumberFormat="1" applyFont="1" applyFill="1" applyBorder="1"/>
    <x:xf numFmtId="0" fontId="7" fillId="34" borderId="0" xfId="0" applyNumberFormat="1" applyFont="1" applyFill="1" applyBorder="1"/>
    <x:xf numFmtId="203" fontId="0" fillId="0" borderId="0" xfId="0" applyNumberFormat="1" applyFont="1" applyFill="1" applyBorder="1"/>
    <x:xf numFmtId="0" fontId="0" fillId="35" borderId="0" xfId="0" applyNumberFormat="1" applyFont="1" applyFill="1" applyBorder="1"/>
    <x:xf numFmtId="0" fontId="6" fillId="35" borderId="0" xfId="0" applyNumberFormat="1" applyFont="1" applyFill="1" applyBorder="1"/>
    <x:xf numFmtId="0" fontId="0" fillId="36" borderId="0" xfId="0" applyNumberFormat="1" applyFont="1" applyFill="1" applyBorder="1"/>
    <x:xf numFmtId="0" fontId="7" fillId="36" borderId="0" xfId="0" applyNumberFormat="1" applyFont="1" applyFill="1" applyBorder="1"/>
    <x:xf numFmtId="0" fontId="0" fillId="37" borderId="0" xfId="0" applyNumberFormat="1" applyFont="1" applyFill="1" applyBorder="1"/>
    <x:xf numFmtId="0" fontId="6" fillId="37" borderId="0" xfId="0" applyNumberFormat="1" applyFont="1" applyFill="1" applyBorder="1"/>
    <x:xf numFmtId="0" fontId="0" fillId="38" borderId="0" xfId="0" applyNumberFormat="1" applyFont="1" applyFill="1" applyBorder="1"/>
    <x:xf numFmtId="0" fontId="7" fillId="38" borderId="0" xfId="0" applyNumberFormat="1" applyFont="1" applyFill="1" applyBorder="1"/>
    <x:xf numFmtId="0" fontId="0" fillId="39" borderId="0" xfId="0" applyNumberFormat="1" applyFont="1" applyFill="1" applyBorder="1"/>
    <x:xf numFmtId="0" fontId="9" fillId="39" borderId="0" xfId="0" applyNumberFormat="1" applyFont="1" applyFill="1" applyBorder="1"/>
    <x:xf numFmtId="0" fontId="0" fillId="40" borderId="0" xfId="0" applyNumberFormat="1" applyFont="1" applyFill="1" applyBorder="1"/>
    <x:xf numFmtId="0" fontId="7" fillId="40" borderId="0" xfId="0" applyNumberFormat="1" applyFont="1" applyFill="1" applyBorder="1"/>
    <x:xf numFmtId="0" fontId="6" fillId="28" borderId="0" xfId="0" applyNumberFormat="1" applyFont="1" applyFill="1" applyBorder="1"/>
    <x:xf numFmtId="0" fontId="6" fillId="23" borderId="0" xfId="0" applyNumberFormat="1" applyFont="1" applyFill="1" applyBorder="1"/>
    <x:xf numFmtId="0" fontId="9" fillId="11" borderId="0" xfId="0" applyNumberFormat="1" applyFont="1" applyFill="1" applyBorder="1"/>
    <x:xf numFmtId="0" fontId="0" fillId="41" borderId="0" xfId="0" applyNumberFormat="1" applyFont="1" applyFill="1" applyBorder="1"/>
    <x:xf numFmtId="0" fontId="1" fillId="41" borderId="0" xfId="0" applyNumberFormat="1" applyFont="1" applyFill="1" applyBorder="1"/>
    <x:xf numFmtId="0" fontId="0" fillId="42" borderId="0" xfId="0" applyNumberFormat="1" applyFont="1" applyFill="1" applyBorder="1"/>
    <x:xf numFmtId="0" fontId="4" fillId="42" borderId="0" xfId="0" applyNumberFormat="1" applyFont="1" applyFill="1" applyBorder="1"/>
    <x:xf numFmtId="0" fontId="4" fillId="42" borderId="0" xfId="0" applyNumberFormat="1" applyFont="1" applyFill="1" applyBorder="1" applyAlignment="1">
      <x:alignment wrapText="1"/>
    </x:xf>
    <x:xf numFmtId="0" fontId="0" fillId="43" borderId="0" xfId="0" applyNumberFormat="1" applyFont="1" applyFill="1" applyBorder="1"/>
    <x:xf numFmtId="0" fontId="3" fillId="43" borderId="0" xfId="0" applyNumberFormat="1" applyFont="1" applyFill="1" applyBorder="1"/>
    <x:xf numFmtId="0" fontId="3" fillId="43" borderId="0" xfId="0" applyNumberFormat="1" applyFont="1" applyFill="1" applyBorder="1" applyAlignment="1">
      <x:alignment wrapText="1"/>
    </x:xf>
    <x:xf numFmtId="0" fontId="0" fillId="44" borderId="0" xfId="0" applyNumberFormat="1" applyFont="1" applyFill="1" applyBorder="1"/>
    <x:xf numFmtId="0" fontId="6" fillId="44" borderId="0" xfId="0" applyNumberFormat="1" applyFont="1" applyFill="1" applyBorder="1"/>
    <x:xf numFmtId="0" fontId="0" fillId="45" borderId="0" xfId="0" applyNumberFormat="1" applyFont="1" applyFill="1" applyBorder="1"/>
    <x:xf numFmtId="0" fontId="7" fillId="45" borderId="0" xfId="0" applyNumberFormat="1" applyFont="1" applyFill="1" applyBorder="1"/>
    <x:xf numFmtId="0" fontId="7" fillId="45" borderId="0" xfId="0" applyNumberFormat="1" applyFont="1" applyFill="1" applyBorder="1" applyAlignment="1">
      <x:alignment wrapText="1"/>
    </x:xf>
    <x:xf numFmtId="0" fontId="0" fillId="46" borderId="0" xfId="0" applyNumberFormat="1" applyFont="1" applyFill="1" applyBorder="1"/>
    <x:xf numFmtId="0" fontId="6" fillId="46" borderId="0" xfId="0" applyNumberFormat="1" applyFont="1" applyFill="1" applyBorder="1"/>
    <x:xf numFmtId="0" fontId="0" fillId="47" borderId="0" xfId="0" applyNumberFormat="1" applyFont="1" applyFill="1" applyBorder="1"/>
    <x:xf numFmtId="0" fontId="7" fillId="47" borderId="0" xfId="0" applyNumberFormat="1" applyFont="1" applyFill="1" applyBorder="1"/>
    <x:xf numFmtId="0" fontId="0" fillId="48" borderId="0" xfId="0" applyNumberFormat="1" applyFont="1" applyFill="1" applyBorder="1"/>
    <x:xf numFmtId="0" fontId="6" fillId="48" borderId="0" xfId="0" applyNumberFormat="1" applyFont="1" applyFill="1" applyBorder="1"/>
    <x:xf numFmtId="0" fontId="0" fillId="49" borderId="0" xfId="0" applyNumberFormat="1" applyFont="1" applyFill="1" applyBorder="1"/>
    <x:xf numFmtId="0" fontId="7" fillId="49" borderId="0" xfId="0" applyNumberFormat="1" applyFont="1" applyFill="1" applyBorder="1"/>
    <x:xf numFmtId="0" fontId="7" fillId="49" borderId="0" xfId="0" applyNumberFormat="1" applyFont="1" applyFill="1" applyBorder="1" applyAlignment="1">
      <x:alignment wrapText="1"/>
    </x:xf>
    <x:xf numFmtId="0" fontId="0" fillId="50" borderId="0" xfId="0" applyNumberFormat="1" applyFont="1" applyFill="1" applyBorder="1"/>
    <x:xf numFmtId="0" fontId="6" fillId="50" borderId="0" xfId="0" applyNumberFormat="1" applyFont="1" applyFill="1" applyBorder="1"/>
    <x:xf numFmtId="0" fontId="0" fillId="51" borderId="0" xfId="0" applyNumberFormat="1" applyFont="1" applyFill="1" applyBorder="1"/>
    <x:xf numFmtId="0" fontId="7" fillId="51" borderId="0" xfId="0" applyNumberFormat="1" applyFont="1" applyFill="1" applyBorder="1"/>
    <x:xf numFmtId="204" fontId="0" fillId="0" borderId="0" xfId="0" applyNumberFormat="1" applyFont="1" applyFill="1" applyBorder="1"/>
    <x:xf numFmtId="0" fontId="6" fillId="41" borderId="0" xfId="0" applyNumberFormat="1" applyFont="1" applyFill="1" applyBorder="1"/>
    <x:xf numFmtId="0" fontId="3" fillId="46" borderId="0" xfId="0" applyNumberFormat="1" applyFont="1" applyFill="1" applyBorder="1"/>
    <x:xf numFmtId="0" fontId="7" fillId="51" borderId="0" xfId="0" applyNumberFormat="1" applyFont="1" applyFill="1" applyBorder="1" applyAlignment="1">
      <x:alignment wrapText="1"/>
    </x:xf>
    <x:xf numFmtId="0" fontId="7" fillId="32" borderId="0" xfId="0" applyNumberFormat="1" applyFont="1" applyFill="1" applyBorder="1" applyAlignment="1">
      <x:alignment wrapText="1"/>
    </x:xf>
    <x:xf numFmtId="0" fontId="7" fillId="34" borderId="0" xfId="0" applyNumberFormat="1" applyFont="1" applyFill="1" applyBorder="1" applyAlignment="1">
      <x:alignment wrapText="1"/>
    </x:xf>
    <x:xf numFmtId="0" fontId="0" fillId="52" borderId="0" xfId="0" applyNumberFormat="1" applyFont="1" applyFill="1" applyBorder="1"/>
    <x:xf numFmtId="0" fontId="1" fillId="52" borderId="0" xfId="0" applyNumberFormat="1" applyFont="1" applyFill="1" applyBorder="1"/>
    <x:xf numFmtId="0" fontId="0" fillId="53" borderId="0" xfId="0" applyNumberFormat="1" applyFont="1" applyFill="1" applyBorder="1"/>
    <x:xf numFmtId="0" fontId="4" fillId="53" borderId="0" xfId="0" applyNumberFormat="1" applyFont="1" applyFill="1" applyBorder="1"/>
    <x:xf numFmtId="0" fontId="4" fillId="53" borderId="0" xfId="0" applyNumberFormat="1" applyFont="1" applyFill="1" applyBorder="1" applyAlignment="1">
      <x:alignment wrapText="1"/>
    </x:xf>
    <x:xf numFmtId="0" fontId="0" fillId="54" borderId="0" xfId="0" applyNumberFormat="1" applyFont="1" applyFill="1" applyBorder="1"/>
    <x:xf numFmtId="0" fontId="3" fillId="54" borderId="0" xfId="0" applyNumberFormat="1" applyFont="1" applyFill="1" applyBorder="1"/>
    <x:xf numFmtId="0" fontId="3" fillId="54" borderId="0" xfId="0" applyNumberFormat="1" applyFont="1" applyFill="1" applyBorder="1" applyAlignment="1">
      <x:alignment wrapText="1"/>
    </x:xf>
    <x:xf numFmtId="0" fontId="0" fillId="55" borderId="0" xfId="0" applyNumberFormat="1" applyFont="1" applyFill="1" applyBorder="1"/>
    <x:xf numFmtId="0" fontId="6" fillId="55" borderId="0" xfId="0" applyNumberFormat="1" applyFont="1" applyFill="1" applyBorder="1"/>
    <x:xf numFmtId="0" fontId="0" fillId="56" borderId="0" xfId="0" applyNumberFormat="1" applyFont="1" applyFill="1" applyBorder="1"/>
    <x:xf numFmtId="0" fontId="7" fillId="56" borderId="0" xfId="0" applyNumberFormat="1" applyFont="1" applyFill="1" applyBorder="1"/>
    <x:xf numFmtId="0" fontId="0" fillId="57" borderId="0" xfId="0" applyNumberFormat="1" applyFont="1" applyFill="1" applyBorder="1"/>
    <x:xf numFmtId="0" fontId="6" fillId="57" borderId="0" xfId="0" applyNumberFormat="1" applyFont="1" applyFill="1" applyBorder="1"/>
    <x:xf numFmtId="0" fontId="0" fillId="58" borderId="0" xfId="0" applyNumberFormat="1" applyFont="1" applyFill="1" applyBorder="1"/>
    <x:xf numFmtId="0" fontId="7" fillId="58" borderId="0" xfId="0" applyNumberFormat="1" applyFont="1" applyFill="1" applyBorder="1"/>
    <x:xf numFmtId="0" fontId="0" fillId="59" borderId="0" xfId="0" applyNumberFormat="1" applyFont="1" applyFill="1" applyBorder="1"/>
    <x:xf numFmtId="0" fontId="3" fillId="59" borderId="0" xfId="0" applyNumberFormat="1" applyFont="1" applyFill="1" applyBorder="1"/>
    <x:xf numFmtId="0" fontId="7" fillId="58" borderId="0" xfId="0" applyNumberFormat="1" applyFont="1" applyFill="1" applyBorder="1" applyAlignment="1">
      <x:alignment wrapText="1"/>
    </x:xf>
    <x:xf numFmtId="0" fontId="6" fillId="59" borderId="0" xfId="0" applyNumberFormat="1" applyFont="1" applyFill="1" applyBorder="1"/>
    <x:xf numFmtId="0" fontId="10" fillId="52" borderId="0" xfId="0" applyNumberFormat="1" applyFont="1" applyFill="1" applyBorder="1"/>
    <x:xf numFmtId="0" fontId="3" fillId="55" borderId="0" xfId="0" applyNumberFormat="1" applyFont="1" applyFill="1" applyBorder="1"/>
    <x:xf numFmtId="0" fontId="3" fillId="55" borderId="0" xfId="0" applyNumberFormat="1" applyFont="1" applyFill="1" applyBorder="1" applyAlignment="1">
      <x:alignment wrapText="1"/>
    </x:xf>
    <x:xf numFmtId="0" fontId="11" fillId="59" borderId="0" xfId="0" applyNumberFormat="1" applyFont="1" applyFill="1" applyBorder="1"/>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vertical="top" wrapText="1"/>
    </x:xf>
    <x:xf numFmtId="0" fontId="10" fillId="2"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11" fillId="9" borderId="0" xfId="0" applyNumberFormat="1" applyFont="1" applyFill="1" applyBorder="1"/>
    <x:xf numFmtId="0" fontId="0" fillId="60" borderId="0" xfId="0" applyNumberFormat="1" applyFont="1" applyFill="1" applyBorder="1"/>
    <x:xf numFmtId="0" fontId="1" fillId="60" borderId="0" xfId="0" applyNumberFormat="1" applyFont="1" applyFill="1" applyBorder="1"/>
    <x:xf numFmtId="0" fontId="0" fillId="61" borderId="0" xfId="0" applyNumberFormat="1" applyFont="1" applyFill="1" applyBorder="1"/>
    <x:xf numFmtId="0" fontId="4" fillId="61" borderId="0" xfId="0" applyNumberFormat="1" applyFont="1" applyFill="1" applyBorder="1"/>
    <x:xf numFmtId="0" fontId="4" fillId="61" borderId="0" xfId="0" applyNumberFormat="1" applyFont="1" applyFill="1" applyBorder="1" applyAlignment="1">
      <x:alignment wrapText="1"/>
    </x:xf>
    <x:xf numFmtId="0" fontId="0" fillId="62" borderId="0" xfId="0" applyNumberFormat="1" applyFont="1" applyFill="1" applyBorder="1"/>
    <x:xf numFmtId="0" fontId="3" fillId="62" borderId="0" xfId="0" applyNumberFormat="1" applyFont="1" applyFill="1" applyBorder="1"/>
    <x:xf numFmtId="0" fontId="3" fillId="62" borderId="0" xfId="0" applyNumberFormat="1" applyFont="1" applyFill="1" applyBorder="1" applyAlignment="1">
      <x:alignment wrapText="1"/>
    </x:xf>
    <x:xf numFmtId="0" fontId="0" fillId="63" borderId="0" xfId="0" applyNumberFormat="1" applyFont="1" applyFill="1" applyBorder="1"/>
    <x:xf numFmtId="0" fontId="6" fillId="63" borderId="0" xfId="0" applyNumberFormat="1" applyFont="1" applyFill="1" applyBorder="1"/>
    <x:xf numFmtId="0" fontId="0" fillId="64" borderId="0" xfId="0" applyNumberFormat="1" applyFont="1" applyFill="1" applyBorder="1"/>
    <x:xf numFmtId="0" fontId="7" fillId="64" borderId="0" xfId="0" applyNumberFormat="1" applyFont="1" applyFill="1" applyBorder="1"/>
    <x:xf numFmtId="0" fontId="10" fillId="60" borderId="0" xfId="0" applyNumberFormat="1" applyFont="1" applyFill="1" applyBorder="1"/>
    <x:xf numFmtId="0" fontId="0" fillId="65" borderId="0" xfId="0" applyNumberFormat="1" applyFont="1" applyFill="1" applyBorder="1"/>
    <x:xf numFmtId="0" fontId="6" fillId="65" borderId="0" xfId="0" applyNumberFormat="1" applyFont="1" applyFill="1" applyBorder="1"/>
    <x:xf numFmtId="0" fontId="0" fillId="66" borderId="0" xfId="0" applyNumberFormat="1" applyFont="1" applyFill="1" applyBorder="1"/>
    <x:xf numFmtId="0" fontId="7" fillId="66" borderId="0" xfId="0" applyNumberFormat="1" applyFont="1" applyFill="1" applyBorder="1"/>
    <x:xf numFmtId="0" fontId="0" fillId="67" borderId="0" xfId="0" applyNumberFormat="1" applyFont="1" applyFill="1" applyBorder="1"/>
    <x:xf numFmtId="0" fontId="6" fillId="67" borderId="0" xfId="0" applyNumberFormat="1" applyFont="1" applyFill="1" applyBorder="1"/>
    <x:xf numFmtId="0" fontId="0" fillId="68" borderId="0" xfId="0" applyNumberFormat="1" applyFont="1" applyFill="1" applyBorder="1"/>
    <x:xf numFmtId="0" fontId="7" fillId="68" borderId="0" xfId="0" applyNumberFormat="1" applyFont="1" applyFill="1" applyBorder="1"/>
    <x:xf numFmtId="0" fontId="0" fillId="69" borderId="0" xfId="0" applyNumberFormat="1" applyFont="1" applyFill="1" applyBorder="1"/>
    <x:xf numFmtId="0" fontId="1" fillId="69" borderId="0" xfId="0" applyNumberFormat="1" applyFont="1" applyFill="1" applyBorder="1"/>
    <x:xf numFmtId="0" fontId="0" fillId="70" borderId="0" xfId="0" applyNumberFormat="1" applyFont="1" applyFill="1" applyBorder="1"/>
    <x:xf numFmtId="0" fontId="4" fillId="70" borderId="0" xfId="0" applyNumberFormat="1" applyFont="1" applyFill="1" applyBorder="1"/>
    <x:xf numFmtId="0" fontId="4" fillId="70" borderId="0" xfId="0" applyNumberFormat="1" applyFont="1" applyFill="1" applyBorder="1" applyAlignment="1">
      <x:alignment wrapText="1"/>
    </x:xf>
    <x:xf numFmtId="0" fontId="0" fillId="71" borderId="0" xfId="0" applyNumberFormat="1" applyFont="1" applyFill="1" applyBorder="1"/>
    <x:xf numFmtId="0" fontId="3" fillId="71" borderId="0" xfId="0" applyNumberFormat="1" applyFont="1" applyFill="1" applyBorder="1"/>
    <x:xf numFmtId="0" fontId="3" fillId="71" borderId="0" xfId="0" applyNumberFormat="1" applyFont="1" applyFill="1" applyBorder="1" applyAlignment="1">
      <x:alignment wrapText="1"/>
    </x:xf>
    <x:xf numFmtId="0" fontId="0" fillId="72" borderId="0" xfId="0" applyNumberFormat="1" applyFont="1" applyFill="1" applyBorder="1"/>
    <x:xf numFmtId="0" fontId="3" fillId="72" borderId="0" xfId="0" applyNumberFormat="1" applyFont="1" applyFill="1" applyBorder="1"/>
    <x:xf numFmtId="0" fontId="3" fillId="72" borderId="0" xfId="0" applyNumberFormat="1" applyFont="1" applyFill="1" applyBorder="1" applyAlignment="1">
      <x:alignment wrapText="1"/>
    </x:xf>
    <x:xf numFmtId="205" fontId="0" fillId="0" borderId="0" xfId="0" applyNumberFormat="1" applyFont="1" applyFill="1" applyBorder="1"/>
    <x:xf numFmtId="0" fontId="10" fillId="69" borderId="0" xfId="0" applyNumberFormat="1" applyFont="1" applyFill="1" applyBorder="1"/>
    <x:xf numFmtId="0" fontId="0" fillId="73" borderId="0" xfId="0" applyNumberFormat="1" applyFont="1" applyFill="1" applyBorder="1"/>
    <x:xf numFmtId="0" fontId="5" fillId="73" borderId="0" xfId="0" applyNumberFormat="1" applyFont="1" applyFill="1" applyBorder="1"/>
    <x:xf numFmtId="0" fontId="6" fillId="72" borderId="0" xfId="0" applyNumberFormat="1" applyFont="1" applyFill="1" applyBorder="1"/>
    <x:xf numFmtId="0" fontId="0" fillId="74" borderId="0" xfId="0" applyNumberFormat="1" applyFont="1" applyFill="1" applyBorder="1"/>
    <x:xf numFmtId="0" fontId="7" fillId="74" borderId="0" xfId="0" applyNumberFormat="1" applyFont="1" applyFill="1" applyBorder="1"/>
    <x:xf numFmtId="0" fontId="0" fillId="75" borderId="0" xfId="0" applyNumberFormat="1" applyFont="1" applyFill="1" applyBorder="1" applyAlignment="1">
      <x:alignment vertical="top"/>
    </x:xf>
    <x:xf numFmtId="0" fontId="12" fillId="75" borderId="0" xfId="0" applyNumberFormat="1" applyFont="1" applyFill="1" applyBorder="1" applyAlignment="1">
      <x:alignment vertical="top"/>
    </x:xf>
    <x:xf numFmtId="0" fontId="12" fillId="75" borderId="0" xfId="0" applyNumberFormat="1" applyFont="1" applyFill="1" applyBorder="1" applyAlignment="1">
      <x:alignment vertical="top" wrapText="1"/>
    </x:xf>
    <x:xf numFmtId="0" fontId="0" fillId="76" borderId="0" xfId="0" applyNumberFormat="1" applyFont="1" applyFill="1" applyBorder="1" applyAlignment="1">
      <x:alignment vertical="top"/>
    </x:xf>
    <x:xf numFmtId="0" fontId="12" fillId="76" borderId="0" xfId="0" applyNumberFormat="1" applyFont="1" applyFill="1" applyBorder="1" applyAlignment="1">
      <x:alignment vertical="top"/>
    </x:xf>
    <x:xf numFmtId="0" fontId="12" fillId="76" borderId="0" xfId="0" applyNumberFormat="1" applyFont="1" applyFill="1" applyBorder="1" applyAlignment="1">
      <x:alignment vertical="top" wrapText="1"/>
    </x:xf>
    <x:xf numFmtId="0" fontId="0" fillId="77" borderId="0" xfId="0" applyNumberFormat="1" applyFont="1" applyFill="1" applyBorder="1"/>
    <x:xf numFmtId="0" fontId="1" fillId="77" borderId="0" xfId="0" applyNumberFormat="1" applyFont="1" applyFill="1" applyBorder="1"/>
    <x:xf numFmtId="0" fontId="1" fillId="77" borderId="0" xfId="0" applyNumberFormat="1" applyFont="1" applyFill="1" applyBorder="1" applyAlignment="1">
      <x:alignment vertical="center"/>
    </x:xf>
    <x:xf numFmtId="0" fontId="0" fillId="76" borderId="0" xfId="0" applyNumberFormat="1" applyFont="1" applyFill="1" applyBorder="1"/>
    <x:xf numFmtId="0" fontId="13" fillId="76" borderId="0" xfId="0" applyNumberFormat="1" applyFont="1" applyFill="1" applyBorder="1"/>
    <x:xf numFmtId="0" fontId="13" fillId="76" borderId="0" xfId="0" applyNumberFormat="1" applyFont="1" applyFill="1" applyBorder="1" applyAlignment="1">
      <x:alignment wrapText="1"/>
    </x:xf>
    <x:xf numFmtId="0" fontId="13" fillId="76" borderId="0" xfId="0" applyNumberFormat="1" applyFont="1" applyFill="1" applyBorder="1" applyAlignment="1">
      <x:alignment vertical="center" wrapText="1"/>
    </x:xf>
    <x:xf numFmtId="0" fontId="0" fillId="78" borderId="0" xfId="0" applyNumberFormat="1" applyFont="1" applyFill="1" applyBorder="1"/>
    <x:xf numFmtId="0" fontId="3" fillId="78" borderId="0" xfId="0" applyNumberFormat="1" applyFont="1" applyFill="1" applyBorder="1"/>
    <x:xf numFmtId="0" fontId="3" fillId="78" borderId="0" xfId="0" applyNumberFormat="1" applyFont="1" applyFill="1" applyBorder="1" applyAlignment="1">
      <x:alignment wrapText="1"/>
    </x:xf>
    <x:xf numFmtId="0" fontId="3" fillId="78" borderId="0" xfId="0" applyNumberFormat="1" applyFont="1" applyFill="1" applyBorder="1" applyAlignment="1">
      <x:alignment vertical="center" wrapText="1"/>
    </x:xf>
    <x:xf numFmtId="0" fontId="0" fillId="75" borderId="0" xfId="0" applyNumberFormat="1" applyFont="1" applyFill="1" applyBorder="1"/>
    <x:xf numFmtId="0" fontId="12" fillId="75" borderId="0" xfId="0" applyNumberFormat="1" applyFont="1" applyFill="1" applyBorder="1"/>
    <x:xf numFmtId="0" fontId="12" fillId="75" borderId="0" xfId="0" applyNumberFormat="1" applyFont="1" applyFill="1" applyBorder="1" applyAlignment="1">
      <x:alignment wrapText="1"/>
    </x:xf>
    <x:xf numFmtId="0" fontId="12" fillId="76" borderId="0" xfId="0" applyNumberFormat="1" applyFont="1" applyFill="1" applyBorder="1"/>
    <x:xf numFmtId="0" fontId="12" fillId="76" borderId="0" xfId="0" applyNumberFormat="1" applyFont="1" applyFill="1" applyBorder="1" applyAlignment="1">
      <x:alignment wrapText="1"/>
    </x:xf>
    <x:xf numFmtId="200" fontId="12" fillId="75" borderId="0" xfId="0" applyNumberFormat="1" applyFont="1" applyFill="1" applyBorder="1" applyAlignment="1">
      <x:alignment vertical="top" wrapText="1"/>
    </x:xf>
    <x:xf numFmtId="200" fontId="12" fillId="76" borderId="0" xfId="0" applyNumberFormat="1" applyFont="1" applyFill="1" applyBorder="1" applyAlignment="1">
      <x:alignment vertical="top" wrapText="1"/>
    </x:xf>
    <x:xf numFmtId="0" fontId="12" fillId="79" borderId="0" xfId="0" applyNumberFormat="1" applyFont="1" applyFill="1" applyBorder="1" applyAlignment="1">
      <x:alignment vertical="top" wrapText="1"/>
    </x:xf>
    <x:xf numFmtId="204" fontId="12" fillId="75" borderId="0" xfId="0" applyNumberFormat="1" applyFont="1" applyFill="1" applyBorder="1" applyAlignment="1">
      <x:alignment vertical="top" wrapText="1"/>
    </x:xf>
    <x:xf numFmtId="204" fontId="12" fillId="76" borderId="0" xfId="0" applyNumberFormat="1" applyFont="1" applyFill="1" applyBorder="1" applyAlignment="1">
      <x:alignment vertical="top" wrapText="1"/>
    </x:xf>
    <x:xf numFmtId="202" fontId="12" fillId="75" borderId="0" xfId="0" applyNumberFormat="1" applyFont="1" applyFill="1" applyBorder="1" applyAlignment="1">
      <x:alignment vertical="top" wrapText="1"/>
    </x:xf>
    <x:xf numFmtId="202" fontId="12" fillId="76" borderId="0" xfId="0" applyNumberFormat="1" applyFont="1" applyFill="1" applyBorder="1" applyAlignment="1">
      <x:alignment vertical="top" wrapText="1"/>
    </x:xf>
    <x:xf numFmtId="0" fontId="12" fillId="80" borderId="0" xfId="0" applyNumberFormat="1" applyFont="1" applyFill="1" applyBorder="1" applyAlignment="1">
      <x:alignment vertical="top" wrapText="1"/>
    </x:xf>
    <x:xf numFmtId="0" fontId="12" fillId="81" borderId="0" xfId="0" applyNumberFormat="1" applyFont="1" applyFill="1" applyBorder="1" applyAlignment="1">
      <x:alignment vertical="top" wrapText="1"/>
    </x:xf>
    <x:xf numFmtId="0" fontId="0" fillId="80" borderId="0" xfId="0" applyNumberFormat="1" applyFont="1" applyFill="1" applyBorder="1"/>
    <x:xf numFmtId="0" fontId="14" fillId="80" borderId="0" xfId="0" applyNumberFormat="1" applyFont="1" applyFill="1" applyBorder="1"/>
    <x:xf numFmtId="0" fontId="14" fillId="80" borderId="0" xfId="0" applyNumberFormat="1" applyFont="1" applyFill="1" applyBorder="1" applyAlignment="1">
      <x:alignment horizontal="center"/>
    </x:xf>
    <x:xf numFmtId="0" fontId="14" fillId="80" borderId="0" xfId="0" applyNumberFormat="1" applyFont="1" applyFill="1" applyBorder="1" applyAlignment="1">
      <x:alignment horizontal="center" vertical="center"/>
    </x:xf>
  </x:cellXfs>
  <x:cellStyles count="1">
    <x:cellStyle name="Normal" xfId="0"/>
  </x:cellStyles>
  <x:dxfs count="1">
    <x:dxf>
      <x:font>
        <x:b/>
        <x:color rgb="FF9C0006"/>
      </x:font>
      <x:fill>
        <x:patternFill>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46dc12826a94c12" /><Relationship Type="http://schemas.openxmlformats.org/officeDocument/2006/relationships/theme" Target="/xl/theme/theme1.xml" Id="R00af109bebd94c6f" /><Relationship Type="http://schemas.openxmlformats.org/officeDocument/2006/relationships/sharedStrings" Target="/xl/sharedStrings.xml" Id="Ra44ee0a5691c4b61" /><Relationship Type="http://schemas.openxmlformats.org/officeDocument/2006/relationships/worksheet" Target="/xl/worksheets/sheet1.xml" Id="R82bbdefd1e4b4f2b" /><Relationship Type="http://schemas.openxmlformats.org/officeDocument/2006/relationships/worksheet" Target="/xl/worksheets/sheet2.xml" Id="R638770b7e9d64d51" /><Relationship Type="http://schemas.openxmlformats.org/officeDocument/2006/relationships/worksheet" Target="/xl/worksheets/sheet3.xml" Id="Re43bf7dd448b4942" /><Relationship Type="http://schemas.openxmlformats.org/officeDocument/2006/relationships/worksheet" Target="/xl/worksheets/sheet4.xml" Id="R3558eeb59d9f4c68" /><Relationship Type="http://schemas.openxmlformats.org/officeDocument/2006/relationships/worksheet" Target="/xl/worksheets/sheet5.xml" Id="R8d73e7bbbe3d4935" /><Relationship Type="http://schemas.openxmlformats.org/officeDocument/2006/relationships/worksheet" Target="/xl/worksheets/sheet6.xml" Id="R856a7e7191a54473" /><Relationship Type="http://schemas.openxmlformats.org/officeDocument/2006/relationships/worksheet" Target="/xl/worksheets/sheet7.xml" Id="R1f7c0bf7891a4cf4" /><Relationship Type="http://schemas.openxmlformats.org/officeDocument/2006/relationships/worksheet" Target="/xl/worksheets/sheet8.xml" Id="R5760d50073c749a5" /><Relationship Type="http://schemas.openxmlformats.org/officeDocument/2006/relationships/worksheet" Target="/xl/worksheets/sheet9.xml" Id="R0917e1eb638140b7" /><Relationship Type="http://schemas.openxmlformats.org/officeDocument/2006/relationships/worksheet" Target="/xl/worksheets/sheet10.xml" Id="R5c55a8192a164211" /><Relationship Type="http://schemas.openxmlformats.org/officeDocument/2006/relationships/worksheet" Target="/xl/worksheets/sheet11.xml" Id="R8bbff4aab9ca42a9" /><Relationship Type="http://schemas.openxmlformats.org/officeDocument/2006/relationships/worksheet" Target="/xl/worksheets/sheet12.xml" Id="R89659baec6ad4625" /><Relationship Type="http://schemas.openxmlformats.org/officeDocument/2006/relationships/worksheet" Target="/xl/worksheets/sheet13.xml" Id="Ra58c47fb20dc4465" /><Relationship Type="http://schemas.openxmlformats.org/officeDocument/2006/relationships/worksheet" Target="/xl/worksheets/sheet14.xml" Id="R583d949358854a25" /><Relationship Type="http://schemas.openxmlformats.org/officeDocument/2006/relationships/worksheet" Target="/xl/worksheets/sheet15.xml" Id="Ra8f1110a552d4480" /><Relationship Type="http://schemas.openxmlformats.org/officeDocument/2006/relationships/worksheet" Target="/xl/worksheets/sheet16.xml" Id="R7b71b4ccc4d647d8" /><Relationship Type="http://schemas.openxmlformats.org/officeDocument/2006/relationships/worksheet" Target="/xl/worksheets/sheet17.xml" Id="R86208c76997a4f91" /><Relationship Type="http://schemas.openxmlformats.org/officeDocument/2006/relationships/worksheet" Target="/xl/worksheets/sheet18.xml" Id="R1e2f75cef62c4db9" /><Relationship Type="http://schemas.openxmlformats.org/officeDocument/2006/relationships/worksheet" Target="/xl/worksheets/sheet19.xml" Id="R9bb386353054401c" /><Relationship Type="http://schemas.openxmlformats.org/officeDocument/2006/relationships/worksheet" Target="/xl/worksheets/sheet20.xml" Id="R22a9e19ed05d466c" /><Relationship Type="http://schemas.openxmlformats.org/officeDocument/2006/relationships/worksheet" Target="/xl/worksheets/sheet21.xml" Id="Ra4d54960c90f41b8" /><Relationship Type="http://schemas.openxmlformats.org/officeDocument/2006/relationships/worksheet" Target="/xl/worksheets/sheet22.xml" Id="R14ca2fca49814f14" /><Relationship Type="http://schemas.openxmlformats.org/officeDocument/2006/relationships/worksheet" Target="/xl/worksheets/sheet23.xml" Id="R3655c9cfb5be425e" /><Relationship Type="http://schemas.openxmlformats.org/officeDocument/2006/relationships/worksheet" Target="/xl/worksheets/sheet24.xml" Id="R04b0b79f6f3e4214" /><Relationship Type="http://schemas.openxmlformats.org/officeDocument/2006/relationships/worksheet" Target="/xl/worksheets/sheet25.xml" Id="Raf6d7c1554c443d0" /><Relationship Type="http://schemas.openxmlformats.org/officeDocument/2006/relationships/worksheet" Target="/xl/worksheets/sheet26.xml" Id="Rc79b8ec7a4ae495c" /><Relationship Type="http://schemas.openxmlformats.org/officeDocument/2006/relationships/worksheet" Target="/xl/worksheets/sheet27.xml" Id="Rf942103060904e78" /><Relationship Type="http://schemas.openxmlformats.org/officeDocument/2006/relationships/worksheet" Target="/xl/worksheets/sheet28.xml" Id="R600e03d7ec654145" /><Relationship Type="http://schemas.openxmlformats.org/officeDocument/2006/relationships/worksheet" Target="/xl/worksheets/sheet29.xml" Id="Rd8052cf112054042" /><Relationship Type="http://schemas.openxmlformats.org/officeDocument/2006/relationships/worksheet" Target="/xl/worksheets/sheet30.xml" Id="R09fb4183817f4be4" /><Relationship Type="http://schemas.openxmlformats.org/officeDocument/2006/relationships/worksheet" Target="/xl/worksheets/sheet31.xml" Id="R3d44b90e2d6a48f6" /><Relationship Type="http://schemas.openxmlformats.org/officeDocument/2006/relationships/worksheet" Target="/xl/worksheets/sheet32.xml" Id="R6bc41c87120f4ec2" /><Relationship Type="http://schemas.openxmlformats.org/officeDocument/2006/relationships/worksheet" Target="/xl/worksheets/sheet33.xml" Id="R258ef414d3084842" /><Relationship Type="http://schemas.openxmlformats.org/officeDocument/2006/relationships/worksheet" Target="/xl/worksheets/sheet34.xml" Id="R5a6cabddbe62447b" /><Relationship Type="http://schemas.openxmlformats.org/officeDocument/2006/relationships/worksheet" Target="/xl/worksheets/sheet35.xml" Id="R904a89bbcf0243a6" /><Relationship Type="http://schemas.openxmlformats.org/officeDocument/2006/relationships/worksheet" Target="/xl/worksheets/sheet36.xml" Id="R251c78a4aa7b40f1" /><Relationship Type="http://schemas.openxmlformats.org/officeDocument/2006/relationships/worksheet" Target="/xl/worksheets/sheet37.xml" Id="R1e9302f9a70746f0" /><Relationship Type="http://schemas.openxmlformats.org/officeDocument/2006/relationships/worksheet" Target="/xl/worksheets/sheet38.xml" Id="Re754dd883ea84536" /><Relationship Type="http://schemas.openxmlformats.org/officeDocument/2006/relationships/worksheet" Target="/xl/worksheets/sheet39.xml" Id="R8afe61b4355a4377" /><Relationship Type="http://schemas.openxmlformats.org/officeDocument/2006/relationships/worksheet" Target="/xl/worksheets/sheet40.xml" Id="R22cb68b100294600" /><Relationship Type="http://schemas.openxmlformats.org/officeDocument/2006/relationships/worksheet" Target="/xl/worksheets/sheet41.xml" Id="R810b97958168467b" /><Relationship Type="http://schemas.openxmlformats.org/officeDocument/2006/relationships/worksheet" Target="/xl/worksheets/sheet42.xml" Id="Rb01483d93ea148ae" /><Relationship Type="http://schemas.openxmlformats.org/officeDocument/2006/relationships/worksheet" Target="/xl/worksheets/sheet43.xml" Id="R325baf68442c41e4" /><Relationship Type="http://schemas.openxmlformats.org/officeDocument/2006/relationships/worksheet" Target="/xl/worksheets/sheet44.xml" Id="R411b2b77664a409d" /><Relationship Type="http://schemas.openxmlformats.org/officeDocument/2006/relationships/worksheet" Target="/xl/worksheets/sheet45.xml" Id="R03a4abb2756944ac" /><Relationship Type="http://schemas.openxmlformats.org/officeDocument/2006/relationships/worksheet" Target="/xl/worksheets/sheet46.xml" Id="Rbd4c184011924785" /><Relationship Type="http://schemas.openxmlformats.org/officeDocument/2006/relationships/worksheet" Target="/xl/worksheets/sheet47.xml" Id="R722e466b96c04ef1" /></Relationships>
</file>

<file path=xl/tables/table1.xml><?xml version="1.0" encoding="utf-8"?>
<x:table xmlns:x="http://schemas.openxmlformats.org/spreadsheetml/2006/main" id="1" name="TECardsTable" displayName="TECardsTable" ref="A4:AP72" headerRowCount="1">
  <x:tableColumns count="42">
    <x:tableColumn id="1" name="Card_ID"/>
    <x:tableColumn id="2" name="Player"/>
    <x:tableColumn id="3" name="OVR"/>
    <x:tableColumn id="4" name="Program"/>
    <x:tableColumn id="5" name="Archetype"/>
    <x:tableColumn id="6" name="Jersey"/>
    <x:tableColumn id="7" name="SPD"/>
    <x:tableColumn id="8" name="ACC"/>
    <x:tableColumn id="9" name="AGI"/>
    <x:tableColumn id="10" name="AWR"/>
    <x:tableColumn id="11" name="STR"/>
    <x:tableColumn id="12" name="JMP"/>
    <x:tableColumn id="13" name="TGH"/>
    <x:tableColumn id="14" name="CTH"/>
    <x:tableColumn id="15" name="CIT"/>
    <x:tableColumn id="16" name="SRR"/>
    <x:tableColumn id="17" name="MRR"/>
    <x:tableColumn id="18" name="DRR"/>
    <x:tableColumn id="19" name="SPC"/>
    <x:tableColumn id="20" name="RLS"/>
    <x:tableColumn id="21" name="CAR"/>
    <x:tableColumn id="22" name="BCV"/>
    <x:tableColumn id="23" name="JKM"/>
    <x:tableColumn id="24" name="SPM"/>
    <x:tableColumn id="25" name="TRK"/>
    <x:tableColumn id="26" name="SFA"/>
    <x:tableColumn id="27" name="COD"/>
    <x:tableColumn id="28" name="BTK"/>
    <x:tableColumn id="29" name="RBK"/>
    <x:tableColumn id="30" name="RBF"/>
    <x:tableColumn id="31" name="RBP"/>
    <x:tableColumn id="32" name="PBK"/>
    <x:tableColumn id="33" name="PBF"/>
    <x:tableColumn id="34" name="PBP"/>
    <x:tableColumn id="35" name="LBK"/>
    <x:tableColumn id="36" name="IBL"/>
    <x:tableColumn id="37" name="FB_OOP"/>
    <x:tableColumn id="38" name="WR_OOP"/>
    <x:tableColumn id="39" name="Source_ID"/>
    <x:tableColumn id="40" name="Source_Page"/>
    <x:tableColumn id="41" name="Validation_Status"/>
    <x:tableColumn id="42" name="Notes"/>
  </x:tableColumns>
  <x:tableStyleInfo name="TableStyleMedium2" showRowStripes="1"/>
</x:table>
</file>

<file path=xl/tables/table2.xml><?xml version="1.0" encoding="utf-8"?>
<x:table xmlns:x="http://schemas.openxmlformats.org/spreadsheetml/2006/main" id="2" name="Madden19TEWeights" displayName="Madden19TEWeights" ref="A4:F30" headerRowCount="1">
  <x:tableColumns count="6">
    <x:tableColumn id="1" name="Attribute"/>
    <x:tableColumn id="2" name="Blocking"/>
    <x:tableColumn id="3" name="Possession"/>
    <x:tableColumn id="4" name="Vertical Threat"/>
    <x:tableColumn id="5" name="Source_ID"/>
    <x:tableColumn id="6" name="Confidence"/>
  </x:tableColumns>
  <x:tableStyleInfo name="TableStyleMedium2" showRowStripes="1"/>
</x:table>
</file>

<file path=xl/tables/table3.xml><?xml version="1.0" encoding="utf-8"?>
<x:table xmlns:x="http://schemas.openxmlformats.org/spreadsheetml/2006/main" id="3" name="ProgressionLogs" displayName="ProgressionLogs" ref="A4:I28" headerRowCount="1">
  <x:tableColumns count="9">
    <x:tableColumn id="1" name="Record_ID"/>
    <x:tableColumn id="2" name="Entity"/>
    <x:tableColumn id="3" name="Start_OVR"/>
    <x:tableColumn id="4" name="End_OVR"/>
    <x:tableColumn id="5" name="Upgrade_Deltas"/>
    <x:tableColumn id="6" name="Source_ID"/>
    <x:tableColumn id="7" name="Source_Page"/>
    <x:tableColumn id="8" name="Evidence_Type"/>
    <x:tableColumn id="9" name="Notes"/>
  </x:tableColumns>
  <x:tableStyleInfo name="TableStyleMedium2" showRowStripes="1"/>
</x:table>
</file>

<file path=xl/tables/table4.xml><?xml version="1.0" encoding="utf-8"?>
<x:table xmlns:x="http://schemas.openxmlformats.org/spreadsheetml/2006/main" id="4" name="ResearchFindings" displayName="ResearchFindings" ref="A4:J10" headerRowCount="1">
  <x:tableColumns count="10">
    <x:tableColumn id="1" name="Finding_ID"/>
    <x:tableColumn id="2" name="Area"/>
    <x:tableColumn id="3" name="Claim"/>
    <x:tableColumn id="4" name="Status"/>
    <x:tableColumn id="5" name="Confidence"/>
    <x:tableColumn id="6" name="Supporting_Evidence"/>
    <x:tableColumn id="7" name="Contradicting_Evidence"/>
    <x:tableColumn id="8" name="Model_Version"/>
    <x:tableColumn id="9" name="Last_Validated"/>
    <x:tableColumn id="10" name="Notes"/>
  </x:tableColumns>
  <x:tableStyleInfo name="TableStyleMedium2" showRowStripes="1"/>
</x:table>
</file>

<file path=xl/tables/table5.xml><?xml version="1.0" encoding="utf-8"?>
<x:table xmlns:x="http://schemas.openxmlformats.org/spreadsheetml/2006/main" id="5" name="ExternalRefs" displayName="ExternalRefs" ref="A4:H18" headerRowCount="1">
  <x:tableColumns count="8">
    <x:tableColumn id="1" name="Ref_ID"/>
    <x:tableColumn id="2" name="Topic"/>
    <x:tableColumn id="3" name="Key"/>
    <x:tableColumn id="4" name="Value"/>
    <x:tableColumn id="5" name="Units"/>
    <x:tableColumn id="6" name="Source_ID"/>
    <x:tableColumn id="7" name="Source_URL"/>
    <x:tableColumn id="8" name="Notes"/>
  </x:tableColumns>
  <x:tableStyleInfo name="TableStyleMedium2" showRowStripes="1"/>
</x:table>
</file>

<file path=xl/tables/table6.xml><?xml version="1.0" encoding="utf-8"?>
<x:table xmlns:x="http://schemas.openxmlformats.org/spreadsheetml/2006/main" id="6" name="CenterCardsSelected" displayName="CenterCardsSelected" ref="A4:V7" headerRowCount="1">
  <x:tableColumns count="22">
    <x:tableColumn id="1" name="Card_ID"/>
    <x:tableColumn id="2" name="Player"/>
    <x:tableColumn id="3" name="OVR"/>
    <x:tableColumn id="4" name="Program"/>
    <x:tableColumn id="5" name="Archetype"/>
    <x:tableColumn id="6" name="SPD"/>
    <x:tableColumn id="7" name="ACC"/>
    <x:tableColumn id="8" name="AGI"/>
    <x:tableColumn id="9" name="COD"/>
    <x:tableColumn id="10" name="AWR"/>
    <x:tableColumn id="11" name="STR"/>
    <x:tableColumn id="12" name="TGH"/>
    <x:tableColumn id="13" name="RBK"/>
    <x:tableColumn id="14" name="RBF"/>
    <x:tableColumn id="15" name="RBP"/>
    <x:tableColumn id="16" name="PBK"/>
    <x:tableColumn id="17" name="PBF"/>
    <x:tableColumn id="18" name="PBP"/>
    <x:tableColumn id="19" name="LBK"/>
    <x:tableColumn id="20" name="IBL"/>
    <x:tableColumn id="21" name="Source_ID"/>
    <x:tableColumn id="22" name="Source_Page"/>
  </x:tableColumns>
  <x:tableStyleInfo name="TableStyleMedium2" showRowStripes="1"/>
</x:table>
</file>

<file path=xl/tables/table7.xml><?xml version="1.0" encoding="utf-8"?>
<x:table xmlns:x="http://schemas.openxmlformats.org/spreadsheetml/2006/main" id="7" name="ExtractionQueue" displayName="ExtractionQueue" ref="A4:G10" headerRowCount="1">
  <x:tableColumns count="7">
    <x:tableColumn id="1" name="Queue_ID"/>
    <x:tableColumn id="2" name="Source_ID"/>
    <x:tableColumn id="3" name="Scope"/>
    <x:tableColumn id="4" name="Reason_Not_Reliably_Extracted"/>
    <x:tableColumn id="5" name="Priority"/>
    <x:tableColumn id="6" name="Next_Action"/>
    <x:tableColumn id="7" name="Status"/>
  </x:tableColumns>
  <x:tableStyleInfo name="TableStyleMedium2" showRowStripes="1"/>
</x:table>
</file>

<file path=xl/tables/table8.xml><?xml version="1.0" encoding="utf-8"?>
<x:table xmlns:x="http://schemas.openxmlformats.org/spreadsheetml/2006/main" id="8" name="ModelRegistry" displayName="ModelRegistry" ref="A4:I8" headerRowCount="1">
  <x:tableColumns count="9">
    <x:tableColumn id="1" name="Model_ID"/>
    <x:tableColumn id="2" name="Position"/>
    <x:tableColumn id="3" name="Archetype"/>
    <x:tableColumn id="4" name="Version"/>
    <x:tableColumn id="5" name="Status"/>
    <x:tableColumn id="6" name="Formula_or_Method"/>
    <x:tableColumn id="7" name="Training_Set"/>
    <x:tableColumn id="8" name="Validation_Set"/>
    <x:tableColumn id="9" name="Notes"/>
  </x:tableColumns>
  <x:tableStyleInfo name="TableStyleMedium2" showRowStripes="1"/>
</x:table>
</file>

<file path=xl/tables/table9.xml><?xml version="1.0" encoding="utf-8"?>
<x:table xmlns:x="http://schemas.openxmlformats.org/spreadsheetml/2006/main" id="9" name="ValidationSummary" displayName="ValidationSummary" ref="A4:F11" headerRowCount="1">
  <x:tableColumns count="6">
    <x:tableColumn id="1" name="Check"/>
    <x:tableColumn id="2" name="Result"/>
    <x:tableColumn id="3" name="Count/Value"/>
    <x:tableColumn id="4" name="Severity"/>
    <x:tableColumn id="5" name="Action"/>
    <x:tableColumn id="6" name="Notes"/>
  </x:tableColumns>
  <x:tableStyleInfo name="TableStyleMedium2" showRowStripes="1"/>
</x:table>
</file>

<file path=xl/tables/table10.xml><?xml version="1.0" encoding="utf-8"?>
<x:table xmlns:x="http://schemas.openxmlformats.org/spreadsheetml/2006/main" id="10" name="TEAnalysisCards" displayName="TEAnalysisCards" ref="A4:N28" headerRowCount="1">
  <x:tableColumns count="14">
    <x:tableColumn id="1" name="Card_ID"/>
    <x:tableColumn id="2" name="Player"/>
    <x:tableColumn id="3" name="OVR"/>
    <x:tableColumn id="4" name="Archetype"/>
    <x:tableColumn id="5" name="Front5 Sum"/>
    <x:tableColumn id="6" name="M19 Possession Score"/>
    <x:tableColumn id="7" name="M19 Vertical Score"/>
    <x:tableColumn id="8" name="M19 Blocking Score"/>
    <x:tableColumn id="9" name="Physical Blend Score"/>
    <x:tableColumn id="10" name="Chosen Candidate Score"/>
    <x:tableColumn id="11" name="Model Used"/>
    <x:tableColumn id="12" name="Cross-OVR Order Status"/>
    <x:tableColumn id="13" name="Source_ID"/>
    <x:tableColumn id="14" name="Source_Page"/>
  </x:tableColumns>
  <x:tableStyleInfo name="TableStyleMedium2" showRowStripes="1"/>
</x:table>
</file>

<file path=xl/tables/table11.xml><?xml version="1.0" encoding="utf-8"?>
<x:table xmlns:x="http://schemas.openxmlformats.org/spreadsheetml/2006/main" id="11" name="TEMoneyballCards" displayName="TEMoneyballCards" ref="A4:AD71" headerRowCount="1">
  <x:tableColumns count="30">
    <x:tableColumn id="1" name="Rank"/>
    <x:tableColumn id="2" name="Card_ID"/>
    <x:tableColumn id="3" name="Player"/>
    <x:tableColumn id="4" name="OVR"/>
    <x:tableColumn id="5" name="Program"/>
    <x:tableColumn id="6" name="Archetype"/>
    <x:tableColumn id="7" name="OVR_Model"/>
    <x:tableColumn id="8" name="OVR_Model_Score"/>
    <x:tableColumn id="9" name="Band_Position"/>
    <x:tableColumn id="10" name="Receiving"/>
    <x:tableColumn id="11" name="Possession"/>
    <x:tableColumn id="12" name="Blocker"/>
    <x:tableColumn id="13" name="Balanced"/>
    <x:tableColumn id="14" name="Mismatch"/>
    <x:tableColumn id="15" name="YAC"/>
    <x:tableColumn id="16" name="Best_Role"/>
    <x:tableColumn id="17" name="Best_Role_Score"/>
    <x:tableColumn id="18" name="Football_Utility"/>
    <x:tableColumn id="19" name="Expected_FUS_at_OVR"/>
    <x:tableColumn id="20" name="Utility_Surplus"/>
    <x:tableColumn id="21" name="Moneyball_Score"/>
    <x:tableColumn id="22" name="Football_Value_Label"/>
    <x:tableColumn id="23" name="Market_Price"/>
    <x:tableColumn id="24" name="Coins_per_FUS"/>
    <x:tableColumn id="25" name="Simulation_Score"/>
    <x:tableColumn id="26" name="Gameplay_Score"/>
    <x:tableColumn id="27" name="Counter_Fit"/>
    <x:tableColumn id="28" name="Scheme_Fit"/>
    <x:tableColumn id="29" name="Abilities_Notes"/>
    <x:tableColumn id="30" name="Source_ID"/>
  </x:tableColumns>
  <x:tableStyleInfo name="TableStyleMedium2" showRowStripes="1"/>
</x:table>
</file>

<file path=xl/tables/table12.xml><?xml version="1.0" encoding="utf-8"?>
<x:table xmlns:x="http://schemas.openxmlformats.org/spreadsheetml/2006/main" id="12" name="TEGameplayLog" displayName="TEGameplayLog" ref="A4:AG304" headerRowCount="1">
  <x:tableColumns count="33">
    <x:tableColumn id="1" name="Run_ID"/>
    <x:tableColumn id="2" name="Date"/>
    <x:tableColumn id="3" name="Test_ID"/>
    <x:tableColumn id="4" name="Batch"/>
    <x:tableColumn id="5" name="Card_ID"/>
    <x:tableColumn id="6" name="Player"/>
    <x:tableColumn id="7" name="OVR"/>
    <x:tableColumn id="8" name="Archetype"/>
    <x:tableColumn id="9" name="Opponent/Defense"/>
    <x:tableColumn id="10" name="Difficulty"/>
    <x:tableColumn id="11" name="Playbook/Scheme"/>
    <x:tableColumn id="12" name="Role"/>
    <x:tableColumn id="13" name="Snaps"/>
    <x:tableColumn id="14" name="Routes"/>
    <x:tableColumn id="15" name="Targets"/>
    <x:tableColumn id="16" name="Catchable_Targets"/>
    <x:tableColumn id="17" name="Receptions"/>
    <x:tableColumn id="18" name="Yards"/>
    <x:tableColumn id="19" name="YAC"/>
    <x:tableColumn id="20" name="TD"/>
    <x:tableColumn id="21" name="Drops"/>
    <x:tableColumn id="22" name="Contested_Targets"/>
    <x:tableColumn id="23" name="Contested_Catches"/>
    <x:tableColumn id="24" name="Separation_Wins"/>
    <x:tableColumn id="25" name="Blocks_Attempted"/>
    <x:tableColumn id="26" name="Blocks_Won"/>
    <x:tableColumn id="27" name="Blocks_Lost"/>
    <x:tableColumn id="28" name="Pressures_Allowed"/>
    <x:tableColumn id="29" name="Run_Attempts_Behind_TE"/>
    <x:tableColumn id="30" name="Run_Successes"/>
    <x:tableColumn id="31" name="Run_Yards"/>
    <x:tableColumn id="32" name="Broken_Tackles"/>
    <x:tableColumn id="33" name="First_Downs"/>
  </x:tableColumns>
  <x:tableStyleInfo name="TableStyleMedium2" showRowStripes="1"/>
</x:table>
</file>

<file path=xl/tables/table13.xml><?xml version="1.0" encoding="utf-8"?>
<x:table xmlns:x="http://schemas.openxmlformats.org/spreadsheetml/2006/main" id="13" name="TEMarketPrices" displayName="TEMarketPrices" ref="A4:R71" headerRowCount="1">
  <x:tableColumns count="18">
    <x:tableColumn id="1" name="Price_ID"/>
    <x:tableColumn id="2" name="Timestamp"/>
    <x:tableColumn id="3" name="Card_ID"/>
    <x:tableColumn id="4" name="Player"/>
    <x:tableColumn id="5" name="OVR"/>
    <x:tableColumn id="6" name="Archetype"/>
    <x:tableColumn id="7" name="Current_Price"/>
    <x:tableColumn id="8" name="Rolling_Median"/>
    <x:tableColumn id="9" name="Recent_Low"/>
    <x:tableColumn id="10" name="Recent_High"/>
    <x:tableColumn id="11" name="Listings/Population"/>
    <x:tableColumn id="12" name="Liquidity_Index"/>
    <x:tableColumn id="13" name="FUS"/>
    <x:tableColumn id="14" name="Best_Role"/>
    <x:tableColumn id="15" name="Best_Role_Score"/>
    <x:tableColumn id="16" name="Price_per_FUS"/>
    <x:tableColumn id="17" name="Price_per_Role_Score"/>
    <x:tableColumn id="18" name="Value_Tier"/>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1e10ff70128a4184" /></Relationships>
</file>

<file path=xl/worksheets/_rels/sheet4.xml.rels>&#65279;<?xml version="1.0" encoding="utf-8"?><Relationships xmlns="http://schemas.openxmlformats.org/package/2006/relationships"><Relationship Type="http://schemas.openxmlformats.org/officeDocument/2006/relationships/table" Target="/xl/tables/table2.xml" Id="R47f45c4219bd49b4" /></Relationships>
</file>

<file path=xl/worksheets/_rels/sheet5.xml.rels>&#65279;<?xml version="1.0" encoding="utf-8"?><Relationships xmlns="http://schemas.openxmlformats.org/package/2006/relationships"><Relationship Type="http://schemas.openxmlformats.org/officeDocument/2006/relationships/table" Target="/xl/tables/table3.xml" Id="Ra27bafecd69d4a74" /></Relationships>
</file>

<file path=xl/worksheets/_rels/sheet6.xml.rels>&#65279;<?xml version="1.0" encoding="utf-8"?><Relationships xmlns="http://schemas.openxmlformats.org/package/2006/relationships"><Relationship Type="http://schemas.openxmlformats.org/officeDocument/2006/relationships/table" Target="/xl/tables/table4.xml" Id="R9b655e098ca84df1" /></Relationships>
</file>

<file path=xl/worksheets/_rels/sheet7.xml.rels>&#65279;<?xml version="1.0" encoding="utf-8"?><Relationships xmlns="http://schemas.openxmlformats.org/package/2006/relationships"><Relationship Type="http://schemas.openxmlformats.org/officeDocument/2006/relationships/table" Target="/xl/tables/table5.xml" Id="R470ec7ff2cdd49e5" /></Relationships>
</file>

<file path=xl/worksheets/_rels/sheet8.xml.rels>&#65279;<?xml version="1.0" encoding="utf-8"?><Relationships xmlns="http://schemas.openxmlformats.org/package/2006/relationships"><Relationship Type="http://schemas.openxmlformats.org/officeDocument/2006/relationships/table" Target="/xl/tables/table6.xml" Id="Rdc9828ffcea248f4" /></Relationships>
</file>

<file path=xl/worksheets/_rels/sheet9.xml.rels>&#65279;<?xml version="1.0" encoding="utf-8"?><Relationships xmlns="http://schemas.openxmlformats.org/package/2006/relationships"><Relationship Type="http://schemas.openxmlformats.org/officeDocument/2006/relationships/table" Target="/xl/tables/table7.xml" Id="Rba9348e851a04aa3" /></Relationships>
</file>

<file path=xl/worksheets/_rels/sheet10.xml.rels>&#65279;<?xml version="1.0" encoding="utf-8"?><Relationships xmlns="http://schemas.openxmlformats.org/package/2006/relationships"><Relationship Type="http://schemas.openxmlformats.org/officeDocument/2006/relationships/table" Target="/xl/tables/table8.xml" Id="Rf53de7637e6442b6" /></Relationships>
</file>

<file path=xl/worksheets/_rels/sheet11.xml.rels>&#65279;<?xml version="1.0" encoding="utf-8"?><Relationships xmlns="http://schemas.openxmlformats.org/package/2006/relationships"><Relationship Type="http://schemas.openxmlformats.org/officeDocument/2006/relationships/table" Target="/xl/tables/table9.xml" Id="Ra856922562dd4c7c" /></Relationships>
</file>

<file path=xl/worksheets/_rels/sheet12.xml.rels>&#65279;<?xml version="1.0" encoding="utf-8"?><Relationships xmlns="http://schemas.openxmlformats.org/package/2006/relationships"><Relationship Type="http://schemas.openxmlformats.org/officeDocument/2006/relationships/table" Target="/xl/tables/table10.xml" Id="Red50e4c71dcf40e8" /></Relationships>
</file>

<file path=xl/worksheets/_rels/sheet24.xml.rels>&#65279;<?xml version="1.0" encoding="utf-8"?><Relationships xmlns="http://schemas.openxmlformats.org/package/2006/relationships"><Relationship Type="http://schemas.openxmlformats.org/officeDocument/2006/relationships/table" Target="/xl/tables/table11.xml" Id="R250c12446aa14a4b" /></Relationships>
</file>

<file path=xl/worksheets/_rels/sheet31.xml.rels>&#65279;<?xml version="1.0" encoding="utf-8"?><Relationships xmlns="http://schemas.openxmlformats.org/package/2006/relationships"><Relationship Type="http://schemas.openxmlformats.org/officeDocument/2006/relationships/table" Target="/xl/tables/table12.xml" Id="R2e91b1e7bb6144e7" /></Relationships>
</file>

<file path=xl/worksheets/_rels/sheet33.xml.rels>&#65279;<?xml version="1.0" encoding="utf-8"?><Relationships xmlns="http://schemas.openxmlformats.org/package/2006/relationships"><Relationship Type="http://schemas.openxmlformats.org/officeDocument/2006/relationships/table" Target="/xl/tables/table13.xml" Id="R5f36c0bfe7cb4ef3" /></Relationships>
</file>

<file path=xl/worksheets/sheet1.xml><?xml version="1.0" encoding="utf-8"?>
<x:worksheet xmlns:x="http://schemas.openxmlformats.org/spreadsheetml/2006/main">
  <x:sheetFormatPr defaultRowHeight="15"/>
  <x:cols>
    <x:col min="1" max="1" width="25" hidden="0" customWidth="1"/>
    <x:col min="2" max="2" width="95" hidden="0" customWidth="1"/>
  </x:cols>
  <x:sheetData>
    <x:row r="1" ht="28" customHeight="1">
      <x:c r="A1" s="26" t="str">
        <x:v>Operation Pancake Master Database v1.9</x:v>
      </x:c>
      <x:c r="B1" s="26"/>
      <x:c r="C1" s="26"/>
      <x:c r="D1" s="26"/>
      <x:c r="E1" s="26"/>
      <x:c r="F1" s="26"/>
      <x:c r="G1" s="26"/>
      <x:c r="H1" s="26"/>
      <x:c r="I1" s="26"/>
      <x:c r="J1" s="26"/>
      <x:c r="K1" s="27"/>
      <x:c r="L1" s="27"/>
      <x:c r="M1" s="27"/>
      <x:c r="N1" s="27"/>
      <x:c r="O1" s="27"/>
      <x:c r="P1" s="27"/>
      <x:c r="Q1" s="27"/>
      <x:c r="R1" s="27"/>
      <x:c r="S1" s="27"/>
      <x:c r="T1" s="27"/>
      <x:c r="U1" s="27"/>
      <x:c r="V1" s="27"/>
      <x:c r="W1" s="27"/>
      <x:c r="X1" s="27"/>
      <x:c r="Y1" s="27"/>
      <x:c r="Z1" s="27"/>
      <x:c r="AA1" s="27"/>
      <x:c r="AB1" s="27"/>
      <x:c r="AC1" s="27"/>
      <x:c r="AD1" s="27"/>
      <x:c r="AE1" s="27"/>
      <x:c r="AF1" s="27"/>
      <x:c r="AG1" s="27"/>
      <x:c r="AH1" s="27"/>
      <x:c r="AI1" s="27"/>
      <x:c r="AJ1" s="27"/>
      <x:c r="AK1" s="27"/>
      <x:c r="AL1" s="27"/>
      <x:c r="AM1" s="27"/>
      <x:c r="AN1" s="27"/>
      <x:c r="AO1" s="27"/>
      <x:c r="AP1" s="27"/>
      <x:c r="AQ1" s="27"/>
      <x:c r="AR1" s="27"/>
      <x:c r="AS1" s="27"/>
      <x:c r="AT1" s="27"/>
      <x:c r="AU1" s="27"/>
      <x:c r="AV1" s="27"/>
      <x:c r="AW1" s="27"/>
      <x:c r="AX1" s="27"/>
      <x:c r="AY1" s="27"/>
      <x:c r="AZ1" s="27"/>
    </x:row>
    <x:row r="2" ht="34" customHeight="1">
      <x:c r="A2" s="28" t="str">
        <x:v>Canonical portable database. Update this workbook; do not rebuild from scratch. Raw evidence remains separate from observations and research models.</x:v>
      </x:c>
      <x:c r="B2" s="28"/>
      <x:c r="C2" s="28"/>
      <x:c r="D2" s="28"/>
      <x:c r="E2" s="28"/>
      <x:c r="F2" s="28"/>
      <x:c r="G2" s="28"/>
      <x:c r="H2" s="28"/>
      <x:c r="I2" s="28"/>
      <x:c r="J2" s="28"/>
      <x:c r="K2" s="27"/>
      <x:c r="L2" s="27"/>
      <x:c r="M2" s="27"/>
      <x:c r="N2" s="27"/>
      <x:c r="O2" s="27"/>
      <x:c r="P2" s="27"/>
      <x:c r="Q2" s="27"/>
      <x:c r="R2" s="27"/>
      <x:c r="S2" s="27"/>
      <x:c r="T2" s="27"/>
      <x:c r="U2" s="27"/>
      <x:c r="V2" s="27"/>
      <x:c r="W2" s="27"/>
      <x:c r="X2" s="27"/>
      <x:c r="Y2" s="27"/>
      <x:c r="Z2" s="27"/>
      <x:c r="AA2" s="27"/>
      <x:c r="AB2" s="27"/>
      <x:c r="AC2" s="27"/>
      <x:c r="AD2" s="27"/>
      <x:c r="AE2" s="27"/>
      <x:c r="AF2" s="27"/>
      <x:c r="AG2" s="27"/>
      <x:c r="AH2" s="27"/>
      <x:c r="AI2" s="27"/>
      <x:c r="AJ2" s="27"/>
      <x:c r="AK2" s="27"/>
      <x:c r="AL2" s="27"/>
      <x:c r="AM2" s="27"/>
      <x:c r="AN2" s="27"/>
      <x:c r="AO2" s="27"/>
      <x:c r="AP2" s="27"/>
      <x:c r="AQ2" s="27"/>
      <x:c r="AR2" s="27"/>
      <x:c r="AS2" s="27"/>
      <x:c r="AT2" s="27"/>
      <x:c r="AU2" s="27"/>
      <x:c r="AV2" s="27"/>
      <x:c r="AW2" s="27"/>
      <x:c r="AX2" s="27"/>
      <x:c r="AY2" s="27"/>
      <x:c r="AZ2" s="27"/>
    </x:row>
    <x:row r="3">
      <x:c r="A3" s="27"/>
      <x:c r="B3" s="27"/>
      <x:c r="C3" s="27"/>
      <x:c r="D3" s="27"/>
      <x:c r="E3" s="27"/>
      <x:c r="F3" s="27"/>
      <x:c r="G3" s="27"/>
      <x:c r="H3" s="27"/>
      <x:c r="I3" s="27"/>
      <x:c r="J3" s="27"/>
      <x:c r="K3" s="27"/>
      <x:c r="L3" s="27"/>
      <x:c r="M3" s="27"/>
      <x:c r="N3" s="27"/>
      <x:c r="O3" s="27"/>
      <x:c r="P3" s="27"/>
      <x:c r="Q3" s="27"/>
      <x:c r="R3" s="27"/>
      <x:c r="S3" s="27"/>
      <x:c r="T3" s="27"/>
      <x:c r="U3" s="27"/>
      <x:c r="V3" s="27"/>
      <x:c r="W3" s="27"/>
      <x:c r="X3" s="27"/>
      <x:c r="Y3" s="27"/>
      <x:c r="Z3" s="27"/>
      <x:c r="AA3" s="27"/>
      <x:c r="AB3" s="27"/>
      <x:c r="AC3" s="27"/>
      <x:c r="AD3" s="27"/>
      <x:c r="AE3" s="27"/>
      <x:c r="AF3" s="27"/>
      <x:c r="AG3" s="27"/>
      <x:c r="AH3" s="27"/>
      <x:c r="AI3" s="27"/>
      <x:c r="AJ3" s="27"/>
      <x:c r="AK3" s="27"/>
      <x:c r="AL3" s="27"/>
      <x:c r="AM3" s="27"/>
      <x:c r="AN3" s="27"/>
      <x:c r="AO3" s="27"/>
      <x:c r="AP3" s="27"/>
      <x:c r="AQ3" s="27"/>
      <x:c r="AR3" s="27"/>
      <x:c r="AS3" s="27"/>
      <x:c r="AT3" s="27"/>
      <x:c r="AU3" s="27"/>
      <x:c r="AV3" s="27"/>
      <x:c r="AW3" s="27"/>
      <x:c r="AX3" s="27"/>
      <x:c r="AY3" s="27"/>
      <x:c r="AZ3" s="27"/>
    </x:row>
    <x:row r="4" ht="30" customHeight="1">
      <x:c r="A4" s="29" t="str">
        <x:v>Field</x:v>
      </x:c>
      <x:c r="B4" s="29" t="str">
        <x:v>Value</x:v>
      </x:c>
      <x:c r="C4" s="27"/>
      <x:c r="D4" s="27"/>
      <x:c r="E4" s="27"/>
      <x:c r="F4" s="27"/>
      <x:c r="G4" s="27"/>
      <x:c r="H4" s="27"/>
      <x:c r="I4" s="27"/>
      <x:c r="J4" s="27"/>
      <x:c r="K4" s="27"/>
      <x:c r="L4" s="27"/>
      <x:c r="M4" s="27"/>
      <x:c r="N4" s="27"/>
      <x:c r="O4" s="27"/>
      <x:c r="P4" s="27"/>
      <x:c r="Q4" s="27"/>
      <x:c r="R4" s="27"/>
      <x:c r="S4" s="27"/>
      <x:c r="T4" s="27"/>
      <x:c r="U4" s="27"/>
      <x:c r="V4" s="27"/>
      <x:c r="W4" s="27"/>
      <x:c r="X4" s="27"/>
      <x:c r="Y4" s="27"/>
      <x:c r="Z4" s="27"/>
      <x:c r="AA4" s="27"/>
      <x:c r="AB4" s="27"/>
      <x:c r="AC4" s="27"/>
      <x:c r="AD4" s="27"/>
      <x:c r="AE4" s="27"/>
      <x:c r="AF4" s="27"/>
      <x:c r="AG4" s="27"/>
      <x:c r="AH4" s="27"/>
      <x:c r="AI4" s="27"/>
      <x:c r="AJ4" s="27"/>
      <x:c r="AK4" s="27"/>
      <x:c r="AL4" s="27"/>
      <x:c r="AM4" s="27"/>
      <x:c r="AN4" s="27"/>
      <x:c r="AO4" s="27"/>
      <x:c r="AP4" s="27"/>
      <x:c r="AQ4" s="27"/>
      <x:c r="AR4" s="27"/>
      <x:c r="AS4" s="27"/>
      <x:c r="AT4" s="27"/>
      <x:c r="AU4" s="27"/>
      <x:c r="AV4" s="27"/>
      <x:c r="AW4" s="27"/>
      <x:c r="AX4" s="27"/>
      <x:c r="AY4" s="27"/>
      <x:c r="AZ4" s="27"/>
    </x:row>
    <x:row r="5">
      <x:c r="A5" s="30" t="str">
        <x:v>Database status</x:v>
      </x:c>
      <x:c r="B5" s="30" t="str">
        <x:v>CANONICAL v1.9 — QB Formula Phase complete; shared QB model v1.0 frozen</x:v>
      </x:c>
      <x:c r="C5" s="27"/>
      <x:c r="D5" s="27"/>
      <x:c r="E5" s="27"/>
      <x:c r="F5" s="27"/>
      <x:c r="G5" s="27"/>
      <x:c r="H5" s="27"/>
      <x:c r="I5" s="27"/>
      <x:c r="J5" s="27"/>
      <x:c r="K5" s="27"/>
      <x:c r="L5" s="27"/>
      <x:c r="M5" s="27"/>
      <x:c r="N5" s="27"/>
      <x:c r="O5" s="27"/>
      <x:c r="P5" s="27"/>
      <x:c r="Q5" s="27"/>
      <x:c r="R5" s="27"/>
      <x:c r="S5" s="27"/>
      <x:c r="T5" s="27"/>
      <x:c r="U5" s="27"/>
      <x:c r="V5" s="27"/>
      <x:c r="W5" s="27"/>
      <x:c r="X5" s="27"/>
      <x:c r="Y5" s="27"/>
      <x:c r="Z5" s="27"/>
      <x:c r="AA5" s="27"/>
      <x:c r="AB5" s="27"/>
      <x:c r="AC5" s="27"/>
      <x:c r="AD5" s="27"/>
      <x:c r="AE5" s="27"/>
      <x:c r="AF5" s="27"/>
      <x:c r="AG5" s="27"/>
      <x:c r="AH5" s="27"/>
      <x:c r="AI5" s="27"/>
      <x:c r="AJ5" s="27"/>
      <x:c r="AK5" s="27"/>
      <x:c r="AL5" s="27"/>
      <x:c r="AM5" s="27"/>
      <x:c r="AN5" s="27"/>
      <x:c r="AO5" s="27"/>
      <x:c r="AP5" s="27"/>
      <x:c r="AQ5" s="27"/>
      <x:c r="AR5" s="27"/>
      <x:c r="AS5" s="27"/>
      <x:c r="AT5" s="27"/>
      <x:c r="AU5" s="27"/>
      <x:c r="AV5" s="27"/>
      <x:c r="AW5" s="27"/>
      <x:c r="AX5" s="27"/>
      <x:c r="AY5" s="27"/>
      <x:c r="AZ5" s="27"/>
    </x:row>
    <x:row r="6">
      <x:c r="A6" s="30" t="str">
        <x:v>Created</x:v>
      </x:c>
      <x:c r="B6" s="30" t="str">
        <x:v>2026-08-01 19:55</x:v>
      </x:c>
      <x:c r="C6" s="27"/>
      <x:c r="D6" s="27"/>
      <x:c r="E6" s="27"/>
      <x:c r="F6" s="27"/>
      <x:c r="G6" s="27"/>
      <x:c r="H6" s="27"/>
      <x:c r="I6" s="27"/>
      <x:c r="J6" s="27"/>
      <x:c r="K6" s="27"/>
      <x:c r="L6" s="27"/>
      <x:c r="M6" s="27"/>
      <x:c r="N6" s="27"/>
      <x:c r="O6" s="27"/>
      <x:c r="P6" s="27"/>
      <x:c r="Q6" s="27"/>
      <x:c r="R6" s="27"/>
      <x:c r="S6" s="27"/>
      <x:c r="T6" s="27"/>
      <x:c r="U6" s="27"/>
      <x:c r="V6" s="27"/>
      <x:c r="W6" s="27"/>
      <x:c r="X6" s="27"/>
      <x:c r="Y6" s="27"/>
      <x:c r="Z6" s="27"/>
      <x:c r="AA6" s="27"/>
      <x:c r="AB6" s="27"/>
      <x:c r="AC6" s="27"/>
      <x:c r="AD6" s="27"/>
      <x:c r="AE6" s="27"/>
      <x:c r="AF6" s="27"/>
      <x:c r="AG6" s="27"/>
      <x:c r="AH6" s="27"/>
      <x:c r="AI6" s="27"/>
      <x:c r="AJ6" s="27"/>
      <x:c r="AK6" s="27"/>
      <x:c r="AL6" s="27"/>
      <x:c r="AM6" s="27"/>
      <x:c r="AN6" s="27"/>
      <x:c r="AO6" s="27"/>
      <x:c r="AP6" s="27"/>
      <x:c r="AQ6" s="27"/>
      <x:c r="AR6" s="27"/>
      <x:c r="AS6" s="27"/>
      <x:c r="AT6" s="27"/>
      <x:c r="AU6" s="27"/>
      <x:c r="AV6" s="27"/>
      <x:c r="AW6" s="27"/>
      <x:c r="AX6" s="27"/>
      <x:c r="AY6" s="27"/>
      <x:c r="AZ6" s="27"/>
    </x:row>
    <x:row r="7">
      <x:c r="A7" s="30" t="str">
        <x:v>Scope</x:v>
      </x:c>
      <x:c r="B7" s="30" t="str">
        <x:v>CFB27 Ultimate Team hidden OVR / archetypes / progression / Moneyball research, with external historical references kept separate.</x:v>
      </x:c>
      <x:c r="C7" s="27"/>
      <x:c r="D7" s="27"/>
      <x:c r="E7" s="27"/>
      <x:c r="F7" s="27"/>
      <x:c r="G7" s="27"/>
      <x:c r="H7" s="27"/>
      <x:c r="I7" s="27"/>
      <x:c r="J7" s="27"/>
      <x:c r="K7" s="27"/>
      <x:c r="L7" s="27"/>
      <x:c r="M7" s="27"/>
      <x:c r="N7" s="27"/>
      <x:c r="O7" s="27"/>
      <x:c r="P7" s="27"/>
      <x:c r="Q7" s="27"/>
      <x:c r="R7" s="27"/>
      <x:c r="S7" s="27"/>
      <x:c r="T7" s="27"/>
      <x:c r="U7" s="27"/>
      <x:c r="V7" s="27"/>
      <x:c r="W7" s="27"/>
      <x:c r="X7" s="27"/>
      <x:c r="Y7" s="27"/>
      <x:c r="Z7" s="27"/>
      <x:c r="AA7" s="27"/>
      <x:c r="AB7" s="27"/>
      <x:c r="AC7" s="27"/>
      <x:c r="AD7" s="27"/>
      <x:c r="AE7" s="27"/>
      <x:c r="AF7" s="27"/>
      <x:c r="AG7" s="27"/>
      <x:c r="AH7" s="27"/>
      <x:c r="AI7" s="27"/>
      <x:c r="AJ7" s="27"/>
      <x:c r="AK7" s="27"/>
      <x:c r="AL7" s="27"/>
      <x:c r="AM7" s="27"/>
      <x:c r="AN7" s="27"/>
      <x:c r="AO7" s="27"/>
      <x:c r="AP7" s="27"/>
      <x:c r="AQ7" s="27"/>
      <x:c r="AR7" s="27"/>
      <x:c r="AS7" s="27"/>
      <x:c r="AT7" s="27"/>
      <x:c r="AU7" s="27"/>
      <x:c r="AV7" s="27"/>
      <x:c r="AW7" s="27"/>
      <x:c r="AX7" s="27"/>
      <x:c r="AY7" s="27"/>
      <x:c r="AZ7" s="27"/>
    </x:row>
    <x:row r="8">
      <x:c r="A8" s="30" t="str">
        <x:v>Primary rule</x:v>
      </x:c>
      <x:c r="B8" s="30" t="str">
        <x:v>Observed CFB27 card data ≠ external reference data ≠ hypotheses/models.</x:v>
      </x:c>
      <x:c r="C8" s="27"/>
      <x:c r="D8" s="27"/>
      <x:c r="E8" s="27"/>
      <x:c r="F8" s="27"/>
      <x:c r="G8" s="27"/>
      <x:c r="H8" s="27"/>
      <x:c r="I8" s="27"/>
      <x:c r="J8" s="27"/>
      <x:c r="K8" s="27"/>
      <x:c r="L8" s="27"/>
      <x:c r="M8" s="27"/>
      <x:c r="N8" s="27"/>
      <x:c r="O8" s="27"/>
      <x:c r="P8" s="27"/>
      <x:c r="Q8" s="27"/>
      <x:c r="R8" s="27"/>
      <x:c r="S8" s="27"/>
      <x:c r="T8" s="27"/>
      <x:c r="U8" s="27"/>
      <x:c r="V8" s="27"/>
      <x:c r="W8" s="27"/>
      <x:c r="X8" s="27"/>
      <x:c r="Y8" s="27"/>
      <x:c r="Z8" s="27"/>
      <x:c r="AA8" s="27"/>
      <x:c r="AB8" s="27"/>
      <x:c r="AC8" s="27"/>
      <x:c r="AD8" s="27"/>
      <x:c r="AE8" s="27"/>
      <x:c r="AF8" s="27"/>
      <x:c r="AG8" s="27"/>
      <x:c r="AH8" s="27"/>
      <x:c r="AI8" s="27"/>
      <x:c r="AJ8" s="27"/>
      <x:c r="AK8" s="27"/>
      <x:c r="AL8" s="27"/>
      <x:c r="AM8" s="27"/>
      <x:c r="AN8" s="27"/>
      <x:c r="AO8" s="27"/>
      <x:c r="AP8" s="27"/>
      <x:c r="AQ8" s="27"/>
      <x:c r="AR8" s="27"/>
      <x:c r="AS8" s="27"/>
      <x:c r="AT8" s="27"/>
      <x:c r="AU8" s="27"/>
      <x:c r="AV8" s="27"/>
      <x:c r="AW8" s="27"/>
      <x:c r="AX8" s="27"/>
      <x:c r="AY8" s="27"/>
      <x:c r="AZ8" s="27"/>
    </x:row>
    <x:row r="9">
      <x:c r="A9" s="30" t="str">
        <x:v>Source provenance</x:v>
      </x:c>
      <x:c r="B9" s="30" t="str">
        <x:v>Every extracted row includes a source file/page or source URL when available.</x:v>
      </x:c>
      <x:c r="C9" s="27"/>
      <x:c r="D9" s="27"/>
      <x:c r="E9" s="27"/>
      <x:c r="F9" s="27"/>
      <x:c r="G9" s="27"/>
      <x:c r="H9" s="27"/>
      <x:c r="I9" s="27"/>
      <x:c r="J9" s="27"/>
      <x:c r="K9" s="27"/>
      <x:c r="L9" s="27"/>
      <x:c r="M9" s="27"/>
      <x:c r="N9" s="27"/>
      <x:c r="O9" s="27"/>
      <x:c r="P9" s="27"/>
      <x:c r="Q9" s="27"/>
      <x:c r="R9" s="27"/>
      <x:c r="S9" s="27"/>
      <x:c r="T9" s="27"/>
      <x:c r="U9" s="27"/>
      <x:c r="V9" s="27"/>
      <x:c r="W9" s="27"/>
      <x:c r="X9" s="27"/>
      <x:c r="Y9" s="27"/>
      <x:c r="Z9" s="27"/>
      <x:c r="AA9" s="27"/>
      <x:c r="AB9" s="27"/>
      <x:c r="AC9" s="27"/>
      <x:c r="AD9" s="27"/>
      <x:c r="AE9" s="27"/>
      <x:c r="AF9" s="27"/>
      <x:c r="AG9" s="27"/>
      <x:c r="AH9" s="27"/>
      <x:c r="AI9" s="27"/>
      <x:c r="AJ9" s="27"/>
      <x:c r="AK9" s="27"/>
      <x:c r="AL9" s="27"/>
      <x:c r="AM9" s="27"/>
      <x:c r="AN9" s="27"/>
      <x:c r="AO9" s="27"/>
      <x:c r="AP9" s="27"/>
      <x:c r="AQ9" s="27"/>
      <x:c r="AR9" s="27"/>
      <x:c r="AS9" s="27"/>
      <x:c r="AT9" s="27"/>
      <x:c r="AU9" s="27"/>
      <x:c r="AV9" s="27"/>
      <x:c r="AW9" s="27"/>
      <x:c r="AX9" s="27"/>
      <x:c r="AY9" s="27"/>
      <x:c r="AZ9" s="27"/>
    </x:row>
    <x:row r="10">
      <x:c r="A10" s="30" t="str">
        <x:v>Persistence rule</x:v>
      </x:c>
      <x:c r="B10" s="30" t="str">
        <x:v>After meaningful research sessions, update this workbook and export a new versioned backup.</x:v>
      </x:c>
      <x:c r="C10" s="27"/>
      <x:c r="D10" s="27"/>
      <x:c r="E10" s="27"/>
      <x:c r="F10" s="27"/>
      <x:c r="G10" s="27"/>
      <x:c r="H10" s="27"/>
      <x:c r="I10" s="27"/>
      <x:c r="J10" s="27"/>
      <x:c r="K10" s="27"/>
      <x:c r="L10" s="27"/>
      <x:c r="M10" s="27"/>
      <x:c r="N10" s="27"/>
      <x:c r="O10" s="27"/>
      <x:c r="P10" s="27"/>
      <x:c r="Q10" s="27"/>
      <x:c r="R10" s="27"/>
      <x:c r="S10" s="27"/>
      <x:c r="T10" s="27"/>
      <x:c r="U10" s="27"/>
      <x:c r="V10" s="27"/>
      <x:c r="W10" s="27"/>
      <x:c r="X10" s="27"/>
      <x:c r="Y10" s="27"/>
      <x:c r="Z10" s="27"/>
      <x:c r="AA10" s="27"/>
      <x:c r="AB10" s="27"/>
      <x:c r="AC10" s="27"/>
      <x:c r="AD10" s="27"/>
      <x:c r="AE10" s="27"/>
      <x:c r="AF10" s="27"/>
      <x:c r="AG10" s="27"/>
      <x:c r="AH10" s="27"/>
      <x:c r="AI10" s="27"/>
      <x:c r="AJ10" s="27"/>
      <x:c r="AK10" s="27"/>
      <x:c r="AL10" s="27"/>
      <x:c r="AM10" s="27"/>
      <x:c r="AN10" s="27"/>
      <x:c r="AO10" s="27"/>
      <x:c r="AP10" s="27"/>
      <x:c r="AQ10" s="27"/>
      <x:c r="AR10" s="27"/>
      <x:c r="AS10" s="27"/>
      <x:c r="AT10" s="27"/>
      <x:c r="AU10" s="27"/>
      <x:c r="AV10" s="27"/>
      <x:c r="AW10" s="27"/>
      <x:c r="AX10" s="27"/>
      <x:c r="AY10" s="27"/>
      <x:c r="AZ10" s="27"/>
    </x:row>
    <x:row r="11">
      <x:c r="A11" s="30" t="str">
        <x:v>Validation rule</x:v>
      </x:c>
      <x:c r="B11" s="30" t="str">
        <x:v>Do not invent missing values. Unreadable/unverified material is logged in Extraction_Queue.</x:v>
      </x:c>
      <x:c r="C11" s="27"/>
      <x:c r="D11" s="27"/>
      <x:c r="E11" s="27"/>
      <x:c r="F11" s="27"/>
      <x:c r="G11" s="27"/>
      <x:c r="H11" s="27"/>
      <x:c r="I11" s="27"/>
      <x:c r="J11" s="27"/>
      <x:c r="K11" s="27"/>
      <x:c r="L11" s="27"/>
      <x:c r="M11" s="27"/>
      <x:c r="N11" s="27"/>
      <x:c r="O11" s="27"/>
      <x:c r="P11" s="27"/>
      <x:c r="Q11" s="27"/>
      <x:c r="R11" s="27"/>
      <x:c r="S11" s="27"/>
      <x:c r="T11" s="27"/>
      <x:c r="U11" s="27"/>
      <x:c r="V11" s="27"/>
      <x:c r="W11" s="27"/>
      <x:c r="X11" s="27"/>
      <x:c r="Y11" s="27"/>
      <x:c r="Z11" s="27"/>
      <x:c r="AA11" s="27"/>
      <x:c r="AB11" s="27"/>
      <x:c r="AC11" s="27"/>
      <x:c r="AD11" s="27"/>
      <x:c r="AE11" s="27"/>
      <x:c r="AF11" s="27"/>
      <x:c r="AG11" s="27"/>
      <x:c r="AH11" s="27"/>
      <x:c r="AI11" s="27"/>
      <x:c r="AJ11" s="27"/>
      <x:c r="AK11" s="27"/>
      <x:c r="AL11" s="27"/>
      <x:c r="AM11" s="27"/>
      <x:c r="AN11" s="27"/>
      <x:c r="AO11" s="27"/>
      <x:c r="AP11" s="27"/>
      <x:c r="AQ11" s="27"/>
      <x:c r="AR11" s="27"/>
      <x:c r="AS11" s="27"/>
      <x:c r="AT11" s="27"/>
      <x:c r="AU11" s="27"/>
      <x:c r="AV11" s="27"/>
      <x:c r="AW11" s="27"/>
      <x:c r="AX11" s="27"/>
      <x:c r="AY11" s="27"/>
      <x:c r="AZ11" s="27"/>
    </x:row>
    <x:row r="12">
      <x:c r="A12" s="30" t="str">
        <x:v>Current extraction emphasis</x:v>
      </x:c>
      <x:c r="B12" s="30" t="str">
        <x:v>QB Formula Phase: 73 unique 80+ card/version records plus one 79 OVR progression boundary; shared QB positional model frozen for Pocket Passer, Backfield Creator, and Dual Threat. Pure Runner remains an explicit insufficient-data exception. All TE and Moneyball layers preserved.</x:v>
      </x:c>
      <x:c r="C12" s="27"/>
      <x:c r="D12" s="27"/>
      <x:c r="E12" s="27"/>
      <x:c r="F12" s="27"/>
      <x:c r="G12" s="27"/>
      <x:c r="H12" s="27"/>
      <x:c r="I12" s="27"/>
      <x:c r="J12" s="27"/>
      <x:c r="K12" s="27"/>
      <x:c r="L12" s="27"/>
      <x:c r="M12" s="27"/>
      <x:c r="N12" s="27"/>
      <x:c r="O12" s="27"/>
      <x:c r="P12" s="27"/>
      <x:c r="Q12" s="27"/>
      <x:c r="R12" s="27"/>
      <x:c r="S12" s="27"/>
      <x:c r="T12" s="27"/>
      <x:c r="U12" s="27"/>
      <x:c r="V12" s="27"/>
      <x:c r="W12" s="27"/>
      <x:c r="X12" s="27"/>
      <x:c r="Y12" s="27"/>
      <x:c r="Z12" s="27"/>
      <x:c r="AA12" s="27"/>
      <x:c r="AB12" s="27"/>
      <x:c r="AC12" s="27"/>
      <x:c r="AD12" s="27"/>
      <x:c r="AE12" s="27"/>
      <x:c r="AF12" s="27"/>
      <x:c r="AG12" s="27"/>
      <x:c r="AH12" s="27"/>
      <x:c r="AI12" s="27"/>
      <x:c r="AJ12" s="27"/>
      <x:c r="AK12" s="27"/>
      <x:c r="AL12" s="27"/>
      <x:c r="AM12" s="27"/>
      <x:c r="AN12" s="27"/>
      <x:c r="AO12" s="27"/>
      <x:c r="AP12" s="27"/>
      <x:c r="AQ12" s="27"/>
      <x:c r="AR12" s="27"/>
      <x:c r="AS12" s="27"/>
      <x:c r="AT12" s="27"/>
      <x:c r="AU12" s="27"/>
      <x:c r="AV12" s="27"/>
      <x:c r="AW12" s="27"/>
      <x:c r="AX12" s="27"/>
      <x:c r="AY12" s="27"/>
      <x:c r="AZ12" s="27"/>
    </x:row>
    <x:row r="13">
      <x:c r="A13" s="30" t="str">
        <x:v>Known limitation</x:v>
      </x:c>
      <x:c r="B13" s="30" t="str">
        <x:v>Pure Runner has only 3 unique profiles across 2 OVR tiers. Optional Ball Carrier mobility fields are not consistently visible on every QB source page and remain unresolved rather than guessed.</x:v>
      </x:c>
      <x:c r="C13" s="27"/>
      <x:c r="D13" s="27"/>
      <x:c r="E13" s="27"/>
      <x:c r="F13" s="27"/>
      <x:c r="G13" s="27"/>
      <x:c r="H13" s="27"/>
      <x:c r="I13" s="27"/>
      <x:c r="J13" s="27"/>
      <x:c r="K13" s="27"/>
      <x:c r="L13" s="27"/>
      <x:c r="M13" s="27"/>
      <x:c r="N13" s="27"/>
      <x:c r="O13" s="27"/>
      <x:c r="P13" s="27"/>
      <x:c r="Q13" s="27"/>
      <x:c r="R13" s="27"/>
      <x:c r="S13" s="27"/>
      <x:c r="T13" s="27"/>
      <x:c r="U13" s="27"/>
      <x:c r="V13" s="27"/>
      <x:c r="W13" s="27"/>
      <x:c r="X13" s="27"/>
      <x:c r="Y13" s="27"/>
      <x:c r="Z13" s="27"/>
      <x:c r="AA13" s="27"/>
      <x:c r="AB13" s="27"/>
      <x:c r="AC13" s="27"/>
      <x:c r="AD13" s="27"/>
      <x:c r="AE13" s="27"/>
      <x:c r="AF13" s="27"/>
      <x:c r="AG13" s="27"/>
      <x:c r="AH13" s="27"/>
      <x:c r="AI13" s="27"/>
      <x:c r="AJ13" s="27"/>
      <x:c r="AK13" s="27"/>
      <x:c r="AL13" s="27"/>
      <x:c r="AM13" s="27"/>
      <x:c r="AN13" s="27"/>
      <x:c r="AO13" s="27"/>
      <x:c r="AP13" s="27"/>
      <x:c r="AQ13" s="27"/>
      <x:c r="AR13" s="27"/>
      <x:c r="AS13" s="27"/>
      <x:c r="AT13" s="27"/>
      <x:c r="AU13" s="27"/>
      <x:c r="AV13" s="27"/>
      <x:c r="AW13" s="27"/>
      <x:c r="AX13" s="27"/>
      <x:c r="AY13" s="27"/>
      <x:c r="AZ13" s="27"/>
    </x:row>
    <x:row r="14">
      <x:c r="A14" s="27"/>
      <x:c r="B14" s="27"/>
      <x:c r="C14" s="27"/>
      <x:c r="D14" s="27"/>
      <x:c r="E14" s="27"/>
      <x:c r="F14" s="27"/>
      <x:c r="G14" s="27"/>
      <x:c r="H14" s="27"/>
      <x:c r="I14" s="27"/>
      <x:c r="J14" s="27"/>
      <x:c r="K14" s="27"/>
      <x:c r="L14" s="27"/>
      <x:c r="M14" s="27"/>
      <x:c r="N14" s="27"/>
      <x:c r="O14" s="27"/>
      <x:c r="P14" s="27"/>
      <x:c r="Q14" s="27"/>
      <x:c r="R14" s="27"/>
      <x:c r="S14" s="27"/>
      <x:c r="T14" s="27"/>
      <x:c r="U14" s="27"/>
      <x:c r="V14" s="27"/>
      <x:c r="W14" s="27"/>
      <x:c r="X14" s="27"/>
      <x:c r="Y14" s="27"/>
      <x:c r="Z14" s="27"/>
      <x:c r="AA14" s="27"/>
      <x:c r="AB14" s="27"/>
      <x:c r="AC14" s="27"/>
      <x:c r="AD14" s="27"/>
      <x:c r="AE14" s="27"/>
      <x:c r="AF14" s="27"/>
      <x:c r="AG14" s="27"/>
      <x:c r="AH14" s="27"/>
      <x:c r="AI14" s="27"/>
      <x:c r="AJ14" s="27"/>
      <x:c r="AK14" s="27"/>
      <x:c r="AL14" s="27"/>
      <x:c r="AM14" s="27"/>
      <x:c r="AN14" s="27"/>
      <x:c r="AO14" s="27"/>
      <x:c r="AP14" s="27"/>
      <x:c r="AQ14" s="27"/>
      <x:c r="AR14" s="27"/>
      <x:c r="AS14" s="27"/>
      <x:c r="AT14" s="27"/>
      <x:c r="AU14" s="27"/>
      <x:c r="AV14" s="27"/>
      <x:c r="AW14" s="27"/>
      <x:c r="AX14" s="27"/>
      <x:c r="AY14" s="27"/>
      <x:c r="AZ14" s="27"/>
    </x:row>
    <x:row r="15">
      <x:c r="A15" s="27"/>
      <x:c r="B15" s="27"/>
      <x:c r="C15" s="27"/>
      <x:c r="D15" s="27"/>
      <x:c r="E15" s="27"/>
      <x:c r="F15" s="27"/>
      <x:c r="G15" s="27"/>
      <x:c r="H15" s="27"/>
      <x:c r="I15" s="27"/>
      <x:c r="J15" s="27"/>
      <x:c r="K15" s="27"/>
      <x:c r="L15" s="27"/>
      <x:c r="M15" s="27"/>
      <x:c r="N15" s="27"/>
      <x:c r="O15" s="27"/>
      <x:c r="P15" s="27"/>
      <x:c r="Q15" s="27"/>
      <x:c r="R15" s="27"/>
      <x:c r="S15" s="27"/>
      <x:c r="T15" s="27"/>
      <x:c r="U15" s="27"/>
      <x:c r="V15" s="27"/>
      <x:c r="W15" s="27"/>
      <x:c r="X15" s="27"/>
      <x:c r="Y15" s="27"/>
      <x:c r="Z15" s="27"/>
      <x:c r="AA15" s="27"/>
      <x:c r="AB15" s="27"/>
      <x:c r="AC15" s="27"/>
      <x:c r="AD15" s="27"/>
      <x:c r="AE15" s="27"/>
      <x:c r="AF15" s="27"/>
      <x:c r="AG15" s="27"/>
      <x:c r="AH15" s="27"/>
      <x:c r="AI15" s="27"/>
      <x:c r="AJ15" s="27"/>
      <x:c r="AK15" s="27"/>
      <x:c r="AL15" s="27"/>
      <x:c r="AM15" s="27"/>
      <x:c r="AN15" s="27"/>
      <x:c r="AO15" s="27"/>
      <x:c r="AP15" s="27"/>
      <x:c r="AQ15" s="27"/>
      <x:c r="AR15" s="27"/>
      <x:c r="AS15" s="27"/>
      <x:c r="AT15" s="27"/>
      <x:c r="AU15" s="27"/>
      <x:c r="AV15" s="27"/>
      <x:c r="AW15" s="27"/>
      <x:c r="AX15" s="27"/>
      <x:c r="AY15" s="27"/>
      <x:c r="AZ15" s="27"/>
    </x:row>
    <x:row r="16">
      <x:c r="A16" s="27"/>
      <x:c r="B16" s="27"/>
      <x:c r="C16" s="27"/>
      <x:c r="D16" s="27"/>
      <x:c r="E16" s="27"/>
      <x:c r="F16" s="27"/>
      <x:c r="G16" s="27"/>
      <x:c r="H16" s="27"/>
      <x:c r="I16" s="27"/>
      <x:c r="J16" s="27"/>
      <x:c r="K16" s="27"/>
      <x:c r="L16" s="27"/>
      <x:c r="M16" s="27"/>
      <x:c r="N16" s="27"/>
      <x:c r="O16" s="27"/>
      <x:c r="P16" s="27"/>
      <x:c r="Q16" s="27"/>
      <x:c r="R16" s="27"/>
      <x:c r="S16" s="27"/>
      <x:c r="T16" s="27"/>
      <x:c r="U16" s="27"/>
      <x:c r="V16" s="27"/>
      <x:c r="W16" s="27"/>
      <x:c r="X16" s="27"/>
      <x:c r="Y16" s="27"/>
      <x:c r="Z16" s="27"/>
      <x:c r="AA16" s="27"/>
      <x:c r="AB16" s="27"/>
      <x:c r="AC16" s="27"/>
      <x:c r="AD16" s="27"/>
      <x:c r="AE16" s="27"/>
      <x:c r="AF16" s="27"/>
      <x:c r="AG16" s="27"/>
      <x:c r="AH16" s="27"/>
      <x:c r="AI16" s="27"/>
      <x:c r="AJ16" s="27"/>
      <x:c r="AK16" s="27"/>
      <x:c r="AL16" s="27"/>
      <x:c r="AM16" s="27"/>
      <x:c r="AN16" s="27"/>
      <x:c r="AO16" s="27"/>
      <x:c r="AP16" s="27"/>
      <x:c r="AQ16" s="27"/>
      <x:c r="AR16" s="27"/>
      <x:c r="AS16" s="27"/>
      <x:c r="AT16" s="27"/>
      <x:c r="AU16" s="27"/>
      <x:c r="AV16" s="27"/>
      <x:c r="AW16" s="27"/>
      <x:c r="AX16" s="27"/>
      <x:c r="AY16" s="27"/>
      <x:c r="AZ16" s="27"/>
    </x:row>
    <x:row r="17">
      <x:c r="A17" s="27"/>
      <x:c r="B17" s="27"/>
      <x:c r="C17" s="27"/>
      <x:c r="D17" s="27"/>
      <x:c r="E17" s="27"/>
      <x:c r="F17" s="27"/>
      <x:c r="G17" s="27"/>
      <x:c r="H17" s="27"/>
      <x:c r="I17" s="27"/>
      <x:c r="J17" s="27"/>
      <x:c r="K17" s="27"/>
      <x:c r="L17" s="27"/>
      <x:c r="M17" s="27"/>
      <x:c r="N17" s="27"/>
      <x:c r="O17" s="27"/>
      <x:c r="P17" s="27"/>
      <x:c r="Q17" s="27"/>
      <x:c r="R17" s="27"/>
      <x:c r="S17" s="27"/>
      <x:c r="T17" s="27"/>
      <x:c r="U17" s="27"/>
      <x:c r="V17" s="27"/>
      <x:c r="W17" s="27"/>
      <x:c r="X17" s="27"/>
      <x:c r="Y17" s="27"/>
      <x:c r="Z17" s="27"/>
      <x:c r="AA17" s="27"/>
      <x:c r="AB17" s="27"/>
      <x:c r="AC17" s="27"/>
      <x:c r="AD17" s="27"/>
      <x:c r="AE17" s="27"/>
      <x:c r="AF17" s="27"/>
      <x:c r="AG17" s="27"/>
      <x:c r="AH17" s="27"/>
      <x:c r="AI17" s="27"/>
      <x:c r="AJ17" s="27"/>
      <x:c r="AK17" s="27"/>
      <x:c r="AL17" s="27"/>
      <x:c r="AM17" s="27"/>
      <x:c r="AN17" s="27"/>
      <x:c r="AO17" s="27"/>
      <x:c r="AP17" s="27"/>
      <x:c r="AQ17" s="27"/>
      <x:c r="AR17" s="27"/>
      <x:c r="AS17" s="27"/>
      <x:c r="AT17" s="27"/>
      <x:c r="AU17" s="27"/>
      <x:c r="AV17" s="27"/>
      <x:c r="AW17" s="27"/>
      <x:c r="AX17" s="27"/>
      <x:c r="AY17" s="27"/>
      <x:c r="AZ17" s="27"/>
    </x:row>
    <x:row r="18">
      <x:c r="A18" s="27"/>
      <x:c r="B18" s="27"/>
      <x:c r="C18" s="27"/>
      <x:c r="D18" s="27"/>
      <x:c r="E18" s="27"/>
      <x:c r="F18" s="27"/>
      <x:c r="G18" s="27"/>
      <x:c r="H18" s="27"/>
      <x:c r="I18" s="27"/>
      <x:c r="J18" s="27"/>
      <x:c r="K18" s="27"/>
      <x:c r="L18" s="27"/>
      <x:c r="M18" s="27"/>
      <x:c r="N18" s="27"/>
      <x:c r="O18" s="27"/>
      <x:c r="P18" s="27"/>
      <x:c r="Q18" s="27"/>
      <x:c r="R18" s="27"/>
      <x:c r="S18" s="27"/>
      <x:c r="T18" s="27"/>
      <x:c r="U18" s="27"/>
      <x:c r="V18" s="27"/>
      <x:c r="W18" s="27"/>
      <x:c r="X18" s="27"/>
      <x:c r="Y18" s="27"/>
      <x:c r="Z18" s="27"/>
      <x:c r="AA18" s="27"/>
      <x:c r="AB18" s="27"/>
      <x:c r="AC18" s="27"/>
      <x:c r="AD18" s="27"/>
      <x:c r="AE18" s="27"/>
      <x:c r="AF18" s="27"/>
      <x:c r="AG18" s="27"/>
      <x:c r="AH18" s="27"/>
      <x:c r="AI18" s="27"/>
      <x:c r="AJ18" s="27"/>
      <x:c r="AK18" s="27"/>
      <x:c r="AL18" s="27"/>
      <x:c r="AM18" s="27"/>
      <x:c r="AN18" s="27"/>
      <x:c r="AO18" s="27"/>
      <x:c r="AP18" s="27"/>
      <x:c r="AQ18" s="27"/>
      <x:c r="AR18" s="27"/>
      <x:c r="AS18" s="27"/>
      <x:c r="AT18" s="27"/>
      <x:c r="AU18" s="27"/>
      <x:c r="AV18" s="27"/>
      <x:c r="AW18" s="27"/>
      <x:c r="AX18" s="27"/>
      <x:c r="AY18" s="27"/>
      <x:c r="AZ18" s="27"/>
    </x:row>
    <x:row r="19">
      <x:c r="A19" s="27"/>
      <x:c r="B19" s="27"/>
      <x:c r="C19" s="27"/>
      <x:c r="D19" s="27"/>
      <x:c r="E19" s="27"/>
      <x:c r="F19" s="27"/>
      <x:c r="G19" s="27"/>
      <x:c r="H19" s="27"/>
      <x:c r="I19" s="27"/>
      <x:c r="J19" s="27"/>
      <x:c r="K19" s="27"/>
      <x:c r="L19" s="27"/>
      <x:c r="M19" s="27"/>
      <x:c r="N19" s="27"/>
      <x:c r="O19" s="27"/>
      <x:c r="P19" s="27"/>
      <x:c r="Q19" s="27"/>
      <x:c r="R19" s="27"/>
      <x:c r="S19" s="27"/>
      <x:c r="T19" s="27"/>
      <x:c r="U19" s="27"/>
      <x:c r="V19" s="27"/>
      <x:c r="W19" s="27"/>
      <x:c r="X19" s="27"/>
      <x:c r="Y19" s="27"/>
      <x:c r="Z19" s="27"/>
      <x:c r="AA19" s="27"/>
      <x:c r="AB19" s="27"/>
      <x:c r="AC19" s="27"/>
      <x:c r="AD19" s="27"/>
      <x:c r="AE19" s="27"/>
      <x:c r="AF19" s="27"/>
      <x:c r="AG19" s="27"/>
      <x:c r="AH19" s="27"/>
      <x:c r="AI19" s="27"/>
      <x:c r="AJ19" s="27"/>
      <x:c r="AK19" s="27"/>
      <x:c r="AL19" s="27"/>
      <x:c r="AM19" s="27"/>
      <x:c r="AN19" s="27"/>
      <x:c r="AO19" s="27"/>
      <x:c r="AP19" s="27"/>
      <x:c r="AQ19" s="27"/>
      <x:c r="AR19" s="27"/>
      <x:c r="AS19" s="27"/>
      <x:c r="AT19" s="27"/>
      <x:c r="AU19" s="27"/>
      <x:c r="AV19" s="27"/>
      <x:c r="AW19" s="27"/>
      <x:c r="AX19" s="27"/>
      <x:c r="AY19" s="27"/>
      <x:c r="AZ19" s="27"/>
    </x:row>
    <x:row r="20">
      <x:c r="A20" s="27"/>
      <x:c r="B20" s="27"/>
      <x:c r="C20" s="27"/>
      <x:c r="D20" s="27"/>
      <x:c r="E20" s="27"/>
      <x:c r="F20" s="27"/>
      <x:c r="G20" s="27"/>
      <x:c r="H20" s="27"/>
      <x:c r="I20" s="27"/>
      <x:c r="J20" s="27"/>
      <x:c r="K20" s="27"/>
      <x:c r="L20" s="27"/>
      <x:c r="M20" s="27"/>
      <x:c r="N20" s="27"/>
      <x:c r="O20" s="27"/>
      <x:c r="P20" s="27"/>
      <x:c r="Q20" s="27"/>
      <x:c r="R20" s="27"/>
      <x:c r="S20" s="27"/>
      <x:c r="T20" s="27"/>
      <x:c r="U20" s="27"/>
      <x:c r="V20" s="27"/>
      <x:c r="W20" s="27"/>
      <x:c r="X20" s="27"/>
      <x:c r="Y20" s="27"/>
      <x:c r="Z20" s="27"/>
      <x:c r="AA20" s="27"/>
      <x:c r="AB20" s="27"/>
      <x:c r="AC20" s="27"/>
      <x:c r="AD20" s="27"/>
      <x:c r="AE20" s="27"/>
      <x:c r="AF20" s="27"/>
      <x:c r="AG20" s="27"/>
      <x:c r="AH20" s="27"/>
      <x:c r="AI20" s="27"/>
      <x:c r="AJ20" s="27"/>
      <x:c r="AK20" s="27"/>
      <x:c r="AL20" s="27"/>
      <x:c r="AM20" s="27"/>
      <x:c r="AN20" s="27"/>
      <x:c r="AO20" s="27"/>
      <x:c r="AP20" s="27"/>
      <x:c r="AQ20" s="27"/>
      <x:c r="AR20" s="27"/>
      <x:c r="AS20" s="27"/>
      <x:c r="AT20" s="27"/>
      <x:c r="AU20" s="27"/>
      <x:c r="AV20" s="27"/>
      <x:c r="AW20" s="27"/>
      <x:c r="AX20" s="27"/>
      <x:c r="AY20" s="27"/>
      <x:c r="AZ20" s="27"/>
    </x:row>
    <x:row r="21">
      <x:c r="A21" s="27"/>
      <x:c r="B21" s="27"/>
      <x:c r="C21" s="27"/>
      <x:c r="D21" s="27"/>
      <x:c r="E21" s="27"/>
      <x:c r="F21" s="27"/>
      <x:c r="G21" s="27"/>
      <x:c r="H21" s="27"/>
      <x:c r="I21" s="27"/>
      <x:c r="J21" s="27"/>
      <x:c r="K21" s="27"/>
      <x:c r="L21" s="27"/>
      <x:c r="M21" s="27"/>
      <x:c r="N21" s="27"/>
      <x:c r="O21" s="27"/>
      <x:c r="P21" s="27"/>
      <x:c r="Q21" s="27"/>
      <x:c r="R21" s="27"/>
      <x:c r="S21" s="27"/>
      <x:c r="T21" s="27"/>
      <x:c r="U21" s="27"/>
      <x:c r="V21" s="27"/>
      <x:c r="W21" s="27"/>
      <x:c r="X21" s="27"/>
      <x:c r="Y21" s="27"/>
      <x:c r="Z21" s="27"/>
      <x:c r="AA21" s="27"/>
      <x:c r="AB21" s="27"/>
      <x:c r="AC21" s="27"/>
      <x:c r="AD21" s="27"/>
      <x:c r="AE21" s="27"/>
      <x:c r="AF21" s="27"/>
      <x:c r="AG21" s="27"/>
      <x:c r="AH21" s="27"/>
      <x:c r="AI21" s="27"/>
      <x:c r="AJ21" s="27"/>
      <x:c r="AK21" s="27"/>
      <x:c r="AL21" s="27"/>
      <x:c r="AM21" s="27"/>
      <x:c r="AN21" s="27"/>
      <x:c r="AO21" s="27"/>
      <x:c r="AP21" s="27"/>
      <x:c r="AQ21" s="27"/>
      <x:c r="AR21" s="27"/>
      <x:c r="AS21" s="27"/>
      <x:c r="AT21" s="27"/>
      <x:c r="AU21" s="27"/>
      <x:c r="AV21" s="27"/>
      <x:c r="AW21" s="27"/>
      <x:c r="AX21" s="27"/>
      <x:c r="AY21" s="27"/>
      <x:c r="AZ21" s="27"/>
    </x:row>
    <x:row r="22">
      <x:c r="A22" s="27"/>
      <x:c r="B22" s="27"/>
      <x:c r="C22" s="27"/>
      <x:c r="D22" s="27"/>
      <x:c r="E22" s="27"/>
      <x:c r="F22" s="27"/>
      <x:c r="G22" s="27"/>
      <x:c r="H22" s="27"/>
      <x:c r="I22" s="27"/>
      <x:c r="J22" s="27"/>
      <x:c r="K22" s="27"/>
      <x:c r="L22" s="27"/>
      <x:c r="M22" s="27"/>
      <x:c r="N22" s="27"/>
      <x:c r="O22" s="27"/>
      <x:c r="P22" s="27"/>
      <x:c r="Q22" s="27"/>
      <x:c r="R22" s="27"/>
      <x:c r="S22" s="27"/>
      <x:c r="T22" s="27"/>
      <x:c r="U22" s="27"/>
      <x:c r="V22" s="27"/>
      <x:c r="W22" s="27"/>
      <x:c r="X22" s="27"/>
      <x:c r="Y22" s="27"/>
      <x:c r="Z22" s="27"/>
      <x:c r="AA22" s="27"/>
      <x:c r="AB22" s="27"/>
      <x:c r="AC22" s="27"/>
      <x:c r="AD22" s="27"/>
      <x:c r="AE22" s="27"/>
      <x:c r="AF22" s="27"/>
      <x:c r="AG22" s="27"/>
      <x:c r="AH22" s="27"/>
      <x:c r="AI22" s="27"/>
      <x:c r="AJ22" s="27"/>
      <x:c r="AK22" s="27"/>
      <x:c r="AL22" s="27"/>
      <x:c r="AM22" s="27"/>
      <x:c r="AN22" s="27"/>
      <x:c r="AO22" s="27"/>
      <x:c r="AP22" s="27"/>
      <x:c r="AQ22" s="27"/>
      <x:c r="AR22" s="27"/>
      <x:c r="AS22" s="27"/>
      <x:c r="AT22" s="27"/>
      <x:c r="AU22" s="27"/>
      <x:c r="AV22" s="27"/>
      <x:c r="AW22" s="27"/>
      <x:c r="AX22" s="27"/>
      <x:c r="AY22" s="27"/>
      <x:c r="AZ22" s="27"/>
    </x:row>
    <x:row r="23">
      <x:c r="A23" s="27"/>
      <x:c r="B23" s="27"/>
      <x:c r="C23" s="27"/>
      <x:c r="D23" s="27"/>
      <x:c r="E23" s="27"/>
      <x:c r="F23" s="27"/>
      <x:c r="G23" s="27"/>
      <x:c r="H23" s="27"/>
      <x:c r="I23" s="27"/>
      <x:c r="J23" s="27"/>
      <x:c r="K23" s="27"/>
      <x:c r="L23" s="27"/>
      <x:c r="M23" s="27"/>
      <x:c r="N23" s="27"/>
      <x:c r="O23" s="27"/>
      <x:c r="P23" s="27"/>
      <x:c r="Q23" s="27"/>
      <x:c r="R23" s="27"/>
      <x:c r="S23" s="27"/>
      <x:c r="T23" s="27"/>
      <x:c r="U23" s="27"/>
      <x:c r="V23" s="27"/>
      <x:c r="W23" s="27"/>
      <x:c r="X23" s="27"/>
      <x:c r="Y23" s="27"/>
      <x:c r="Z23" s="27"/>
      <x:c r="AA23" s="27"/>
      <x:c r="AB23" s="27"/>
      <x:c r="AC23" s="27"/>
      <x:c r="AD23" s="27"/>
      <x:c r="AE23" s="27"/>
      <x:c r="AF23" s="27"/>
      <x:c r="AG23" s="27"/>
      <x:c r="AH23" s="27"/>
      <x:c r="AI23" s="27"/>
      <x:c r="AJ23" s="27"/>
      <x:c r="AK23" s="27"/>
      <x:c r="AL23" s="27"/>
      <x:c r="AM23" s="27"/>
      <x:c r="AN23" s="27"/>
      <x:c r="AO23" s="27"/>
      <x:c r="AP23" s="27"/>
      <x:c r="AQ23" s="27"/>
      <x:c r="AR23" s="27"/>
      <x:c r="AS23" s="27"/>
      <x:c r="AT23" s="27"/>
      <x:c r="AU23" s="27"/>
      <x:c r="AV23" s="27"/>
      <x:c r="AW23" s="27"/>
      <x:c r="AX23" s="27"/>
      <x:c r="AY23" s="27"/>
      <x:c r="AZ23" s="27"/>
    </x:row>
    <x:row r="24">
      <x:c r="A24" s="27"/>
      <x:c r="B24" s="27"/>
      <x:c r="C24" s="27"/>
      <x:c r="D24" s="27"/>
      <x:c r="E24" s="27"/>
      <x:c r="F24" s="27"/>
      <x:c r="G24" s="27"/>
      <x:c r="H24" s="27"/>
      <x:c r="I24" s="27"/>
      <x:c r="J24" s="27"/>
      <x:c r="K24" s="27"/>
      <x:c r="L24" s="27"/>
      <x:c r="M24" s="27"/>
      <x:c r="N24" s="27"/>
      <x:c r="O24" s="27"/>
      <x:c r="P24" s="27"/>
      <x:c r="Q24" s="27"/>
      <x:c r="R24" s="27"/>
      <x:c r="S24" s="27"/>
      <x:c r="T24" s="27"/>
      <x:c r="U24" s="27"/>
      <x:c r="V24" s="27"/>
      <x:c r="W24" s="27"/>
      <x:c r="X24" s="27"/>
      <x:c r="Y24" s="27"/>
      <x:c r="Z24" s="27"/>
      <x:c r="AA24" s="27"/>
      <x:c r="AB24" s="27"/>
      <x:c r="AC24" s="27"/>
      <x:c r="AD24" s="27"/>
      <x:c r="AE24" s="27"/>
      <x:c r="AF24" s="27"/>
      <x:c r="AG24" s="27"/>
      <x:c r="AH24" s="27"/>
      <x:c r="AI24" s="27"/>
      <x:c r="AJ24" s="27"/>
      <x:c r="AK24" s="27"/>
      <x:c r="AL24" s="27"/>
      <x:c r="AM24" s="27"/>
      <x:c r="AN24" s="27"/>
      <x:c r="AO24" s="27"/>
      <x:c r="AP24" s="27"/>
      <x:c r="AQ24" s="27"/>
      <x:c r="AR24" s="27"/>
      <x:c r="AS24" s="27"/>
      <x:c r="AT24" s="27"/>
      <x:c r="AU24" s="27"/>
      <x:c r="AV24" s="27"/>
      <x:c r="AW24" s="27"/>
      <x:c r="AX24" s="27"/>
      <x:c r="AY24" s="27"/>
      <x:c r="AZ24" s="27"/>
    </x:row>
    <x:row r="25">
      <x:c r="A25" s="27"/>
      <x:c r="B25" s="27"/>
      <x:c r="C25" s="27"/>
      <x:c r="D25" s="27"/>
      <x:c r="E25" s="27"/>
      <x:c r="F25" s="27"/>
      <x:c r="G25" s="27"/>
      <x:c r="H25" s="27"/>
      <x:c r="I25" s="27"/>
      <x:c r="J25" s="27"/>
      <x:c r="K25" s="27"/>
      <x:c r="L25" s="27"/>
      <x:c r="M25" s="27"/>
      <x:c r="N25" s="27"/>
      <x:c r="O25" s="27"/>
      <x:c r="P25" s="27"/>
      <x:c r="Q25" s="27"/>
      <x:c r="R25" s="27"/>
      <x:c r="S25" s="27"/>
      <x:c r="T25" s="27"/>
      <x:c r="U25" s="27"/>
      <x:c r="V25" s="27"/>
      <x:c r="W25" s="27"/>
      <x:c r="X25" s="27"/>
      <x:c r="Y25" s="27"/>
      <x:c r="Z25" s="27"/>
      <x:c r="AA25" s="27"/>
      <x:c r="AB25" s="27"/>
      <x:c r="AC25" s="27"/>
      <x:c r="AD25" s="27"/>
      <x:c r="AE25" s="27"/>
      <x:c r="AF25" s="27"/>
      <x:c r="AG25" s="27"/>
      <x:c r="AH25" s="27"/>
      <x:c r="AI25" s="27"/>
      <x:c r="AJ25" s="27"/>
      <x:c r="AK25" s="27"/>
      <x:c r="AL25" s="27"/>
      <x:c r="AM25" s="27"/>
      <x:c r="AN25" s="27"/>
      <x:c r="AO25" s="27"/>
      <x:c r="AP25" s="27"/>
      <x:c r="AQ25" s="27"/>
      <x:c r="AR25" s="27"/>
      <x:c r="AS25" s="27"/>
      <x:c r="AT25" s="27"/>
      <x:c r="AU25" s="27"/>
      <x:c r="AV25" s="27"/>
      <x:c r="AW25" s="27"/>
      <x:c r="AX25" s="27"/>
      <x:c r="AY25" s="27"/>
      <x:c r="AZ25" s="27"/>
    </x:row>
    <x:row r="26">
      <x:c r="A26" s="27"/>
      <x:c r="B26" s="27"/>
      <x:c r="C26" s="27"/>
      <x:c r="D26" s="27"/>
      <x:c r="E26" s="27"/>
      <x:c r="F26" s="27"/>
      <x:c r="G26" s="27"/>
      <x:c r="H26" s="27"/>
      <x:c r="I26" s="27"/>
      <x:c r="J26" s="27"/>
      <x:c r="K26" s="27"/>
      <x:c r="L26" s="27"/>
      <x:c r="M26" s="27"/>
      <x:c r="N26" s="27"/>
      <x:c r="O26" s="27"/>
      <x:c r="P26" s="27"/>
      <x:c r="Q26" s="27"/>
      <x:c r="R26" s="27"/>
      <x:c r="S26" s="27"/>
      <x:c r="T26" s="27"/>
      <x:c r="U26" s="27"/>
      <x:c r="V26" s="27"/>
      <x:c r="W26" s="27"/>
      <x:c r="X26" s="27"/>
      <x:c r="Y26" s="27"/>
      <x:c r="Z26" s="27"/>
      <x:c r="AA26" s="27"/>
      <x:c r="AB26" s="27"/>
      <x:c r="AC26" s="27"/>
      <x:c r="AD26" s="27"/>
      <x:c r="AE26" s="27"/>
      <x:c r="AF26" s="27"/>
      <x:c r="AG26" s="27"/>
      <x:c r="AH26" s="27"/>
      <x:c r="AI26" s="27"/>
      <x:c r="AJ26" s="27"/>
      <x:c r="AK26" s="27"/>
      <x:c r="AL26" s="27"/>
      <x:c r="AM26" s="27"/>
      <x:c r="AN26" s="27"/>
      <x:c r="AO26" s="27"/>
      <x:c r="AP26" s="27"/>
      <x:c r="AQ26" s="27"/>
      <x:c r="AR26" s="27"/>
      <x:c r="AS26" s="27"/>
      <x:c r="AT26" s="27"/>
      <x:c r="AU26" s="27"/>
      <x:c r="AV26" s="27"/>
      <x:c r="AW26" s="27"/>
      <x:c r="AX26" s="27"/>
      <x:c r="AY26" s="27"/>
      <x:c r="AZ26" s="27"/>
    </x:row>
    <x:row r="27">
      <x:c r="A27" s="27"/>
      <x:c r="B27" s="27"/>
      <x:c r="C27" s="27"/>
      <x:c r="D27" s="27"/>
      <x:c r="E27" s="27"/>
      <x:c r="F27" s="27"/>
      <x:c r="G27" s="27"/>
      <x:c r="H27" s="27"/>
      <x:c r="I27" s="27"/>
      <x:c r="J27" s="27"/>
      <x:c r="K27" s="27"/>
      <x:c r="L27" s="27"/>
      <x:c r="M27" s="27"/>
      <x:c r="N27" s="27"/>
      <x:c r="O27" s="27"/>
      <x:c r="P27" s="27"/>
      <x:c r="Q27" s="27"/>
      <x:c r="R27" s="27"/>
      <x:c r="S27" s="27"/>
      <x:c r="T27" s="27"/>
      <x:c r="U27" s="27"/>
      <x:c r="V27" s="27"/>
      <x:c r="W27" s="27"/>
      <x:c r="X27" s="27"/>
      <x:c r="Y27" s="27"/>
      <x:c r="Z27" s="27"/>
      <x:c r="AA27" s="27"/>
      <x:c r="AB27" s="27"/>
      <x:c r="AC27" s="27"/>
      <x:c r="AD27" s="27"/>
      <x:c r="AE27" s="27"/>
      <x:c r="AF27" s="27"/>
      <x:c r="AG27" s="27"/>
      <x:c r="AH27" s="27"/>
      <x:c r="AI27" s="27"/>
      <x:c r="AJ27" s="27"/>
      <x:c r="AK27" s="27"/>
      <x:c r="AL27" s="27"/>
      <x:c r="AM27" s="27"/>
      <x:c r="AN27" s="27"/>
      <x:c r="AO27" s="27"/>
      <x:c r="AP27" s="27"/>
      <x:c r="AQ27" s="27"/>
      <x:c r="AR27" s="27"/>
      <x:c r="AS27" s="27"/>
      <x:c r="AT27" s="27"/>
      <x:c r="AU27" s="27"/>
      <x:c r="AV27" s="27"/>
      <x:c r="AW27" s="27"/>
      <x:c r="AX27" s="27"/>
      <x:c r="AY27" s="27"/>
      <x:c r="AZ27" s="27"/>
    </x:row>
    <x:row r="28">
      <x:c r="A28" s="27"/>
      <x:c r="B28" s="27"/>
      <x:c r="C28" s="27"/>
      <x:c r="D28" s="27"/>
      <x:c r="E28" s="27"/>
      <x:c r="F28" s="27"/>
      <x:c r="G28" s="27"/>
      <x:c r="H28" s="27"/>
      <x:c r="I28" s="27"/>
      <x:c r="J28" s="27"/>
      <x:c r="K28" s="27"/>
      <x:c r="L28" s="27"/>
      <x:c r="M28" s="27"/>
      <x:c r="N28" s="27"/>
      <x:c r="O28" s="27"/>
      <x:c r="P28" s="27"/>
      <x:c r="Q28" s="27"/>
      <x:c r="R28" s="27"/>
      <x:c r="S28" s="27"/>
      <x:c r="T28" s="27"/>
      <x:c r="U28" s="27"/>
      <x:c r="V28" s="27"/>
      <x:c r="W28" s="27"/>
      <x:c r="X28" s="27"/>
      <x:c r="Y28" s="27"/>
      <x:c r="Z28" s="27"/>
      <x:c r="AA28" s="27"/>
      <x:c r="AB28" s="27"/>
      <x:c r="AC28" s="27"/>
      <x:c r="AD28" s="27"/>
      <x:c r="AE28" s="27"/>
      <x:c r="AF28" s="27"/>
      <x:c r="AG28" s="27"/>
      <x:c r="AH28" s="27"/>
      <x:c r="AI28" s="27"/>
      <x:c r="AJ28" s="27"/>
      <x:c r="AK28" s="27"/>
      <x:c r="AL28" s="27"/>
      <x:c r="AM28" s="27"/>
      <x:c r="AN28" s="27"/>
      <x:c r="AO28" s="27"/>
      <x:c r="AP28" s="27"/>
      <x:c r="AQ28" s="27"/>
      <x:c r="AR28" s="27"/>
      <x:c r="AS28" s="27"/>
      <x:c r="AT28" s="27"/>
      <x:c r="AU28" s="27"/>
      <x:c r="AV28" s="27"/>
      <x:c r="AW28" s="27"/>
      <x:c r="AX28" s="27"/>
      <x:c r="AY28" s="27"/>
      <x:c r="AZ28" s="27"/>
    </x:row>
    <x:row r="29">
      <x:c r="A29" s="27"/>
      <x:c r="B29" s="27"/>
      <x:c r="C29" s="27"/>
      <x:c r="D29" s="27"/>
      <x:c r="E29" s="27"/>
      <x:c r="F29" s="27"/>
      <x:c r="G29" s="27"/>
      <x:c r="H29" s="27"/>
      <x:c r="I29" s="27"/>
      <x:c r="J29" s="27"/>
      <x:c r="K29" s="27"/>
      <x:c r="L29" s="27"/>
      <x:c r="M29" s="27"/>
      <x:c r="N29" s="27"/>
      <x:c r="O29" s="27"/>
      <x:c r="P29" s="27"/>
      <x:c r="Q29" s="27"/>
      <x:c r="R29" s="27"/>
      <x:c r="S29" s="27"/>
      <x:c r="T29" s="27"/>
      <x:c r="U29" s="27"/>
      <x:c r="V29" s="27"/>
      <x:c r="W29" s="27"/>
      <x:c r="X29" s="27"/>
      <x:c r="Y29" s="27"/>
      <x:c r="Z29" s="27"/>
      <x:c r="AA29" s="27"/>
      <x:c r="AB29" s="27"/>
      <x:c r="AC29" s="27"/>
      <x:c r="AD29" s="27"/>
      <x:c r="AE29" s="27"/>
      <x:c r="AF29" s="27"/>
      <x:c r="AG29" s="27"/>
      <x:c r="AH29" s="27"/>
      <x:c r="AI29" s="27"/>
      <x:c r="AJ29" s="27"/>
      <x:c r="AK29" s="27"/>
      <x:c r="AL29" s="27"/>
      <x:c r="AM29" s="27"/>
      <x:c r="AN29" s="27"/>
      <x:c r="AO29" s="27"/>
      <x:c r="AP29" s="27"/>
      <x:c r="AQ29" s="27"/>
      <x:c r="AR29" s="27"/>
      <x:c r="AS29" s="27"/>
      <x:c r="AT29" s="27"/>
      <x:c r="AU29" s="27"/>
      <x:c r="AV29" s="27"/>
      <x:c r="AW29" s="27"/>
      <x:c r="AX29" s="27"/>
      <x:c r="AY29" s="27"/>
      <x:c r="AZ29" s="27"/>
    </x:row>
    <x:row r="30">
      <x:c r="A30" s="27"/>
      <x:c r="B30" s="27"/>
      <x:c r="C30" s="27"/>
      <x:c r="D30" s="27"/>
      <x:c r="E30" s="27"/>
      <x:c r="F30" s="27"/>
      <x:c r="G30" s="27"/>
      <x:c r="H30" s="27"/>
      <x:c r="I30" s="27"/>
      <x:c r="J30" s="27"/>
      <x:c r="K30" s="27"/>
      <x:c r="L30" s="27"/>
      <x:c r="M30" s="27"/>
      <x:c r="N30" s="27"/>
      <x:c r="O30" s="27"/>
      <x:c r="P30" s="27"/>
      <x:c r="Q30" s="27"/>
      <x:c r="R30" s="27"/>
      <x:c r="S30" s="27"/>
      <x:c r="T30" s="27"/>
      <x:c r="U30" s="27"/>
      <x:c r="V30" s="27"/>
      <x:c r="W30" s="27"/>
      <x:c r="X30" s="27"/>
      <x:c r="Y30" s="27"/>
      <x:c r="Z30" s="27"/>
      <x:c r="AA30" s="27"/>
      <x:c r="AB30" s="27"/>
      <x:c r="AC30" s="27"/>
      <x:c r="AD30" s="27"/>
      <x:c r="AE30" s="27"/>
      <x:c r="AF30" s="27"/>
      <x:c r="AG30" s="27"/>
      <x:c r="AH30" s="27"/>
      <x:c r="AI30" s="27"/>
      <x:c r="AJ30" s="27"/>
      <x:c r="AK30" s="27"/>
      <x:c r="AL30" s="27"/>
      <x:c r="AM30" s="27"/>
      <x:c r="AN30" s="27"/>
      <x:c r="AO30" s="27"/>
      <x:c r="AP30" s="27"/>
      <x:c r="AQ30" s="27"/>
      <x:c r="AR30" s="27"/>
      <x:c r="AS30" s="27"/>
      <x:c r="AT30" s="27"/>
      <x:c r="AU30" s="27"/>
      <x:c r="AV30" s="27"/>
      <x:c r="AW30" s="27"/>
      <x:c r="AX30" s="27"/>
      <x:c r="AY30" s="27"/>
      <x:c r="AZ30" s="27"/>
    </x:row>
    <x:row r="31">
      <x:c r="A31" s="27"/>
      <x:c r="B31" s="27"/>
      <x:c r="C31" s="27"/>
      <x:c r="D31" s="27"/>
      <x:c r="E31" s="27"/>
      <x:c r="F31" s="27"/>
      <x:c r="G31" s="27"/>
      <x:c r="H31" s="27"/>
      <x:c r="I31" s="27"/>
      <x:c r="J31" s="27"/>
      <x:c r="K31" s="27"/>
      <x:c r="L31" s="27"/>
      <x:c r="M31" s="27"/>
      <x:c r="N31" s="27"/>
      <x:c r="O31" s="27"/>
      <x:c r="P31" s="27"/>
      <x:c r="Q31" s="27"/>
      <x:c r="R31" s="27"/>
      <x:c r="S31" s="27"/>
      <x:c r="T31" s="27"/>
      <x:c r="U31" s="27"/>
      <x:c r="V31" s="27"/>
      <x:c r="W31" s="27"/>
      <x:c r="X31" s="27"/>
      <x:c r="Y31" s="27"/>
      <x:c r="Z31" s="27"/>
      <x:c r="AA31" s="27"/>
      <x:c r="AB31" s="27"/>
      <x:c r="AC31" s="27"/>
      <x:c r="AD31" s="27"/>
      <x:c r="AE31" s="27"/>
      <x:c r="AF31" s="27"/>
      <x:c r="AG31" s="27"/>
      <x:c r="AH31" s="27"/>
      <x:c r="AI31" s="27"/>
      <x:c r="AJ31" s="27"/>
      <x:c r="AK31" s="27"/>
      <x:c r="AL31" s="27"/>
      <x:c r="AM31" s="27"/>
      <x:c r="AN31" s="27"/>
      <x:c r="AO31" s="27"/>
      <x:c r="AP31" s="27"/>
      <x:c r="AQ31" s="27"/>
      <x:c r="AR31" s="27"/>
      <x:c r="AS31" s="27"/>
      <x:c r="AT31" s="27"/>
      <x:c r="AU31" s="27"/>
      <x:c r="AV31" s="27"/>
      <x:c r="AW31" s="27"/>
      <x:c r="AX31" s="27"/>
      <x:c r="AY31" s="27"/>
      <x:c r="AZ31" s="27"/>
    </x:row>
    <x:row r="32">
      <x:c r="A32" s="27"/>
      <x:c r="B32" s="27"/>
      <x:c r="C32" s="27"/>
      <x:c r="D32" s="27"/>
      <x:c r="E32" s="27"/>
      <x:c r="F32" s="27"/>
      <x:c r="G32" s="27"/>
      <x:c r="H32" s="27"/>
      <x:c r="I32" s="27"/>
      <x:c r="J32" s="27"/>
      <x:c r="K32" s="27"/>
      <x:c r="L32" s="27"/>
      <x:c r="M32" s="27"/>
      <x:c r="N32" s="27"/>
      <x:c r="O32" s="27"/>
      <x:c r="P32" s="27"/>
      <x:c r="Q32" s="27"/>
      <x:c r="R32" s="27"/>
      <x:c r="S32" s="27"/>
      <x:c r="T32" s="27"/>
      <x:c r="U32" s="27"/>
      <x:c r="V32" s="27"/>
      <x:c r="W32" s="27"/>
      <x:c r="X32" s="27"/>
      <x:c r="Y32" s="27"/>
      <x:c r="Z32" s="27"/>
      <x:c r="AA32" s="27"/>
      <x:c r="AB32" s="27"/>
      <x:c r="AC32" s="27"/>
      <x:c r="AD32" s="27"/>
      <x:c r="AE32" s="27"/>
      <x:c r="AF32" s="27"/>
      <x:c r="AG32" s="27"/>
      <x:c r="AH32" s="27"/>
      <x:c r="AI32" s="27"/>
      <x:c r="AJ32" s="27"/>
      <x:c r="AK32" s="27"/>
      <x:c r="AL32" s="27"/>
      <x:c r="AM32" s="27"/>
      <x:c r="AN32" s="27"/>
      <x:c r="AO32" s="27"/>
      <x:c r="AP32" s="27"/>
      <x:c r="AQ32" s="27"/>
      <x:c r="AR32" s="27"/>
      <x:c r="AS32" s="27"/>
      <x:c r="AT32" s="27"/>
      <x:c r="AU32" s="27"/>
      <x:c r="AV32" s="27"/>
      <x:c r="AW32" s="27"/>
      <x:c r="AX32" s="27"/>
      <x:c r="AY32" s="27"/>
      <x:c r="AZ32" s="27"/>
    </x:row>
    <x:row r="33">
      <x:c r="A33" s="27"/>
      <x:c r="B33" s="27"/>
      <x:c r="C33" s="27"/>
      <x:c r="D33" s="27"/>
      <x:c r="E33" s="27"/>
      <x:c r="F33" s="27"/>
      <x:c r="G33" s="27"/>
      <x:c r="H33" s="27"/>
      <x:c r="I33" s="27"/>
      <x:c r="J33" s="27"/>
      <x:c r="K33" s="27"/>
      <x:c r="L33" s="27"/>
      <x:c r="M33" s="27"/>
      <x:c r="N33" s="27"/>
      <x:c r="O33" s="27"/>
      <x:c r="P33" s="27"/>
      <x:c r="Q33" s="27"/>
      <x:c r="R33" s="27"/>
      <x:c r="S33" s="27"/>
      <x:c r="T33" s="27"/>
      <x:c r="U33" s="27"/>
      <x:c r="V33" s="27"/>
      <x:c r="W33" s="27"/>
      <x:c r="X33" s="27"/>
      <x:c r="Y33" s="27"/>
      <x:c r="Z33" s="27"/>
      <x:c r="AA33" s="27"/>
      <x:c r="AB33" s="27"/>
      <x:c r="AC33" s="27"/>
      <x:c r="AD33" s="27"/>
      <x:c r="AE33" s="27"/>
      <x:c r="AF33" s="27"/>
      <x:c r="AG33" s="27"/>
      <x:c r="AH33" s="27"/>
      <x:c r="AI33" s="27"/>
      <x:c r="AJ33" s="27"/>
      <x:c r="AK33" s="27"/>
      <x:c r="AL33" s="27"/>
      <x:c r="AM33" s="27"/>
      <x:c r="AN33" s="27"/>
      <x:c r="AO33" s="27"/>
      <x:c r="AP33" s="27"/>
      <x:c r="AQ33" s="27"/>
      <x:c r="AR33" s="27"/>
      <x:c r="AS33" s="27"/>
      <x:c r="AT33" s="27"/>
      <x:c r="AU33" s="27"/>
      <x:c r="AV33" s="27"/>
      <x:c r="AW33" s="27"/>
      <x:c r="AX33" s="27"/>
      <x:c r="AY33" s="27"/>
      <x:c r="AZ33" s="27"/>
    </x:row>
    <x:row r="34">
      <x:c r="A34" s="27"/>
      <x:c r="B34" s="27"/>
      <x:c r="C34" s="27"/>
      <x:c r="D34" s="27"/>
      <x:c r="E34" s="27"/>
      <x:c r="F34" s="27"/>
      <x:c r="G34" s="27"/>
      <x:c r="H34" s="27"/>
      <x:c r="I34" s="27"/>
      <x:c r="J34" s="27"/>
      <x:c r="K34" s="27"/>
      <x:c r="L34" s="27"/>
      <x:c r="M34" s="27"/>
      <x:c r="N34" s="27"/>
      <x:c r="O34" s="27"/>
      <x:c r="P34" s="27"/>
      <x:c r="Q34" s="27"/>
      <x:c r="R34" s="27"/>
      <x:c r="S34" s="27"/>
      <x:c r="T34" s="27"/>
      <x:c r="U34" s="27"/>
      <x:c r="V34" s="27"/>
      <x:c r="W34" s="27"/>
      <x:c r="X34" s="27"/>
      <x:c r="Y34" s="27"/>
      <x:c r="Z34" s="27"/>
      <x:c r="AA34" s="27"/>
      <x:c r="AB34" s="27"/>
      <x:c r="AC34" s="27"/>
      <x:c r="AD34" s="27"/>
      <x:c r="AE34" s="27"/>
      <x:c r="AF34" s="27"/>
      <x:c r="AG34" s="27"/>
      <x:c r="AH34" s="27"/>
      <x:c r="AI34" s="27"/>
      <x:c r="AJ34" s="27"/>
      <x:c r="AK34" s="27"/>
      <x:c r="AL34" s="27"/>
      <x:c r="AM34" s="27"/>
      <x:c r="AN34" s="27"/>
      <x:c r="AO34" s="27"/>
      <x:c r="AP34" s="27"/>
      <x:c r="AQ34" s="27"/>
      <x:c r="AR34" s="27"/>
      <x:c r="AS34" s="27"/>
      <x:c r="AT34" s="27"/>
      <x:c r="AU34" s="27"/>
      <x:c r="AV34" s="27"/>
      <x:c r="AW34" s="27"/>
      <x:c r="AX34" s="27"/>
      <x:c r="AY34" s="27"/>
      <x:c r="AZ34" s="27"/>
    </x:row>
    <x:row r="35">
      <x:c r="A35" s="27"/>
      <x:c r="B35" s="27"/>
      <x:c r="C35" s="27"/>
      <x:c r="D35" s="27"/>
      <x:c r="E35" s="27"/>
      <x:c r="F35" s="27"/>
      <x:c r="G35" s="27"/>
      <x:c r="H35" s="27"/>
      <x:c r="I35" s="27"/>
      <x:c r="J35" s="27"/>
      <x:c r="K35" s="27"/>
      <x:c r="L35" s="27"/>
      <x:c r="M35" s="27"/>
      <x:c r="N35" s="27"/>
      <x:c r="O35" s="27"/>
      <x:c r="P35" s="27"/>
      <x:c r="Q35" s="27"/>
      <x:c r="R35" s="27"/>
      <x:c r="S35" s="27"/>
      <x:c r="T35" s="27"/>
      <x:c r="U35" s="27"/>
      <x:c r="V35" s="27"/>
      <x:c r="W35" s="27"/>
      <x:c r="X35" s="27"/>
      <x:c r="Y35" s="27"/>
      <x:c r="Z35" s="27"/>
      <x:c r="AA35" s="27"/>
      <x:c r="AB35" s="27"/>
      <x:c r="AC35" s="27"/>
      <x:c r="AD35" s="27"/>
      <x:c r="AE35" s="27"/>
      <x:c r="AF35" s="27"/>
      <x:c r="AG35" s="27"/>
      <x:c r="AH35" s="27"/>
      <x:c r="AI35" s="27"/>
      <x:c r="AJ35" s="27"/>
      <x:c r="AK35" s="27"/>
      <x:c r="AL35" s="27"/>
      <x:c r="AM35" s="27"/>
      <x:c r="AN35" s="27"/>
      <x:c r="AO35" s="27"/>
      <x:c r="AP35" s="27"/>
      <x:c r="AQ35" s="27"/>
      <x:c r="AR35" s="27"/>
      <x:c r="AS35" s="27"/>
      <x:c r="AT35" s="27"/>
      <x:c r="AU35" s="27"/>
      <x:c r="AV35" s="27"/>
      <x:c r="AW35" s="27"/>
      <x:c r="AX35" s="27"/>
      <x:c r="AY35" s="27"/>
      <x:c r="AZ35" s="27"/>
    </x:row>
    <x:row r="36">
      <x:c r="A36" s="27"/>
      <x:c r="B36" s="27"/>
      <x:c r="C36" s="27"/>
      <x:c r="D36" s="27"/>
      <x:c r="E36" s="27"/>
      <x:c r="F36" s="27"/>
      <x:c r="G36" s="27"/>
      <x:c r="H36" s="27"/>
      <x:c r="I36" s="27"/>
      <x:c r="J36" s="27"/>
      <x:c r="K36" s="27"/>
      <x:c r="L36" s="27"/>
      <x:c r="M36" s="27"/>
      <x:c r="N36" s="27"/>
      <x:c r="O36" s="27"/>
      <x:c r="P36" s="27"/>
      <x:c r="Q36" s="27"/>
      <x:c r="R36" s="27"/>
      <x:c r="S36" s="27"/>
      <x:c r="T36" s="27"/>
      <x:c r="U36" s="27"/>
      <x:c r="V36" s="27"/>
      <x:c r="W36" s="27"/>
      <x:c r="X36" s="27"/>
      <x:c r="Y36" s="27"/>
      <x:c r="Z36" s="27"/>
      <x:c r="AA36" s="27"/>
      <x:c r="AB36" s="27"/>
      <x:c r="AC36" s="27"/>
      <x:c r="AD36" s="27"/>
      <x:c r="AE36" s="27"/>
      <x:c r="AF36" s="27"/>
      <x:c r="AG36" s="27"/>
      <x:c r="AH36" s="27"/>
      <x:c r="AI36" s="27"/>
      <x:c r="AJ36" s="27"/>
      <x:c r="AK36" s="27"/>
      <x:c r="AL36" s="27"/>
      <x:c r="AM36" s="27"/>
      <x:c r="AN36" s="27"/>
      <x:c r="AO36" s="27"/>
      <x:c r="AP36" s="27"/>
      <x:c r="AQ36" s="27"/>
      <x:c r="AR36" s="27"/>
      <x:c r="AS36" s="27"/>
      <x:c r="AT36" s="27"/>
      <x:c r="AU36" s="27"/>
      <x:c r="AV36" s="27"/>
      <x:c r="AW36" s="27"/>
      <x:c r="AX36" s="27"/>
      <x:c r="AY36" s="27"/>
      <x:c r="AZ36" s="27"/>
    </x:row>
    <x:row r="37">
      <x:c r="A37" s="27"/>
      <x:c r="B37" s="27"/>
      <x:c r="C37" s="27"/>
      <x:c r="D37" s="27"/>
      <x:c r="E37" s="27"/>
      <x:c r="F37" s="27"/>
      <x:c r="G37" s="27"/>
      <x:c r="H37" s="27"/>
      <x:c r="I37" s="27"/>
      <x:c r="J37" s="27"/>
      <x:c r="K37" s="27"/>
      <x:c r="L37" s="27"/>
      <x:c r="M37" s="27"/>
      <x:c r="N37" s="27"/>
      <x:c r="O37" s="27"/>
      <x:c r="P37" s="27"/>
      <x:c r="Q37" s="27"/>
      <x:c r="R37" s="27"/>
      <x:c r="S37" s="27"/>
      <x:c r="T37" s="27"/>
      <x:c r="U37" s="27"/>
      <x:c r="V37" s="27"/>
      <x:c r="W37" s="27"/>
      <x:c r="X37" s="27"/>
      <x:c r="Y37" s="27"/>
      <x:c r="Z37" s="27"/>
      <x:c r="AA37" s="27"/>
      <x:c r="AB37" s="27"/>
      <x:c r="AC37" s="27"/>
      <x:c r="AD37" s="27"/>
      <x:c r="AE37" s="27"/>
      <x:c r="AF37" s="27"/>
      <x:c r="AG37" s="27"/>
      <x:c r="AH37" s="27"/>
      <x:c r="AI37" s="27"/>
      <x:c r="AJ37" s="27"/>
      <x:c r="AK37" s="27"/>
      <x:c r="AL37" s="27"/>
      <x:c r="AM37" s="27"/>
      <x:c r="AN37" s="27"/>
      <x:c r="AO37" s="27"/>
      <x:c r="AP37" s="27"/>
      <x:c r="AQ37" s="27"/>
      <x:c r="AR37" s="27"/>
      <x:c r="AS37" s="27"/>
      <x:c r="AT37" s="27"/>
      <x:c r="AU37" s="27"/>
      <x:c r="AV37" s="27"/>
      <x:c r="AW37" s="27"/>
      <x:c r="AX37" s="27"/>
      <x:c r="AY37" s="27"/>
      <x:c r="AZ37" s="27"/>
    </x:row>
    <x:row r="38">
      <x:c r="A38" s="27"/>
      <x:c r="B38" s="27"/>
      <x:c r="C38" s="27"/>
      <x:c r="D38" s="27"/>
      <x:c r="E38" s="27"/>
      <x:c r="F38" s="27"/>
      <x:c r="G38" s="27"/>
      <x:c r="H38" s="27"/>
      <x:c r="I38" s="27"/>
      <x:c r="J38" s="27"/>
      <x:c r="K38" s="27"/>
      <x:c r="L38" s="27"/>
      <x:c r="M38" s="27"/>
      <x:c r="N38" s="27"/>
      <x:c r="O38" s="27"/>
      <x:c r="P38" s="27"/>
      <x:c r="Q38" s="27"/>
      <x:c r="R38" s="27"/>
      <x:c r="S38" s="27"/>
      <x:c r="T38" s="27"/>
      <x:c r="U38" s="27"/>
      <x:c r="V38" s="27"/>
      <x:c r="W38" s="27"/>
      <x:c r="X38" s="27"/>
      <x:c r="Y38" s="27"/>
      <x:c r="Z38" s="27"/>
      <x:c r="AA38" s="27"/>
      <x:c r="AB38" s="27"/>
      <x:c r="AC38" s="27"/>
      <x:c r="AD38" s="27"/>
      <x:c r="AE38" s="27"/>
      <x:c r="AF38" s="27"/>
      <x:c r="AG38" s="27"/>
      <x:c r="AH38" s="27"/>
      <x:c r="AI38" s="27"/>
      <x:c r="AJ38" s="27"/>
      <x:c r="AK38" s="27"/>
      <x:c r="AL38" s="27"/>
      <x:c r="AM38" s="27"/>
      <x:c r="AN38" s="27"/>
      <x:c r="AO38" s="27"/>
      <x:c r="AP38" s="27"/>
      <x:c r="AQ38" s="27"/>
      <x:c r="AR38" s="27"/>
      <x:c r="AS38" s="27"/>
      <x:c r="AT38" s="27"/>
      <x:c r="AU38" s="27"/>
      <x:c r="AV38" s="27"/>
      <x:c r="AW38" s="27"/>
      <x:c r="AX38" s="27"/>
      <x:c r="AY38" s="27"/>
      <x:c r="AZ38" s="27"/>
    </x:row>
    <x:row r="39">
      <x:c r="A39" s="27"/>
      <x:c r="B39" s="27"/>
      <x:c r="C39" s="27"/>
      <x:c r="D39" s="27"/>
      <x:c r="E39" s="27"/>
      <x:c r="F39" s="27"/>
      <x:c r="G39" s="27"/>
      <x:c r="H39" s="27"/>
      <x:c r="I39" s="27"/>
      <x:c r="J39" s="27"/>
      <x:c r="K39" s="27"/>
      <x:c r="L39" s="27"/>
      <x:c r="M39" s="27"/>
      <x:c r="N39" s="27"/>
      <x:c r="O39" s="27"/>
      <x:c r="P39" s="27"/>
      <x:c r="Q39" s="27"/>
      <x:c r="R39" s="27"/>
      <x:c r="S39" s="27"/>
      <x:c r="T39" s="27"/>
      <x:c r="U39" s="27"/>
      <x:c r="V39" s="27"/>
      <x:c r="W39" s="27"/>
      <x:c r="X39" s="27"/>
      <x:c r="Y39" s="27"/>
      <x:c r="Z39" s="27"/>
      <x:c r="AA39" s="27"/>
      <x:c r="AB39" s="27"/>
      <x:c r="AC39" s="27"/>
      <x:c r="AD39" s="27"/>
      <x:c r="AE39" s="27"/>
      <x:c r="AF39" s="27"/>
      <x:c r="AG39" s="27"/>
      <x:c r="AH39" s="27"/>
      <x:c r="AI39" s="27"/>
      <x:c r="AJ39" s="27"/>
      <x:c r="AK39" s="27"/>
      <x:c r="AL39" s="27"/>
      <x:c r="AM39" s="27"/>
      <x:c r="AN39" s="27"/>
      <x:c r="AO39" s="27"/>
      <x:c r="AP39" s="27"/>
      <x:c r="AQ39" s="27"/>
      <x:c r="AR39" s="27"/>
      <x:c r="AS39" s="27"/>
      <x:c r="AT39" s="27"/>
      <x:c r="AU39" s="27"/>
      <x:c r="AV39" s="27"/>
      <x:c r="AW39" s="27"/>
      <x:c r="AX39" s="27"/>
      <x:c r="AY39" s="27"/>
      <x:c r="AZ39" s="27"/>
    </x:row>
    <x:row r="40">
      <x:c r="A40" s="27"/>
      <x:c r="B40" s="27"/>
      <x:c r="C40" s="27"/>
      <x:c r="D40" s="27"/>
      <x:c r="E40" s="27"/>
      <x:c r="F40" s="27"/>
      <x:c r="G40" s="27"/>
      <x:c r="H40" s="27"/>
      <x:c r="I40" s="27"/>
      <x:c r="J40" s="27"/>
      <x:c r="K40" s="27"/>
      <x:c r="L40" s="27"/>
      <x:c r="M40" s="27"/>
      <x:c r="N40" s="27"/>
      <x:c r="O40" s="27"/>
      <x:c r="P40" s="27"/>
      <x:c r="Q40" s="27"/>
      <x:c r="R40" s="27"/>
      <x:c r="S40" s="27"/>
      <x:c r="T40" s="27"/>
      <x:c r="U40" s="27"/>
      <x:c r="V40" s="27"/>
      <x:c r="W40" s="27"/>
      <x:c r="X40" s="27"/>
      <x:c r="Y40" s="27"/>
      <x:c r="Z40" s="27"/>
      <x:c r="AA40" s="27"/>
      <x:c r="AB40" s="27"/>
      <x:c r="AC40" s="27"/>
      <x:c r="AD40" s="27"/>
      <x:c r="AE40" s="27"/>
      <x:c r="AF40" s="27"/>
      <x:c r="AG40" s="27"/>
      <x:c r="AH40" s="27"/>
      <x:c r="AI40" s="27"/>
      <x:c r="AJ40" s="27"/>
      <x:c r="AK40" s="27"/>
      <x:c r="AL40" s="27"/>
      <x:c r="AM40" s="27"/>
      <x:c r="AN40" s="27"/>
      <x:c r="AO40" s="27"/>
      <x:c r="AP40" s="27"/>
      <x:c r="AQ40" s="27"/>
      <x:c r="AR40" s="27"/>
      <x:c r="AS40" s="27"/>
      <x:c r="AT40" s="27"/>
      <x:c r="AU40" s="27"/>
      <x:c r="AV40" s="27"/>
      <x:c r="AW40" s="27"/>
      <x:c r="AX40" s="27"/>
      <x:c r="AY40" s="27"/>
      <x:c r="AZ40" s="27"/>
    </x:row>
    <x:row r="41">
      <x:c r="A41" s="27"/>
      <x:c r="B41" s="27"/>
      <x:c r="C41" s="27"/>
      <x:c r="D41" s="27"/>
      <x:c r="E41" s="27"/>
      <x:c r="F41" s="27"/>
      <x:c r="G41" s="27"/>
      <x:c r="H41" s="27"/>
      <x:c r="I41" s="27"/>
      <x:c r="J41" s="27"/>
      <x:c r="K41" s="27"/>
      <x:c r="L41" s="27"/>
      <x:c r="M41" s="27"/>
      <x:c r="N41" s="27"/>
      <x:c r="O41" s="27"/>
      <x:c r="P41" s="27"/>
      <x:c r="Q41" s="27"/>
      <x:c r="R41" s="27"/>
      <x:c r="S41" s="27"/>
      <x:c r="T41" s="27"/>
      <x:c r="U41" s="27"/>
      <x:c r="V41" s="27"/>
      <x:c r="W41" s="27"/>
      <x:c r="X41" s="27"/>
      <x:c r="Y41" s="27"/>
      <x:c r="Z41" s="27"/>
      <x:c r="AA41" s="27"/>
      <x:c r="AB41" s="27"/>
      <x:c r="AC41" s="27"/>
      <x:c r="AD41" s="27"/>
      <x:c r="AE41" s="27"/>
      <x:c r="AF41" s="27"/>
      <x:c r="AG41" s="27"/>
      <x:c r="AH41" s="27"/>
      <x:c r="AI41" s="27"/>
      <x:c r="AJ41" s="27"/>
      <x:c r="AK41" s="27"/>
      <x:c r="AL41" s="27"/>
      <x:c r="AM41" s="27"/>
      <x:c r="AN41" s="27"/>
      <x:c r="AO41" s="27"/>
      <x:c r="AP41" s="27"/>
      <x:c r="AQ41" s="27"/>
      <x:c r="AR41" s="27"/>
      <x:c r="AS41" s="27"/>
      <x:c r="AT41" s="27"/>
      <x:c r="AU41" s="27"/>
      <x:c r="AV41" s="27"/>
      <x:c r="AW41" s="27"/>
      <x:c r="AX41" s="27"/>
      <x:c r="AY41" s="27"/>
      <x:c r="AZ41" s="27"/>
    </x:row>
    <x:row r="42">
      <x:c r="A42" s="27"/>
      <x:c r="B42" s="27"/>
      <x:c r="C42" s="27"/>
      <x:c r="D42" s="27"/>
      <x:c r="E42" s="27"/>
      <x:c r="F42" s="27"/>
      <x:c r="G42" s="27"/>
      <x:c r="H42" s="27"/>
      <x:c r="I42" s="27"/>
      <x:c r="J42" s="27"/>
      <x:c r="K42" s="27"/>
      <x:c r="L42" s="27"/>
      <x:c r="M42" s="27"/>
      <x:c r="N42" s="27"/>
      <x:c r="O42" s="27"/>
      <x:c r="P42" s="27"/>
      <x:c r="Q42" s="27"/>
      <x:c r="R42" s="27"/>
      <x:c r="S42" s="27"/>
      <x:c r="T42" s="27"/>
      <x:c r="U42" s="27"/>
      <x:c r="V42" s="27"/>
      <x:c r="W42" s="27"/>
      <x:c r="X42" s="27"/>
      <x:c r="Y42" s="27"/>
      <x:c r="Z42" s="27"/>
      <x:c r="AA42" s="27"/>
      <x:c r="AB42" s="27"/>
      <x:c r="AC42" s="27"/>
      <x:c r="AD42" s="27"/>
      <x:c r="AE42" s="27"/>
      <x:c r="AF42" s="27"/>
      <x:c r="AG42" s="27"/>
      <x:c r="AH42" s="27"/>
      <x:c r="AI42" s="27"/>
      <x:c r="AJ42" s="27"/>
      <x:c r="AK42" s="27"/>
      <x:c r="AL42" s="27"/>
      <x:c r="AM42" s="27"/>
      <x:c r="AN42" s="27"/>
      <x:c r="AO42" s="27"/>
      <x:c r="AP42" s="27"/>
      <x:c r="AQ42" s="27"/>
      <x:c r="AR42" s="27"/>
      <x:c r="AS42" s="27"/>
      <x:c r="AT42" s="27"/>
      <x:c r="AU42" s="27"/>
      <x:c r="AV42" s="27"/>
      <x:c r="AW42" s="27"/>
      <x:c r="AX42" s="27"/>
      <x:c r="AY42" s="27"/>
      <x:c r="AZ42" s="27"/>
    </x:row>
    <x:row r="43">
      <x:c r="A43" s="27"/>
      <x:c r="B43" s="27"/>
      <x:c r="C43" s="27"/>
      <x:c r="D43" s="27"/>
      <x:c r="E43" s="27"/>
      <x:c r="F43" s="27"/>
      <x:c r="G43" s="27"/>
      <x:c r="H43" s="27"/>
      <x:c r="I43" s="27"/>
      <x:c r="J43" s="27"/>
      <x:c r="K43" s="27"/>
      <x:c r="L43" s="27"/>
      <x:c r="M43" s="27"/>
      <x:c r="N43" s="27"/>
      <x:c r="O43" s="27"/>
      <x:c r="P43" s="27"/>
      <x:c r="Q43" s="27"/>
      <x:c r="R43" s="27"/>
      <x:c r="S43" s="27"/>
      <x:c r="T43" s="27"/>
      <x:c r="U43" s="27"/>
      <x:c r="V43" s="27"/>
      <x:c r="W43" s="27"/>
      <x:c r="X43" s="27"/>
      <x:c r="Y43" s="27"/>
      <x:c r="Z43" s="27"/>
      <x:c r="AA43" s="27"/>
      <x:c r="AB43" s="27"/>
      <x:c r="AC43" s="27"/>
      <x:c r="AD43" s="27"/>
      <x:c r="AE43" s="27"/>
      <x:c r="AF43" s="27"/>
      <x:c r="AG43" s="27"/>
      <x:c r="AH43" s="27"/>
      <x:c r="AI43" s="27"/>
      <x:c r="AJ43" s="27"/>
      <x:c r="AK43" s="27"/>
      <x:c r="AL43" s="27"/>
      <x:c r="AM43" s="27"/>
      <x:c r="AN43" s="27"/>
      <x:c r="AO43" s="27"/>
      <x:c r="AP43" s="27"/>
      <x:c r="AQ43" s="27"/>
      <x:c r="AR43" s="27"/>
      <x:c r="AS43" s="27"/>
      <x:c r="AT43" s="27"/>
      <x:c r="AU43" s="27"/>
      <x:c r="AV43" s="27"/>
      <x:c r="AW43" s="27"/>
      <x:c r="AX43" s="27"/>
      <x:c r="AY43" s="27"/>
      <x:c r="AZ43" s="27"/>
    </x:row>
    <x:row r="44">
      <x:c r="A44" s="27"/>
      <x:c r="B44" s="27"/>
      <x:c r="C44" s="27"/>
      <x:c r="D44" s="27"/>
      <x:c r="E44" s="27"/>
      <x:c r="F44" s="27"/>
      <x:c r="G44" s="27"/>
      <x:c r="H44" s="27"/>
      <x:c r="I44" s="27"/>
      <x:c r="J44" s="27"/>
      <x:c r="K44" s="27"/>
      <x:c r="L44" s="27"/>
      <x:c r="M44" s="27"/>
      <x:c r="N44" s="27"/>
      <x:c r="O44" s="27"/>
      <x:c r="P44" s="27"/>
      <x:c r="Q44" s="27"/>
      <x:c r="R44" s="27"/>
      <x:c r="S44" s="27"/>
      <x:c r="T44" s="27"/>
      <x:c r="U44" s="27"/>
      <x:c r="V44" s="27"/>
      <x:c r="W44" s="27"/>
      <x:c r="X44" s="27"/>
      <x:c r="Y44" s="27"/>
      <x:c r="Z44" s="27"/>
      <x:c r="AA44" s="27"/>
      <x:c r="AB44" s="27"/>
      <x:c r="AC44" s="27"/>
      <x:c r="AD44" s="27"/>
      <x:c r="AE44" s="27"/>
      <x:c r="AF44" s="27"/>
      <x:c r="AG44" s="27"/>
      <x:c r="AH44" s="27"/>
      <x:c r="AI44" s="27"/>
      <x:c r="AJ44" s="27"/>
      <x:c r="AK44" s="27"/>
      <x:c r="AL44" s="27"/>
      <x:c r="AM44" s="27"/>
      <x:c r="AN44" s="27"/>
      <x:c r="AO44" s="27"/>
      <x:c r="AP44" s="27"/>
      <x:c r="AQ44" s="27"/>
      <x:c r="AR44" s="27"/>
      <x:c r="AS44" s="27"/>
      <x:c r="AT44" s="27"/>
      <x:c r="AU44" s="27"/>
      <x:c r="AV44" s="27"/>
      <x:c r="AW44" s="27"/>
      <x:c r="AX44" s="27"/>
      <x:c r="AY44" s="27"/>
      <x:c r="AZ44" s="27"/>
    </x:row>
    <x:row r="45">
      <x:c r="A45" s="27"/>
      <x:c r="B45" s="27"/>
      <x:c r="C45" s="27"/>
      <x:c r="D45" s="27"/>
      <x:c r="E45" s="27"/>
      <x:c r="F45" s="27"/>
      <x:c r="G45" s="27"/>
      <x:c r="H45" s="27"/>
      <x:c r="I45" s="27"/>
      <x:c r="J45" s="27"/>
      <x:c r="K45" s="27"/>
      <x:c r="L45" s="27"/>
      <x:c r="M45" s="27"/>
      <x:c r="N45" s="27"/>
      <x:c r="O45" s="27"/>
      <x:c r="P45" s="27"/>
      <x:c r="Q45" s="27"/>
      <x:c r="R45" s="27"/>
      <x:c r="S45" s="27"/>
      <x:c r="T45" s="27"/>
      <x:c r="U45" s="27"/>
      <x:c r="V45" s="27"/>
      <x:c r="W45" s="27"/>
      <x:c r="X45" s="27"/>
      <x:c r="Y45" s="27"/>
      <x:c r="Z45" s="27"/>
      <x:c r="AA45" s="27"/>
      <x:c r="AB45" s="27"/>
      <x:c r="AC45" s="27"/>
      <x:c r="AD45" s="27"/>
      <x:c r="AE45" s="27"/>
      <x:c r="AF45" s="27"/>
      <x:c r="AG45" s="27"/>
      <x:c r="AH45" s="27"/>
      <x:c r="AI45" s="27"/>
      <x:c r="AJ45" s="27"/>
      <x:c r="AK45" s="27"/>
      <x:c r="AL45" s="27"/>
      <x:c r="AM45" s="27"/>
      <x:c r="AN45" s="27"/>
      <x:c r="AO45" s="27"/>
      <x:c r="AP45" s="27"/>
      <x:c r="AQ45" s="27"/>
      <x:c r="AR45" s="27"/>
      <x:c r="AS45" s="27"/>
      <x:c r="AT45" s="27"/>
      <x:c r="AU45" s="27"/>
      <x:c r="AV45" s="27"/>
      <x:c r="AW45" s="27"/>
      <x:c r="AX45" s="27"/>
      <x:c r="AY45" s="27"/>
      <x:c r="AZ45" s="27"/>
    </x:row>
    <x:row r="46">
      <x:c r="A46" s="27"/>
      <x:c r="B46" s="27"/>
      <x:c r="C46" s="27"/>
      <x:c r="D46" s="27"/>
      <x:c r="E46" s="27"/>
      <x:c r="F46" s="27"/>
      <x:c r="G46" s="27"/>
      <x:c r="H46" s="27"/>
      <x:c r="I46" s="27"/>
      <x:c r="J46" s="27"/>
      <x:c r="K46" s="27"/>
      <x:c r="L46" s="27"/>
      <x:c r="M46" s="27"/>
      <x:c r="N46" s="27"/>
      <x:c r="O46" s="27"/>
      <x:c r="P46" s="27"/>
      <x:c r="Q46" s="27"/>
      <x:c r="R46" s="27"/>
      <x:c r="S46" s="27"/>
      <x:c r="T46" s="27"/>
      <x:c r="U46" s="27"/>
      <x:c r="V46" s="27"/>
      <x:c r="W46" s="27"/>
      <x:c r="X46" s="27"/>
      <x:c r="Y46" s="27"/>
      <x:c r="Z46" s="27"/>
      <x:c r="AA46" s="27"/>
      <x:c r="AB46" s="27"/>
      <x:c r="AC46" s="27"/>
      <x:c r="AD46" s="27"/>
      <x:c r="AE46" s="27"/>
      <x:c r="AF46" s="27"/>
      <x:c r="AG46" s="27"/>
      <x:c r="AH46" s="27"/>
      <x:c r="AI46" s="27"/>
      <x:c r="AJ46" s="27"/>
      <x:c r="AK46" s="27"/>
      <x:c r="AL46" s="27"/>
      <x:c r="AM46" s="27"/>
      <x:c r="AN46" s="27"/>
      <x:c r="AO46" s="27"/>
      <x:c r="AP46" s="27"/>
      <x:c r="AQ46" s="27"/>
      <x:c r="AR46" s="27"/>
      <x:c r="AS46" s="27"/>
      <x:c r="AT46" s="27"/>
      <x:c r="AU46" s="27"/>
      <x:c r="AV46" s="27"/>
      <x:c r="AW46" s="27"/>
      <x:c r="AX46" s="27"/>
      <x:c r="AY46" s="27"/>
      <x:c r="AZ46" s="27"/>
    </x:row>
    <x:row r="47">
      <x:c r="A47" s="27"/>
      <x:c r="B47" s="27"/>
      <x:c r="C47" s="27"/>
      <x:c r="D47" s="27"/>
      <x:c r="E47" s="27"/>
      <x:c r="F47" s="27"/>
      <x:c r="G47" s="27"/>
      <x:c r="H47" s="27"/>
      <x:c r="I47" s="27"/>
      <x:c r="J47" s="27"/>
      <x:c r="K47" s="27"/>
      <x:c r="L47" s="27"/>
      <x:c r="M47" s="27"/>
      <x:c r="N47" s="27"/>
      <x:c r="O47" s="27"/>
      <x:c r="P47" s="27"/>
      <x:c r="Q47" s="27"/>
      <x:c r="R47" s="27"/>
      <x:c r="S47" s="27"/>
      <x:c r="T47" s="27"/>
      <x:c r="U47" s="27"/>
      <x:c r="V47" s="27"/>
      <x:c r="W47" s="27"/>
      <x:c r="X47" s="27"/>
      <x:c r="Y47" s="27"/>
      <x:c r="Z47" s="27"/>
      <x:c r="AA47" s="27"/>
      <x:c r="AB47" s="27"/>
      <x:c r="AC47" s="27"/>
      <x:c r="AD47" s="27"/>
      <x:c r="AE47" s="27"/>
      <x:c r="AF47" s="27"/>
      <x:c r="AG47" s="27"/>
      <x:c r="AH47" s="27"/>
      <x:c r="AI47" s="27"/>
      <x:c r="AJ47" s="27"/>
      <x:c r="AK47" s="27"/>
      <x:c r="AL47" s="27"/>
      <x:c r="AM47" s="27"/>
      <x:c r="AN47" s="27"/>
      <x:c r="AO47" s="27"/>
      <x:c r="AP47" s="27"/>
      <x:c r="AQ47" s="27"/>
      <x:c r="AR47" s="27"/>
      <x:c r="AS47" s="27"/>
      <x:c r="AT47" s="27"/>
      <x:c r="AU47" s="27"/>
      <x:c r="AV47" s="27"/>
      <x:c r="AW47" s="27"/>
      <x:c r="AX47" s="27"/>
      <x:c r="AY47" s="27"/>
      <x:c r="AZ47" s="27"/>
    </x:row>
    <x:row r="48">
      <x:c r="A48" s="27"/>
      <x:c r="B48" s="27"/>
      <x:c r="C48" s="27"/>
      <x:c r="D48" s="27"/>
      <x:c r="E48" s="27"/>
      <x:c r="F48" s="27"/>
      <x:c r="G48" s="27"/>
      <x:c r="H48" s="27"/>
      <x:c r="I48" s="27"/>
      <x:c r="J48" s="27"/>
      <x:c r="K48" s="27"/>
      <x:c r="L48" s="27"/>
      <x:c r="M48" s="27"/>
      <x:c r="N48" s="27"/>
      <x:c r="O48" s="27"/>
      <x:c r="P48" s="27"/>
      <x:c r="Q48" s="27"/>
      <x:c r="R48" s="27"/>
      <x:c r="S48" s="27"/>
      <x:c r="T48" s="27"/>
      <x:c r="U48" s="27"/>
      <x:c r="V48" s="27"/>
      <x:c r="W48" s="27"/>
      <x:c r="X48" s="27"/>
      <x:c r="Y48" s="27"/>
      <x:c r="Z48" s="27"/>
      <x:c r="AA48" s="27"/>
      <x:c r="AB48" s="27"/>
      <x:c r="AC48" s="27"/>
      <x:c r="AD48" s="27"/>
      <x:c r="AE48" s="27"/>
      <x:c r="AF48" s="27"/>
      <x:c r="AG48" s="27"/>
      <x:c r="AH48" s="27"/>
      <x:c r="AI48" s="27"/>
      <x:c r="AJ48" s="27"/>
      <x:c r="AK48" s="27"/>
      <x:c r="AL48" s="27"/>
      <x:c r="AM48" s="27"/>
      <x:c r="AN48" s="27"/>
      <x:c r="AO48" s="27"/>
      <x:c r="AP48" s="27"/>
      <x:c r="AQ48" s="27"/>
      <x:c r="AR48" s="27"/>
      <x:c r="AS48" s="27"/>
      <x:c r="AT48" s="27"/>
      <x:c r="AU48" s="27"/>
      <x:c r="AV48" s="27"/>
      <x:c r="AW48" s="27"/>
      <x:c r="AX48" s="27"/>
      <x:c r="AY48" s="27"/>
      <x:c r="AZ48" s="27"/>
    </x:row>
    <x:row r="49">
      <x:c r="A49" s="27"/>
      <x:c r="B49" s="27"/>
      <x:c r="C49" s="27"/>
      <x:c r="D49" s="27"/>
      <x:c r="E49" s="27"/>
      <x:c r="F49" s="27"/>
      <x:c r="G49" s="27"/>
      <x:c r="H49" s="27"/>
      <x:c r="I49" s="27"/>
      <x:c r="J49" s="27"/>
      <x:c r="K49" s="27"/>
      <x:c r="L49" s="27"/>
      <x:c r="M49" s="27"/>
      <x:c r="N49" s="27"/>
      <x:c r="O49" s="27"/>
      <x:c r="P49" s="27"/>
      <x:c r="Q49" s="27"/>
      <x:c r="R49" s="27"/>
      <x:c r="S49" s="27"/>
      <x:c r="T49" s="27"/>
      <x:c r="U49" s="27"/>
      <x:c r="V49" s="27"/>
      <x:c r="W49" s="27"/>
      <x:c r="X49" s="27"/>
      <x:c r="Y49" s="27"/>
      <x:c r="Z49" s="27"/>
      <x:c r="AA49" s="27"/>
      <x:c r="AB49" s="27"/>
      <x:c r="AC49" s="27"/>
      <x:c r="AD49" s="27"/>
      <x:c r="AE49" s="27"/>
      <x:c r="AF49" s="27"/>
      <x:c r="AG49" s="27"/>
      <x:c r="AH49" s="27"/>
      <x:c r="AI49" s="27"/>
      <x:c r="AJ49" s="27"/>
      <x:c r="AK49" s="27"/>
      <x:c r="AL49" s="27"/>
      <x:c r="AM49" s="27"/>
      <x:c r="AN49" s="27"/>
      <x:c r="AO49" s="27"/>
      <x:c r="AP49" s="27"/>
      <x:c r="AQ49" s="27"/>
      <x:c r="AR49" s="27"/>
      <x:c r="AS49" s="27"/>
      <x:c r="AT49" s="27"/>
      <x:c r="AU49" s="27"/>
      <x:c r="AV49" s="27"/>
      <x:c r="AW49" s="27"/>
      <x:c r="AX49" s="27"/>
      <x:c r="AY49" s="27"/>
      <x:c r="AZ49" s="27"/>
    </x:row>
    <x:row r="50">
      <x:c r="A50" s="27"/>
      <x:c r="B50" s="27"/>
      <x:c r="C50" s="27"/>
      <x:c r="D50" s="27"/>
      <x:c r="E50" s="27"/>
      <x:c r="F50" s="27"/>
      <x:c r="G50" s="27"/>
      <x:c r="H50" s="27"/>
      <x:c r="I50" s="27"/>
      <x:c r="J50" s="27"/>
      <x:c r="K50" s="27"/>
      <x:c r="L50" s="27"/>
      <x:c r="M50" s="27"/>
      <x:c r="N50" s="27"/>
      <x:c r="O50" s="27"/>
      <x:c r="P50" s="27"/>
      <x:c r="Q50" s="27"/>
      <x:c r="R50" s="27"/>
      <x:c r="S50" s="27"/>
      <x:c r="T50" s="27"/>
      <x:c r="U50" s="27"/>
      <x:c r="V50" s="27"/>
      <x:c r="W50" s="27"/>
      <x:c r="X50" s="27"/>
      <x:c r="Y50" s="27"/>
      <x:c r="Z50" s="27"/>
      <x:c r="AA50" s="27"/>
      <x:c r="AB50" s="27"/>
      <x:c r="AC50" s="27"/>
      <x:c r="AD50" s="27"/>
      <x:c r="AE50" s="27"/>
      <x:c r="AF50" s="27"/>
      <x:c r="AG50" s="27"/>
      <x:c r="AH50" s="27"/>
      <x:c r="AI50" s="27"/>
      <x:c r="AJ50" s="27"/>
      <x:c r="AK50" s="27"/>
      <x:c r="AL50" s="27"/>
      <x:c r="AM50" s="27"/>
      <x:c r="AN50" s="27"/>
      <x:c r="AO50" s="27"/>
      <x:c r="AP50" s="27"/>
      <x:c r="AQ50" s="27"/>
      <x:c r="AR50" s="27"/>
      <x:c r="AS50" s="27"/>
      <x:c r="AT50" s="27"/>
      <x:c r="AU50" s="27"/>
      <x:c r="AV50" s="27"/>
      <x:c r="AW50" s="27"/>
      <x:c r="AX50" s="27"/>
      <x:c r="AY50" s="27"/>
      <x:c r="AZ50" s="27"/>
    </x:row>
    <x:row r="51">
      <x:c r="A51" s="27"/>
      <x:c r="B51" s="27"/>
      <x:c r="C51" s="27"/>
      <x:c r="D51" s="27"/>
      <x:c r="E51" s="27"/>
      <x:c r="F51" s="27"/>
      <x:c r="G51" s="27"/>
      <x:c r="H51" s="27"/>
      <x:c r="I51" s="27"/>
      <x:c r="J51" s="27"/>
      <x:c r="K51" s="27"/>
      <x:c r="L51" s="27"/>
      <x:c r="M51" s="27"/>
      <x:c r="N51" s="27"/>
      <x:c r="O51" s="27"/>
      <x:c r="P51" s="27"/>
      <x:c r="Q51" s="27"/>
      <x:c r="R51" s="27"/>
      <x:c r="S51" s="27"/>
      <x:c r="T51" s="27"/>
      <x:c r="U51" s="27"/>
      <x:c r="V51" s="27"/>
      <x:c r="W51" s="27"/>
      <x:c r="X51" s="27"/>
      <x:c r="Y51" s="27"/>
      <x:c r="Z51" s="27"/>
      <x:c r="AA51" s="27"/>
      <x:c r="AB51" s="27"/>
      <x:c r="AC51" s="27"/>
      <x:c r="AD51" s="27"/>
      <x:c r="AE51" s="27"/>
      <x:c r="AF51" s="27"/>
      <x:c r="AG51" s="27"/>
      <x:c r="AH51" s="27"/>
      <x:c r="AI51" s="27"/>
      <x:c r="AJ51" s="27"/>
      <x:c r="AK51" s="27"/>
      <x:c r="AL51" s="27"/>
      <x:c r="AM51" s="27"/>
      <x:c r="AN51" s="27"/>
      <x:c r="AO51" s="27"/>
      <x:c r="AP51" s="27"/>
      <x:c r="AQ51" s="27"/>
      <x:c r="AR51" s="27"/>
      <x:c r="AS51" s="27"/>
      <x:c r="AT51" s="27"/>
      <x:c r="AU51" s="27"/>
      <x:c r="AV51" s="27"/>
      <x:c r="AW51" s="27"/>
      <x:c r="AX51" s="27"/>
      <x:c r="AY51" s="27"/>
      <x:c r="AZ51" s="27"/>
    </x:row>
    <x:row r="52">
      <x:c r="A52" s="27"/>
      <x:c r="B52" s="27"/>
      <x:c r="C52" s="27"/>
      <x:c r="D52" s="27"/>
      <x:c r="E52" s="27"/>
      <x:c r="F52" s="27"/>
      <x:c r="G52" s="27"/>
      <x:c r="H52" s="27"/>
      <x:c r="I52" s="27"/>
      <x:c r="J52" s="27"/>
      <x:c r="K52" s="27"/>
      <x:c r="L52" s="27"/>
      <x:c r="M52" s="27"/>
      <x:c r="N52" s="27"/>
      <x:c r="O52" s="27"/>
      <x:c r="P52" s="27"/>
      <x:c r="Q52" s="27"/>
      <x:c r="R52" s="27"/>
      <x:c r="S52" s="27"/>
      <x:c r="T52" s="27"/>
      <x:c r="U52" s="27"/>
      <x:c r="V52" s="27"/>
      <x:c r="W52" s="27"/>
      <x:c r="X52" s="27"/>
      <x:c r="Y52" s="27"/>
      <x:c r="Z52" s="27"/>
      <x:c r="AA52" s="27"/>
      <x:c r="AB52" s="27"/>
      <x:c r="AC52" s="27"/>
      <x:c r="AD52" s="27"/>
      <x:c r="AE52" s="27"/>
      <x:c r="AF52" s="27"/>
      <x:c r="AG52" s="27"/>
      <x:c r="AH52" s="27"/>
      <x:c r="AI52" s="27"/>
      <x:c r="AJ52" s="27"/>
      <x:c r="AK52" s="27"/>
      <x:c r="AL52" s="27"/>
      <x:c r="AM52" s="27"/>
      <x:c r="AN52" s="27"/>
      <x:c r="AO52" s="27"/>
      <x:c r="AP52" s="27"/>
      <x:c r="AQ52" s="27"/>
      <x:c r="AR52" s="27"/>
      <x:c r="AS52" s="27"/>
      <x:c r="AT52" s="27"/>
      <x:c r="AU52" s="27"/>
      <x:c r="AV52" s="27"/>
      <x:c r="AW52" s="27"/>
      <x:c r="AX52" s="27"/>
      <x:c r="AY52" s="27"/>
      <x:c r="AZ52" s="27"/>
    </x:row>
    <x:row r="53">
      <x:c r="A53" s="27"/>
      <x:c r="B53" s="27"/>
      <x:c r="C53" s="27"/>
      <x:c r="D53" s="27"/>
      <x:c r="E53" s="27"/>
      <x:c r="F53" s="27"/>
      <x:c r="G53" s="27"/>
      <x:c r="H53" s="27"/>
      <x:c r="I53" s="27"/>
      <x:c r="J53" s="27"/>
      <x:c r="K53" s="27"/>
      <x:c r="L53" s="27"/>
      <x:c r="M53" s="27"/>
      <x:c r="N53" s="27"/>
      <x:c r="O53" s="27"/>
      <x:c r="P53" s="27"/>
      <x:c r="Q53" s="27"/>
      <x:c r="R53" s="27"/>
      <x:c r="S53" s="27"/>
      <x:c r="T53" s="27"/>
      <x:c r="U53" s="27"/>
      <x:c r="V53" s="27"/>
      <x:c r="W53" s="27"/>
      <x:c r="X53" s="27"/>
      <x:c r="Y53" s="27"/>
      <x:c r="Z53" s="27"/>
      <x:c r="AA53" s="27"/>
      <x:c r="AB53" s="27"/>
      <x:c r="AC53" s="27"/>
      <x:c r="AD53" s="27"/>
      <x:c r="AE53" s="27"/>
      <x:c r="AF53" s="27"/>
      <x:c r="AG53" s="27"/>
      <x:c r="AH53" s="27"/>
      <x:c r="AI53" s="27"/>
      <x:c r="AJ53" s="27"/>
      <x:c r="AK53" s="27"/>
      <x:c r="AL53" s="27"/>
      <x:c r="AM53" s="27"/>
      <x:c r="AN53" s="27"/>
      <x:c r="AO53" s="27"/>
      <x:c r="AP53" s="27"/>
      <x:c r="AQ53" s="27"/>
      <x:c r="AR53" s="27"/>
      <x:c r="AS53" s="27"/>
      <x:c r="AT53" s="27"/>
      <x:c r="AU53" s="27"/>
      <x:c r="AV53" s="27"/>
      <x:c r="AW53" s="27"/>
      <x:c r="AX53" s="27"/>
      <x:c r="AY53" s="27"/>
      <x:c r="AZ53" s="27"/>
    </x:row>
    <x:row r="54">
      <x:c r="A54" s="27"/>
      <x:c r="B54" s="27"/>
      <x:c r="C54" s="27"/>
      <x:c r="D54" s="27"/>
      <x:c r="E54" s="27"/>
      <x:c r="F54" s="27"/>
      <x:c r="G54" s="27"/>
      <x:c r="H54" s="27"/>
      <x:c r="I54" s="27"/>
      <x:c r="J54" s="27"/>
      <x:c r="K54" s="27"/>
      <x:c r="L54" s="27"/>
      <x:c r="M54" s="27"/>
      <x:c r="N54" s="27"/>
      <x:c r="O54" s="27"/>
      <x:c r="P54" s="27"/>
      <x:c r="Q54" s="27"/>
      <x:c r="R54" s="27"/>
      <x:c r="S54" s="27"/>
      <x:c r="T54" s="27"/>
      <x:c r="U54" s="27"/>
      <x:c r="V54" s="27"/>
      <x:c r="W54" s="27"/>
      <x:c r="X54" s="27"/>
      <x:c r="Y54" s="27"/>
      <x:c r="Z54" s="27"/>
      <x:c r="AA54" s="27"/>
      <x:c r="AB54" s="27"/>
      <x:c r="AC54" s="27"/>
      <x:c r="AD54" s="27"/>
      <x:c r="AE54" s="27"/>
      <x:c r="AF54" s="27"/>
      <x:c r="AG54" s="27"/>
      <x:c r="AH54" s="27"/>
      <x:c r="AI54" s="27"/>
      <x:c r="AJ54" s="27"/>
      <x:c r="AK54" s="27"/>
      <x:c r="AL54" s="27"/>
      <x:c r="AM54" s="27"/>
      <x:c r="AN54" s="27"/>
      <x:c r="AO54" s="27"/>
      <x:c r="AP54" s="27"/>
      <x:c r="AQ54" s="27"/>
      <x:c r="AR54" s="27"/>
      <x:c r="AS54" s="27"/>
      <x:c r="AT54" s="27"/>
      <x:c r="AU54" s="27"/>
      <x:c r="AV54" s="27"/>
      <x:c r="AW54" s="27"/>
      <x:c r="AX54" s="27"/>
      <x:c r="AY54" s="27"/>
      <x:c r="AZ54" s="27"/>
    </x:row>
    <x:row r="55">
      <x:c r="A55" s="27"/>
      <x:c r="B55" s="27"/>
      <x:c r="C55" s="27"/>
      <x:c r="D55" s="27"/>
      <x:c r="E55" s="27"/>
      <x:c r="F55" s="27"/>
      <x:c r="G55" s="27"/>
      <x:c r="H55" s="27"/>
      <x:c r="I55" s="27"/>
      <x:c r="J55" s="27"/>
      <x:c r="K55" s="27"/>
      <x:c r="L55" s="27"/>
      <x:c r="M55" s="27"/>
      <x:c r="N55" s="27"/>
      <x:c r="O55" s="27"/>
      <x:c r="P55" s="27"/>
      <x:c r="Q55" s="27"/>
      <x:c r="R55" s="27"/>
      <x:c r="S55" s="27"/>
      <x:c r="T55" s="27"/>
      <x:c r="U55" s="27"/>
      <x:c r="V55" s="27"/>
      <x:c r="W55" s="27"/>
      <x:c r="X55" s="27"/>
      <x:c r="Y55" s="27"/>
      <x:c r="Z55" s="27"/>
      <x:c r="AA55" s="27"/>
      <x:c r="AB55" s="27"/>
      <x:c r="AC55" s="27"/>
      <x:c r="AD55" s="27"/>
      <x:c r="AE55" s="27"/>
      <x:c r="AF55" s="27"/>
      <x:c r="AG55" s="27"/>
      <x:c r="AH55" s="27"/>
      <x:c r="AI55" s="27"/>
      <x:c r="AJ55" s="27"/>
      <x:c r="AK55" s="27"/>
      <x:c r="AL55" s="27"/>
      <x:c r="AM55" s="27"/>
      <x:c r="AN55" s="27"/>
      <x:c r="AO55" s="27"/>
      <x:c r="AP55" s="27"/>
      <x:c r="AQ55" s="27"/>
      <x:c r="AR55" s="27"/>
      <x:c r="AS55" s="27"/>
      <x:c r="AT55" s="27"/>
      <x:c r="AU55" s="27"/>
      <x:c r="AV55" s="27"/>
      <x:c r="AW55" s="27"/>
      <x:c r="AX55" s="27"/>
      <x:c r="AY55" s="27"/>
      <x:c r="AZ55" s="27"/>
    </x:row>
    <x:row r="56">
      <x:c r="A56" s="27"/>
      <x:c r="B56" s="27"/>
      <x:c r="C56" s="27"/>
      <x:c r="D56" s="27"/>
      <x:c r="E56" s="27"/>
      <x:c r="F56" s="27"/>
      <x:c r="G56" s="27"/>
      <x:c r="H56" s="27"/>
      <x:c r="I56" s="27"/>
      <x:c r="J56" s="27"/>
      <x:c r="K56" s="27"/>
      <x:c r="L56" s="27"/>
      <x:c r="M56" s="27"/>
      <x:c r="N56" s="27"/>
      <x:c r="O56" s="27"/>
      <x:c r="P56" s="27"/>
      <x:c r="Q56" s="27"/>
      <x:c r="R56" s="27"/>
      <x:c r="S56" s="27"/>
      <x:c r="T56" s="27"/>
      <x:c r="U56" s="27"/>
      <x:c r="V56" s="27"/>
      <x:c r="W56" s="27"/>
      <x:c r="X56" s="27"/>
      <x:c r="Y56" s="27"/>
      <x:c r="Z56" s="27"/>
      <x:c r="AA56" s="27"/>
      <x:c r="AB56" s="27"/>
      <x:c r="AC56" s="27"/>
      <x:c r="AD56" s="27"/>
      <x:c r="AE56" s="27"/>
      <x:c r="AF56" s="27"/>
      <x:c r="AG56" s="27"/>
      <x:c r="AH56" s="27"/>
      <x:c r="AI56" s="27"/>
      <x:c r="AJ56" s="27"/>
      <x:c r="AK56" s="27"/>
      <x:c r="AL56" s="27"/>
      <x:c r="AM56" s="27"/>
      <x:c r="AN56" s="27"/>
      <x:c r="AO56" s="27"/>
      <x:c r="AP56" s="27"/>
      <x:c r="AQ56" s="27"/>
      <x:c r="AR56" s="27"/>
      <x:c r="AS56" s="27"/>
      <x:c r="AT56" s="27"/>
      <x:c r="AU56" s="27"/>
      <x:c r="AV56" s="27"/>
      <x:c r="AW56" s="27"/>
      <x:c r="AX56" s="27"/>
      <x:c r="AY56" s="27"/>
      <x:c r="AZ56" s="27"/>
    </x:row>
    <x:row r="57">
      <x:c r="A57" s="27"/>
      <x:c r="B57" s="27"/>
      <x:c r="C57" s="27"/>
      <x:c r="D57" s="27"/>
      <x:c r="E57" s="27"/>
      <x:c r="F57" s="27"/>
      <x:c r="G57" s="27"/>
      <x:c r="H57" s="27"/>
      <x:c r="I57" s="27"/>
      <x:c r="J57" s="27"/>
      <x:c r="K57" s="27"/>
      <x:c r="L57" s="27"/>
      <x:c r="M57" s="27"/>
      <x:c r="N57" s="27"/>
      <x:c r="O57" s="27"/>
      <x:c r="P57" s="27"/>
      <x:c r="Q57" s="27"/>
      <x:c r="R57" s="27"/>
      <x:c r="S57" s="27"/>
      <x:c r="T57" s="27"/>
      <x:c r="U57" s="27"/>
      <x:c r="V57" s="27"/>
      <x:c r="W57" s="27"/>
      <x:c r="X57" s="27"/>
      <x:c r="Y57" s="27"/>
      <x:c r="Z57" s="27"/>
      <x:c r="AA57" s="27"/>
      <x:c r="AB57" s="27"/>
      <x:c r="AC57" s="27"/>
      <x:c r="AD57" s="27"/>
      <x:c r="AE57" s="27"/>
      <x:c r="AF57" s="27"/>
      <x:c r="AG57" s="27"/>
      <x:c r="AH57" s="27"/>
      <x:c r="AI57" s="27"/>
      <x:c r="AJ57" s="27"/>
      <x:c r="AK57" s="27"/>
      <x:c r="AL57" s="27"/>
      <x:c r="AM57" s="27"/>
      <x:c r="AN57" s="27"/>
      <x:c r="AO57" s="27"/>
      <x:c r="AP57" s="27"/>
      <x:c r="AQ57" s="27"/>
      <x:c r="AR57" s="27"/>
      <x:c r="AS57" s="27"/>
      <x:c r="AT57" s="27"/>
      <x:c r="AU57" s="27"/>
      <x:c r="AV57" s="27"/>
      <x:c r="AW57" s="27"/>
      <x:c r="AX57" s="27"/>
      <x:c r="AY57" s="27"/>
      <x:c r="AZ57" s="27"/>
    </x:row>
    <x:row r="58">
      <x:c r="A58" s="27"/>
      <x:c r="B58" s="27"/>
      <x:c r="C58" s="27"/>
      <x:c r="D58" s="27"/>
      <x:c r="E58" s="27"/>
      <x:c r="F58" s="27"/>
      <x:c r="G58" s="27"/>
      <x:c r="H58" s="27"/>
      <x:c r="I58" s="27"/>
      <x:c r="J58" s="27"/>
      <x:c r="K58" s="27"/>
      <x:c r="L58" s="27"/>
      <x:c r="M58" s="27"/>
      <x:c r="N58" s="27"/>
      <x:c r="O58" s="27"/>
      <x:c r="P58" s="27"/>
      <x:c r="Q58" s="27"/>
      <x:c r="R58" s="27"/>
      <x:c r="S58" s="27"/>
      <x:c r="T58" s="27"/>
      <x:c r="U58" s="27"/>
      <x:c r="V58" s="27"/>
      <x:c r="W58" s="27"/>
      <x:c r="X58" s="27"/>
      <x:c r="Y58" s="27"/>
      <x:c r="Z58" s="27"/>
      <x:c r="AA58" s="27"/>
      <x:c r="AB58" s="27"/>
      <x:c r="AC58" s="27"/>
      <x:c r="AD58" s="27"/>
      <x:c r="AE58" s="27"/>
      <x:c r="AF58" s="27"/>
      <x:c r="AG58" s="27"/>
      <x:c r="AH58" s="27"/>
      <x:c r="AI58" s="27"/>
      <x:c r="AJ58" s="27"/>
      <x:c r="AK58" s="27"/>
      <x:c r="AL58" s="27"/>
      <x:c r="AM58" s="27"/>
      <x:c r="AN58" s="27"/>
      <x:c r="AO58" s="27"/>
      <x:c r="AP58" s="27"/>
      <x:c r="AQ58" s="27"/>
      <x:c r="AR58" s="27"/>
      <x:c r="AS58" s="27"/>
      <x:c r="AT58" s="27"/>
      <x:c r="AU58" s="27"/>
      <x:c r="AV58" s="27"/>
      <x:c r="AW58" s="27"/>
      <x:c r="AX58" s="27"/>
      <x:c r="AY58" s="27"/>
      <x:c r="AZ58" s="27"/>
    </x:row>
    <x:row r="59">
      <x:c r="A59" s="27"/>
      <x:c r="B59" s="27"/>
      <x:c r="C59" s="27"/>
      <x:c r="D59" s="27"/>
      <x:c r="E59" s="27"/>
      <x:c r="F59" s="27"/>
      <x:c r="G59" s="27"/>
      <x:c r="H59" s="27"/>
      <x:c r="I59" s="27"/>
      <x:c r="J59" s="27"/>
      <x:c r="K59" s="27"/>
      <x:c r="L59" s="27"/>
      <x:c r="M59" s="27"/>
      <x:c r="N59" s="27"/>
      <x:c r="O59" s="27"/>
      <x:c r="P59" s="27"/>
      <x:c r="Q59" s="27"/>
      <x:c r="R59" s="27"/>
      <x:c r="S59" s="27"/>
      <x:c r="T59" s="27"/>
      <x:c r="U59" s="27"/>
      <x:c r="V59" s="27"/>
      <x:c r="W59" s="27"/>
      <x:c r="X59" s="27"/>
      <x:c r="Y59" s="27"/>
      <x:c r="Z59" s="27"/>
      <x:c r="AA59" s="27"/>
      <x:c r="AB59" s="27"/>
      <x:c r="AC59" s="27"/>
      <x:c r="AD59" s="27"/>
      <x:c r="AE59" s="27"/>
      <x:c r="AF59" s="27"/>
      <x:c r="AG59" s="27"/>
      <x:c r="AH59" s="27"/>
      <x:c r="AI59" s="27"/>
      <x:c r="AJ59" s="27"/>
      <x:c r="AK59" s="27"/>
      <x:c r="AL59" s="27"/>
      <x:c r="AM59" s="27"/>
      <x:c r="AN59" s="27"/>
      <x:c r="AO59" s="27"/>
      <x:c r="AP59" s="27"/>
      <x:c r="AQ59" s="27"/>
      <x:c r="AR59" s="27"/>
      <x:c r="AS59" s="27"/>
      <x:c r="AT59" s="27"/>
      <x:c r="AU59" s="27"/>
      <x:c r="AV59" s="27"/>
      <x:c r="AW59" s="27"/>
      <x:c r="AX59" s="27"/>
      <x:c r="AY59" s="27"/>
      <x:c r="AZ59" s="27"/>
    </x:row>
    <x:row r="60">
      <x:c r="A60" s="27"/>
      <x:c r="B60" s="27"/>
      <x:c r="C60" s="27"/>
      <x:c r="D60" s="27"/>
      <x:c r="E60" s="27"/>
      <x:c r="F60" s="27"/>
      <x:c r="G60" s="27"/>
      <x:c r="H60" s="27"/>
      <x:c r="I60" s="27"/>
      <x:c r="J60" s="27"/>
      <x:c r="K60" s="27"/>
      <x:c r="L60" s="27"/>
      <x:c r="M60" s="27"/>
      <x:c r="N60" s="27"/>
      <x:c r="O60" s="27"/>
      <x:c r="P60" s="27"/>
      <x:c r="Q60" s="27"/>
      <x:c r="R60" s="27"/>
      <x:c r="S60" s="27"/>
      <x:c r="T60" s="27"/>
      <x:c r="U60" s="27"/>
      <x:c r="V60" s="27"/>
      <x:c r="W60" s="27"/>
      <x:c r="X60" s="27"/>
      <x:c r="Y60" s="27"/>
      <x:c r="Z60" s="27"/>
      <x:c r="AA60" s="27"/>
      <x:c r="AB60" s="27"/>
      <x:c r="AC60" s="27"/>
      <x:c r="AD60" s="27"/>
      <x:c r="AE60" s="27"/>
      <x:c r="AF60" s="27"/>
      <x:c r="AG60" s="27"/>
      <x:c r="AH60" s="27"/>
      <x:c r="AI60" s="27"/>
      <x:c r="AJ60" s="27"/>
      <x:c r="AK60" s="27"/>
      <x:c r="AL60" s="27"/>
      <x:c r="AM60" s="27"/>
      <x:c r="AN60" s="27"/>
      <x:c r="AO60" s="27"/>
      <x:c r="AP60" s="27"/>
      <x:c r="AQ60" s="27"/>
      <x:c r="AR60" s="27"/>
      <x:c r="AS60" s="27"/>
      <x:c r="AT60" s="27"/>
      <x:c r="AU60" s="27"/>
      <x:c r="AV60" s="27"/>
      <x:c r="AW60" s="27"/>
      <x:c r="AX60" s="27"/>
      <x:c r="AY60" s="27"/>
      <x:c r="AZ60" s="27"/>
    </x:row>
    <x:row r="61">
      <x:c r="A61" s="27"/>
      <x:c r="B61" s="27"/>
      <x:c r="C61" s="27"/>
      <x:c r="D61" s="27"/>
      <x:c r="E61" s="27"/>
      <x:c r="F61" s="27"/>
      <x:c r="G61" s="27"/>
      <x:c r="H61" s="27"/>
      <x:c r="I61" s="27"/>
      <x:c r="J61" s="27"/>
      <x:c r="K61" s="27"/>
      <x:c r="L61" s="27"/>
      <x:c r="M61" s="27"/>
      <x:c r="N61" s="27"/>
      <x:c r="O61" s="27"/>
      <x:c r="P61" s="27"/>
      <x:c r="Q61" s="27"/>
      <x:c r="R61" s="27"/>
      <x:c r="S61" s="27"/>
      <x:c r="T61" s="27"/>
      <x:c r="U61" s="27"/>
      <x:c r="V61" s="27"/>
      <x:c r="W61" s="27"/>
      <x:c r="X61" s="27"/>
      <x:c r="Y61" s="27"/>
      <x:c r="Z61" s="27"/>
      <x:c r="AA61" s="27"/>
      <x:c r="AB61" s="27"/>
      <x:c r="AC61" s="27"/>
      <x:c r="AD61" s="27"/>
      <x:c r="AE61" s="27"/>
      <x:c r="AF61" s="27"/>
      <x:c r="AG61" s="27"/>
      <x:c r="AH61" s="27"/>
      <x:c r="AI61" s="27"/>
      <x:c r="AJ61" s="27"/>
      <x:c r="AK61" s="27"/>
      <x:c r="AL61" s="27"/>
      <x:c r="AM61" s="27"/>
      <x:c r="AN61" s="27"/>
      <x:c r="AO61" s="27"/>
      <x:c r="AP61" s="27"/>
      <x:c r="AQ61" s="27"/>
      <x:c r="AR61" s="27"/>
      <x:c r="AS61" s="27"/>
      <x:c r="AT61" s="27"/>
      <x:c r="AU61" s="27"/>
      <x:c r="AV61" s="27"/>
      <x:c r="AW61" s="27"/>
      <x:c r="AX61" s="27"/>
      <x:c r="AY61" s="27"/>
      <x:c r="AZ61" s="27"/>
    </x:row>
    <x:row r="62">
      <x:c r="A62" s="27"/>
      <x:c r="B62" s="27"/>
      <x:c r="C62" s="27"/>
      <x:c r="D62" s="27"/>
      <x:c r="E62" s="27"/>
      <x:c r="F62" s="27"/>
      <x:c r="G62" s="27"/>
      <x:c r="H62" s="27"/>
      <x:c r="I62" s="27"/>
      <x:c r="J62" s="27"/>
      <x:c r="K62" s="27"/>
      <x:c r="L62" s="27"/>
      <x:c r="M62" s="27"/>
      <x:c r="N62" s="27"/>
      <x:c r="O62" s="27"/>
      <x:c r="P62" s="27"/>
      <x:c r="Q62" s="27"/>
      <x:c r="R62" s="27"/>
      <x:c r="S62" s="27"/>
      <x:c r="T62" s="27"/>
      <x:c r="U62" s="27"/>
      <x:c r="V62" s="27"/>
      <x:c r="W62" s="27"/>
      <x:c r="X62" s="27"/>
      <x:c r="Y62" s="27"/>
      <x:c r="Z62" s="27"/>
      <x:c r="AA62" s="27"/>
      <x:c r="AB62" s="27"/>
      <x:c r="AC62" s="27"/>
      <x:c r="AD62" s="27"/>
      <x:c r="AE62" s="27"/>
      <x:c r="AF62" s="27"/>
      <x:c r="AG62" s="27"/>
      <x:c r="AH62" s="27"/>
      <x:c r="AI62" s="27"/>
      <x:c r="AJ62" s="27"/>
      <x:c r="AK62" s="27"/>
      <x:c r="AL62" s="27"/>
      <x:c r="AM62" s="27"/>
      <x:c r="AN62" s="27"/>
      <x:c r="AO62" s="27"/>
      <x:c r="AP62" s="27"/>
      <x:c r="AQ62" s="27"/>
      <x:c r="AR62" s="27"/>
      <x:c r="AS62" s="27"/>
      <x:c r="AT62" s="27"/>
      <x:c r="AU62" s="27"/>
      <x:c r="AV62" s="27"/>
      <x:c r="AW62" s="27"/>
      <x:c r="AX62" s="27"/>
      <x:c r="AY62" s="27"/>
      <x:c r="AZ62" s="27"/>
    </x:row>
    <x:row r="63">
      <x:c r="A63" s="27"/>
      <x:c r="B63" s="27"/>
      <x:c r="C63" s="27"/>
      <x:c r="D63" s="27"/>
      <x:c r="E63" s="27"/>
      <x:c r="F63" s="27"/>
      <x:c r="G63" s="27"/>
      <x:c r="H63" s="27"/>
      <x:c r="I63" s="27"/>
      <x:c r="J63" s="27"/>
      <x:c r="K63" s="27"/>
      <x:c r="L63" s="27"/>
      <x:c r="M63" s="27"/>
      <x:c r="N63" s="27"/>
      <x:c r="O63" s="27"/>
      <x:c r="P63" s="27"/>
      <x:c r="Q63" s="27"/>
      <x:c r="R63" s="27"/>
      <x:c r="S63" s="27"/>
      <x:c r="T63" s="27"/>
      <x:c r="U63" s="27"/>
      <x:c r="V63" s="27"/>
      <x:c r="W63" s="27"/>
      <x:c r="X63" s="27"/>
      <x:c r="Y63" s="27"/>
      <x:c r="Z63" s="27"/>
      <x:c r="AA63" s="27"/>
      <x:c r="AB63" s="27"/>
      <x:c r="AC63" s="27"/>
      <x:c r="AD63" s="27"/>
      <x:c r="AE63" s="27"/>
      <x:c r="AF63" s="27"/>
      <x:c r="AG63" s="27"/>
      <x:c r="AH63" s="27"/>
      <x:c r="AI63" s="27"/>
      <x:c r="AJ63" s="27"/>
      <x:c r="AK63" s="27"/>
      <x:c r="AL63" s="27"/>
      <x:c r="AM63" s="27"/>
      <x:c r="AN63" s="27"/>
      <x:c r="AO63" s="27"/>
      <x:c r="AP63" s="27"/>
      <x:c r="AQ63" s="27"/>
      <x:c r="AR63" s="27"/>
      <x:c r="AS63" s="27"/>
      <x:c r="AT63" s="27"/>
      <x:c r="AU63" s="27"/>
      <x:c r="AV63" s="27"/>
      <x:c r="AW63" s="27"/>
      <x:c r="AX63" s="27"/>
      <x:c r="AY63" s="27"/>
      <x:c r="AZ63" s="27"/>
    </x:row>
    <x:row r="64">
      <x:c r="A64" s="27"/>
      <x:c r="B64" s="27"/>
      <x:c r="C64" s="27"/>
      <x:c r="D64" s="27"/>
      <x:c r="E64" s="27"/>
      <x:c r="F64" s="27"/>
      <x:c r="G64" s="27"/>
      <x:c r="H64" s="27"/>
      <x:c r="I64" s="27"/>
      <x:c r="J64" s="27"/>
      <x:c r="K64" s="27"/>
      <x:c r="L64" s="27"/>
      <x:c r="M64" s="27"/>
      <x:c r="N64" s="27"/>
      <x:c r="O64" s="27"/>
      <x:c r="P64" s="27"/>
      <x:c r="Q64" s="27"/>
      <x:c r="R64" s="27"/>
      <x:c r="S64" s="27"/>
      <x:c r="T64" s="27"/>
      <x:c r="U64" s="27"/>
      <x:c r="V64" s="27"/>
      <x:c r="W64" s="27"/>
      <x:c r="X64" s="27"/>
      <x:c r="Y64" s="27"/>
      <x:c r="Z64" s="27"/>
      <x:c r="AA64" s="27"/>
      <x:c r="AB64" s="27"/>
      <x:c r="AC64" s="27"/>
      <x:c r="AD64" s="27"/>
      <x:c r="AE64" s="27"/>
      <x:c r="AF64" s="27"/>
      <x:c r="AG64" s="27"/>
      <x:c r="AH64" s="27"/>
      <x:c r="AI64" s="27"/>
      <x:c r="AJ64" s="27"/>
      <x:c r="AK64" s="27"/>
      <x:c r="AL64" s="27"/>
      <x:c r="AM64" s="27"/>
      <x:c r="AN64" s="27"/>
      <x:c r="AO64" s="27"/>
      <x:c r="AP64" s="27"/>
      <x:c r="AQ64" s="27"/>
      <x:c r="AR64" s="27"/>
      <x:c r="AS64" s="27"/>
      <x:c r="AT64" s="27"/>
      <x:c r="AU64" s="27"/>
      <x:c r="AV64" s="27"/>
      <x:c r="AW64" s="27"/>
      <x:c r="AX64" s="27"/>
      <x:c r="AY64" s="27"/>
      <x:c r="AZ64" s="27"/>
    </x:row>
    <x:row r="65">
      <x:c r="A65" s="27"/>
      <x:c r="B65" s="27"/>
      <x:c r="C65" s="27"/>
      <x:c r="D65" s="27"/>
      <x:c r="E65" s="27"/>
      <x:c r="F65" s="27"/>
      <x:c r="G65" s="27"/>
      <x:c r="H65" s="27"/>
      <x:c r="I65" s="27"/>
      <x:c r="J65" s="27"/>
      <x:c r="K65" s="27"/>
      <x:c r="L65" s="27"/>
      <x:c r="M65" s="27"/>
      <x:c r="N65" s="27"/>
      <x:c r="O65" s="27"/>
      <x:c r="P65" s="27"/>
      <x:c r="Q65" s="27"/>
      <x:c r="R65" s="27"/>
      <x:c r="S65" s="27"/>
      <x:c r="T65" s="27"/>
      <x:c r="U65" s="27"/>
      <x:c r="V65" s="27"/>
      <x:c r="W65" s="27"/>
      <x:c r="X65" s="27"/>
      <x:c r="Y65" s="27"/>
      <x:c r="Z65" s="27"/>
      <x:c r="AA65" s="27"/>
      <x:c r="AB65" s="27"/>
      <x:c r="AC65" s="27"/>
      <x:c r="AD65" s="27"/>
      <x:c r="AE65" s="27"/>
      <x:c r="AF65" s="27"/>
      <x:c r="AG65" s="27"/>
      <x:c r="AH65" s="27"/>
      <x:c r="AI65" s="27"/>
      <x:c r="AJ65" s="27"/>
      <x:c r="AK65" s="27"/>
      <x:c r="AL65" s="27"/>
      <x:c r="AM65" s="27"/>
      <x:c r="AN65" s="27"/>
      <x:c r="AO65" s="27"/>
      <x:c r="AP65" s="27"/>
      <x:c r="AQ65" s="27"/>
      <x:c r="AR65" s="27"/>
      <x:c r="AS65" s="27"/>
      <x:c r="AT65" s="27"/>
      <x:c r="AU65" s="27"/>
      <x:c r="AV65" s="27"/>
      <x:c r="AW65" s="27"/>
      <x:c r="AX65" s="27"/>
      <x:c r="AY65" s="27"/>
      <x:c r="AZ65" s="27"/>
    </x:row>
    <x:row r="66">
      <x:c r="A66" s="27"/>
      <x:c r="B66" s="27"/>
      <x:c r="C66" s="27"/>
      <x:c r="D66" s="27"/>
      <x:c r="E66" s="27"/>
      <x:c r="F66" s="27"/>
      <x:c r="G66" s="27"/>
      <x:c r="H66" s="27"/>
      <x:c r="I66" s="27"/>
      <x:c r="J66" s="27"/>
      <x:c r="K66" s="27"/>
      <x:c r="L66" s="27"/>
      <x:c r="M66" s="27"/>
      <x:c r="N66" s="27"/>
      <x:c r="O66" s="27"/>
      <x:c r="P66" s="27"/>
      <x:c r="Q66" s="27"/>
      <x:c r="R66" s="27"/>
      <x:c r="S66" s="27"/>
      <x:c r="T66" s="27"/>
      <x:c r="U66" s="27"/>
      <x:c r="V66" s="27"/>
      <x:c r="W66" s="27"/>
      <x:c r="X66" s="27"/>
      <x:c r="Y66" s="27"/>
      <x:c r="Z66" s="27"/>
      <x:c r="AA66" s="27"/>
      <x:c r="AB66" s="27"/>
      <x:c r="AC66" s="27"/>
      <x:c r="AD66" s="27"/>
      <x:c r="AE66" s="27"/>
      <x:c r="AF66" s="27"/>
      <x:c r="AG66" s="27"/>
      <x:c r="AH66" s="27"/>
      <x:c r="AI66" s="27"/>
      <x:c r="AJ66" s="27"/>
      <x:c r="AK66" s="27"/>
      <x:c r="AL66" s="27"/>
      <x:c r="AM66" s="27"/>
      <x:c r="AN66" s="27"/>
      <x:c r="AO66" s="27"/>
      <x:c r="AP66" s="27"/>
      <x:c r="AQ66" s="27"/>
      <x:c r="AR66" s="27"/>
      <x:c r="AS66" s="27"/>
      <x:c r="AT66" s="27"/>
      <x:c r="AU66" s="27"/>
      <x:c r="AV66" s="27"/>
      <x:c r="AW66" s="27"/>
      <x:c r="AX66" s="27"/>
      <x:c r="AY66" s="27"/>
      <x:c r="AZ66" s="27"/>
    </x:row>
    <x:row r="67">
      <x:c r="A67" s="27"/>
      <x:c r="B67" s="27"/>
      <x:c r="C67" s="27"/>
      <x:c r="D67" s="27"/>
      <x:c r="E67" s="27"/>
      <x:c r="F67" s="27"/>
      <x:c r="G67" s="27"/>
      <x:c r="H67" s="27"/>
      <x:c r="I67" s="27"/>
      <x:c r="J67" s="27"/>
      <x:c r="K67" s="27"/>
      <x:c r="L67" s="27"/>
      <x:c r="M67" s="27"/>
      <x:c r="N67" s="27"/>
      <x:c r="O67" s="27"/>
      <x:c r="P67" s="27"/>
      <x:c r="Q67" s="27"/>
      <x:c r="R67" s="27"/>
      <x:c r="S67" s="27"/>
      <x:c r="T67" s="27"/>
      <x:c r="U67" s="27"/>
      <x:c r="V67" s="27"/>
      <x:c r="W67" s="27"/>
      <x:c r="X67" s="27"/>
      <x:c r="Y67" s="27"/>
      <x:c r="Z67" s="27"/>
      <x:c r="AA67" s="27"/>
      <x:c r="AB67" s="27"/>
      <x:c r="AC67" s="27"/>
      <x:c r="AD67" s="27"/>
      <x:c r="AE67" s="27"/>
      <x:c r="AF67" s="27"/>
      <x:c r="AG67" s="27"/>
      <x:c r="AH67" s="27"/>
      <x:c r="AI67" s="27"/>
      <x:c r="AJ67" s="27"/>
      <x:c r="AK67" s="27"/>
      <x:c r="AL67" s="27"/>
      <x:c r="AM67" s="27"/>
      <x:c r="AN67" s="27"/>
      <x:c r="AO67" s="27"/>
      <x:c r="AP67" s="27"/>
      <x:c r="AQ67" s="27"/>
      <x:c r="AR67" s="27"/>
      <x:c r="AS67" s="27"/>
      <x:c r="AT67" s="27"/>
      <x:c r="AU67" s="27"/>
      <x:c r="AV67" s="27"/>
      <x:c r="AW67" s="27"/>
      <x:c r="AX67" s="27"/>
      <x:c r="AY67" s="27"/>
      <x:c r="AZ67" s="27"/>
    </x:row>
    <x:row r="68">
      <x:c r="A68" s="27"/>
      <x:c r="B68" s="27"/>
      <x:c r="C68" s="27"/>
      <x:c r="D68" s="27"/>
      <x:c r="E68" s="27"/>
      <x:c r="F68" s="27"/>
      <x:c r="G68" s="27"/>
      <x:c r="H68" s="27"/>
      <x:c r="I68" s="27"/>
      <x:c r="J68" s="27"/>
      <x:c r="K68" s="27"/>
      <x:c r="L68" s="27"/>
      <x:c r="M68" s="27"/>
      <x:c r="N68" s="27"/>
      <x:c r="O68" s="27"/>
      <x:c r="P68" s="27"/>
      <x:c r="Q68" s="27"/>
      <x:c r="R68" s="27"/>
      <x:c r="S68" s="27"/>
      <x:c r="T68" s="27"/>
      <x:c r="U68" s="27"/>
      <x:c r="V68" s="27"/>
      <x:c r="W68" s="27"/>
      <x:c r="X68" s="27"/>
      <x:c r="Y68" s="27"/>
      <x:c r="Z68" s="27"/>
      <x:c r="AA68" s="27"/>
      <x:c r="AB68" s="27"/>
      <x:c r="AC68" s="27"/>
      <x:c r="AD68" s="27"/>
      <x:c r="AE68" s="27"/>
      <x:c r="AF68" s="27"/>
      <x:c r="AG68" s="27"/>
      <x:c r="AH68" s="27"/>
      <x:c r="AI68" s="27"/>
      <x:c r="AJ68" s="27"/>
      <x:c r="AK68" s="27"/>
      <x:c r="AL68" s="27"/>
      <x:c r="AM68" s="27"/>
      <x:c r="AN68" s="27"/>
      <x:c r="AO68" s="27"/>
      <x:c r="AP68" s="27"/>
      <x:c r="AQ68" s="27"/>
      <x:c r="AR68" s="27"/>
      <x:c r="AS68" s="27"/>
      <x:c r="AT68" s="27"/>
      <x:c r="AU68" s="27"/>
      <x:c r="AV68" s="27"/>
      <x:c r="AW68" s="27"/>
      <x:c r="AX68" s="27"/>
      <x:c r="AY68" s="27"/>
      <x:c r="AZ68" s="27"/>
    </x:row>
    <x:row r="69">
      <x:c r="A69" s="27"/>
      <x:c r="B69" s="27"/>
      <x:c r="C69" s="27"/>
      <x:c r="D69" s="27"/>
      <x:c r="E69" s="27"/>
      <x:c r="F69" s="27"/>
      <x:c r="G69" s="27"/>
      <x:c r="H69" s="27"/>
      <x:c r="I69" s="27"/>
      <x:c r="J69" s="27"/>
      <x:c r="K69" s="27"/>
      <x:c r="L69" s="27"/>
      <x:c r="M69" s="27"/>
      <x:c r="N69" s="27"/>
      <x:c r="O69" s="27"/>
      <x:c r="P69" s="27"/>
      <x:c r="Q69" s="27"/>
      <x:c r="R69" s="27"/>
      <x:c r="S69" s="27"/>
      <x:c r="T69" s="27"/>
      <x:c r="U69" s="27"/>
      <x:c r="V69" s="27"/>
      <x:c r="W69" s="27"/>
      <x:c r="X69" s="27"/>
      <x:c r="Y69" s="27"/>
      <x:c r="Z69" s="27"/>
      <x:c r="AA69" s="27"/>
      <x:c r="AB69" s="27"/>
      <x:c r="AC69" s="27"/>
      <x:c r="AD69" s="27"/>
      <x:c r="AE69" s="27"/>
      <x:c r="AF69" s="27"/>
      <x:c r="AG69" s="27"/>
      <x:c r="AH69" s="27"/>
      <x:c r="AI69" s="27"/>
      <x:c r="AJ69" s="27"/>
      <x:c r="AK69" s="27"/>
      <x:c r="AL69" s="27"/>
      <x:c r="AM69" s="27"/>
      <x:c r="AN69" s="27"/>
      <x:c r="AO69" s="27"/>
      <x:c r="AP69" s="27"/>
      <x:c r="AQ69" s="27"/>
      <x:c r="AR69" s="27"/>
      <x:c r="AS69" s="27"/>
      <x:c r="AT69" s="27"/>
      <x:c r="AU69" s="27"/>
      <x:c r="AV69" s="27"/>
      <x:c r="AW69" s="27"/>
      <x:c r="AX69" s="27"/>
      <x:c r="AY69" s="27"/>
      <x:c r="AZ69" s="27"/>
    </x:row>
    <x:row r="70">
      <x:c r="A70" s="27"/>
      <x:c r="B70" s="27"/>
      <x:c r="C70" s="27"/>
      <x:c r="D70" s="27"/>
      <x:c r="E70" s="27"/>
      <x:c r="F70" s="27"/>
      <x:c r="G70" s="27"/>
      <x:c r="H70" s="27"/>
      <x:c r="I70" s="27"/>
      <x:c r="J70" s="27"/>
      <x:c r="K70" s="27"/>
      <x:c r="L70" s="27"/>
      <x:c r="M70" s="27"/>
      <x:c r="N70" s="27"/>
      <x:c r="O70" s="27"/>
      <x:c r="P70" s="27"/>
      <x:c r="Q70" s="27"/>
      <x:c r="R70" s="27"/>
      <x:c r="S70" s="27"/>
      <x:c r="T70" s="27"/>
      <x:c r="U70" s="27"/>
      <x:c r="V70" s="27"/>
      <x:c r="W70" s="27"/>
      <x:c r="X70" s="27"/>
      <x:c r="Y70" s="27"/>
      <x:c r="Z70" s="27"/>
      <x:c r="AA70" s="27"/>
      <x:c r="AB70" s="27"/>
      <x:c r="AC70" s="27"/>
      <x:c r="AD70" s="27"/>
      <x:c r="AE70" s="27"/>
      <x:c r="AF70" s="27"/>
      <x:c r="AG70" s="27"/>
      <x:c r="AH70" s="27"/>
      <x:c r="AI70" s="27"/>
      <x:c r="AJ70" s="27"/>
      <x:c r="AK70" s="27"/>
      <x:c r="AL70" s="27"/>
      <x:c r="AM70" s="27"/>
      <x:c r="AN70" s="27"/>
      <x:c r="AO70" s="27"/>
      <x:c r="AP70" s="27"/>
      <x:c r="AQ70" s="27"/>
      <x:c r="AR70" s="27"/>
      <x:c r="AS70" s="27"/>
      <x:c r="AT70" s="27"/>
      <x:c r="AU70" s="27"/>
      <x:c r="AV70" s="27"/>
      <x:c r="AW70" s="27"/>
      <x:c r="AX70" s="27"/>
      <x:c r="AY70" s="27"/>
      <x:c r="AZ70" s="27"/>
    </x:row>
    <x:row r="71">
      <x:c r="A71" s="27"/>
      <x:c r="B71" s="27"/>
      <x:c r="C71" s="27"/>
      <x:c r="D71" s="27"/>
      <x:c r="E71" s="27"/>
      <x:c r="F71" s="27"/>
      <x:c r="G71" s="27"/>
      <x:c r="H71" s="27"/>
      <x:c r="I71" s="27"/>
      <x:c r="J71" s="27"/>
      <x:c r="K71" s="27"/>
      <x:c r="L71" s="27"/>
      <x:c r="M71" s="27"/>
      <x:c r="N71" s="27"/>
      <x:c r="O71" s="27"/>
      <x:c r="P71" s="27"/>
      <x:c r="Q71" s="27"/>
      <x:c r="R71" s="27"/>
      <x:c r="S71" s="27"/>
      <x:c r="T71" s="27"/>
      <x:c r="U71" s="27"/>
      <x:c r="V71" s="27"/>
      <x:c r="W71" s="27"/>
      <x:c r="X71" s="27"/>
      <x:c r="Y71" s="27"/>
      <x:c r="Z71" s="27"/>
      <x:c r="AA71" s="27"/>
      <x:c r="AB71" s="27"/>
      <x:c r="AC71" s="27"/>
      <x:c r="AD71" s="27"/>
      <x:c r="AE71" s="27"/>
      <x:c r="AF71" s="27"/>
      <x:c r="AG71" s="27"/>
      <x:c r="AH71" s="27"/>
      <x:c r="AI71" s="27"/>
      <x:c r="AJ71" s="27"/>
      <x:c r="AK71" s="27"/>
      <x:c r="AL71" s="27"/>
      <x:c r="AM71" s="27"/>
      <x:c r="AN71" s="27"/>
      <x:c r="AO71" s="27"/>
      <x:c r="AP71" s="27"/>
      <x:c r="AQ71" s="27"/>
      <x:c r="AR71" s="27"/>
      <x:c r="AS71" s="27"/>
      <x:c r="AT71" s="27"/>
      <x:c r="AU71" s="27"/>
      <x:c r="AV71" s="27"/>
      <x:c r="AW71" s="27"/>
      <x:c r="AX71" s="27"/>
      <x:c r="AY71" s="27"/>
      <x:c r="AZ71" s="27"/>
    </x:row>
    <x:row r="72">
      <x:c r="A72" s="27"/>
      <x:c r="B72" s="27"/>
      <x:c r="C72" s="27"/>
      <x:c r="D72" s="27"/>
      <x:c r="E72" s="27"/>
      <x:c r="F72" s="27"/>
      <x:c r="G72" s="27"/>
      <x:c r="H72" s="27"/>
      <x:c r="I72" s="27"/>
      <x:c r="J72" s="27"/>
      <x:c r="K72" s="27"/>
      <x:c r="L72" s="27"/>
      <x:c r="M72" s="27"/>
      <x:c r="N72" s="27"/>
      <x:c r="O72" s="27"/>
      <x:c r="P72" s="27"/>
      <x:c r="Q72" s="27"/>
      <x:c r="R72" s="27"/>
      <x:c r="S72" s="27"/>
      <x:c r="T72" s="27"/>
      <x:c r="U72" s="27"/>
      <x:c r="V72" s="27"/>
      <x:c r="W72" s="27"/>
      <x:c r="X72" s="27"/>
      <x:c r="Y72" s="27"/>
      <x:c r="Z72" s="27"/>
      <x:c r="AA72" s="27"/>
      <x:c r="AB72" s="27"/>
      <x:c r="AC72" s="27"/>
      <x:c r="AD72" s="27"/>
      <x:c r="AE72" s="27"/>
      <x:c r="AF72" s="27"/>
      <x:c r="AG72" s="27"/>
      <x:c r="AH72" s="27"/>
      <x:c r="AI72" s="27"/>
      <x:c r="AJ72" s="27"/>
      <x:c r="AK72" s="27"/>
      <x:c r="AL72" s="27"/>
      <x:c r="AM72" s="27"/>
      <x:c r="AN72" s="27"/>
      <x:c r="AO72" s="27"/>
      <x:c r="AP72" s="27"/>
      <x:c r="AQ72" s="27"/>
      <x:c r="AR72" s="27"/>
      <x:c r="AS72" s="27"/>
      <x:c r="AT72" s="27"/>
      <x:c r="AU72" s="27"/>
      <x:c r="AV72" s="27"/>
      <x:c r="AW72" s="27"/>
      <x:c r="AX72" s="27"/>
      <x:c r="AY72" s="27"/>
      <x:c r="AZ72" s="27"/>
    </x:row>
    <x:row r="73">
      <x:c r="A73" s="27"/>
      <x:c r="B73" s="27"/>
      <x:c r="C73" s="27"/>
      <x:c r="D73" s="27"/>
      <x:c r="E73" s="27"/>
      <x:c r="F73" s="27"/>
      <x:c r="G73" s="27"/>
      <x:c r="H73" s="27"/>
      <x:c r="I73" s="27"/>
      <x:c r="J73" s="27"/>
      <x:c r="K73" s="27"/>
      <x:c r="L73" s="27"/>
      <x:c r="M73" s="27"/>
      <x:c r="N73" s="27"/>
      <x:c r="O73" s="27"/>
      <x:c r="P73" s="27"/>
      <x:c r="Q73" s="27"/>
      <x:c r="R73" s="27"/>
      <x:c r="S73" s="27"/>
      <x:c r="T73" s="27"/>
      <x:c r="U73" s="27"/>
      <x:c r="V73" s="27"/>
      <x:c r="W73" s="27"/>
      <x:c r="X73" s="27"/>
      <x:c r="Y73" s="27"/>
      <x:c r="Z73" s="27"/>
      <x:c r="AA73" s="27"/>
      <x:c r="AB73" s="27"/>
      <x:c r="AC73" s="27"/>
      <x:c r="AD73" s="27"/>
      <x:c r="AE73" s="27"/>
      <x:c r="AF73" s="27"/>
      <x:c r="AG73" s="27"/>
      <x:c r="AH73" s="27"/>
      <x:c r="AI73" s="27"/>
      <x:c r="AJ73" s="27"/>
      <x:c r="AK73" s="27"/>
      <x:c r="AL73" s="27"/>
      <x:c r="AM73" s="27"/>
      <x:c r="AN73" s="27"/>
      <x:c r="AO73" s="27"/>
      <x:c r="AP73" s="27"/>
      <x:c r="AQ73" s="27"/>
      <x:c r="AR73" s="27"/>
      <x:c r="AS73" s="27"/>
      <x:c r="AT73" s="27"/>
      <x:c r="AU73" s="27"/>
      <x:c r="AV73" s="27"/>
      <x:c r="AW73" s="27"/>
      <x:c r="AX73" s="27"/>
      <x:c r="AY73" s="27"/>
      <x:c r="AZ73" s="27"/>
    </x:row>
    <x:row r="74">
      <x:c r="A74" s="27"/>
      <x:c r="B74" s="27"/>
      <x:c r="C74" s="27"/>
      <x:c r="D74" s="27"/>
      <x:c r="E74" s="27"/>
      <x:c r="F74" s="27"/>
      <x:c r="G74" s="27"/>
      <x:c r="H74" s="27"/>
      <x:c r="I74" s="27"/>
      <x:c r="J74" s="27"/>
      <x:c r="K74" s="27"/>
      <x:c r="L74" s="27"/>
      <x:c r="M74" s="27"/>
      <x:c r="N74" s="27"/>
      <x:c r="O74" s="27"/>
      <x:c r="P74" s="27"/>
      <x:c r="Q74" s="27"/>
      <x:c r="R74" s="27"/>
      <x:c r="S74" s="27"/>
      <x:c r="T74" s="27"/>
      <x:c r="U74" s="27"/>
      <x:c r="V74" s="27"/>
      <x:c r="W74" s="27"/>
      <x:c r="X74" s="27"/>
      <x:c r="Y74" s="27"/>
      <x:c r="Z74" s="27"/>
      <x:c r="AA74" s="27"/>
      <x:c r="AB74" s="27"/>
      <x:c r="AC74" s="27"/>
      <x:c r="AD74" s="27"/>
      <x:c r="AE74" s="27"/>
      <x:c r="AF74" s="27"/>
      <x:c r="AG74" s="27"/>
      <x:c r="AH74" s="27"/>
      <x:c r="AI74" s="27"/>
      <x:c r="AJ74" s="27"/>
      <x:c r="AK74" s="27"/>
      <x:c r="AL74" s="27"/>
      <x:c r="AM74" s="27"/>
      <x:c r="AN74" s="27"/>
      <x:c r="AO74" s="27"/>
      <x:c r="AP74" s="27"/>
      <x:c r="AQ74" s="27"/>
      <x:c r="AR74" s="27"/>
      <x:c r="AS74" s="27"/>
      <x:c r="AT74" s="27"/>
      <x:c r="AU74" s="27"/>
      <x:c r="AV74" s="27"/>
      <x:c r="AW74" s="27"/>
      <x:c r="AX74" s="27"/>
      <x:c r="AY74" s="27"/>
      <x:c r="AZ74" s="27"/>
    </x:row>
    <x:row r="75">
      <x:c r="A75" s="27"/>
      <x:c r="B75" s="27"/>
      <x:c r="C75" s="27"/>
      <x:c r="D75" s="27"/>
      <x:c r="E75" s="27"/>
      <x:c r="F75" s="27"/>
      <x:c r="G75" s="27"/>
      <x:c r="H75" s="27"/>
      <x:c r="I75" s="27"/>
      <x:c r="J75" s="27"/>
      <x:c r="K75" s="27"/>
      <x:c r="L75" s="27"/>
      <x:c r="M75" s="27"/>
      <x:c r="N75" s="27"/>
      <x:c r="O75" s="27"/>
      <x:c r="P75" s="27"/>
      <x:c r="Q75" s="27"/>
      <x:c r="R75" s="27"/>
      <x:c r="S75" s="27"/>
      <x:c r="T75" s="27"/>
      <x:c r="U75" s="27"/>
      <x:c r="V75" s="27"/>
      <x:c r="W75" s="27"/>
      <x:c r="X75" s="27"/>
      <x:c r="Y75" s="27"/>
      <x:c r="Z75" s="27"/>
      <x:c r="AA75" s="27"/>
      <x:c r="AB75" s="27"/>
      <x:c r="AC75" s="27"/>
      <x:c r="AD75" s="27"/>
      <x:c r="AE75" s="27"/>
      <x:c r="AF75" s="27"/>
      <x:c r="AG75" s="27"/>
      <x:c r="AH75" s="27"/>
      <x:c r="AI75" s="27"/>
      <x:c r="AJ75" s="27"/>
      <x:c r="AK75" s="27"/>
      <x:c r="AL75" s="27"/>
      <x:c r="AM75" s="27"/>
      <x:c r="AN75" s="27"/>
      <x:c r="AO75" s="27"/>
      <x:c r="AP75" s="27"/>
      <x:c r="AQ75" s="27"/>
      <x:c r="AR75" s="27"/>
      <x:c r="AS75" s="27"/>
      <x:c r="AT75" s="27"/>
      <x:c r="AU75" s="27"/>
      <x:c r="AV75" s="27"/>
      <x:c r="AW75" s="27"/>
      <x:c r="AX75" s="27"/>
      <x:c r="AY75" s="27"/>
      <x:c r="AZ75" s="27"/>
    </x:row>
    <x:row r="76">
      <x:c r="A76" s="27"/>
      <x:c r="B76" s="27"/>
      <x:c r="C76" s="27"/>
      <x:c r="D76" s="27"/>
      <x:c r="E76" s="27"/>
      <x:c r="F76" s="27"/>
      <x:c r="G76" s="27"/>
      <x:c r="H76" s="27"/>
      <x:c r="I76" s="27"/>
      <x:c r="J76" s="27"/>
      <x:c r="K76" s="27"/>
      <x:c r="L76" s="27"/>
      <x:c r="M76" s="27"/>
      <x:c r="N76" s="27"/>
      <x:c r="O76" s="27"/>
      <x:c r="P76" s="27"/>
      <x:c r="Q76" s="27"/>
      <x:c r="R76" s="27"/>
      <x:c r="S76" s="27"/>
      <x:c r="T76" s="27"/>
      <x:c r="U76" s="27"/>
      <x:c r="V76" s="27"/>
      <x:c r="W76" s="27"/>
      <x:c r="X76" s="27"/>
      <x:c r="Y76" s="27"/>
      <x:c r="Z76" s="27"/>
      <x:c r="AA76" s="27"/>
      <x:c r="AB76" s="27"/>
      <x:c r="AC76" s="27"/>
      <x:c r="AD76" s="27"/>
      <x:c r="AE76" s="27"/>
      <x:c r="AF76" s="27"/>
      <x:c r="AG76" s="27"/>
      <x:c r="AH76" s="27"/>
      <x:c r="AI76" s="27"/>
      <x:c r="AJ76" s="27"/>
      <x:c r="AK76" s="27"/>
      <x:c r="AL76" s="27"/>
      <x:c r="AM76" s="27"/>
      <x:c r="AN76" s="27"/>
      <x:c r="AO76" s="27"/>
      <x:c r="AP76" s="27"/>
      <x:c r="AQ76" s="27"/>
      <x:c r="AR76" s="27"/>
      <x:c r="AS76" s="27"/>
      <x:c r="AT76" s="27"/>
      <x:c r="AU76" s="27"/>
      <x:c r="AV76" s="27"/>
      <x:c r="AW76" s="27"/>
      <x:c r="AX76" s="27"/>
      <x:c r="AY76" s="27"/>
      <x:c r="AZ76" s="27"/>
    </x:row>
    <x:row r="77">
      <x:c r="A77" s="27"/>
      <x:c r="B77" s="27"/>
      <x:c r="C77" s="27"/>
      <x:c r="D77" s="27"/>
      <x:c r="E77" s="27"/>
      <x:c r="F77" s="27"/>
      <x:c r="G77" s="27"/>
      <x:c r="H77" s="27"/>
      <x:c r="I77" s="27"/>
      <x:c r="J77" s="27"/>
      <x:c r="K77" s="27"/>
      <x:c r="L77" s="27"/>
      <x:c r="M77" s="27"/>
      <x:c r="N77" s="27"/>
      <x:c r="O77" s="27"/>
      <x:c r="P77" s="27"/>
      <x:c r="Q77" s="27"/>
      <x:c r="R77" s="27"/>
      <x:c r="S77" s="27"/>
      <x:c r="T77" s="27"/>
      <x:c r="U77" s="27"/>
      <x:c r="V77" s="27"/>
      <x:c r="W77" s="27"/>
      <x:c r="X77" s="27"/>
      <x:c r="Y77" s="27"/>
      <x:c r="Z77" s="27"/>
      <x:c r="AA77" s="27"/>
      <x:c r="AB77" s="27"/>
      <x:c r="AC77" s="27"/>
      <x:c r="AD77" s="27"/>
      <x:c r="AE77" s="27"/>
      <x:c r="AF77" s="27"/>
      <x:c r="AG77" s="27"/>
      <x:c r="AH77" s="27"/>
      <x:c r="AI77" s="27"/>
      <x:c r="AJ77" s="27"/>
      <x:c r="AK77" s="27"/>
      <x:c r="AL77" s="27"/>
      <x:c r="AM77" s="27"/>
      <x:c r="AN77" s="27"/>
      <x:c r="AO77" s="27"/>
      <x:c r="AP77" s="27"/>
      <x:c r="AQ77" s="27"/>
      <x:c r="AR77" s="27"/>
      <x:c r="AS77" s="27"/>
      <x:c r="AT77" s="27"/>
      <x:c r="AU77" s="27"/>
      <x:c r="AV77" s="27"/>
      <x:c r="AW77" s="27"/>
      <x:c r="AX77" s="27"/>
      <x:c r="AY77" s="27"/>
      <x:c r="AZ77" s="27"/>
    </x:row>
    <x:row r="78">
      <x:c r="A78" s="27"/>
      <x:c r="B78" s="27"/>
      <x:c r="C78" s="27"/>
      <x:c r="D78" s="27"/>
      <x:c r="E78" s="27"/>
      <x:c r="F78" s="27"/>
      <x:c r="G78" s="27"/>
      <x:c r="H78" s="27"/>
      <x:c r="I78" s="27"/>
      <x:c r="J78" s="27"/>
      <x:c r="K78" s="27"/>
      <x:c r="L78" s="27"/>
      <x:c r="M78" s="27"/>
      <x:c r="N78" s="27"/>
      <x:c r="O78" s="27"/>
      <x:c r="P78" s="27"/>
      <x:c r="Q78" s="27"/>
      <x:c r="R78" s="27"/>
      <x:c r="S78" s="27"/>
      <x:c r="T78" s="27"/>
      <x:c r="U78" s="27"/>
      <x:c r="V78" s="27"/>
      <x:c r="W78" s="27"/>
      <x:c r="X78" s="27"/>
      <x:c r="Y78" s="27"/>
      <x:c r="Z78" s="27"/>
      <x:c r="AA78" s="27"/>
      <x:c r="AB78" s="27"/>
      <x:c r="AC78" s="27"/>
      <x:c r="AD78" s="27"/>
      <x:c r="AE78" s="27"/>
      <x:c r="AF78" s="27"/>
      <x:c r="AG78" s="27"/>
      <x:c r="AH78" s="27"/>
      <x:c r="AI78" s="27"/>
      <x:c r="AJ78" s="27"/>
      <x:c r="AK78" s="27"/>
      <x:c r="AL78" s="27"/>
      <x:c r="AM78" s="27"/>
      <x:c r="AN78" s="27"/>
      <x:c r="AO78" s="27"/>
      <x:c r="AP78" s="27"/>
      <x:c r="AQ78" s="27"/>
      <x:c r="AR78" s="27"/>
      <x:c r="AS78" s="27"/>
      <x:c r="AT78" s="27"/>
      <x:c r="AU78" s="27"/>
      <x:c r="AV78" s="27"/>
      <x:c r="AW78" s="27"/>
      <x:c r="AX78" s="27"/>
      <x:c r="AY78" s="27"/>
      <x:c r="AZ78" s="27"/>
    </x:row>
    <x:row r="79">
      <x:c r="A79" s="27"/>
      <x:c r="B79" s="27"/>
      <x:c r="C79" s="27"/>
      <x:c r="D79" s="27"/>
      <x:c r="E79" s="27"/>
      <x:c r="F79" s="27"/>
      <x:c r="G79" s="27"/>
      <x:c r="H79" s="27"/>
      <x:c r="I79" s="27"/>
      <x:c r="J79" s="27"/>
      <x:c r="K79" s="27"/>
      <x:c r="L79" s="27"/>
      <x:c r="M79" s="27"/>
      <x:c r="N79" s="27"/>
      <x:c r="O79" s="27"/>
      <x:c r="P79" s="27"/>
      <x:c r="Q79" s="27"/>
      <x:c r="R79" s="27"/>
      <x:c r="S79" s="27"/>
      <x:c r="T79" s="27"/>
      <x:c r="U79" s="27"/>
      <x:c r="V79" s="27"/>
      <x:c r="W79" s="27"/>
      <x:c r="X79" s="27"/>
      <x:c r="Y79" s="27"/>
      <x:c r="Z79" s="27"/>
      <x:c r="AA79" s="27"/>
      <x:c r="AB79" s="27"/>
      <x:c r="AC79" s="27"/>
      <x:c r="AD79" s="27"/>
      <x:c r="AE79" s="27"/>
      <x:c r="AF79" s="27"/>
      <x:c r="AG79" s="27"/>
      <x:c r="AH79" s="27"/>
      <x:c r="AI79" s="27"/>
      <x:c r="AJ79" s="27"/>
      <x:c r="AK79" s="27"/>
      <x:c r="AL79" s="27"/>
      <x:c r="AM79" s="27"/>
      <x:c r="AN79" s="27"/>
      <x:c r="AO79" s="27"/>
      <x:c r="AP79" s="27"/>
      <x:c r="AQ79" s="27"/>
      <x:c r="AR79" s="27"/>
      <x:c r="AS79" s="27"/>
      <x:c r="AT79" s="27"/>
      <x:c r="AU79" s="27"/>
      <x:c r="AV79" s="27"/>
      <x:c r="AW79" s="27"/>
      <x:c r="AX79" s="27"/>
      <x:c r="AY79" s="27"/>
      <x:c r="AZ79" s="27"/>
    </x:row>
    <x:row r="80">
      <x:c r="A80" s="27"/>
      <x:c r="B80" s="27"/>
      <x:c r="C80" s="27"/>
      <x:c r="D80" s="27"/>
      <x:c r="E80" s="27"/>
      <x:c r="F80" s="27"/>
      <x:c r="G80" s="27"/>
      <x:c r="H80" s="27"/>
      <x:c r="I80" s="27"/>
      <x:c r="J80" s="27"/>
      <x:c r="K80" s="27"/>
      <x:c r="L80" s="27"/>
      <x:c r="M80" s="27"/>
      <x:c r="N80" s="27"/>
      <x:c r="O80" s="27"/>
      <x:c r="P80" s="27"/>
      <x:c r="Q80" s="27"/>
      <x:c r="R80" s="27"/>
      <x:c r="S80" s="27"/>
      <x:c r="T80" s="27"/>
      <x:c r="U80" s="27"/>
      <x:c r="V80" s="27"/>
      <x:c r="W80" s="27"/>
      <x:c r="X80" s="27"/>
      <x:c r="Y80" s="27"/>
      <x:c r="Z80" s="27"/>
      <x:c r="AA80" s="27"/>
      <x:c r="AB80" s="27"/>
      <x:c r="AC80" s="27"/>
      <x:c r="AD80" s="27"/>
      <x:c r="AE80" s="27"/>
      <x:c r="AF80" s="27"/>
      <x:c r="AG80" s="27"/>
      <x:c r="AH80" s="27"/>
      <x:c r="AI80" s="27"/>
      <x:c r="AJ80" s="27"/>
      <x:c r="AK80" s="27"/>
      <x:c r="AL80" s="27"/>
      <x:c r="AM80" s="27"/>
      <x:c r="AN80" s="27"/>
      <x:c r="AO80" s="27"/>
      <x:c r="AP80" s="27"/>
      <x:c r="AQ80" s="27"/>
      <x:c r="AR80" s="27"/>
      <x:c r="AS80" s="27"/>
      <x:c r="AT80" s="27"/>
      <x:c r="AU80" s="27"/>
      <x:c r="AV80" s="27"/>
      <x:c r="AW80" s="27"/>
      <x:c r="AX80" s="27"/>
      <x:c r="AY80" s="27"/>
      <x:c r="AZ80" s="27"/>
    </x:row>
    <x:row r="81">
      <x:c r="A81" s="27"/>
      <x:c r="B81" s="27"/>
      <x:c r="C81" s="27"/>
      <x:c r="D81" s="27"/>
      <x:c r="E81" s="27"/>
      <x:c r="F81" s="27"/>
      <x:c r="G81" s="27"/>
      <x:c r="H81" s="27"/>
      <x:c r="I81" s="27"/>
      <x:c r="J81" s="27"/>
      <x:c r="K81" s="27"/>
      <x:c r="L81" s="27"/>
      <x:c r="M81" s="27"/>
      <x:c r="N81" s="27"/>
      <x:c r="O81" s="27"/>
      <x:c r="P81" s="27"/>
      <x:c r="Q81" s="27"/>
      <x:c r="R81" s="27"/>
      <x:c r="S81" s="27"/>
      <x:c r="T81" s="27"/>
      <x:c r="U81" s="27"/>
      <x:c r="V81" s="27"/>
      <x:c r="W81" s="27"/>
      <x:c r="X81" s="27"/>
      <x:c r="Y81" s="27"/>
      <x:c r="Z81" s="27"/>
      <x:c r="AA81" s="27"/>
      <x:c r="AB81" s="27"/>
      <x:c r="AC81" s="27"/>
      <x:c r="AD81" s="27"/>
      <x:c r="AE81" s="27"/>
      <x:c r="AF81" s="27"/>
      <x:c r="AG81" s="27"/>
      <x:c r="AH81" s="27"/>
      <x:c r="AI81" s="27"/>
      <x:c r="AJ81" s="27"/>
      <x:c r="AK81" s="27"/>
      <x:c r="AL81" s="27"/>
      <x:c r="AM81" s="27"/>
      <x:c r="AN81" s="27"/>
      <x:c r="AO81" s="27"/>
      <x:c r="AP81" s="27"/>
      <x:c r="AQ81" s="27"/>
      <x:c r="AR81" s="27"/>
      <x:c r="AS81" s="27"/>
      <x:c r="AT81" s="27"/>
      <x:c r="AU81" s="27"/>
      <x:c r="AV81" s="27"/>
      <x:c r="AW81" s="27"/>
      <x:c r="AX81" s="27"/>
      <x:c r="AY81" s="27"/>
      <x:c r="AZ81" s="27"/>
    </x:row>
    <x:row r="82">
      <x:c r="A82" s="27"/>
      <x:c r="B82" s="27"/>
      <x:c r="C82" s="27"/>
      <x:c r="D82" s="27"/>
      <x:c r="E82" s="27"/>
      <x:c r="F82" s="27"/>
      <x:c r="G82" s="27"/>
      <x:c r="H82" s="27"/>
      <x:c r="I82" s="27"/>
      <x:c r="J82" s="27"/>
      <x:c r="K82" s="27"/>
      <x:c r="L82" s="27"/>
      <x:c r="M82" s="27"/>
      <x:c r="N82" s="27"/>
      <x:c r="O82" s="27"/>
      <x:c r="P82" s="27"/>
      <x:c r="Q82" s="27"/>
      <x:c r="R82" s="27"/>
      <x:c r="S82" s="27"/>
      <x:c r="T82" s="27"/>
      <x:c r="U82" s="27"/>
      <x:c r="V82" s="27"/>
      <x:c r="W82" s="27"/>
      <x:c r="X82" s="27"/>
      <x:c r="Y82" s="27"/>
      <x:c r="Z82" s="27"/>
      <x:c r="AA82" s="27"/>
      <x:c r="AB82" s="27"/>
      <x:c r="AC82" s="27"/>
      <x:c r="AD82" s="27"/>
      <x:c r="AE82" s="27"/>
      <x:c r="AF82" s="27"/>
      <x:c r="AG82" s="27"/>
      <x:c r="AH82" s="27"/>
      <x:c r="AI82" s="27"/>
      <x:c r="AJ82" s="27"/>
      <x:c r="AK82" s="27"/>
      <x:c r="AL82" s="27"/>
      <x:c r="AM82" s="27"/>
      <x:c r="AN82" s="27"/>
      <x:c r="AO82" s="27"/>
      <x:c r="AP82" s="27"/>
      <x:c r="AQ82" s="27"/>
      <x:c r="AR82" s="27"/>
      <x:c r="AS82" s="27"/>
      <x:c r="AT82" s="27"/>
      <x:c r="AU82" s="27"/>
      <x:c r="AV82" s="27"/>
      <x:c r="AW82" s="27"/>
      <x:c r="AX82" s="27"/>
      <x:c r="AY82" s="27"/>
      <x:c r="AZ82" s="27"/>
    </x:row>
    <x:row r="83">
      <x:c r="A83" s="27"/>
      <x:c r="B83" s="27"/>
      <x:c r="C83" s="27"/>
      <x:c r="D83" s="27"/>
      <x:c r="E83" s="27"/>
      <x:c r="F83" s="27"/>
      <x:c r="G83" s="27"/>
      <x:c r="H83" s="27"/>
      <x:c r="I83" s="27"/>
      <x:c r="J83" s="27"/>
      <x:c r="K83" s="27"/>
      <x:c r="L83" s="27"/>
      <x:c r="M83" s="27"/>
      <x:c r="N83" s="27"/>
      <x:c r="O83" s="27"/>
      <x:c r="P83" s="27"/>
      <x:c r="Q83" s="27"/>
      <x:c r="R83" s="27"/>
      <x:c r="S83" s="27"/>
      <x:c r="T83" s="27"/>
      <x:c r="U83" s="27"/>
      <x:c r="V83" s="27"/>
      <x:c r="W83" s="27"/>
      <x:c r="X83" s="27"/>
      <x:c r="Y83" s="27"/>
      <x:c r="Z83" s="27"/>
      <x:c r="AA83" s="27"/>
      <x:c r="AB83" s="27"/>
      <x:c r="AC83" s="27"/>
      <x:c r="AD83" s="27"/>
      <x:c r="AE83" s="27"/>
      <x:c r="AF83" s="27"/>
      <x:c r="AG83" s="27"/>
      <x:c r="AH83" s="27"/>
      <x:c r="AI83" s="27"/>
      <x:c r="AJ83" s="27"/>
      <x:c r="AK83" s="27"/>
      <x:c r="AL83" s="27"/>
      <x:c r="AM83" s="27"/>
      <x:c r="AN83" s="27"/>
      <x:c r="AO83" s="27"/>
      <x:c r="AP83" s="27"/>
      <x:c r="AQ83" s="27"/>
      <x:c r="AR83" s="27"/>
      <x:c r="AS83" s="27"/>
      <x:c r="AT83" s="27"/>
      <x:c r="AU83" s="27"/>
      <x:c r="AV83" s="27"/>
      <x:c r="AW83" s="27"/>
      <x:c r="AX83" s="27"/>
      <x:c r="AY83" s="27"/>
      <x:c r="AZ83" s="27"/>
    </x:row>
    <x:row r="84">
      <x:c r="A84" s="27"/>
      <x:c r="B84" s="27"/>
      <x:c r="C84" s="27"/>
      <x:c r="D84" s="27"/>
      <x:c r="E84" s="27"/>
      <x:c r="F84" s="27"/>
      <x:c r="G84" s="27"/>
      <x:c r="H84" s="27"/>
      <x:c r="I84" s="27"/>
      <x:c r="J84" s="27"/>
      <x:c r="K84" s="27"/>
      <x:c r="L84" s="27"/>
      <x:c r="M84" s="27"/>
      <x:c r="N84" s="27"/>
      <x:c r="O84" s="27"/>
      <x:c r="P84" s="27"/>
      <x:c r="Q84" s="27"/>
      <x:c r="R84" s="27"/>
      <x:c r="S84" s="27"/>
      <x:c r="T84" s="27"/>
      <x:c r="U84" s="27"/>
      <x:c r="V84" s="27"/>
      <x:c r="W84" s="27"/>
      <x:c r="X84" s="27"/>
      <x:c r="Y84" s="27"/>
      <x:c r="Z84" s="27"/>
      <x:c r="AA84" s="27"/>
      <x:c r="AB84" s="27"/>
      <x:c r="AC84" s="27"/>
      <x:c r="AD84" s="27"/>
      <x:c r="AE84" s="27"/>
      <x:c r="AF84" s="27"/>
      <x:c r="AG84" s="27"/>
      <x:c r="AH84" s="27"/>
      <x:c r="AI84" s="27"/>
      <x:c r="AJ84" s="27"/>
      <x:c r="AK84" s="27"/>
      <x:c r="AL84" s="27"/>
      <x:c r="AM84" s="27"/>
      <x:c r="AN84" s="27"/>
      <x:c r="AO84" s="27"/>
      <x:c r="AP84" s="27"/>
      <x:c r="AQ84" s="27"/>
      <x:c r="AR84" s="27"/>
      <x:c r="AS84" s="27"/>
      <x:c r="AT84" s="27"/>
      <x:c r="AU84" s="27"/>
      <x:c r="AV84" s="27"/>
      <x:c r="AW84" s="27"/>
      <x:c r="AX84" s="27"/>
      <x:c r="AY84" s="27"/>
      <x:c r="AZ84" s="27"/>
    </x:row>
    <x:row r="85">
      <x:c r="A85" s="27"/>
      <x:c r="B85" s="27"/>
      <x:c r="C85" s="27"/>
      <x:c r="D85" s="27"/>
      <x:c r="E85" s="27"/>
      <x:c r="F85" s="27"/>
      <x:c r="G85" s="27"/>
      <x:c r="H85" s="27"/>
      <x:c r="I85" s="27"/>
      <x:c r="J85" s="27"/>
      <x:c r="K85" s="27"/>
      <x:c r="L85" s="27"/>
      <x:c r="M85" s="27"/>
      <x:c r="N85" s="27"/>
      <x:c r="O85" s="27"/>
      <x:c r="P85" s="27"/>
      <x:c r="Q85" s="27"/>
      <x:c r="R85" s="27"/>
      <x:c r="S85" s="27"/>
      <x:c r="T85" s="27"/>
      <x:c r="U85" s="27"/>
      <x:c r="V85" s="27"/>
      <x:c r="W85" s="27"/>
      <x:c r="X85" s="27"/>
      <x:c r="Y85" s="27"/>
      <x:c r="Z85" s="27"/>
      <x:c r="AA85" s="27"/>
      <x:c r="AB85" s="27"/>
      <x:c r="AC85" s="27"/>
      <x:c r="AD85" s="27"/>
      <x:c r="AE85" s="27"/>
      <x:c r="AF85" s="27"/>
      <x:c r="AG85" s="27"/>
      <x:c r="AH85" s="27"/>
      <x:c r="AI85" s="27"/>
      <x:c r="AJ85" s="27"/>
      <x:c r="AK85" s="27"/>
      <x:c r="AL85" s="27"/>
      <x:c r="AM85" s="27"/>
      <x:c r="AN85" s="27"/>
      <x:c r="AO85" s="27"/>
      <x:c r="AP85" s="27"/>
      <x:c r="AQ85" s="27"/>
      <x:c r="AR85" s="27"/>
      <x:c r="AS85" s="27"/>
      <x:c r="AT85" s="27"/>
      <x:c r="AU85" s="27"/>
      <x:c r="AV85" s="27"/>
      <x:c r="AW85" s="27"/>
      <x:c r="AX85" s="27"/>
      <x:c r="AY85" s="27"/>
      <x:c r="AZ85" s="27"/>
    </x:row>
    <x:row r="86">
      <x:c r="A86" s="27"/>
      <x:c r="B86" s="27"/>
      <x:c r="C86" s="27"/>
      <x:c r="D86" s="27"/>
      <x:c r="E86" s="27"/>
      <x:c r="F86" s="27"/>
      <x:c r="G86" s="27"/>
      <x:c r="H86" s="27"/>
      <x:c r="I86" s="27"/>
      <x:c r="J86" s="27"/>
      <x:c r="K86" s="27"/>
      <x:c r="L86" s="27"/>
      <x:c r="M86" s="27"/>
      <x:c r="N86" s="27"/>
      <x:c r="O86" s="27"/>
      <x:c r="P86" s="27"/>
      <x:c r="Q86" s="27"/>
      <x:c r="R86" s="27"/>
      <x:c r="S86" s="27"/>
      <x:c r="T86" s="27"/>
      <x:c r="U86" s="27"/>
      <x:c r="V86" s="27"/>
      <x:c r="W86" s="27"/>
      <x:c r="X86" s="27"/>
      <x:c r="Y86" s="27"/>
      <x:c r="Z86" s="27"/>
      <x:c r="AA86" s="27"/>
      <x:c r="AB86" s="27"/>
      <x:c r="AC86" s="27"/>
      <x:c r="AD86" s="27"/>
      <x:c r="AE86" s="27"/>
      <x:c r="AF86" s="27"/>
      <x:c r="AG86" s="27"/>
      <x:c r="AH86" s="27"/>
      <x:c r="AI86" s="27"/>
      <x:c r="AJ86" s="27"/>
      <x:c r="AK86" s="27"/>
      <x:c r="AL86" s="27"/>
      <x:c r="AM86" s="27"/>
      <x:c r="AN86" s="27"/>
      <x:c r="AO86" s="27"/>
      <x:c r="AP86" s="27"/>
      <x:c r="AQ86" s="27"/>
      <x:c r="AR86" s="27"/>
      <x:c r="AS86" s="27"/>
      <x:c r="AT86" s="27"/>
      <x:c r="AU86" s="27"/>
      <x:c r="AV86" s="27"/>
      <x:c r="AW86" s="27"/>
      <x:c r="AX86" s="27"/>
      <x:c r="AY86" s="27"/>
      <x:c r="AZ86" s="27"/>
    </x:row>
    <x:row r="87">
      <x:c r="A87" s="27"/>
      <x:c r="B87" s="27"/>
      <x:c r="C87" s="27"/>
      <x:c r="D87" s="27"/>
      <x:c r="E87" s="27"/>
      <x:c r="F87" s="27"/>
      <x:c r="G87" s="27"/>
      <x:c r="H87" s="27"/>
      <x:c r="I87" s="27"/>
      <x:c r="J87" s="27"/>
      <x:c r="K87" s="27"/>
      <x:c r="L87" s="27"/>
      <x:c r="M87" s="27"/>
      <x:c r="N87" s="27"/>
      <x:c r="O87" s="27"/>
      <x:c r="P87" s="27"/>
      <x:c r="Q87" s="27"/>
      <x:c r="R87" s="27"/>
      <x:c r="S87" s="27"/>
      <x:c r="T87" s="27"/>
      <x:c r="U87" s="27"/>
      <x:c r="V87" s="27"/>
      <x:c r="W87" s="27"/>
      <x:c r="X87" s="27"/>
      <x:c r="Y87" s="27"/>
      <x:c r="Z87" s="27"/>
      <x:c r="AA87" s="27"/>
      <x:c r="AB87" s="27"/>
      <x:c r="AC87" s="27"/>
      <x:c r="AD87" s="27"/>
      <x:c r="AE87" s="27"/>
      <x:c r="AF87" s="27"/>
      <x:c r="AG87" s="27"/>
      <x:c r="AH87" s="27"/>
      <x:c r="AI87" s="27"/>
      <x:c r="AJ87" s="27"/>
      <x:c r="AK87" s="27"/>
      <x:c r="AL87" s="27"/>
      <x:c r="AM87" s="27"/>
      <x:c r="AN87" s="27"/>
      <x:c r="AO87" s="27"/>
      <x:c r="AP87" s="27"/>
      <x:c r="AQ87" s="27"/>
      <x:c r="AR87" s="27"/>
      <x:c r="AS87" s="27"/>
      <x:c r="AT87" s="27"/>
      <x:c r="AU87" s="27"/>
      <x:c r="AV87" s="27"/>
      <x:c r="AW87" s="27"/>
      <x:c r="AX87" s="27"/>
      <x:c r="AY87" s="27"/>
      <x:c r="AZ87" s="27"/>
    </x:row>
    <x:row r="88">
      <x:c r="A88" s="27"/>
      <x:c r="B88" s="27"/>
      <x:c r="C88" s="27"/>
      <x:c r="D88" s="27"/>
      <x:c r="E88" s="27"/>
      <x:c r="F88" s="27"/>
      <x:c r="G88" s="27"/>
      <x:c r="H88" s="27"/>
      <x:c r="I88" s="27"/>
      <x:c r="J88" s="27"/>
      <x:c r="K88" s="27"/>
      <x:c r="L88" s="27"/>
      <x:c r="M88" s="27"/>
      <x:c r="N88" s="27"/>
      <x:c r="O88" s="27"/>
      <x:c r="P88" s="27"/>
      <x:c r="Q88" s="27"/>
      <x:c r="R88" s="27"/>
      <x:c r="S88" s="27"/>
      <x:c r="T88" s="27"/>
      <x:c r="U88" s="27"/>
      <x:c r="V88" s="27"/>
      <x:c r="W88" s="27"/>
      <x:c r="X88" s="27"/>
      <x:c r="Y88" s="27"/>
      <x:c r="Z88" s="27"/>
      <x:c r="AA88" s="27"/>
      <x:c r="AB88" s="27"/>
      <x:c r="AC88" s="27"/>
      <x:c r="AD88" s="27"/>
      <x:c r="AE88" s="27"/>
      <x:c r="AF88" s="27"/>
      <x:c r="AG88" s="27"/>
      <x:c r="AH88" s="27"/>
      <x:c r="AI88" s="27"/>
      <x:c r="AJ88" s="27"/>
      <x:c r="AK88" s="27"/>
      <x:c r="AL88" s="27"/>
      <x:c r="AM88" s="27"/>
      <x:c r="AN88" s="27"/>
      <x:c r="AO88" s="27"/>
      <x:c r="AP88" s="27"/>
      <x:c r="AQ88" s="27"/>
      <x:c r="AR88" s="27"/>
      <x:c r="AS88" s="27"/>
      <x:c r="AT88" s="27"/>
      <x:c r="AU88" s="27"/>
      <x:c r="AV88" s="27"/>
      <x:c r="AW88" s="27"/>
      <x:c r="AX88" s="27"/>
      <x:c r="AY88" s="27"/>
      <x:c r="AZ88" s="27"/>
    </x:row>
    <x:row r="89">
      <x:c r="A89" s="27"/>
      <x:c r="B89" s="27"/>
      <x:c r="C89" s="27"/>
      <x:c r="D89" s="27"/>
      <x:c r="E89" s="27"/>
      <x:c r="F89" s="27"/>
      <x:c r="G89" s="27"/>
      <x:c r="H89" s="27"/>
      <x:c r="I89" s="27"/>
      <x:c r="J89" s="27"/>
      <x:c r="K89" s="27"/>
      <x:c r="L89" s="27"/>
      <x:c r="M89" s="27"/>
      <x:c r="N89" s="27"/>
      <x:c r="O89" s="27"/>
      <x:c r="P89" s="27"/>
      <x:c r="Q89" s="27"/>
      <x:c r="R89" s="27"/>
      <x:c r="S89" s="27"/>
      <x:c r="T89" s="27"/>
      <x:c r="U89" s="27"/>
      <x:c r="V89" s="27"/>
      <x:c r="W89" s="27"/>
      <x:c r="X89" s="27"/>
      <x:c r="Y89" s="27"/>
      <x:c r="Z89" s="27"/>
      <x:c r="AA89" s="27"/>
      <x:c r="AB89" s="27"/>
      <x:c r="AC89" s="27"/>
      <x:c r="AD89" s="27"/>
      <x:c r="AE89" s="27"/>
      <x:c r="AF89" s="27"/>
      <x:c r="AG89" s="27"/>
      <x:c r="AH89" s="27"/>
      <x:c r="AI89" s="27"/>
      <x:c r="AJ89" s="27"/>
      <x:c r="AK89" s="27"/>
      <x:c r="AL89" s="27"/>
      <x:c r="AM89" s="27"/>
      <x:c r="AN89" s="27"/>
      <x:c r="AO89" s="27"/>
      <x:c r="AP89" s="27"/>
      <x:c r="AQ89" s="27"/>
      <x:c r="AR89" s="27"/>
      <x:c r="AS89" s="27"/>
      <x:c r="AT89" s="27"/>
      <x:c r="AU89" s="27"/>
      <x:c r="AV89" s="27"/>
      <x:c r="AW89" s="27"/>
      <x:c r="AX89" s="27"/>
      <x:c r="AY89" s="27"/>
      <x:c r="AZ89" s="27"/>
    </x:row>
    <x:row r="90">
      <x:c r="A90" s="27"/>
      <x:c r="B90" s="27"/>
      <x:c r="C90" s="27"/>
      <x:c r="D90" s="27"/>
      <x:c r="E90" s="27"/>
      <x:c r="F90" s="27"/>
      <x:c r="G90" s="27"/>
      <x:c r="H90" s="27"/>
      <x:c r="I90" s="27"/>
      <x:c r="J90" s="27"/>
      <x:c r="K90" s="27"/>
      <x:c r="L90" s="27"/>
      <x:c r="M90" s="27"/>
      <x:c r="N90" s="27"/>
      <x:c r="O90" s="27"/>
      <x:c r="P90" s="27"/>
      <x:c r="Q90" s="27"/>
      <x:c r="R90" s="27"/>
      <x:c r="S90" s="27"/>
      <x:c r="T90" s="27"/>
      <x:c r="U90" s="27"/>
      <x:c r="V90" s="27"/>
      <x:c r="W90" s="27"/>
      <x:c r="X90" s="27"/>
      <x:c r="Y90" s="27"/>
      <x:c r="Z90" s="27"/>
      <x:c r="AA90" s="27"/>
      <x:c r="AB90" s="27"/>
      <x:c r="AC90" s="27"/>
      <x:c r="AD90" s="27"/>
      <x:c r="AE90" s="27"/>
      <x:c r="AF90" s="27"/>
      <x:c r="AG90" s="27"/>
      <x:c r="AH90" s="27"/>
      <x:c r="AI90" s="27"/>
      <x:c r="AJ90" s="27"/>
      <x:c r="AK90" s="27"/>
      <x:c r="AL90" s="27"/>
      <x:c r="AM90" s="27"/>
      <x:c r="AN90" s="27"/>
      <x:c r="AO90" s="27"/>
      <x:c r="AP90" s="27"/>
      <x:c r="AQ90" s="27"/>
      <x:c r="AR90" s="27"/>
      <x:c r="AS90" s="27"/>
      <x:c r="AT90" s="27"/>
      <x:c r="AU90" s="27"/>
      <x:c r="AV90" s="27"/>
      <x:c r="AW90" s="27"/>
      <x:c r="AX90" s="27"/>
      <x:c r="AY90" s="27"/>
      <x:c r="AZ90" s="27"/>
    </x:row>
    <x:row r="91">
      <x:c r="A91" s="27"/>
      <x:c r="B91" s="27"/>
      <x:c r="C91" s="27"/>
      <x:c r="D91" s="27"/>
      <x:c r="E91" s="27"/>
      <x:c r="F91" s="27"/>
      <x:c r="G91" s="27"/>
      <x:c r="H91" s="27"/>
      <x:c r="I91" s="27"/>
      <x:c r="J91" s="27"/>
      <x:c r="K91" s="27"/>
      <x:c r="L91" s="27"/>
      <x:c r="M91" s="27"/>
      <x:c r="N91" s="27"/>
      <x:c r="O91" s="27"/>
      <x:c r="P91" s="27"/>
      <x:c r="Q91" s="27"/>
      <x:c r="R91" s="27"/>
      <x:c r="S91" s="27"/>
      <x:c r="T91" s="27"/>
      <x:c r="U91" s="27"/>
      <x:c r="V91" s="27"/>
      <x:c r="W91" s="27"/>
      <x:c r="X91" s="27"/>
      <x:c r="Y91" s="27"/>
      <x:c r="Z91" s="27"/>
      <x:c r="AA91" s="27"/>
      <x:c r="AB91" s="27"/>
      <x:c r="AC91" s="27"/>
      <x:c r="AD91" s="27"/>
      <x:c r="AE91" s="27"/>
      <x:c r="AF91" s="27"/>
      <x:c r="AG91" s="27"/>
      <x:c r="AH91" s="27"/>
      <x:c r="AI91" s="27"/>
      <x:c r="AJ91" s="27"/>
      <x:c r="AK91" s="27"/>
      <x:c r="AL91" s="27"/>
      <x:c r="AM91" s="27"/>
      <x:c r="AN91" s="27"/>
      <x:c r="AO91" s="27"/>
      <x:c r="AP91" s="27"/>
      <x:c r="AQ91" s="27"/>
      <x:c r="AR91" s="27"/>
      <x:c r="AS91" s="27"/>
      <x:c r="AT91" s="27"/>
      <x:c r="AU91" s="27"/>
      <x:c r="AV91" s="27"/>
      <x:c r="AW91" s="27"/>
      <x:c r="AX91" s="27"/>
      <x:c r="AY91" s="27"/>
      <x:c r="AZ91" s="27"/>
    </x:row>
    <x:row r="92">
      <x:c r="A92" s="27"/>
      <x:c r="B92" s="27"/>
      <x:c r="C92" s="27"/>
      <x:c r="D92" s="27"/>
      <x:c r="E92" s="27"/>
      <x:c r="F92" s="27"/>
      <x:c r="G92" s="27"/>
      <x:c r="H92" s="27"/>
      <x:c r="I92" s="27"/>
      <x:c r="J92" s="27"/>
      <x:c r="K92" s="27"/>
      <x:c r="L92" s="27"/>
      <x:c r="M92" s="27"/>
      <x:c r="N92" s="27"/>
      <x:c r="O92" s="27"/>
      <x:c r="P92" s="27"/>
      <x:c r="Q92" s="27"/>
      <x:c r="R92" s="27"/>
      <x:c r="S92" s="27"/>
      <x:c r="T92" s="27"/>
      <x:c r="U92" s="27"/>
      <x:c r="V92" s="27"/>
      <x:c r="W92" s="27"/>
      <x:c r="X92" s="27"/>
      <x:c r="Y92" s="27"/>
      <x:c r="Z92" s="27"/>
      <x:c r="AA92" s="27"/>
      <x:c r="AB92" s="27"/>
      <x:c r="AC92" s="27"/>
      <x:c r="AD92" s="27"/>
      <x:c r="AE92" s="27"/>
      <x:c r="AF92" s="27"/>
      <x:c r="AG92" s="27"/>
      <x:c r="AH92" s="27"/>
      <x:c r="AI92" s="27"/>
      <x:c r="AJ92" s="27"/>
      <x:c r="AK92" s="27"/>
      <x:c r="AL92" s="27"/>
      <x:c r="AM92" s="27"/>
      <x:c r="AN92" s="27"/>
      <x:c r="AO92" s="27"/>
      <x:c r="AP92" s="27"/>
      <x:c r="AQ92" s="27"/>
      <x:c r="AR92" s="27"/>
      <x:c r="AS92" s="27"/>
      <x:c r="AT92" s="27"/>
      <x:c r="AU92" s="27"/>
      <x:c r="AV92" s="27"/>
      <x:c r="AW92" s="27"/>
      <x:c r="AX92" s="27"/>
      <x:c r="AY92" s="27"/>
      <x:c r="AZ92" s="27"/>
    </x:row>
    <x:row r="93">
      <x:c r="A93" s="27"/>
      <x:c r="B93" s="27"/>
      <x:c r="C93" s="27"/>
      <x:c r="D93" s="27"/>
      <x:c r="E93" s="27"/>
      <x:c r="F93" s="27"/>
      <x:c r="G93" s="27"/>
      <x:c r="H93" s="27"/>
      <x:c r="I93" s="27"/>
      <x:c r="J93" s="27"/>
      <x:c r="K93" s="27"/>
      <x:c r="L93" s="27"/>
      <x:c r="M93" s="27"/>
      <x:c r="N93" s="27"/>
      <x:c r="O93" s="27"/>
      <x:c r="P93" s="27"/>
      <x:c r="Q93" s="27"/>
      <x:c r="R93" s="27"/>
      <x:c r="S93" s="27"/>
      <x:c r="T93" s="27"/>
      <x:c r="U93" s="27"/>
      <x:c r="V93" s="27"/>
      <x:c r="W93" s="27"/>
      <x:c r="X93" s="27"/>
      <x:c r="Y93" s="27"/>
      <x:c r="Z93" s="27"/>
      <x:c r="AA93" s="27"/>
      <x:c r="AB93" s="27"/>
      <x:c r="AC93" s="27"/>
      <x:c r="AD93" s="27"/>
      <x:c r="AE93" s="27"/>
      <x:c r="AF93" s="27"/>
      <x:c r="AG93" s="27"/>
      <x:c r="AH93" s="27"/>
      <x:c r="AI93" s="27"/>
      <x:c r="AJ93" s="27"/>
      <x:c r="AK93" s="27"/>
      <x:c r="AL93" s="27"/>
      <x:c r="AM93" s="27"/>
      <x:c r="AN93" s="27"/>
      <x:c r="AO93" s="27"/>
      <x:c r="AP93" s="27"/>
      <x:c r="AQ93" s="27"/>
      <x:c r="AR93" s="27"/>
      <x:c r="AS93" s="27"/>
      <x:c r="AT93" s="27"/>
      <x:c r="AU93" s="27"/>
      <x:c r="AV93" s="27"/>
      <x:c r="AW93" s="27"/>
      <x:c r="AX93" s="27"/>
      <x:c r="AY93" s="27"/>
      <x:c r="AZ93" s="27"/>
    </x:row>
    <x:row r="94">
      <x:c r="A94" s="27"/>
      <x:c r="B94" s="27"/>
      <x:c r="C94" s="27"/>
      <x:c r="D94" s="27"/>
      <x:c r="E94" s="27"/>
      <x:c r="F94" s="27"/>
      <x:c r="G94" s="27"/>
      <x:c r="H94" s="27"/>
      <x:c r="I94" s="27"/>
      <x:c r="J94" s="27"/>
      <x:c r="K94" s="27"/>
      <x:c r="L94" s="27"/>
      <x:c r="M94" s="27"/>
      <x:c r="N94" s="27"/>
      <x:c r="O94" s="27"/>
      <x:c r="P94" s="27"/>
      <x:c r="Q94" s="27"/>
      <x:c r="R94" s="27"/>
      <x:c r="S94" s="27"/>
      <x:c r="T94" s="27"/>
      <x:c r="U94" s="27"/>
      <x:c r="V94" s="27"/>
      <x:c r="W94" s="27"/>
      <x:c r="X94" s="27"/>
      <x:c r="Y94" s="27"/>
      <x:c r="Z94" s="27"/>
      <x:c r="AA94" s="27"/>
      <x:c r="AB94" s="27"/>
      <x:c r="AC94" s="27"/>
      <x:c r="AD94" s="27"/>
      <x:c r="AE94" s="27"/>
      <x:c r="AF94" s="27"/>
      <x:c r="AG94" s="27"/>
      <x:c r="AH94" s="27"/>
      <x:c r="AI94" s="27"/>
      <x:c r="AJ94" s="27"/>
      <x:c r="AK94" s="27"/>
      <x:c r="AL94" s="27"/>
      <x:c r="AM94" s="27"/>
      <x:c r="AN94" s="27"/>
      <x:c r="AO94" s="27"/>
      <x:c r="AP94" s="27"/>
      <x:c r="AQ94" s="27"/>
      <x:c r="AR94" s="27"/>
      <x:c r="AS94" s="27"/>
      <x:c r="AT94" s="27"/>
      <x:c r="AU94" s="27"/>
      <x:c r="AV94" s="27"/>
      <x:c r="AW94" s="27"/>
      <x:c r="AX94" s="27"/>
      <x:c r="AY94" s="27"/>
      <x:c r="AZ94" s="27"/>
    </x:row>
    <x:row r="95">
      <x:c r="A95" s="27"/>
      <x:c r="B95" s="27"/>
      <x:c r="C95" s="27"/>
      <x:c r="D95" s="27"/>
      <x:c r="E95" s="27"/>
      <x:c r="F95" s="27"/>
      <x:c r="G95" s="27"/>
      <x:c r="H95" s="27"/>
      <x:c r="I95" s="27"/>
      <x:c r="J95" s="27"/>
      <x:c r="K95" s="27"/>
      <x:c r="L95" s="27"/>
      <x:c r="M95" s="27"/>
      <x:c r="N95" s="27"/>
      <x:c r="O95" s="27"/>
      <x:c r="P95" s="27"/>
      <x:c r="Q95" s="27"/>
      <x:c r="R95" s="27"/>
      <x:c r="S95" s="27"/>
      <x:c r="T95" s="27"/>
      <x:c r="U95" s="27"/>
      <x:c r="V95" s="27"/>
      <x:c r="W95" s="27"/>
      <x:c r="X95" s="27"/>
      <x:c r="Y95" s="27"/>
      <x:c r="Z95" s="27"/>
      <x:c r="AA95" s="27"/>
      <x:c r="AB95" s="27"/>
      <x:c r="AC95" s="27"/>
      <x:c r="AD95" s="27"/>
      <x:c r="AE95" s="27"/>
      <x:c r="AF95" s="27"/>
      <x:c r="AG95" s="27"/>
      <x:c r="AH95" s="27"/>
      <x:c r="AI95" s="27"/>
      <x:c r="AJ95" s="27"/>
      <x:c r="AK95" s="27"/>
      <x:c r="AL95" s="27"/>
      <x:c r="AM95" s="27"/>
      <x:c r="AN95" s="27"/>
      <x:c r="AO95" s="27"/>
      <x:c r="AP95" s="27"/>
      <x:c r="AQ95" s="27"/>
      <x:c r="AR95" s="27"/>
      <x:c r="AS95" s="27"/>
      <x:c r="AT95" s="27"/>
      <x:c r="AU95" s="27"/>
      <x:c r="AV95" s="27"/>
      <x:c r="AW95" s="27"/>
      <x:c r="AX95" s="27"/>
      <x:c r="AY95" s="27"/>
      <x:c r="AZ95" s="27"/>
    </x:row>
    <x:row r="96">
      <x:c r="A96" s="27"/>
      <x:c r="B96" s="27"/>
      <x:c r="C96" s="27"/>
      <x:c r="D96" s="27"/>
      <x:c r="E96" s="27"/>
      <x:c r="F96" s="27"/>
      <x:c r="G96" s="27"/>
      <x:c r="H96" s="27"/>
      <x:c r="I96" s="27"/>
      <x:c r="J96" s="27"/>
      <x:c r="K96" s="27"/>
      <x:c r="L96" s="27"/>
      <x:c r="M96" s="27"/>
      <x:c r="N96" s="27"/>
      <x:c r="O96" s="27"/>
      <x:c r="P96" s="27"/>
      <x:c r="Q96" s="27"/>
      <x:c r="R96" s="27"/>
      <x:c r="S96" s="27"/>
      <x:c r="T96" s="27"/>
      <x:c r="U96" s="27"/>
      <x:c r="V96" s="27"/>
      <x:c r="W96" s="27"/>
      <x:c r="X96" s="27"/>
      <x:c r="Y96" s="27"/>
      <x:c r="Z96" s="27"/>
      <x:c r="AA96" s="27"/>
      <x:c r="AB96" s="27"/>
      <x:c r="AC96" s="27"/>
      <x:c r="AD96" s="27"/>
      <x:c r="AE96" s="27"/>
      <x:c r="AF96" s="27"/>
      <x:c r="AG96" s="27"/>
      <x:c r="AH96" s="27"/>
      <x:c r="AI96" s="27"/>
      <x:c r="AJ96" s="27"/>
      <x:c r="AK96" s="27"/>
      <x:c r="AL96" s="27"/>
      <x:c r="AM96" s="27"/>
      <x:c r="AN96" s="27"/>
      <x:c r="AO96" s="27"/>
      <x:c r="AP96" s="27"/>
      <x:c r="AQ96" s="27"/>
      <x:c r="AR96" s="27"/>
      <x:c r="AS96" s="27"/>
      <x:c r="AT96" s="27"/>
      <x:c r="AU96" s="27"/>
      <x:c r="AV96" s="27"/>
      <x:c r="AW96" s="27"/>
      <x:c r="AX96" s="27"/>
      <x:c r="AY96" s="27"/>
      <x:c r="AZ96" s="27"/>
    </x:row>
    <x:row r="97">
      <x:c r="A97" s="27"/>
      <x:c r="B97" s="27"/>
      <x:c r="C97" s="27"/>
      <x:c r="D97" s="27"/>
      <x:c r="E97" s="27"/>
      <x:c r="F97" s="27"/>
      <x:c r="G97" s="27"/>
      <x:c r="H97" s="27"/>
      <x:c r="I97" s="27"/>
      <x:c r="J97" s="27"/>
      <x:c r="K97" s="27"/>
      <x:c r="L97" s="27"/>
      <x:c r="M97" s="27"/>
      <x:c r="N97" s="27"/>
      <x:c r="O97" s="27"/>
      <x:c r="P97" s="27"/>
      <x:c r="Q97" s="27"/>
      <x:c r="R97" s="27"/>
      <x:c r="S97" s="27"/>
      <x:c r="T97" s="27"/>
      <x:c r="U97" s="27"/>
      <x:c r="V97" s="27"/>
      <x:c r="W97" s="27"/>
      <x:c r="X97" s="27"/>
      <x:c r="Y97" s="27"/>
      <x:c r="Z97" s="27"/>
      <x:c r="AA97" s="27"/>
      <x:c r="AB97" s="27"/>
      <x:c r="AC97" s="27"/>
      <x:c r="AD97" s="27"/>
      <x:c r="AE97" s="27"/>
      <x:c r="AF97" s="27"/>
      <x:c r="AG97" s="27"/>
      <x:c r="AH97" s="27"/>
      <x:c r="AI97" s="27"/>
      <x:c r="AJ97" s="27"/>
      <x:c r="AK97" s="27"/>
      <x:c r="AL97" s="27"/>
      <x:c r="AM97" s="27"/>
      <x:c r="AN97" s="27"/>
      <x:c r="AO97" s="27"/>
      <x:c r="AP97" s="27"/>
      <x:c r="AQ97" s="27"/>
      <x:c r="AR97" s="27"/>
      <x:c r="AS97" s="27"/>
      <x:c r="AT97" s="27"/>
      <x:c r="AU97" s="27"/>
      <x:c r="AV97" s="27"/>
      <x:c r="AW97" s="27"/>
      <x:c r="AX97" s="27"/>
      <x:c r="AY97" s="27"/>
      <x:c r="AZ97" s="27"/>
    </x:row>
    <x:row r="98">
      <x:c r="A98" s="27"/>
      <x:c r="B98" s="27"/>
      <x:c r="C98" s="27"/>
      <x:c r="D98" s="27"/>
      <x:c r="E98" s="27"/>
      <x:c r="F98" s="27"/>
      <x:c r="G98" s="27"/>
      <x:c r="H98" s="27"/>
      <x:c r="I98" s="27"/>
      <x:c r="J98" s="27"/>
      <x:c r="K98" s="27"/>
      <x:c r="L98" s="27"/>
      <x:c r="M98" s="27"/>
      <x:c r="N98" s="27"/>
      <x:c r="O98" s="27"/>
      <x:c r="P98" s="27"/>
      <x:c r="Q98" s="27"/>
      <x:c r="R98" s="27"/>
      <x:c r="S98" s="27"/>
      <x:c r="T98" s="27"/>
      <x:c r="U98" s="27"/>
      <x:c r="V98" s="27"/>
      <x:c r="W98" s="27"/>
      <x:c r="X98" s="27"/>
      <x:c r="Y98" s="27"/>
      <x:c r="Z98" s="27"/>
      <x:c r="AA98" s="27"/>
      <x:c r="AB98" s="27"/>
      <x:c r="AC98" s="27"/>
      <x:c r="AD98" s="27"/>
      <x:c r="AE98" s="27"/>
      <x:c r="AF98" s="27"/>
      <x:c r="AG98" s="27"/>
      <x:c r="AH98" s="27"/>
      <x:c r="AI98" s="27"/>
      <x:c r="AJ98" s="27"/>
      <x:c r="AK98" s="27"/>
      <x:c r="AL98" s="27"/>
      <x:c r="AM98" s="27"/>
      <x:c r="AN98" s="27"/>
      <x:c r="AO98" s="27"/>
      <x:c r="AP98" s="27"/>
      <x:c r="AQ98" s="27"/>
      <x:c r="AR98" s="27"/>
      <x:c r="AS98" s="27"/>
      <x:c r="AT98" s="27"/>
      <x:c r="AU98" s="27"/>
      <x:c r="AV98" s="27"/>
      <x:c r="AW98" s="27"/>
      <x:c r="AX98" s="27"/>
      <x:c r="AY98" s="27"/>
      <x:c r="AZ98" s="27"/>
    </x:row>
    <x:row r="99">
      <x:c r="A99" s="27"/>
      <x:c r="B99" s="27"/>
      <x:c r="C99" s="27"/>
      <x:c r="D99" s="27"/>
      <x:c r="E99" s="27"/>
      <x:c r="F99" s="27"/>
      <x:c r="G99" s="27"/>
      <x:c r="H99" s="27"/>
      <x:c r="I99" s="27"/>
      <x:c r="J99" s="27"/>
      <x:c r="K99" s="27"/>
      <x:c r="L99" s="27"/>
      <x:c r="M99" s="27"/>
      <x:c r="N99" s="27"/>
      <x:c r="O99" s="27"/>
      <x:c r="P99" s="27"/>
      <x:c r="Q99" s="27"/>
      <x:c r="R99" s="27"/>
      <x:c r="S99" s="27"/>
      <x:c r="T99" s="27"/>
      <x:c r="U99" s="27"/>
      <x:c r="V99" s="27"/>
      <x:c r="W99" s="27"/>
      <x:c r="X99" s="27"/>
      <x:c r="Y99" s="27"/>
      <x:c r="Z99" s="27"/>
      <x:c r="AA99" s="27"/>
      <x:c r="AB99" s="27"/>
      <x:c r="AC99" s="27"/>
      <x:c r="AD99" s="27"/>
      <x:c r="AE99" s="27"/>
      <x:c r="AF99" s="27"/>
      <x:c r="AG99" s="27"/>
      <x:c r="AH99" s="27"/>
      <x:c r="AI99" s="27"/>
      <x:c r="AJ99" s="27"/>
      <x:c r="AK99" s="27"/>
      <x:c r="AL99" s="27"/>
      <x:c r="AM99" s="27"/>
      <x:c r="AN99" s="27"/>
      <x:c r="AO99" s="27"/>
      <x:c r="AP99" s="27"/>
      <x:c r="AQ99" s="27"/>
      <x:c r="AR99" s="27"/>
      <x:c r="AS99" s="27"/>
      <x:c r="AT99" s="27"/>
      <x:c r="AU99" s="27"/>
      <x:c r="AV99" s="27"/>
      <x:c r="AW99" s="27"/>
      <x:c r="AX99" s="27"/>
      <x:c r="AY99" s="27"/>
      <x:c r="AZ99" s="27"/>
    </x:row>
    <x:row r="100">
      <x:c r="A100" s="27"/>
      <x:c r="B100" s="27"/>
      <x:c r="C100" s="27"/>
      <x:c r="D100" s="27"/>
      <x:c r="E100" s="27"/>
      <x:c r="F100" s="27"/>
      <x:c r="G100" s="27"/>
      <x:c r="H100" s="27"/>
      <x:c r="I100" s="27"/>
      <x:c r="J100" s="27"/>
      <x:c r="K100" s="27"/>
      <x:c r="L100" s="27"/>
      <x:c r="M100" s="27"/>
      <x:c r="N100" s="27"/>
      <x:c r="O100" s="27"/>
      <x:c r="P100" s="27"/>
      <x:c r="Q100" s="27"/>
      <x:c r="R100" s="27"/>
      <x:c r="S100" s="27"/>
      <x:c r="T100" s="27"/>
      <x:c r="U100" s="27"/>
      <x:c r="V100" s="27"/>
      <x:c r="W100" s="27"/>
      <x:c r="X100" s="27"/>
      <x:c r="Y100" s="27"/>
      <x:c r="Z100" s="27"/>
      <x:c r="AA100" s="27"/>
      <x:c r="AB100" s="27"/>
      <x:c r="AC100" s="27"/>
      <x:c r="AD100" s="27"/>
      <x:c r="AE100" s="27"/>
      <x:c r="AF100" s="27"/>
      <x:c r="AG100" s="27"/>
      <x:c r="AH100" s="27"/>
      <x:c r="AI100" s="27"/>
      <x:c r="AJ100" s="27"/>
      <x:c r="AK100" s="27"/>
      <x:c r="AL100" s="27"/>
      <x:c r="AM100" s="27"/>
      <x:c r="AN100" s="27"/>
      <x:c r="AO100" s="27"/>
      <x:c r="AP100" s="27"/>
      <x:c r="AQ100" s="27"/>
      <x:c r="AR100" s="27"/>
      <x:c r="AS100" s="27"/>
      <x:c r="AT100" s="27"/>
      <x:c r="AU100" s="27"/>
      <x:c r="AV100" s="27"/>
      <x:c r="AW100" s="27"/>
      <x:c r="AX100" s="27"/>
      <x:c r="AY100" s="27"/>
      <x:c r="AZ100" s="27"/>
    </x:row>
    <x:row r="101">
      <x:c r="A101" s="27"/>
      <x:c r="B101" s="27"/>
      <x:c r="C101" s="27"/>
      <x:c r="D101" s="27"/>
      <x:c r="E101" s="27"/>
      <x:c r="F101" s="27"/>
      <x:c r="G101" s="27"/>
      <x:c r="H101" s="27"/>
      <x:c r="I101" s="27"/>
      <x:c r="J101" s="27"/>
      <x:c r="K101" s="27"/>
      <x:c r="L101" s="27"/>
      <x:c r="M101" s="27"/>
      <x:c r="N101" s="27"/>
      <x:c r="O101" s="27"/>
      <x:c r="P101" s="27"/>
      <x:c r="Q101" s="27"/>
      <x:c r="R101" s="27"/>
      <x:c r="S101" s="27"/>
      <x:c r="T101" s="27"/>
      <x:c r="U101" s="27"/>
      <x:c r="V101" s="27"/>
      <x:c r="W101" s="27"/>
      <x:c r="X101" s="27"/>
      <x:c r="Y101" s="27"/>
      <x:c r="Z101" s="27"/>
      <x:c r="AA101" s="27"/>
      <x:c r="AB101" s="27"/>
      <x:c r="AC101" s="27"/>
      <x:c r="AD101" s="27"/>
      <x:c r="AE101" s="27"/>
      <x:c r="AF101" s="27"/>
      <x:c r="AG101" s="27"/>
      <x:c r="AH101" s="27"/>
      <x:c r="AI101" s="27"/>
      <x:c r="AJ101" s="27"/>
      <x:c r="AK101" s="27"/>
      <x:c r="AL101" s="27"/>
      <x:c r="AM101" s="27"/>
      <x:c r="AN101" s="27"/>
      <x:c r="AO101" s="27"/>
      <x:c r="AP101" s="27"/>
      <x:c r="AQ101" s="27"/>
      <x:c r="AR101" s="27"/>
      <x:c r="AS101" s="27"/>
      <x:c r="AT101" s="27"/>
      <x:c r="AU101" s="27"/>
      <x:c r="AV101" s="27"/>
      <x:c r="AW101" s="27"/>
      <x:c r="AX101" s="27"/>
      <x:c r="AY101" s="27"/>
      <x:c r="AZ101" s="27"/>
    </x:row>
    <x:row r="102">
      <x:c r="A102" s="27"/>
      <x:c r="B102" s="27"/>
      <x:c r="C102" s="27"/>
      <x:c r="D102" s="27"/>
      <x:c r="E102" s="27"/>
      <x:c r="F102" s="27"/>
      <x:c r="G102" s="27"/>
      <x:c r="H102" s="27"/>
      <x:c r="I102" s="27"/>
      <x:c r="J102" s="27"/>
      <x:c r="K102" s="27"/>
      <x:c r="L102" s="27"/>
      <x:c r="M102" s="27"/>
      <x:c r="N102" s="27"/>
      <x:c r="O102" s="27"/>
      <x:c r="P102" s="27"/>
      <x:c r="Q102" s="27"/>
      <x:c r="R102" s="27"/>
      <x:c r="S102" s="27"/>
      <x:c r="T102" s="27"/>
      <x:c r="U102" s="27"/>
      <x:c r="V102" s="27"/>
      <x:c r="W102" s="27"/>
      <x:c r="X102" s="27"/>
      <x:c r="Y102" s="27"/>
      <x:c r="Z102" s="27"/>
      <x:c r="AA102" s="27"/>
      <x:c r="AB102" s="27"/>
      <x:c r="AC102" s="27"/>
      <x:c r="AD102" s="27"/>
      <x:c r="AE102" s="27"/>
      <x:c r="AF102" s="27"/>
      <x:c r="AG102" s="27"/>
      <x:c r="AH102" s="27"/>
      <x:c r="AI102" s="27"/>
      <x:c r="AJ102" s="27"/>
      <x:c r="AK102" s="27"/>
      <x:c r="AL102" s="27"/>
      <x:c r="AM102" s="27"/>
      <x:c r="AN102" s="27"/>
      <x:c r="AO102" s="27"/>
      <x:c r="AP102" s="27"/>
      <x:c r="AQ102" s="27"/>
      <x:c r="AR102" s="27"/>
      <x:c r="AS102" s="27"/>
      <x:c r="AT102" s="27"/>
      <x:c r="AU102" s="27"/>
      <x:c r="AV102" s="27"/>
      <x:c r="AW102" s="27"/>
      <x:c r="AX102" s="27"/>
      <x:c r="AY102" s="27"/>
      <x:c r="AZ102" s="27"/>
    </x:row>
    <x:row r="103">
      <x:c r="A103" s="27"/>
      <x:c r="B103" s="27"/>
      <x:c r="C103" s="27"/>
      <x:c r="D103" s="27"/>
      <x:c r="E103" s="27"/>
      <x:c r="F103" s="27"/>
      <x:c r="G103" s="27"/>
      <x:c r="H103" s="27"/>
      <x:c r="I103" s="27"/>
      <x:c r="J103" s="27"/>
      <x:c r="K103" s="27"/>
      <x:c r="L103" s="27"/>
      <x:c r="M103" s="27"/>
      <x:c r="N103" s="27"/>
      <x:c r="O103" s="27"/>
      <x:c r="P103" s="27"/>
      <x:c r="Q103" s="27"/>
      <x:c r="R103" s="27"/>
      <x:c r="S103" s="27"/>
      <x:c r="T103" s="27"/>
      <x:c r="U103" s="27"/>
      <x:c r="V103" s="27"/>
      <x:c r="W103" s="27"/>
      <x:c r="X103" s="27"/>
      <x:c r="Y103" s="27"/>
      <x:c r="Z103" s="27"/>
      <x:c r="AA103" s="27"/>
      <x:c r="AB103" s="27"/>
      <x:c r="AC103" s="27"/>
      <x:c r="AD103" s="27"/>
      <x:c r="AE103" s="27"/>
      <x:c r="AF103" s="27"/>
      <x:c r="AG103" s="27"/>
      <x:c r="AH103" s="27"/>
      <x:c r="AI103" s="27"/>
      <x:c r="AJ103" s="27"/>
      <x:c r="AK103" s="27"/>
      <x:c r="AL103" s="27"/>
      <x:c r="AM103" s="27"/>
      <x:c r="AN103" s="27"/>
      <x:c r="AO103" s="27"/>
      <x:c r="AP103" s="27"/>
      <x:c r="AQ103" s="27"/>
      <x:c r="AR103" s="27"/>
      <x:c r="AS103" s="27"/>
      <x:c r="AT103" s="27"/>
      <x:c r="AU103" s="27"/>
      <x:c r="AV103" s="27"/>
      <x:c r="AW103" s="27"/>
      <x:c r="AX103" s="27"/>
      <x:c r="AY103" s="27"/>
      <x:c r="AZ103" s="27"/>
    </x:row>
    <x:row r="104">
      <x:c r="A104" s="27"/>
      <x:c r="B104" s="27"/>
      <x:c r="C104" s="27"/>
      <x:c r="D104" s="27"/>
      <x:c r="E104" s="27"/>
      <x:c r="F104" s="27"/>
      <x:c r="G104" s="27"/>
      <x:c r="H104" s="27"/>
      <x:c r="I104" s="27"/>
      <x:c r="J104" s="27"/>
      <x:c r="K104" s="27"/>
      <x:c r="L104" s="27"/>
      <x:c r="M104" s="27"/>
      <x:c r="N104" s="27"/>
      <x:c r="O104" s="27"/>
      <x:c r="P104" s="27"/>
      <x:c r="Q104" s="27"/>
      <x:c r="R104" s="27"/>
      <x:c r="S104" s="27"/>
      <x:c r="T104" s="27"/>
      <x:c r="U104" s="27"/>
      <x:c r="V104" s="27"/>
      <x:c r="W104" s="27"/>
      <x:c r="X104" s="27"/>
      <x:c r="Y104" s="27"/>
      <x:c r="Z104" s="27"/>
      <x:c r="AA104" s="27"/>
      <x:c r="AB104" s="27"/>
      <x:c r="AC104" s="27"/>
      <x:c r="AD104" s="27"/>
      <x:c r="AE104" s="27"/>
      <x:c r="AF104" s="27"/>
      <x:c r="AG104" s="27"/>
      <x:c r="AH104" s="27"/>
      <x:c r="AI104" s="27"/>
      <x:c r="AJ104" s="27"/>
      <x:c r="AK104" s="27"/>
      <x:c r="AL104" s="27"/>
      <x:c r="AM104" s="27"/>
      <x:c r="AN104" s="27"/>
      <x:c r="AO104" s="27"/>
      <x:c r="AP104" s="27"/>
      <x:c r="AQ104" s="27"/>
      <x:c r="AR104" s="27"/>
      <x:c r="AS104" s="27"/>
      <x:c r="AT104" s="27"/>
      <x:c r="AU104" s="27"/>
      <x:c r="AV104" s="27"/>
      <x:c r="AW104" s="27"/>
      <x:c r="AX104" s="27"/>
      <x:c r="AY104" s="27"/>
      <x:c r="AZ104" s="27"/>
    </x:row>
    <x:row r="105">
      <x:c r="A105" s="27"/>
      <x:c r="B105" s="27"/>
      <x:c r="C105" s="27"/>
      <x:c r="D105" s="27"/>
      <x:c r="E105" s="27"/>
      <x:c r="F105" s="27"/>
      <x:c r="G105" s="27"/>
      <x:c r="H105" s="27"/>
      <x:c r="I105" s="27"/>
      <x:c r="J105" s="27"/>
      <x:c r="K105" s="27"/>
      <x:c r="L105" s="27"/>
      <x:c r="M105" s="27"/>
      <x:c r="N105" s="27"/>
      <x:c r="O105" s="27"/>
      <x:c r="P105" s="27"/>
      <x:c r="Q105" s="27"/>
      <x:c r="R105" s="27"/>
      <x:c r="S105" s="27"/>
      <x:c r="T105" s="27"/>
      <x:c r="U105" s="27"/>
      <x:c r="V105" s="27"/>
      <x:c r="W105" s="27"/>
      <x:c r="X105" s="27"/>
      <x:c r="Y105" s="27"/>
      <x:c r="Z105" s="27"/>
      <x:c r="AA105" s="27"/>
      <x:c r="AB105" s="27"/>
      <x:c r="AC105" s="27"/>
      <x:c r="AD105" s="27"/>
      <x:c r="AE105" s="27"/>
      <x:c r="AF105" s="27"/>
      <x:c r="AG105" s="27"/>
      <x:c r="AH105" s="27"/>
      <x:c r="AI105" s="27"/>
      <x:c r="AJ105" s="27"/>
      <x:c r="AK105" s="27"/>
      <x:c r="AL105" s="27"/>
      <x:c r="AM105" s="27"/>
      <x:c r="AN105" s="27"/>
      <x:c r="AO105" s="27"/>
      <x:c r="AP105" s="27"/>
      <x:c r="AQ105" s="27"/>
      <x:c r="AR105" s="27"/>
      <x:c r="AS105" s="27"/>
      <x:c r="AT105" s="27"/>
      <x:c r="AU105" s="27"/>
      <x:c r="AV105" s="27"/>
      <x:c r="AW105" s="27"/>
      <x:c r="AX105" s="27"/>
      <x:c r="AY105" s="27"/>
      <x:c r="AZ105" s="27"/>
    </x:row>
    <x:row r="106">
      <x:c r="A106" s="27"/>
      <x:c r="B106" s="27"/>
      <x:c r="C106" s="27"/>
      <x:c r="D106" s="27"/>
      <x:c r="E106" s="27"/>
      <x:c r="F106" s="27"/>
      <x:c r="G106" s="27"/>
      <x:c r="H106" s="27"/>
      <x:c r="I106" s="27"/>
      <x:c r="J106" s="27"/>
      <x:c r="K106" s="27"/>
      <x:c r="L106" s="27"/>
      <x:c r="M106" s="27"/>
      <x:c r="N106" s="27"/>
      <x:c r="O106" s="27"/>
      <x:c r="P106" s="27"/>
      <x:c r="Q106" s="27"/>
      <x:c r="R106" s="27"/>
      <x:c r="S106" s="27"/>
      <x:c r="T106" s="27"/>
      <x:c r="U106" s="27"/>
      <x:c r="V106" s="27"/>
      <x:c r="W106" s="27"/>
      <x:c r="X106" s="27"/>
      <x:c r="Y106" s="27"/>
      <x:c r="Z106" s="27"/>
      <x:c r="AA106" s="27"/>
      <x:c r="AB106" s="27"/>
      <x:c r="AC106" s="27"/>
      <x:c r="AD106" s="27"/>
      <x:c r="AE106" s="27"/>
      <x:c r="AF106" s="27"/>
      <x:c r="AG106" s="27"/>
      <x:c r="AH106" s="27"/>
      <x:c r="AI106" s="27"/>
      <x:c r="AJ106" s="27"/>
      <x:c r="AK106" s="27"/>
      <x:c r="AL106" s="27"/>
      <x:c r="AM106" s="27"/>
      <x:c r="AN106" s="27"/>
      <x:c r="AO106" s="27"/>
      <x:c r="AP106" s="27"/>
      <x:c r="AQ106" s="27"/>
      <x:c r="AR106" s="27"/>
      <x:c r="AS106" s="27"/>
      <x:c r="AT106" s="27"/>
      <x:c r="AU106" s="27"/>
      <x:c r="AV106" s="27"/>
      <x:c r="AW106" s="27"/>
      <x:c r="AX106" s="27"/>
      <x:c r="AY106" s="27"/>
      <x:c r="AZ106" s="27"/>
    </x:row>
    <x:row r="107">
      <x:c r="A107" s="27"/>
      <x:c r="B107" s="27"/>
      <x:c r="C107" s="27"/>
      <x:c r="D107" s="27"/>
      <x:c r="E107" s="27"/>
      <x:c r="F107" s="27"/>
      <x:c r="G107" s="27"/>
      <x:c r="H107" s="27"/>
      <x:c r="I107" s="27"/>
      <x:c r="J107" s="27"/>
      <x:c r="K107" s="27"/>
      <x:c r="L107" s="27"/>
      <x:c r="M107" s="27"/>
      <x:c r="N107" s="27"/>
      <x:c r="O107" s="27"/>
      <x:c r="P107" s="27"/>
      <x:c r="Q107" s="27"/>
      <x:c r="R107" s="27"/>
      <x:c r="S107" s="27"/>
      <x:c r="T107" s="27"/>
      <x:c r="U107" s="27"/>
      <x:c r="V107" s="27"/>
      <x:c r="W107" s="27"/>
      <x:c r="X107" s="27"/>
      <x:c r="Y107" s="27"/>
      <x:c r="Z107" s="27"/>
      <x:c r="AA107" s="27"/>
      <x:c r="AB107" s="27"/>
      <x:c r="AC107" s="27"/>
      <x:c r="AD107" s="27"/>
      <x:c r="AE107" s="27"/>
      <x:c r="AF107" s="27"/>
      <x:c r="AG107" s="27"/>
      <x:c r="AH107" s="27"/>
      <x:c r="AI107" s="27"/>
      <x:c r="AJ107" s="27"/>
      <x:c r="AK107" s="27"/>
      <x:c r="AL107" s="27"/>
      <x:c r="AM107" s="27"/>
      <x:c r="AN107" s="27"/>
      <x:c r="AO107" s="27"/>
      <x:c r="AP107" s="27"/>
      <x:c r="AQ107" s="27"/>
      <x:c r="AR107" s="27"/>
      <x:c r="AS107" s="27"/>
      <x:c r="AT107" s="27"/>
      <x:c r="AU107" s="27"/>
      <x:c r="AV107" s="27"/>
      <x:c r="AW107" s="27"/>
      <x:c r="AX107" s="27"/>
      <x:c r="AY107" s="27"/>
      <x:c r="AZ107" s="27"/>
    </x:row>
    <x:row r="108">
      <x:c r="A108" s="27"/>
      <x:c r="B108" s="27"/>
      <x:c r="C108" s="27"/>
      <x:c r="D108" s="27"/>
      <x:c r="E108" s="27"/>
      <x:c r="F108" s="27"/>
      <x:c r="G108" s="27"/>
      <x:c r="H108" s="27"/>
      <x:c r="I108" s="27"/>
      <x:c r="J108" s="27"/>
      <x:c r="K108" s="27"/>
      <x:c r="L108" s="27"/>
      <x:c r="M108" s="27"/>
      <x:c r="N108" s="27"/>
      <x:c r="O108" s="27"/>
      <x:c r="P108" s="27"/>
      <x:c r="Q108" s="27"/>
      <x:c r="R108" s="27"/>
      <x:c r="S108" s="27"/>
      <x:c r="T108" s="27"/>
      <x:c r="U108" s="27"/>
      <x:c r="V108" s="27"/>
      <x:c r="W108" s="27"/>
      <x:c r="X108" s="27"/>
      <x:c r="Y108" s="27"/>
      <x:c r="Z108" s="27"/>
      <x:c r="AA108" s="27"/>
      <x:c r="AB108" s="27"/>
      <x:c r="AC108" s="27"/>
      <x:c r="AD108" s="27"/>
      <x:c r="AE108" s="27"/>
      <x:c r="AF108" s="27"/>
      <x:c r="AG108" s="27"/>
      <x:c r="AH108" s="27"/>
      <x:c r="AI108" s="27"/>
      <x:c r="AJ108" s="27"/>
      <x:c r="AK108" s="27"/>
      <x:c r="AL108" s="27"/>
      <x:c r="AM108" s="27"/>
      <x:c r="AN108" s="27"/>
      <x:c r="AO108" s="27"/>
      <x:c r="AP108" s="27"/>
      <x:c r="AQ108" s="27"/>
      <x:c r="AR108" s="27"/>
      <x:c r="AS108" s="27"/>
      <x:c r="AT108" s="27"/>
      <x:c r="AU108" s="27"/>
      <x:c r="AV108" s="27"/>
      <x:c r="AW108" s="27"/>
      <x:c r="AX108" s="27"/>
      <x:c r="AY108" s="27"/>
      <x:c r="AZ108" s="27"/>
    </x:row>
    <x:row r="109">
      <x:c r="A109" s="27"/>
      <x:c r="B109" s="27"/>
      <x:c r="C109" s="27"/>
      <x:c r="D109" s="27"/>
      <x:c r="E109" s="27"/>
      <x:c r="F109" s="27"/>
      <x:c r="G109" s="27"/>
      <x:c r="H109" s="27"/>
      <x:c r="I109" s="27"/>
      <x:c r="J109" s="27"/>
      <x:c r="K109" s="27"/>
      <x:c r="L109" s="27"/>
      <x:c r="M109" s="27"/>
      <x:c r="N109" s="27"/>
      <x:c r="O109" s="27"/>
      <x:c r="P109" s="27"/>
      <x:c r="Q109" s="27"/>
      <x:c r="R109" s="27"/>
      <x:c r="S109" s="27"/>
      <x:c r="T109" s="27"/>
      <x:c r="U109" s="27"/>
      <x:c r="V109" s="27"/>
      <x:c r="W109" s="27"/>
      <x:c r="X109" s="27"/>
      <x:c r="Y109" s="27"/>
      <x:c r="Z109" s="27"/>
      <x:c r="AA109" s="27"/>
      <x:c r="AB109" s="27"/>
      <x:c r="AC109" s="27"/>
      <x:c r="AD109" s="27"/>
      <x:c r="AE109" s="27"/>
      <x:c r="AF109" s="27"/>
      <x:c r="AG109" s="27"/>
      <x:c r="AH109" s="27"/>
      <x:c r="AI109" s="27"/>
      <x:c r="AJ109" s="27"/>
      <x:c r="AK109" s="27"/>
      <x:c r="AL109" s="27"/>
      <x:c r="AM109" s="27"/>
      <x:c r="AN109" s="27"/>
      <x:c r="AO109" s="27"/>
      <x:c r="AP109" s="27"/>
      <x:c r="AQ109" s="27"/>
      <x:c r="AR109" s="27"/>
      <x:c r="AS109" s="27"/>
      <x:c r="AT109" s="27"/>
      <x:c r="AU109" s="27"/>
      <x:c r="AV109" s="27"/>
      <x:c r="AW109" s="27"/>
      <x:c r="AX109" s="27"/>
      <x:c r="AY109" s="27"/>
      <x:c r="AZ109" s="27"/>
    </x:row>
    <x:row r="110">
      <x:c r="A110" s="27"/>
      <x:c r="B110" s="27"/>
      <x:c r="C110" s="27"/>
      <x:c r="D110" s="27"/>
      <x:c r="E110" s="27"/>
      <x:c r="F110" s="27"/>
      <x:c r="G110" s="27"/>
      <x:c r="H110" s="27"/>
      <x:c r="I110" s="27"/>
      <x:c r="J110" s="27"/>
      <x:c r="K110" s="27"/>
      <x:c r="L110" s="27"/>
      <x:c r="M110" s="27"/>
      <x:c r="N110" s="27"/>
      <x:c r="O110" s="27"/>
      <x:c r="P110" s="27"/>
      <x:c r="Q110" s="27"/>
      <x:c r="R110" s="27"/>
      <x:c r="S110" s="27"/>
      <x:c r="T110" s="27"/>
      <x:c r="U110" s="27"/>
      <x:c r="V110" s="27"/>
      <x:c r="W110" s="27"/>
      <x:c r="X110" s="27"/>
      <x:c r="Y110" s="27"/>
      <x:c r="Z110" s="27"/>
      <x:c r="AA110" s="27"/>
      <x:c r="AB110" s="27"/>
      <x:c r="AC110" s="27"/>
      <x:c r="AD110" s="27"/>
      <x:c r="AE110" s="27"/>
      <x:c r="AF110" s="27"/>
      <x:c r="AG110" s="27"/>
      <x:c r="AH110" s="27"/>
      <x:c r="AI110" s="27"/>
      <x:c r="AJ110" s="27"/>
      <x:c r="AK110" s="27"/>
      <x:c r="AL110" s="27"/>
      <x:c r="AM110" s="27"/>
      <x:c r="AN110" s="27"/>
      <x:c r="AO110" s="27"/>
      <x:c r="AP110" s="27"/>
      <x:c r="AQ110" s="27"/>
      <x:c r="AR110" s="27"/>
      <x:c r="AS110" s="27"/>
      <x:c r="AT110" s="27"/>
      <x:c r="AU110" s="27"/>
      <x:c r="AV110" s="27"/>
      <x:c r="AW110" s="27"/>
      <x:c r="AX110" s="27"/>
      <x:c r="AY110" s="27"/>
      <x:c r="AZ110" s="27"/>
    </x:row>
    <x:row r="111">
      <x:c r="A111" s="27"/>
      <x:c r="B111" s="27"/>
      <x:c r="C111" s="27"/>
      <x:c r="D111" s="27"/>
      <x:c r="E111" s="27"/>
      <x:c r="F111" s="27"/>
      <x:c r="G111" s="27"/>
      <x:c r="H111" s="27"/>
      <x:c r="I111" s="27"/>
      <x:c r="J111" s="27"/>
      <x:c r="K111" s="27"/>
      <x:c r="L111" s="27"/>
      <x:c r="M111" s="27"/>
      <x:c r="N111" s="27"/>
      <x:c r="O111" s="27"/>
      <x:c r="P111" s="27"/>
      <x:c r="Q111" s="27"/>
      <x:c r="R111" s="27"/>
      <x:c r="S111" s="27"/>
      <x:c r="T111" s="27"/>
      <x:c r="U111" s="27"/>
      <x:c r="V111" s="27"/>
      <x:c r="W111" s="27"/>
      <x:c r="X111" s="27"/>
      <x:c r="Y111" s="27"/>
      <x:c r="Z111" s="27"/>
      <x:c r="AA111" s="27"/>
      <x:c r="AB111" s="27"/>
      <x:c r="AC111" s="27"/>
      <x:c r="AD111" s="27"/>
      <x:c r="AE111" s="27"/>
      <x:c r="AF111" s="27"/>
      <x:c r="AG111" s="27"/>
      <x:c r="AH111" s="27"/>
      <x:c r="AI111" s="27"/>
      <x:c r="AJ111" s="27"/>
      <x:c r="AK111" s="27"/>
      <x:c r="AL111" s="27"/>
      <x:c r="AM111" s="27"/>
      <x:c r="AN111" s="27"/>
      <x:c r="AO111" s="27"/>
      <x:c r="AP111" s="27"/>
      <x:c r="AQ111" s="27"/>
      <x:c r="AR111" s="27"/>
      <x:c r="AS111" s="27"/>
      <x:c r="AT111" s="27"/>
      <x:c r="AU111" s="27"/>
      <x:c r="AV111" s="27"/>
      <x:c r="AW111" s="27"/>
      <x:c r="AX111" s="27"/>
      <x:c r="AY111" s="27"/>
      <x:c r="AZ111" s="27"/>
    </x:row>
    <x:row r="112">
      <x:c r="A112" s="27"/>
      <x:c r="B112" s="27"/>
      <x:c r="C112" s="27"/>
      <x:c r="D112" s="27"/>
      <x:c r="E112" s="27"/>
      <x:c r="F112" s="27"/>
      <x:c r="G112" s="27"/>
      <x:c r="H112" s="27"/>
      <x:c r="I112" s="27"/>
      <x:c r="J112" s="27"/>
      <x:c r="K112" s="27"/>
      <x:c r="L112" s="27"/>
      <x:c r="M112" s="27"/>
      <x:c r="N112" s="27"/>
      <x:c r="O112" s="27"/>
      <x:c r="P112" s="27"/>
      <x:c r="Q112" s="27"/>
      <x:c r="R112" s="27"/>
      <x:c r="S112" s="27"/>
      <x:c r="T112" s="27"/>
      <x:c r="U112" s="27"/>
      <x:c r="V112" s="27"/>
      <x:c r="W112" s="27"/>
      <x:c r="X112" s="27"/>
      <x:c r="Y112" s="27"/>
      <x:c r="Z112" s="27"/>
      <x:c r="AA112" s="27"/>
      <x:c r="AB112" s="27"/>
      <x:c r="AC112" s="27"/>
      <x:c r="AD112" s="27"/>
      <x:c r="AE112" s="27"/>
      <x:c r="AF112" s="27"/>
      <x:c r="AG112" s="27"/>
      <x:c r="AH112" s="27"/>
      <x:c r="AI112" s="27"/>
      <x:c r="AJ112" s="27"/>
      <x:c r="AK112" s="27"/>
      <x:c r="AL112" s="27"/>
      <x:c r="AM112" s="27"/>
      <x:c r="AN112" s="27"/>
      <x:c r="AO112" s="27"/>
      <x:c r="AP112" s="27"/>
      <x:c r="AQ112" s="27"/>
      <x:c r="AR112" s="27"/>
      <x:c r="AS112" s="27"/>
      <x:c r="AT112" s="27"/>
      <x:c r="AU112" s="27"/>
      <x:c r="AV112" s="27"/>
      <x:c r="AW112" s="27"/>
      <x:c r="AX112" s="27"/>
      <x:c r="AY112" s="27"/>
      <x:c r="AZ112" s="27"/>
    </x:row>
    <x:row r="113">
      <x:c r="A113" s="27"/>
      <x:c r="B113" s="27"/>
      <x:c r="C113" s="27"/>
      <x:c r="D113" s="27"/>
      <x:c r="E113" s="27"/>
      <x:c r="F113" s="27"/>
      <x:c r="G113" s="27"/>
      <x:c r="H113" s="27"/>
      <x:c r="I113" s="27"/>
      <x:c r="J113" s="27"/>
      <x:c r="K113" s="27"/>
      <x:c r="L113" s="27"/>
      <x:c r="M113" s="27"/>
      <x:c r="N113" s="27"/>
      <x:c r="O113" s="27"/>
      <x:c r="P113" s="27"/>
      <x:c r="Q113" s="27"/>
      <x:c r="R113" s="27"/>
      <x:c r="S113" s="27"/>
      <x:c r="T113" s="27"/>
      <x:c r="U113" s="27"/>
      <x:c r="V113" s="27"/>
      <x:c r="W113" s="27"/>
      <x:c r="X113" s="27"/>
      <x:c r="Y113" s="27"/>
      <x:c r="Z113" s="27"/>
      <x:c r="AA113" s="27"/>
      <x:c r="AB113" s="27"/>
      <x:c r="AC113" s="27"/>
      <x:c r="AD113" s="27"/>
      <x:c r="AE113" s="27"/>
      <x:c r="AF113" s="27"/>
      <x:c r="AG113" s="27"/>
      <x:c r="AH113" s="27"/>
      <x:c r="AI113" s="27"/>
      <x:c r="AJ113" s="27"/>
      <x:c r="AK113" s="27"/>
      <x:c r="AL113" s="27"/>
      <x:c r="AM113" s="27"/>
      <x:c r="AN113" s="27"/>
      <x:c r="AO113" s="27"/>
      <x:c r="AP113" s="27"/>
      <x:c r="AQ113" s="27"/>
      <x:c r="AR113" s="27"/>
      <x:c r="AS113" s="27"/>
      <x:c r="AT113" s="27"/>
      <x:c r="AU113" s="27"/>
      <x:c r="AV113" s="27"/>
      <x:c r="AW113" s="27"/>
      <x:c r="AX113" s="27"/>
      <x:c r="AY113" s="27"/>
      <x:c r="AZ113" s="27"/>
    </x:row>
    <x:row r="114">
      <x:c r="A114" s="27"/>
      <x:c r="B114" s="27"/>
      <x:c r="C114" s="27"/>
      <x:c r="D114" s="27"/>
      <x:c r="E114" s="27"/>
      <x:c r="F114" s="27"/>
      <x:c r="G114" s="27"/>
      <x:c r="H114" s="27"/>
      <x:c r="I114" s="27"/>
      <x:c r="J114" s="27"/>
      <x:c r="K114" s="27"/>
      <x:c r="L114" s="27"/>
      <x:c r="M114" s="27"/>
      <x:c r="N114" s="27"/>
      <x:c r="O114" s="27"/>
      <x:c r="P114" s="27"/>
      <x:c r="Q114" s="27"/>
      <x:c r="R114" s="27"/>
      <x:c r="S114" s="27"/>
      <x:c r="T114" s="27"/>
      <x:c r="U114" s="27"/>
      <x:c r="V114" s="27"/>
      <x:c r="W114" s="27"/>
      <x:c r="X114" s="27"/>
      <x:c r="Y114" s="27"/>
      <x:c r="Z114" s="27"/>
      <x:c r="AA114" s="27"/>
      <x:c r="AB114" s="27"/>
      <x:c r="AC114" s="27"/>
      <x:c r="AD114" s="27"/>
      <x:c r="AE114" s="27"/>
      <x:c r="AF114" s="27"/>
      <x:c r="AG114" s="27"/>
      <x:c r="AH114" s="27"/>
      <x:c r="AI114" s="27"/>
      <x:c r="AJ114" s="27"/>
      <x:c r="AK114" s="27"/>
      <x:c r="AL114" s="27"/>
      <x:c r="AM114" s="27"/>
      <x:c r="AN114" s="27"/>
      <x:c r="AO114" s="27"/>
      <x:c r="AP114" s="27"/>
      <x:c r="AQ114" s="27"/>
      <x:c r="AR114" s="27"/>
      <x:c r="AS114" s="27"/>
      <x:c r="AT114" s="27"/>
      <x:c r="AU114" s="27"/>
      <x:c r="AV114" s="27"/>
      <x:c r="AW114" s="27"/>
      <x:c r="AX114" s="27"/>
      <x:c r="AY114" s="27"/>
      <x:c r="AZ114" s="27"/>
    </x:row>
    <x:row r="115">
      <x:c r="A115" s="27"/>
      <x:c r="B115" s="27"/>
      <x:c r="C115" s="27"/>
      <x:c r="D115" s="27"/>
      <x:c r="E115" s="27"/>
      <x:c r="F115" s="27"/>
      <x:c r="G115" s="27"/>
      <x:c r="H115" s="27"/>
      <x:c r="I115" s="27"/>
      <x:c r="J115" s="27"/>
      <x:c r="K115" s="27"/>
      <x:c r="L115" s="27"/>
      <x:c r="M115" s="27"/>
      <x:c r="N115" s="27"/>
      <x:c r="O115" s="27"/>
      <x:c r="P115" s="27"/>
      <x:c r="Q115" s="27"/>
      <x:c r="R115" s="27"/>
      <x:c r="S115" s="27"/>
      <x:c r="T115" s="27"/>
      <x:c r="U115" s="27"/>
      <x:c r="V115" s="27"/>
      <x:c r="W115" s="27"/>
      <x:c r="X115" s="27"/>
      <x:c r="Y115" s="27"/>
      <x:c r="Z115" s="27"/>
      <x:c r="AA115" s="27"/>
      <x:c r="AB115" s="27"/>
      <x:c r="AC115" s="27"/>
      <x:c r="AD115" s="27"/>
      <x:c r="AE115" s="27"/>
      <x:c r="AF115" s="27"/>
      <x:c r="AG115" s="27"/>
      <x:c r="AH115" s="27"/>
      <x:c r="AI115" s="27"/>
      <x:c r="AJ115" s="27"/>
      <x:c r="AK115" s="27"/>
      <x:c r="AL115" s="27"/>
      <x:c r="AM115" s="27"/>
      <x:c r="AN115" s="27"/>
      <x:c r="AO115" s="27"/>
      <x:c r="AP115" s="27"/>
      <x:c r="AQ115" s="27"/>
      <x:c r="AR115" s="27"/>
      <x:c r="AS115" s="27"/>
      <x:c r="AT115" s="27"/>
      <x:c r="AU115" s="27"/>
      <x:c r="AV115" s="27"/>
      <x:c r="AW115" s="27"/>
      <x:c r="AX115" s="27"/>
      <x:c r="AY115" s="27"/>
      <x:c r="AZ115" s="27"/>
    </x:row>
    <x:row r="116">
      <x:c r="A116" s="27"/>
      <x:c r="B116" s="27"/>
      <x:c r="C116" s="27"/>
      <x:c r="D116" s="27"/>
      <x:c r="E116" s="27"/>
      <x:c r="F116" s="27"/>
      <x:c r="G116" s="27"/>
      <x:c r="H116" s="27"/>
      <x:c r="I116" s="27"/>
      <x:c r="J116" s="27"/>
      <x:c r="K116" s="27"/>
      <x:c r="L116" s="27"/>
      <x:c r="M116" s="27"/>
      <x:c r="N116" s="27"/>
      <x:c r="O116" s="27"/>
      <x:c r="P116" s="27"/>
      <x:c r="Q116" s="27"/>
      <x:c r="R116" s="27"/>
      <x:c r="S116" s="27"/>
      <x:c r="T116" s="27"/>
      <x:c r="U116" s="27"/>
      <x:c r="V116" s="27"/>
      <x:c r="W116" s="27"/>
      <x:c r="X116" s="27"/>
      <x:c r="Y116" s="27"/>
      <x:c r="Z116" s="27"/>
      <x:c r="AA116" s="27"/>
      <x:c r="AB116" s="27"/>
      <x:c r="AC116" s="27"/>
      <x:c r="AD116" s="27"/>
      <x:c r="AE116" s="27"/>
      <x:c r="AF116" s="27"/>
      <x:c r="AG116" s="27"/>
      <x:c r="AH116" s="27"/>
      <x:c r="AI116" s="27"/>
      <x:c r="AJ116" s="27"/>
      <x:c r="AK116" s="27"/>
      <x:c r="AL116" s="27"/>
      <x:c r="AM116" s="27"/>
      <x:c r="AN116" s="27"/>
      <x:c r="AO116" s="27"/>
      <x:c r="AP116" s="27"/>
      <x:c r="AQ116" s="27"/>
      <x:c r="AR116" s="27"/>
      <x:c r="AS116" s="27"/>
      <x:c r="AT116" s="27"/>
      <x:c r="AU116" s="27"/>
      <x:c r="AV116" s="27"/>
      <x:c r="AW116" s="27"/>
      <x:c r="AX116" s="27"/>
      <x:c r="AY116" s="27"/>
      <x:c r="AZ116" s="27"/>
    </x:row>
    <x:row r="117">
      <x:c r="A117" s="27"/>
      <x:c r="B117" s="27"/>
      <x:c r="C117" s="27"/>
      <x:c r="D117" s="27"/>
      <x:c r="E117" s="27"/>
      <x:c r="F117" s="27"/>
      <x:c r="G117" s="27"/>
      <x:c r="H117" s="27"/>
      <x:c r="I117" s="27"/>
      <x:c r="J117" s="27"/>
      <x:c r="K117" s="27"/>
      <x:c r="L117" s="27"/>
      <x:c r="M117" s="27"/>
      <x:c r="N117" s="27"/>
      <x:c r="O117" s="27"/>
      <x:c r="P117" s="27"/>
      <x:c r="Q117" s="27"/>
      <x:c r="R117" s="27"/>
      <x:c r="S117" s="27"/>
      <x:c r="T117" s="27"/>
      <x:c r="U117" s="27"/>
      <x:c r="V117" s="27"/>
      <x:c r="W117" s="27"/>
      <x:c r="X117" s="27"/>
      <x:c r="Y117" s="27"/>
      <x:c r="Z117" s="27"/>
      <x:c r="AA117" s="27"/>
      <x:c r="AB117" s="27"/>
      <x:c r="AC117" s="27"/>
      <x:c r="AD117" s="27"/>
      <x:c r="AE117" s="27"/>
      <x:c r="AF117" s="27"/>
      <x:c r="AG117" s="27"/>
      <x:c r="AH117" s="27"/>
      <x:c r="AI117" s="27"/>
      <x:c r="AJ117" s="27"/>
      <x:c r="AK117" s="27"/>
      <x:c r="AL117" s="27"/>
      <x:c r="AM117" s="27"/>
      <x:c r="AN117" s="27"/>
      <x:c r="AO117" s="27"/>
      <x:c r="AP117" s="27"/>
      <x:c r="AQ117" s="27"/>
      <x:c r="AR117" s="27"/>
      <x:c r="AS117" s="27"/>
      <x:c r="AT117" s="27"/>
      <x:c r="AU117" s="27"/>
      <x:c r="AV117" s="27"/>
      <x:c r="AW117" s="27"/>
      <x:c r="AX117" s="27"/>
      <x:c r="AY117" s="27"/>
      <x:c r="AZ117" s="27"/>
    </x:row>
    <x:row r="118">
      <x:c r="A118" s="27"/>
      <x:c r="B118" s="27"/>
      <x:c r="C118" s="27"/>
      <x:c r="D118" s="27"/>
      <x:c r="E118" s="27"/>
      <x:c r="F118" s="27"/>
      <x:c r="G118" s="27"/>
      <x:c r="H118" s="27"/>
      <x:c r="I118" s="27"/>
      <x:c r="J118" s="27"/>
      <x:c r="K118" s="27"/>
      <x:c r="L118" s="27"/>
      <x:c r="M118" s="27"/>
      <x:c r="N118" s="27"/>
      <x:c r="O118" s="27"/>
      <x:c r="P118" s="27"/>
      <x:c r="Q118" s="27"/>
      <x:c r="R118" s="27"/>
      <x:c r="S118" s="27"/>
      <x:c r="T118" s="27"/>
      <x:c r="U118" s="27"/>
      <x:c r="V118" s="27"/>
      <x:c r="W118" s="27"/>
      <x:c r="X118" s="27"/>
      <x:c r="Y118" s="27"/>
      <x:c r="Z118" s="27"/>
      <x:c r="AA118" s="27"/>
      <x:c r="AB118" s="27"/>
      <x:c r="AC118" s="27"/>
      <x:c r="AD118" s="27"/>
      <x:c r="AE118" s="27"/>
      <x:c r="AF118" s="27"/>
      <x:c r="AG118" s="27"/>
      <x:c r="AH118" s="27"/>
      <x:c r="AI118" s="27"/>
      <x:c r="AJ118" s="27"/>
      <x:c r="AK118" s="27"/>
      <x:c r="AL118" s="27"/>
      <x:c r="AM118" s="27"/>
      <x:c r="AN118" s="27"/>
      <x:c r="AO118" s="27"/>
      <x:c r="AP118" s="27"/>
      <x:c r="AQ118" s="27"/>
      <x:c r="AR118" s="27"/>
      <x:c r="AS118" s="27"/>
      <x:c r="AT118" s="27"/>
      <x:c r="AU118" s="27"/>
      <x:c r="AV118" s="27"/>
      <x:c r="AW118" s="27"/>
      <x:c r="AX118" s="27"/>
      <x:c r="AY118" s="27"/>
      <x:c r="AZ118" s="27"/>
    </x:row>
    <x:row r="119">
      <x:c r="A119" s="27"/>
      <x:c r="B119" s="27"/>
      <x:c r="C119" s="27"/>
      <x:c r="D119" s="27"/>
      <x:c r="E119" s="27"/>
      <x:c r="F119" s="27"/>
      <x:c r="G119" s="27"/>
      <x:c r="H119" s="27"/>
      <x:c r="I119" s="27"/>
      <x:c r="J119" s="27"/>
      <x:c r="K119" s="27"/>
      <x:c r="L119" s="27"/>
      <x:c r="M119" s="27"/>
      <x:c r="N119" s="27"/>
      <x:c r="O119" s="27"/>
      <x:c r="P119" s="27"/>
      <x:c r="Q119" s="27"/>
      <x:c r="R119" s="27"/>
      <x:c r="S119" s="27"/>
      <x:c r="T119" s="27"/>
      <x:c r="U119" s="27"/>
      <x:c r="V119" s="27"/>
      <x:c r="W119" s="27"/>
      <x:c r="X119" s="27"/>
      <x:c r="Y119" s="27"/>
      <x:c r="Z119" s="27"/>
      <x:c r="AA119" s="27"/>
      <x:c r="AB119" s="27"/>
      <x:c r="AC119" s="27"/>
      <x:c r="AD119" s="27"/>
      <x:c r="AE119" s="27"/>
      <x:c r="AF119" s="27"/>
      <x:c r="AG119" s="27"/>
      <x:c r="AH119" s="27"/>
      <x:c r="AI119" s="27"/>
      <x:c r="AJ119" s="27"/>
      <x:c r="AK119" s="27"/>
      <x:c r="AL119" s="27"/>
      <x:c r="AM119" s="27"/>
      <x:c r="AN119" s="27"/>
      <x:c r="AO119" s="27"/>
      <x:c r="AP119" s="27"/>
      <x:c r="AQ119" s="27"/>
      <x:c r="AR119" s="27"/>
      <x:c r="AS119" s="27"/>
      <x:c r="AT119" s="27"/>
      <x:c r="AU119" s="27"/>
      <x:c r="AV119" s="27"/>
      <x:c r="AW119" s="27"/>
      <x:c r="AX119" s="27"/>
      <x:c r="AY119" s="27"/>
      <x:c r="AZ119" s="27"/>
    </x:row>
    <x:row r="120">
      <x:c r="A120" s="27"/>
      <x:c r="B120" s="27"/>
      <x:c r="C120" s="27"/>
      <x:c r="D120" s="27"/>
      <x:c r="E120" s="27"/>
      <x:c r="F120" s="27"/>
      <x:c r="G120" s="27"/>
      <x:c r="H120" s="27"/>
      <x:c r="I120" s="27"/>
      <x:c r="J120" s="27"/>
      <x:c r="K120" s="27"/>
      <x:c r="L120" s="27"/>
      <x:c r="M120" s="27"/>
      <x:c r="N120" s="27"/>
      <x:c r="O120" s="27"/>
      <x:c r="P120" s="27"/>
      <x:c r="Q120" s="27"/>
      <x:c r="R120" s="27"/>
      <x:c r="S120" s="27"/>
      <x:c r="T120" s="27"/>
      <x:c r="U120" s="27"/>
      <x:c r="V120" s="27"/>
      <x:c r="W120" s="27"/>
      <x:c r="X120" s="27"/>
      <x:c r="Y120" s="27"/>
      <x:c r="Z120" s="27"/>
      <x:c r="AA120" s="27"/>
      <x:c r="AB120" s="27"/>
      <x:c r="AC120" s="27"/>
      <x:c r="AD120" s="27"/>
      <x:c r="AE120" s="27"/>
      <x:c r="AF120" s="27"/>
      <x:c r="AG120" s="27"/>
      <x:c r="AH120" s="27"/>
      <x:c r="AI120" s="27"/>
      <x:c r="AJ120" s="27"/>
      <x:c r="AK120" s="27"/>
      <x:c r="AL120" s="27"/>
      <x:c r="AM120" s="27"/>
      <x:c r="AN120" s="27"/>
      <x:c r="AO120" s="27"/>
      <x:c r="AP120" s="27"/>
      <x:c r="AQ120" s="27"/>
      <x:c r="AR120" s="27"/>
      <x:c r="AS120" s="27"/>
      <x:c r="AT120" s="27"/>
      <x:c r="AU120" s="27"/>
      <x:c r="AV120" s="27"/>
      <x:c r="AW120" s="27"/>
      <x:c r="AX120" s="27"/>
      <x:c r="AY120" s="27"/>
      <x:c r="AZ120" s="27"/>
    </x:row>
    <x:row r="121">
      <x:c r="A121" s="27"/>
      <x:c r="B121" s="27"/>
      <x:c r="C121" s="27"/>
      <x:c r="D121" s="27"/>
      <x:c r="E121" s="27"/>
      <x:c r="F121" s="27"/>
      <x:c r="G121" s="27"/>
      <x:c r="H121" s="27"/>
      <x:c r="I121" s="27"/>
      <x:c r="J121" s="27"/>
      <x:c r="K121" s="27"/>
      <x:c r="L121" s="27"/>
      <x:c r="M121" s="27"/>
      <x:c r="N121" s="27"/>
      <x:c r="O121" s="27"/>
      <x:c r="P121" s="27"/>
      <x:c r="Q121" s="27"/>
      <x:c r="R121" s="27"/>
      <x:c r="S121" s="27"/>
      <x:c r="T121" s="27"/>
      <x:c r="U121" s="27"/>
      <x:c r="V121" s="27"/>
      <x:c r="W121" s="27"/>
      <x:c r="X121" s="27"/>
      <x:c r="Y121" s="27"/>
      <x:c r="Z121" s="27"/>
      <x:c r="AA121" s="27"/>
      <x:c r="AB121" s="27"/>
      <x:c r="AC121" s="27"/>
      <x:c r="AD121" s="27"/>
      <x:c r="AE121" s="27"/>
      <x:c r="AF121" s="27"/>
      <x:c r="AG121" s="27"/>
      <x:c r="AH121" s="27"/>
      <x:c r="AI121" s="27"/>
      <x:c r="AJ121" s="27"/>
      <x:c r="AK121" s="27"/>
      <x:c r="AL121" s="27"/>
      <x:c r="AM121" s="27"/>
      <x:c r="AN121" s="27"/>
      <x:c r="AO121" s="27"/>
      <x:c r="AP121" s="27"/>
      <x:c r="AQ121" s="27"/>
      <x:c r="AR121" s="27"/>
      <x:c r="AS121" s="27"/>
      <x:c r="AT121" s="27"/>
      <x:c r="AU121" s="27"/>
      <x:c r="AV121" s="27"/>
      <x:c r="AW121" s="27"/>
      <x:c r="AX121" s="27"/>
      <x:c r="AY121" s="27"/>
      <x:c r="AZ121" s="27"/>
    </x:row>
    <x:row r="122">
      <x:c r="A122" s="27"/>
      <x:c r="B122" s="27"/>
      <x:c r="C122" s="27"/>
      <x:c r="D122" s="27"/>
      <x:c r="E122" s="27"/>
      <x:c r="F122" s="27"/>
      <x:c r="G122" s="27"/>
      <x:c r="H122" s="27"/>
      <x:c r="I122" s="27"/>
      <x:c r="J122" s="27"/>
      <x:c r="K122" s="27"/>
      <x:c r="L122" s="27"/>
      <x:c r="M122" s="27"/>
      <x:c r="N122" s="27"/>
      <x:c r="O122" s="27"/>
      <x:c r="P122" s="27"/>
      <x:c r="Q122" s="27"/>
      <x:c r="R122" s="27"/>
      <x:c r="S122" s="27"/>
      <x:c r="T122" s="27"/>
      <x:c r="U122" s="27"/>
      <x:c r="V122" s="27"/>
      <x:c r="W122" s="27"/>
      <x:c r="X122" s="27"/>
      <x:c r="Y122" s="27"/>
      <x:c r="Z122" s="27"/>
      <x:c r="AA122" s="27"/>
      <x:c r="AB122" s="27"/>
      <x:c r="AC122" s="27"/>
      <x:c r="AD122" s="27"/>
      <x:c r="AE122" s="27"/>
      <x:c r="AF122" s="27"/>
      <x:c r="AG122" s="27"/>
      <x:c r="AH122" s="27"/>
      <x:c r="AI122" s="27"/>
      <x:c r="AJ122" s="27"/>
      <x:c r="AK122" s="27"/>
      <x:c r="AL122" s="27"/>
      <x:c r="AM122" s="27"/>
      <x:c r="AN122" s="27"/>
      <x:c r="AO122" s="27"/>
      <x:c r="AP122" s="27"/>
      <x:c r="AQ122" s="27"/>
      <x:c r="AR122" s="27"/>
      <x:c r="AS122" s="27"/>
      <x:c r="AT122" s="27"/>
      <x:c r="AU122" s="27"/>
      <x:c r="AV122" s="27"/>
      <x:c r="AW122" s="27"/>
      <x:c r="AX122" s="27"/>
      <x:c r="AY122" s="27"/>
      <x:c r="AZ122" s="27"/>
    </x:row>
    <x:row r="123">
      <x:c r="A123" s="27"/>
      <x:c r="B123" s="27"/>
      <x:c r="C123" s="27"/>
      <x:c r="D123" s="27"/>
      <x:c r="E123" s="27"/>
      <x:c r="F123" s="27"/>
      <x:c r="G123" s="27"/>
      <x:c r="H123" s="27"/>
      <x:c r="I123" s="27"/>
      <x:c r="J123" s="27"/>
      <x:c r="K123" s="27"/>
      <x:c r="L123" s="27"/>
      <x:c r="M123" s="27"/>
      <x:c r="N123" s="27"/>
      <x:c r="O123" s="27"/>
      <x:c r="P123" s="27"/>
      <x:c r="Q123" s="27"/>
      <x:c r="R123" s="27"/>
      <x:c r="S123" s="27"/>
      <x:c r="T123" s="27"/>
      <x:c r="U123" s="27"/>
      <x:c r="V123" s="27"/>
      <x:c r="W123" s="27"/>
      <x:c r="X123" s="27"/>
      <x:c r="Y123" s="27"/>
      <x:c r="Z123" s="27"/>
      <x:c r="AA123" s="27"/>
      <x:c r="AB123" s="27"/>
      <x:c r="AC123" s="27"/>
      <x:c r="AD123" s="27"/>
      <x:c r="AE123" s="27"/>
      <x:c r="AF123" s="27"/>
      <x:c r="AG123" s="27"/>
      <x:c r="AH123" s="27"/>
      <x:c r="AI123" s="27"/>
      <x:c r="AJ123" s="27"/>
      <x:c r="AK123" s="27"/>
      <x:c r="AL123" s="27"/>
      <x:c r="AM123" s="27"/>
      <x:c r="AN123" s="27"/>
      <x:c r="AO123" s="27"/>
      <x:c r="AP123" s="27"/>
      <x:c r="AQ123" s="27"/>
      <x:c r="AR123" s="27"/>
      <x:c r="AS123" s="27"/>
      <x:c r="AT123" s="27"/>
      <x:c r="AU123" s="27"/>
      <x:c r="AV123" s="27"/>
      <x:c r="AW123" s="27"/>
      <x:c r="AX123" s="27"/>
      <x:c r="AY123" s="27"/>
      <x:c r="AZ123" s="27"/>
    </x:row>
    <x:row r="124">
      <x:c r="A124" s="27"/>
      <x:c r="B124" s="27"/>
      <x:c r="C124" s="27"/>
      <x:c r="D124" s="27"/>
      <x:c r="E124" s="27"/>
      <x:c r="F124" s="27"/>
      <x:c r="G124" s="27"/>
      <x:c r="H124" s="27"/>
      <x:c r="I124" s="27"/>
      <x:c r="J124" s="27"/>
      <x:c r="K124" s="27"/>
      <x:c r="L124" s="27"/>
      <x:c r="M124" s="27"/>
      <x:c r="N124" s="27"/>
      <x:c r="O124" s="27"/>
      <x:c r="P124" s="27"/>
      <x:c r="Q124" s="27"/>
      <x:c r="R124" s="27"/>
      <x:c r="S124" s="27"/>
      <x:c r="T124" s="27"/>
      <x:c r="U124" s="27"/>
      <x:c r="V124" s="27"/>
      <x:c r="W124" s="27"/>
      <x:c r="X124" s="27"/>
      <x:c r="Y124" s="27"/>
      <x:c r="Z124" s="27"/>
      <x:c r="AA124" s="27"/>
      <x:c r="AB124" s="27"/>
      <x:c r="AC124" s="27"/>
      <x:c r="AD124" s="27"/>
      <x:c r="AE124" s="27"/>
      <x:c r="AF124" s="27"/>
      <x:c r="AG124" s="27"/>
      <x:c r="AH124" s="27"/>
      <x:c r="AI124" s="27"/>
      <x:c r="AJ124" s="27"/>
      <x:c r="AK124" s="27"/>
      <x:c r="AL124" s="27"/>
      <x:c r="AM124" s="27"/>
      <x:c r="AN124" s="27"/>
      <x:c r="AO124" s="27"/>
      <x:c r="AP124" s="27"/>
      <x:c r="AQ124" s="27"/>
      <x:c r="AR124" s="27"/>
      <x:c r="AS124" s="27"/>
      <x:c r="AT124" s="27"/>
      <x:c r="AU124" s="27"/>
      <x:c r="AV124" s="27"/>
      <x:c r="AW124" s="27"/>
      <x:c r="AX124" s="27"/>
      <x:c r="AY124" s="27"/>
      <x:c r="AZ124" s="27"/>
    </x:row>
    <x:row r="125">
      <x:c r="A125" s="27"/>
      <x:c r="B125" s="27"/>
      <x:c r="C125" s="27"/>
      <x:c r="D125" s="27"/>
      <x:c r="E125" s="27"/>
      <x:c r="F125" s="27"/>
      <x:c r="G125" s="27"/>
      <x:c r="H125" s="27"/>
      <x:c r="I125" s="27"/>
      <x:c r="J125" s="27"/>
      <x:c r="K125" s="27"/>
      <x:c r="L125" s="27"/>
      <x:c r="M125" s="27"/>
      <x:c r="N125" s="27"/>
      <x:c r="O125" s="27"/>
      <x:c r="P125" s="27"/>
      <x:c r="Q125" s="27"/>
      <x:c r="R125" s="27"/>
      <x:c r="S125" s="27"/>
      <x:c r="T125" s="27"/>
      <x:c r="U125" s="27"/>
      <x:c r="V125" s="27"/>
      <x:c r="W125" s="27"/>
      <x:c r="X125" s="27"/>
      <x:c r="Y125" s="27"/>
      <x:c r="Z125" s="27"/>
      <x:c r="AA125" s="27"/>
      <x:c r="AB125" s="27"/>
      <x:c r="AC125" s="27"/>
      <x:c r="AD125" s="27"/>
      <x:c r="AE125" s="27"/>
      <x:c r="AF125" s="27"/>
      <x:c r="AG125" s="27"/>
      <x:c r="AH125" s="27"/>
      <x:c r="AI125" s="27"/>
      <x:c r="AJ125" s="27"/>
      <x:c r="AK125" s="27"/>
      <x:c r="AL125" s="27"/>
      <x:c r="AM125" s="27"/>
      <x:c r="AN125" s="27"/>
      <x:c r="AO125" s="27"/>
      <x:c r="AP125" s="27"/>
      <x:c r="AQ125" s="27"/>
      <x:c r="AR125" s="27"/>
      <x:c r="AS125" s="27"/>
      <x:c r="AT125" s="27"/>
      <x:c r="AU125" s="27"/>
      <x:c r="AV125" s="27"/>
      <x:c r="AW125" s="27"/>
      <x:c r="AX125" s="27"/>
      <x:c r="AY125" s="27"/>
      <x:c r="AZ125" s="27"/>
    </x:row>
    <x:row r="126">
      <x:c r="A126" s="27"/>
      <x:c r="B126" s="27"/>
      <x:c r="C126" s="27"/>
      <x:c r="D126" s="27"/>
      <x:c r="E126" s="27"/>
      <x:c r="F126" s="27"/>
      <x:c r="G126" s="27"/>
      <x:c r="H126" s="27"/>
      <x:c r="I126" s="27"/>
      <x:c r="J126" s="27"/>
      <x:c r="K126" s="27"/>
      <x:c r="L126" s="27"/>
      <x:c r="M126" s="27"/>
      <x:c r="N126" s="27"/>
      <x:c r="O126" s="27"/>
      <x:c r="P126" s="27"/>
      <x:c r="Q126" s="27"/>
      <x:c r="R126" s="27"/>
      <x:c r="S126" s="27"/>
      <x:c r="T126" s="27"/>
      <x:c r="U126" s="27"/>
      <x:c r="V126" s="27"/>
      <x:c r="W126" s="27"/>
      <x:c r="X126" s="27"/>
      <x:c r="Y126" s="27"/>
      <x:c r="Z126" s="27"/>
      <x:c r="AA126" s="27"/>
      <x:c r="AB126" s="27"/>
      <x:c r="AC126" s="27"/>
      <x:c r="AD126" s="27"/>
      <x:c r="AE126" s="27"/>
      <x:c r="AF126" s="27"/>
      <x:c r="AG126" s="27"/>
      <x:c r="AH126" s="27"/>
      <x:c r="AI126" s="27"/>
      <x:c r="AJ126" s="27"/>
      <x:c r="AK126" s="27"/>
      <x:c r="AL126" s="27"/>
      <x:c r="AM126" s="27"/>
      <x:c r="AN126" s="27"/>
      <x:c r="AO126" s="27"/>
      <x:c r="AP126" s="27"/>
      <x:c r="AQ126" s="27"/>
      <x:c r="AR126" s="27"/>
      <x:c r="AS126" s="27"/>
      <x:c r="AT126" s="27"/>
      <x:c r="AU126" s="27"/>
      <x:c r="AV126" s="27"/>
      <x:c r="AW126" s="27"/>
      <x:c r="AX126" s="27"/>
      <x:c r="AY126" s="27"/>
      <x:c r="AZ126" s="27"/>
    </x:row>
    <x:row r="127">
      <x:c r="A127" s="27"/>
      <x:c r="B127" s="27"/>
      <x:c r="C127" s="27"/>
      <x:c r="D127" s="27"/>
      <x:c r="E127" s="27"/>
      <x:c r="F127" s="27"/>
      <x:c r="G127" s="27"/>
      <x:c r="H127" s="27"/>
      <x:c r="I127" s="27"/>
      <x:c r="J127" s="27"/>
      <x:c r="K127" s="27"/>
      <x:c r="L127" s="27"/>
      <x:c r="M127" s="27"/>
      <x:c r="N127" s="27"/>
      <x:c r="O127" s="27"/>
      <x:c r="P127" s="27"/>
      <x:c r="Q127" s="27"/>
      <x:c r="R127" s="27"/>
      <x:c r="S127" s="27"/>
      <x:c r="T127" s="27"/>
      <x:c r="U127" s="27"/>
      <x:c r="V127" s="27"/>
      <x:c r="W127" s="27"/>
      <x:c r="X127" s="27"/>
      <x:c r="Y127" s="27"/>
      <x:c r="Z127" s="27"/>
      <x:c r="AA127" s="27"/>
      <x:c r="AB127" s="27"/>
      <x:c r="AC127" s="27"/>
      <x:c r="AD127" s="27"/>
      <x:c r="AE127" s="27"/>
      <x:c r="AF127" s="27"/>
      <x:c r="AG127" s="27"/>
      <x:c r="AH127" s="27"/>
      <x:c r="AI127" s="27"/>
      <x:c r="AJ127" s="27"/>
      <x:c r="AK127" s="27"/>
      <x:c r="AL127" s="27"/>
      <x:c r="AM127" s="27"/>
      <x:c r="AN127" s="27"/>
      <x:c r="AO127" s="27"/>
      <x:c r="AP127" s="27"/>
      <x:c r="AQ127" s="27"/>
      <x:c r="AR127" s="27"/>
      <x:c r="AS127" s="27"/>
      <x:c r="AT127" s="27"/>
      <x:c r="AU127" s="27"/>
      <x:c r="AV127" s="27"/>
      <x:c r="AW127" s="27"/>
      <x:c r="AX127" s="27"/>
      <x:c r="AY127" s="27"/>
      <x:c r="AZ127" s="27"/>
    </x:row>
    <x:row r="128">
      <x:c r="A128" s="27"/>
      <x:c r="B128" s="27"/>
      <x:c r="C128" s="27"/>
      <x:c r="D128" s="27"/>
      <x:c r="E128" s="27"/>
      <x:c r="F128" s="27"/>
      <x:c r="G128" s="27"/>
      <x:c r="H128" s="27"/>
      <x:c r="I128" s="27"/>
      <x:c r="J128" s="27"/>
      <x:c r="K128" s="27"/>
      <x:c r="L128" s="27"/>
      <x:c r="M128" s="27"/>
      <x:c r="N128" s="27"/>
      <x:c r="O128" s="27"/>
      <x:c r="P128" s="27"/>
      <x:c r="Q128" s="27"/>
      <x:c r="R128" s="27"/>
      <x:c r="S128" s="27"/>
      <x:c r="T128" s="27"/>
      <x:c r="U128" s="27"/>
      <x:c r="V128" s="27"/>
      <x:c r="W128" s="27"/>
      <x:c r="X128" s="27"/>
      <x:c r="Y128" s="27"/>
      <x:c r="Z128" s="27"/>
      <x:c r="AA128" s="27"/>
      <x:c r="AB128" s="27"/>
      <x:c r="AC128" s="27"/>
      <x:c r="AD128" s="27"/>
      <x:c r="AE128" s="27"/>
      <x:c r="AF128" s="27"/>
      <x:c r="AG128" s="27"/>
      <x:c r="AH128" s="27"/>
      <x:c r="AI128" s="27"/>
      <x:c r="AJ128" s="27"/>
      <x:c r="AK128" s="27"/>
      <x:c r="AL128" s="27"/>
      <x:c r="AM128" s="27"/>
      <x:c r="AN128" s="27"/>
      <x:c r="AO128" s="27"/>
      <x:c r="AP128" s="27"/>
      <x:c r="AQ128" s="27"/>
      <x:c r="AR128" s="27"/>
      <x:c r="AS128" s="27"/>
      <x:c r="AT128" s="27"/>
      <x:c r="AU128" s="27"/>
      <x:c r="AV128" s="27"/>
      <x:c r="AW128" s="27"/>
      <x:c r="AX128" s="27"/>
      <x:c r="AY128" s="27"/>
      <x:c r="AZ128" s="27"/>
    </x:row>
    <x:row r="129">
      <x:c r="A129" s="27"/>
      <x:c r="B129" s="27"/>
      <x:c r="C129" s="27"/>
      <x:c r="D129" s="27"/>
      <x:c r="E129" s="27"/>
      <x:c r="F129" s="27"/>
      <x:c r="G129" s="27"/>
      <x:c r="H129" s="27"/>
      <x:c r="I129" s="27"/>
      <x:c r="J129" s="27"/>
      <x:c r="K129" s="27"/>
      <x:c r="L129" s="27"/>
      <x:c r="M129" s="27"/>
      <x:c r="N129" s="27"/>
      <x:c r="O129" s="27"/>
      <x:c r="P129" s="27"/>
      <x:c r="Q129" s="27"/>
      <x:c r="R129" s="27"/>
      <x:c r="S129" s="27"/>
      <x:c r="T129" s="27"/>
      <x:c r="U129" s="27"/>
      <x:c r="V129" s="27"/>
      <x:c r="W129" s="27"/>
      <x:c r="X129" s="27"/>
      <x:c r="Y129" s="27"/>
      <x:c r="Z129" s="27"/>
      <x:c r="AA129" s="27"/>
      <x:c r="AB129" s="27"/>
      <x:c r="AC129" s="27"/>
      <x:c r="AD129" s="27"/>
      <x:c r="AE129" s="27"/>
      <x:c r="AF129" s="27"/>
      <x:c r="AG129" s="27"/>
      <x:c r="AH129" s="27"/>
      <x:c r="AI129" s="27"/>
      <x:c r="AJ129" s="27"/>
      <x:c r="AK129" s="27"/>
      <x:c r="AL129" s="27"/>
      <x:c r="AM129" s="27"/>
      <x:c r="AN129" s="27"/>
      <x:c r="AO129" s="27"/>
      <x:c r="AP129" s="27"/>
      <x:c r="AQ129" s="27"/>
      <x:c r="AR129" s="27"/>
      <x:c r="AS129" s="27"/>
      <x:c r="AT129" s="27"/>
      <x:c r="AU129" s="27"/>
      <x:c r="AV129" s="27"/>
      <x:c r="AW129" s="27"/>
      <x:c r="AX129" s="27"/>
      <x:c r="AY129" s="27"/>
      <x:c r="AZ129" s="27"/>
    </x:row>
    <x:row r="130">
      <x:c r="A130" s="27"/>
      <x:c r="B130" s="27"/>
      <x:c r="C130" s="27"/>
      <x:c r="D130" s="27"/>
      <x:c r="E130" s="27"/>
      <x:c r="F130" s="27"/>
      <x:c r="G130" s="27"/>
      <x:c r="H130" s="27"/>
      <x:c r="I130" s="27"/>
      <x:c r="J130" s="27"/>
      <x:c r="K130" s="27"/>
      <x:c r="L130" s="27"/>
      <x:c r="M130" s="27"/>
      <x:c r="N130" s="27"/>
      <x:c r="O130" s="27"/>
      <x:c r="P130" s="27"/>
      <x:c r="Q130" s="27"/>
      <x:c r="R130" s="27"/>
      <x:c r="S130" s="27"/>
      <x:c r="T130" s="27"/>
      <x:c r="U130" s="27"/>
      <x:c r="V130" s="27"/>
      <x:c r="W130" s="27"/>
      <x:c r="X130" s="27"/>
      <x:c r="Y130" s="27"/>
      <x:c r="Z130" s="27"/>
      <x:c r="AA130" s="27"/>
      <x:c r="AB130" s="27"/>
      <x:c r="AC130" s="27"/>
      <x:c r="AD130" s="27"/>
      <x:c r="AE130" s="27"/>
      <x:c r="AF130" s="27"/>
      <x:c r="AG130" s="27"/>
      <x:c r="AH130" s="27"/>
      <x:c r="AI130" s="27"/>
      <x:c r="AJ130" s="27"/>
      <x:c r="AK130" s="27"/>
      <x:c r="AL130" s="27"/>
      <x:c r="AM130" s="27"/>
      <x:c r="AN130" s="27"/>
      <x:c r="AO130" s="27"/>
      <x:c r="AP130" s="27"/>
      <x:c r="AQ130" s="27"/>
      <x:c r="AR130" s="27"/>
      <x:c r="AS130" s="27"/>
      <x:c r="AT130" s="27"/>
      <x:c r="AU130" s="27"/>
      <x:c r="AV130" s="27"/>
      <x:c r="AW130" s="27"/>
      <x:c r="AX130" s="27"/>
      <x:c r="AY130" s="27"/>
      <x:c r="AZ130" s="27"/>
    </x:row>
    <x:row r="131">
      <x:c r="A131" s="27"/>
      <x:c r="B131" s="27"/>
      <x:c r="C131" s="27"/>
      <x:c r="D131" s="27"/>
      <x:c r="E131" s="27"/>
      <x:c r="F131" s="27"/>
      <x:c r="G131" s="27"/>
      <x:c r="H131" s="27"/>
      <x:c r="I131" s="27"/>
      <x:c r="J131" s="27"/>
      <x:c r="K131" s="27"/>
      <x:c r="L131" s="27"/>
      <x:c r="M131" s="27"/>
      <x:c r="N131" s="27"/>
      <x:c r="O131" s="27"/>
      <x:c r="P131" s="27"/>
      <x:c r="Q131" s="27"/>
      <x:c r="R131" s="27"/>
      <x:c r="S131" s="27"/>
      <x:c r="T131" s="27"/>
      <x:c r="U131" s="27"/>
      <x:c r="V131" s="27"/>
      <x:c r="W131" s="27"/>
      <x:c r="X131" s="27"/>
      <x:c r="Y131" s="27"/>
      <x:c r="Z131" s="27"/>
      <x:c r="AA131" s="27"/>
      <x:c r="AB131" s="27"/>
      <x:c r="AC131" s="27"/>
      <x:c r="AD131" s="27"/>
      <x:c r="AE131" s="27"/>
      <x:c r="AF131" s="27"/>
      <x:c r="AG131" s="27"/>
      <x:c r="AH131" s="27"/>
      <x:c r="AI131" s="27"/>
      <x:c r="AJ131" s="27"/>
      <x:c r="AK131" s="27"/>
      <x:c r="AL131" s="27"/>
      <x:c r="AM131" s="27"/>
      <x:c r="AN131" s="27"/>
      <x:c r="AO131" s="27"/>
      <x:c r="AP131" s="27"/>
      <x:c r="AQ131" s="27"/>
      <x:c r="AR131" s="27"/>
      <x:c r="AS131" s="27"/>
      <x:c r="AT131" s="27"/>
      <x:c r="AU131" s="27"/>
      <x:c r="AV131" s="27"/>
      <x:c r="AW131" s="27"/>
      <x:c r="AX131" s="27"/>
      <x:c r="AY131" s="27"/>
      <x:c r="AZ131" s="27"/>
    </x:row>
    <x:row r="132">
      <x:c r="A132" s="27"/>
      <x:c r="B132" s="27"/>
      <x:c r="C132" s="27"/>
      <x:c r="D132" s="27"/>
      <x:c r="E132" s="27"/>
      <x:c r="F132" s="27"/>
      <x:c r="G132" s="27"/>
      <x:c r="H132" s="27"/>
      <x:c r="I132" s="27"/>
      <x:c r="J132" s="27"/>
      <x:c r="K132" s="27"/>
      <x:c r="L132" s="27"/>
      <x:c r="M132" s="27"/>
      <x:c r="N132" s="27"/>
      <x:c r="O132" s="27"/>
      <x:c r="P132" s="27"/>
      <x:c r="Q132" s="27"/>
      <x:c r="R132" s="27"/>
      <x:c r="S132" s="27"/>
      <x:c r="T132" s="27"/>
      <x:c r="U132" s="27"/>
      <x:c r="V132" s="27"/>
      <x:c r="W132" s="27"/>
      <x:c r="X132" s="27"/>
      <x:c r="Y132" s="27"/>
      <x:c r="Z132" s="27"/>
      <x:c r="AA132" s="27"/>
      <x:c r="AB132" s="27"/>
      <x:c r="AC132" s="27"/>
      <x:c r="AD132" s="27"/>
      <x:c r="AE132" s="27"/>
      <x:c r="AF132" s="27"/>
      <x:c r="AG132" s="27"/>
      <x:c r="AH132" s="27"/>
      <x:c r="AI132" s="27"/>
      <x:c r="AJ132" s="27"/>
      <x:c r="AK132" s="27"/>
      <x:c r="AL132" s="27"/>
      <x:c r="AM132" s="27"/>
      <x:c r="AN132" s="27"/>
      <x:c r="AO132" s="27"/>
      <x:c r="AP132" s="27"/>
      <x:c r="AQ132" s="27"/>
      <x:c r="AR132" s="27"/>
      <x:c r="AS132" s="27"/>
      <x:c r="AT132" s="27"/>
      <x:c r="AU132" s="27"/>
      <x:c r="AV132" s="27"/>
      <x:c r="AW132" s="27"/>
      <x:c r="AX132" s="27"/>
      <x:c r="AY132" s="27"/>
      <x:c r="AZ132" s="27"/>
    </x:row>
    <x:row r="133">
      <x:c r="A133" s="27"/>
      <x:c r="B133" s="27"/>
      <x:c r="C133" s="27"/>
      <x:c r="D133" s="27"/>
      <x:c r="E133" s="27"/>
      <x:c r="F133" s="27"/>
      <x:c r="G133" s="27"/>
      <x:c r="H133" s="27"/>
      <x:c r="I133" s="27"/>
      <x:c r="J133" s="27"/>
      <x:c r="K133" s="27"/>
      <x:c r="L133" s="27"/>
      <x:c r="M133" s="27"/>
      <x:c r="N133" s="27"/>
      <x:c r="O133" s="27"/>
      <x:c r="P133" s="27"/>
      <x:c r="Q133" s="27"/>
      <x:c r="R133" s="27"/>
      <x:c r="S133" s="27"/>
      <x:c r="T133" s="27"/>
      <x:c r="U133" s="27"/>
      <x:c r="V133" s="27"/>
      <x:c r="W133" s="27"/>
      <x:c r="X133" s="27"/>
      <x:c r="Y133" s="27"/>
      <x:c r="Z133" s="27"/>
      <x:c r="AA133" s="27"/>
      <x:c r="AB133" s="27"/>
      <x:c r="AC133" s="27"/>
      <x:c r="AD133" s="27"/>
      <x:c r="AE133" s="27"/>
      <x:c r="AF133" s="27"/>
      <x:c r="AG133" s="27"/>
      <x:c r="AH133" s="27"/>
      <x:c r="AI133" s="27"/>
      <x:c r="AJ133" s="27"/>
      <x:c r="AK133" s="27"/>
      <x:c r="AL133" s="27"/>
      <x:c r="AM133" s="27"/>
      <x:c r="AN133" s="27"/>
      <x:c r="AO133" s="27"/>
      <x:c r="AP133" s="27"/>
      <x:c r="AQ133" s="27"/>
      <x:c r="AR133" s="27"/>
      <x:c r="AS133" s="27"/>
      <x:c r="AT133" s="27"/>
      <x:c r="AU133" s="27"/>
      <x:c r="AV133" s="27"/>
      <x:c r="AW133" s="27"/>
      <x:c r="AX133" s="27"/>
      <x:c r="AY133" s="27"/>
      <x:c r="AZ133" s="27"/>
    </x:row>
    <x:row r="134">
      <x:c r="A134" s="27"/>
      <x:c r="B134" s="27"/>
      <x:c r="C134" s="27"/>
      <x:c r="D134" s="27"/>
      <x:c r="E134" s="27"/>
      <x:c r="F134" s="27"/>
      <x:c r="G134" s="27"/>
      <x:c r="H134" s="27"/>
      <x:c r="I134" s="27"/>
      <x:c r="J134" s="27"/>
      <x:c r="K134" s="27"/>
      <x:c r="L134" s="27"/>
      <x:c r="M134" s="27"/>
      <x:c r="N134" s="27"/>
      <x:c r="O134" s="27"/>
      <x:c r="P134" s="27"/>
      <x:c r="Q134" s="27"/>
      <x:c r="R134" s="27"/>
      <x:c r="S134" s="27"/>
      <x:c r="T134" s="27"/>
      <x:c r="U134" s="27"/>
      <x:c r="V134" s="27"/>
      <x:c r="W134" s="27"/>
      <x:c r="X134" s="27"/>
      <x:c r="Y134" s="27"/>
      <x:c r="Z134" s="27"/>
      <x:c r="AA134" s="27"/>
      <x:c r="AB134" s="27"/>
      <x:c r="AC134" s="27"/>
      <x:c r="AD134" s="27"/>
      <x:c r="AE134" s="27"/>
      <x:c r="AF134" s="27"/>
      <x:c r="AG134" s="27"/>
      <x:c r="AH134" s="27"/>
      <x:c r="AI134" s="27"/>
      <x:c r="AJ134" s="27"/>
      <x:c r="AK134" s="27"/>
      <x:c r="AL134" s="27"/>
      <x:c r="AM134" s="27"/>
      <x:c r="AN134" s="27"/>
      <x:c r="AO134" s="27"/>
      <x:c r="AP134" s="27"/>
      <x:c r="AQ134" s="27"/>
      <x:c r="AR134" s="27"/>
      <x:c r="AS134" s="27"/>
      <x:c r="AT134" s="27"/>
      <x:c r="AU134" s="27"/>
      <x:c r="AV134" s="27"/>
      <x:c r="AW134" s="27"/>
      <x:c r="AX134" s="27"/>
      <x:c r="AY134" s="27"/>
      <x:c r="AZ134" s="27"/>
    </x:row>
    <x:row r="135">
      <x:c r="A135" s="27"/>
      <x:c r="B135" s="27"/>
      <x:c r="C135" s="27"/>
      <x:c r="D135" s="27"/>
      <x:c r="E135" s="27"/>
      <x:c r="F135" s="27"/>
      <x:c r="G135" s="27"/>
      <x:c r="H135" s="27"/>
      <x:c r="I135" s="27"/>
      <x:c r="J135" s="27"/>
      <x:c r="K135" s="27"/>
      <x:c r="L135" s="27"/>
      <x:c r="M135" s="27"/>
      <x:c r="N135" s="27"/>
      <x:c r="O135" s="27"/>
      <x:c r="P135" s="27"/>
      <x:c r="Q135" s="27"/>
      <x:c r="R135" s="27"/>
      <x:c r="S135" s="27"/>
      <x:c r="T135" s="27"/>
      <x:c r="U135" s="27"/>
      <x:c r="V135" s="27"/>
      <x:c r="W135" s="27"/>
      <x:c r="X135" s="27"/>
      <x:c r="Y135" s="27"/>
      <x:c r="Z135" s="27"/>
      <x:c r="AA135" s="27"/>
      <x:c r="AB135" s="27"/>
      <x:c r="AC135" s="27"/>
      <x:c r="AD135" s="27"/>
      <x:c r="AE135" s="27"/>
      <x:c r="AF135" s="27"/>
      <x:c r="AG135" s="27"/>
      <x:c r="AH135" s="27"/>
      <x:c r="AI135" s="27"/>
      <x:c r="AJ135" s="27"/>
      <x:c r="AK135" s="27"/>
      <x:c r="AL135" s="27"/>
      <x:c r="AM135" s="27"/>
      <x:c r="AN135" s="27"/>
      <x:c r="AO135" s="27"/>
      <x:c r="AP135" s="27"/>
      <x:c r="AQ135" s="27"/>
      <x:c r="AR135" s="27"/>
      <x:c r="AS135" s="27"/>
      <x:c r="AT135" s="27"/>
      <x:c r="AU135" s="27"/>
      <x:c r="AV135" s="27"/>
      <x:c r="AW135" s="27"/>
      <x:c r="AX135" s="27"/>
      <x:c r="AY135" s="27"/>
      <x:c r="AZ135" s="27"/>
    </x:row>
    <x:row r="136">
      <x:c r="A136" s="27"/>
      <x:c r="B136" s="27"/>
      <x:c r="C136" s="27"/>
      <x:c r="D136" s="27"/>
      <x:c r="E136" s="27"/>
      <x:c r="F136" s="27"/>
      <x:c r="G136" s="27"/>
      <x:c r="H136" s="27"/>
      <x:c r="I136" s="27"/>
      <x:c r="J136" s="27"/>
      <x:c r="K136" s="27"/>
      <x:c r="L136" s="27"/>
      <x:c r="M136" s="27"/>
      <x:c r="N136" s="27"/>
      <x:c r="O136" s="27"/>
      <x:c r="P136" s="27"/>
      <x:c r="Q136" s="27"/>
      <x:c r="R136" s="27"/>
      <x:c r="S136" s="27"/>
      <x:c r="T136" s="27"/>
      <x:c r="U136" s="27"/>
      <x:c r="V136" s="27"/>
      <x:c r="W136" s="27"/>
      <x:c r="X136" s="27"/>
      <x:c r="Y136" s="27"/>
      <x:c r="Z136" s="27"/>
      <x:c r="AA136" s="27"/>
      <x:c r="AB136" s="27"/>
      <x:c r="AC136" s="27"/>
      <x:c r="AD136" s="27"/>
      <x:c r="AE136" s="27"/>
      <x:c r="AF136" s="27"/>
      <x:c r="AG136" s="27"/>
      <x:c r="AH136" s="27"/>
      <x:c r="AI136" s="27"/>
      <x:c r="AJ136" s="27"/>
      <x:c r="AK136" s="27"/>
      <x:c r="AL136" s="27"/>
      <x:c r="AM136" s="27"/>
      <x:c r="AN136" s="27"/>
      <x:c r="AO136" s="27"/>
      <x:c r="AP136" s="27"/>
      <x:c r="AQ136" s="27"/>
      <x:c r="AR136" s="27"/>
      <x:c r="AS136" s="27"/>
      <x:c r="AT136" s="27"/>
      <x:c r="AU136" s="27"/>
      <x:c r="AV136" s="27"/>
      <x:c r="AW136" s="27"/>
      <x:c r="AX136" s="27"/>
      <x:c r="AY136" s="27"/>
      <x:c r="AZ136" s="27"/>
    </x:row>
    <x:row r="137">
      <x:c r="A137" s="27"/>
      <x:c r="B137" s="27"/>
      <x:c r="C137" s="27"/>
      <x:c r="D137" s="27"/>
      <x:c r="E137" s="27"/>
      <x:c r="F137" s="27"/>
      <x:c r="G137" s="27"/>
      <x:c r="H137" s="27"/>
      <x:c r="I137" s="27"/>
      <x:c r="J137" s="27"/>
      <x:c r="K137" s="27"/>
      <x:c r="L137" s="27"/>
      <x:c r="M137" s="27"/>
      <x:c r="N137" s="27"/>
      <x:c r="O137" s="27"/>
      <x:c r="P137" s="27"/>
      <x:c r="Q137" s="27"/>
      <x:c r="R137" s="27"/>
      <x:c r="S137" s="27"/>
      <x:c r="T137" s="27"/>
      <x:c r="U137" s="27"/>
      <x:c r="V137" s="27"/>
      <x:c r="W137" s="27"/>
      <x:c r="X137" s="27"/>
      <x:c r="Y137" s="27"/>
      <x:c r="Z137" s="27"/>
      <x:c r="AA137" s="27"/>
      <x:c r="AB137" s="27"/>
      <x:c r="AC137" s="27"/>
      <x:c r="AD137" s="27"/>
      <x:c r="AE137" s="27"/>
      <x:c r="AF137" s="27"/>
      <x:c r="AG137" s="27"/>
      <x:c r="AH137" s="27"/>
      <x:c r="AI137" s="27"/>
      <x:c r="AJ137" s="27"/>
      <x:c r="AK137" s="27"/>
      <x:c r="AL137" s="27"/>
      <x:c r="AM137" s="27"/>
      <x:c r="AN137" s="27"/>
      <x:c r="AO137" s="27"/>
      <x:c r="AP137" s="27"/>
      <x:c r="AQ137" s="27"/>
      <x:c r="AR137" s="27"/>
      <x:c r="AS137" s="27"/>
      <x:c r="AT137" s="27"/>
      <x:c r="AU137" s="27"/>
      <x:c r="AV137" s="27"/>
      <x:c r="AW137" s="27"/>
      <x:c r="AX137" s="27"/>
      <x:c r="AY137" s="27"/>
      <x:c r="AZ137" s="27"/>
    </x:row>
    <x:row r="138">
      <x:c r="A138" s="27"/>
      <x:c r="B138" s="27"/>
      <x:c r="C138" s="27"/>
      <x:c r="D138" s="27"/>
      <x:c r="E138" s="27"/>
      <x:c r="F138" s="27"/>
      <x:c r="G138" s="27"/>
      <x:c r="H138" s="27"/>
      <x:c r="I138" s="27"/>
      <x:c r="J138" s="27"/>
      <x:c r="K138" s="27"/>
      <x:c r="L138" s="27"/>
      <x:c r="M138" s="27"/>
      <x:c r="N138" s="27"/>
      <x:c r="O138" s="27"/>
      <x:c r="P138" s="27"/>
      <x:c r="Q138" s="27"/>
      <x:c r="R138" s="27"/>
      <x:c r="S138" s="27"/>
      <x:c r="T138" s="27"/>
      <x:c r="U138" s="27"/>
      <x:c r="V138" s="27"/>
      <x:c r="W138" s="27"/>
      <x:c r="X138" s="27"/>
      <x:c r="Y138" s="27"/>
      <x:c r="Z138" s="27"/>
      <x:c r="AA138" s="27"/>
      <x:c r="AB138" s="27"/>
      <x:c r="AC138" s="27"/>
      <x:c r="AD138" s="27"/>
      <x:c r="AE138" s="27"/>
      <x:c r="AF138" s="27"/>
      <x:c r="AG138" s="27"/>
      <x:c r="AH138" s="27"/>
      <x:c r="AI138" s="27"/>
      <x:c r="AJ138" s="27"/>
      <x:c r="AK138" s="27"/>
      <x:c r="AL138" s="27"/>
      <x:c r="AM138" s="27"/>
      <x:c r="AN138" s="27"/>
      <x:c r="AO138" s="27"/>
      <x:c r="AP138" s="27"/>
      <x:c r="AQ138" s="27"/>
      <x:c r="AR138" s="27"/>
      <x:c r="AS138" s="27"/>
      <x:c r="AT138" s="27"/>
      <x:c r="AU138" s="27"/>
      <x:c r="AV138" s="27"/>
      <x:c r="AW138" s="27"/>
      <x:c r="AX138" s="27"/>
      <x:c r="AY138" s="27"/>
      <x:c r="AZ138" s="27"/>
    </x:row>
    <x:row r="139">
      <x:c r="A139" s="27"/>
      <x:c r="B139" s="27"/>
      <x:c r="C139" s="27"/>
      <x:c r="D139" s="27"/>
      <x:c r="E139" s="27"/>
      <x:c r="F139" s="27"/>
      <x:c r="G139" s="27"/>
      <x:c r="H139" s="27"/>
      <x:c r="I139" s="27"/>
      <x:c r="J139" s="27"/>
      <x:c r="K139" s="27"/>
      <x:c r="L139" s="27"/>
      <x:c r="M139" s="27"/>
      <x:c r="N139" s="27"/>
      <x:c r="O139" s="27"/>
      <x:c r="P139" s="27"/>
      <x:c r="Q139" s="27"/>
      <x:c r="R139" s="27"/>
      <x:c r="S139" s="27"/>
      <x:c r="T139" s="27"/>
      <x:c r="U139" s="27"/>
      <x:c r="V139" s="27"/>
      <x:c r="W139" s="27"/>
      <x:c r="X139" s="27"/>
      <x:c r="Y139" s="27"/>
      <x:c r="Z139" s="27"/>
      <x:c r="AA139" s="27"/>
      <x:c r="AB139" s="27"/>
      <x:c r="AC139" s="27"/>
      <x:c r="AD139" s="27"/>
      <x:c r="AE139" s="27"/>
      <x:c r="AF139" s="27"/>
      <x:c r="AG139" s="27"/>
      <x:c r="AH139" s="27"/>
      <x:c r="AI139" s="27"/>
      <x:c r="AJ139" s="27"/>
      <x:c r="AK139" s="27"/>
      <x:c r="AL139" s="27"/>
      <x:c r="AM139" s="27"/>
      <x:c r="AN139" s="27"/>
      <x:c r="AO139" s="27"/>
      <x:c r="AP139" s="27"/>
      <x:c r="AQ139" s="27"/>
      <x:c r="AR139" s="27"/>
      <x:c r="AS139" s="27"/>
      <x:c r="AT139" s="27"/>
      <x:c r="AU139" s="27"/>
      <x:c r="AV139" s="27"/>
      <x:c r="AW139" s="27"/>
      <x:c r="AX139" s="27"/>
      <x:c r="AY139" s="27"/>
      <x:c r="AZ139" s="27"/>
    </x:row>
    <x:row r="140">
      <x:c r="A140" s="27"/>
      <x:c r="B140" s="27"/>
      <x:c r="C140" s="27"/>
      <x:c r="D140" s="27"/>
      <x:c r="E140" s="27"/>
      <x:c r="F140" s="27"/>
      <x:c r="G140" s="27"/>
      <x:c r="H140" s="27"/>
      <x:c r="I140" s="27"/>
      <x:c r="J140" s="27"/>
      <x:c r="K140" s="27"/>
      <x:c r="L140" s="27"/>
      <x:c r="M140" s="27"/>
      <x:c r="N140" s="27"/>
      <x:c r="O140" s="27"/>
      <x:c r="P140" s="27"/>
      <x:c r="Q140" s="27"/>
      <x:c r="R140" s="27"/>
      <x:c r="S140" s="27"/>
      <x:c r="T140" s="27"/>
      <x:c r="U140" s="27"/>
      <x:c r="V140" s="27"/>
      <x:c r="W140" s="27"/>
      <x:c r="X140" s="27"/>
      <x:c r="Y140" s="27"/>
      <x:c r="Z140" s="27"/>
      <x:c r="AA140" s="27"/>
      <x:c r="AB140" s="27"/>
      <x:c r="AC140" s="27"/>
      <x:c r="AD140" s="27"/>
      <x:c r="AE140" s="27"/>
      <x:c r="AF140" s="27"/>
      <x:c r="AG140" s="27"/>
      <x:c r="AH140" s="27"/>
      <x:c r="AI140" s="27"/>
      <x:c r="AJ140" s="27"/>
      <x:c r="AK140" s="27"/>
      <x:c r="AL140" s="27"/>
      <x:c r="AM140" s="27"/>
      <x:c r="AN140" s="27"/>
      <x:c r="AO140" s="27"/>
      <x:c r="AP140" s="27"/>
      <x:c r="AQ140" s="27"/>
      <x:c r="AR140" s="27"/>
      <x:c r="AS140" s="27"/>
      <x:c r="AT140" s="27"/>
      <x:c r="AU140" s="27"/>
      <x:c r="AV140" s="27"/>
      <x:c r="AW140" s="27"/>
      <x:c r="AX140" s="27"/>
      <x:c r="AY140" s="27"/>
      <x:c r="AZ140" s="27"/>
    </x:row>
    <x:row r="141">
      <x:c r="A141" s="27"/>
      <x:c r="B141" s="27"/>
      <x:c r="C141" s="27"/>
      <x:c r="D141" s="27"/>
      <x:c r="E141" s="27"/>
      <x:c r="F141" s="27"/>
      <x:c r="G141" s="27"/>
      <x:c r="H141" s="27"/>
      <x:c r="I141" s="27"/>
      <x:c r="J141" s="27"/>
      <x:c r="K141" s="27"/>
      <x:c r="L141" s="27"/>
      <x:c r="M141" s="27"/>
      <x:c r="N141" s="27"/>
      <x:c r="O141" s="27"/>
      <x:c r="P141" s="27"/>
      <x:c r="Q141" s="27"/>
      <x:c r="R141" s="27"/>
      <x:c r="S141" s="27"/>
      <x:c r="T141" s="27"/>
      <x:c r="U141" s="27"/>
      <x:c r="V141" s="27"/>
      <x:c r="W141" s="27"/>
      <x:c r="X141" s="27"/>
      <x:c r="Y141" s="27"/>
      <x:c r="Z141" s="27"/>
      <x:c r="AA141" s="27"/>
      <x:c r="AB141" s="27"/>
      <x:c r="AC141" s="27"/>
      <x:c r="AD141" s="27"/>
      <x:c r="AE141" s="27"/>
      <x:c r="AF141" s="27"/>
      <x:c r="AG141" s="27"/>
      <x:c r="AH141" s="27"/>
      <x:c r="AI141" s="27"/>
      <x:c r="AJ141" s="27"/>
      <x:c r="AK141" s="27"/>
      <x:c r="AL141" s="27"/>
      <x:c r="AM141" s="27"/>
      <x:c r="AN141" s="27"/>
      <x:c r="AO141" s="27"/>
      <x:c r="AP141" s="27"/>
      <x:c r="AQ141" s="27"/>
      <x:c r="AR141" s="27"/>
      <x:c r="AS141" s="27"/>
      <x:c r="AT141" s="27"/>
      <x:c r="AU141" s="27"/>
      <x:c r="AV141" s="27"/>
      <x:c r="AW141" s="27"/>
      <x:c r="AX141" s="27"/>
      <x:c r="AY141" s="27"/>
      <x:c r="AZ141" s="27"/>
    </x:row>
    <x:row r="142">
      <x:c r="A142" s="27"/>
      <x:c r="B142" s="27"/>
      <x:c r="C142" s="27"/>
      <x:c r="D142" s="27"/>
      <x:c r="E142" s="27"/>
      <x:c r="F142" s="27"/>
      <x:c r="G142" s="27"/>
      <x:c r="H142" s="27"/>
      <x:c r="I142" s="27"/>
      <x:c r="J142" s="27"/>
      <x:c r="K142" s="27"/>
      <x:c r="L142" s="27"/>
      <x:c r="M142" s="27"/>
      <x:c r="N142" s="27"/>
      <x:c r="O142" s="27"/>
      <x:c r="P142" s="27"/>
      <x:c r="Q142" s="27"/>
      <x:c r="R142" s="27"/>
      <x:c r="S142" s="27"/>
      <x:c r="T142" s="27"/>
      <x:c r="U142" s="27"/>
      <x:c r="V142" s="27"/>
      <x:c r="W142" s="27"/>
      <x:c r="X142" s="27"/>
      <x:c r="Y142" s="27"/>
      <x:c r="Z142" s="27"/>
      <x:c r="AA142" s="27"/>
      <x:c r="AB142" s="27"/>
      <x:c r="AC142" s="27"/>
      <x:c r="AD142" s="27"/>
      <x:c r="AE142" s="27"/>
      <x:c r="AF142" s="27"/>
      <x:c r="AG142" s="27"/>
      <x:c r="AH142" s="27"/>
      <x:c r="AI142" s="27"/>
      <x:c r="AJ142" s="27"/>
      <x:c r="AK142" s="27"/>
      <x:c r="AL142" s="27"/>
      <x:c r="AM142" s="27"/>
      <x:c r="AN142" s="27"/>
      <x:c r="AO142" s="27"/>
      <x:c r="AP142" s="27"/>
      <x:c r="AQ142" s="27"/>
      <x:c r="AR142" s="27"/>
      <x:c r="AS142" s="27"/>
      <x:c r="AT142" s="27"/>
      <x:c r="AU142" s="27"/>
      <x:c r="AV142" s="27"/>
      <x:c r="AW142" s="27"/>
      <x:c r="AX142" s="27"/>
      <x:c r="AY142" s="27"/>
      <x:c r="AZ142" s="27"/>
    </x:row>
    <x:row r="143">
      <x:c r="A143" s="27"/>
      <x:c r="B143" s="27"/>
      <x:c r="C143" s="27"/>
      <x:c r="D143" s="27"/>
      <x:c r="E143" s="27"/>
      <x:c r="F143" s="27"/>
      <x:c r="G143" s="27"/>
      <x:c r="H143" s="27"/>
      <x:c r="I143" s="27"/>
      <x:c r="J143" s="27"/>
      <x:c r="K143" s="27"/>
      <x:c r="L143" s="27"/>
      <x:c r="M143" s="27"/>
      <x:c r="N143" s="27"/>
      <x:c r="O143" s="27"/>
      <x:c r="P143" s="27"/>
      <x:c r="Q143" s="27"/>
      <x:c r="R143" s="27"/>
      <x:c r="S143" s="27"/>
      <x:c r="T143" s="27"/>
      <x:c r="U143" s="27"/>
      <x:c r="V143" s="27"/>
      <x:c r="W143" s="27"/>
      <x:c r="X143" s="27"/>
      <x:c r="Y143" s="27"/>
      <x:c r="Z143" s="27"/>
      <x:c r="AA143" s="27"/>
      <x:c r="AB143" s="27"/>
      <x:c r="AC143" s="27"/>
      <x:c r="AD143" s="27"/>
      <x:c r="AE143" s="27"/>
      <x:c r="AF143" s="27"/>
      <x:c r="AG143" s="27"/>
      <x:c r="AH143" s="27"/>
      <x:c r="AI143" s="27"/>
      <x:c r="AJ143" s="27"/>
      <x:c r="AK143" s="27"/>
      <x:c r="AL143" s="27"/>
      <x:c r="AM143" s="27"/>
      <x:c r="AN143" s="27"/>
      <x:c r="AO143" s="27"/>
      <x:c r="AP143" s="27"/>
      <x:c r="AQ143" s="27"/>
      <x:c r="AR143" s="27"/>
      <x:c r="AS143" s="27"/>
      <x:c r="AT143" s="27"/>
      <x:c r="AU143" s="27"/>
      <x:c r="AV143" s="27"/>
      <x:c r="AW143" s="27"/>
      <x:c r="AX143" s="27"/>
      <x:c r="AY143" s="27"/>
      <x:c r="AZ143" s="27"/>
    </x:row>
    <x:row r="144">
      <x:c r="A144" s="27"/>
      <x:c r="B144" s="27"/>
      <x:c r="C144" s="27"/>
      <x:c r="D144" s="27"/>
      <x:c r="E144" s="27"/>
      <x:c r="F144" s="27"/>
      <x:c r="G144" s="27"/>
      <x:c r="H144" s="27"/>
      <x:c r="I144" s="27"/>
      <x:c r="J144" s="27"/>
      <x:c r="K144" s="27"/>
      <x:c r="L144" s="27"/>
      <x:c r="M144" s="27"/>
      <x:c r="N144" s="27"/>
      <x:c r="O144" s="27"/>
      <x:c r="P144" s="27"/>
      <x:c r="Q144" s="27"/>
      <x:c r="R144" s="27"/>
      <x:c r="S144" s="27"/>
      <x:c r="T144" s="27"/>
      <x:c r="U144" s="27"/>
      <x:c r="V144" s="27"/>
      <x:c r="W144" s="27"/>
      <x:c r="X144" s="27"/>
      <x:c r="Y144" s="27"/>
      <x:c r="Z144" s="27"/>
      <x:c r="AA144" s="27"/>
      <x:c r="AB144" s="27"/>
      <x:c r="AC144" s="27"/>
      <x:c r="AD144" s="27"/>
      <x:c r="AE144" s="27"/>
      <x:c r="AF144" s="27"/>
      <x:c r="AG144" s="27"/>
      <x:c r="AH144" s="27"/>
      <x:c r="AI144" s="27"/>
      <x:c r="AJ144" s="27"/>
      <x:c r="AK144" s="27"/>
      <x:c r="AL144" s="27"/>
      <x:c r="AM144" s="27"/>
      <x:c r="AN144" s="27"/>
      <x:c r="AO144" s="27"/>
      <x:c r="AP144" s="27"/>
      <x:c r="AQ144" s="27"/>
      <x:c r="AR144" s="27"/>
      <x:c r="AS144" s="27"/>
      <x:c r="AT144" s="27"/>
      <x:c r="AU144" s="27"/>
      <x:c r="AV144" s="27"/>
      <x:c r="AW144" s="27"/>
      <x:c r="AX144" s="27"/>
      <x:c r="AY144" s="27"/>
      <x:c r="AZ144" s="27"/>
    </x:row>
    <x:row r="145">
      <x:c r="A145" s="27"/>
      <x:c r="B145" s="27"/>
      <x:c r="C145" s="27"/>
      <x:c r="D145" s="27"/>
      <x:c r="E145" s="27"/>
      <x:c r="F145" s="27"/>
      <x:c r="G145" s="27"/>
      <x:c r="H145" s="27"/>
      <x:c r="I145" s="27"/>
      <x:c r="J145" s="27"/>
      <x:c r="K145" s="27"/>
      <x:c r="L145" s="27"/>
      <x:c r="M145" s="27"/>
      <x:c r="N145" s="27"/>
      <x:c r="O145" s="27"/>
      <x:c r="P145" s="27"/>
      <x:c r="Q145" s="27"/>
      <x:c r="R145" s="27"/>
      <x:c r="S145" s="27"/>
      <x:c r="T145" s="27"/>
      <x:c r="U145" s="27"/>
      <x:c r="V145" s="27"/>
      <x:c r="W145" s="27"/>
      <x:c r="X145" s="27"/>
      <x:c r="Y145" s="27"/>
      <x:c r="Z145" s="27"/>
      <x:c r="AA145" s="27"/>
      <x:c r="AB145" s="27"/>
      <x:c r="AC145" s="27"/>
      <x:c r="AD145" s="27"/>
      <x:c r="AE145" s="27"/>
      <x:c r="AF145" s="27"/>
      <x:c r="AG145" s="27"/>
      <x:c r="AH145" s="27"/>
      <x:c r="AI145" s="27"/>
      <x:c r="AJ145" s="27"/>
      <x:c r="AK145" s="27"/>
      <x:c r="AL145" s="27"/>
      <x:c r="AM145" s="27"/>
      <x:c r="AN145" s="27"/>
      <x:c r="AO145" s="27"/>
      <x:c r="AP145" s="27"/>
      <x:c r="AQ145" s="27"/>
      <x:c r="AR145" s="27"/>
      <x:c r="AS145" s="27"/>
      <x:c r="AT145" s="27"/>
      <x:c r="AU145" s="27"/>
      <x:c r="AV145" s="27"/>
      <x:c r="AW145" s="27"/>
      <x:c r="AX145" s="27"/>
      <x:c r="AY145" s="27"/>
      <x:c r="AZ145" s="27"/>
    </x:row>
    <x:row r="146">
      <x:c r="A146" s="27"/>
      <x:c r="B146" s="27"/>
      <x:c r="C146" s="27"/>
      <x:c r="D146" s="27"/>
      <x:c r="E146" s="27"/>
      <x:c r="F146" s="27"/>
      <x:c r="G146" s="27"/>
      <x:c r="H146" s="27"/>
      <x:c r="I146" s="27"/>
      <x:c r="J146" s="27"/>
      <x:c r="K146" s="27"/>
      <x:c r="L146" s="27"/>
      <x:c r="M146" s="27"/>
      <x:c r="N146" s="27"/>
      <x:c r="O146" s="27"/>
      <x:c r="P146" s="27"/>
      <x:c r="Q146" s="27"/>
      <x:c r="R146" s="27"/>
      <x:c r="S146" s="27"/>
      <x:c r="T146" s="27"/>
      <x:c r="U146" s="27"/>
      <x:c r="V146" s="27"/>
      <x:c r="W146" s="27"/>
      <x:c r="X146" s="27"/>
      <x:c r="Y146" s="27"/>
      <x:c r="Z146" s="27"/>
      <x:c r="AA146" s="27"/>
      <x:c r="AB146" s="27"/>
      <x:c r="AC146" s="27"/>
      <x:c r="AD146" s="27"/>
      <x:c r="AE146" s="27"/>
      <x:c r="AF146" s="27"/>
      <x:c r="AG146" s="27"/>
      <x:c r="AH146" s="27"/>
      <x:c r="AI146" s="27"/>
      <x:c r="AJ146" s="27"/>
      <x:c r="AK146" s="27"/>
      <x:c r="AL146" s="27"/>
      <x:c r="AM146" s="27"/>
      <x:c r="AN146" s="27"/>
      <x:c r="AO146" s="27"/>
      <x:c r="AP146" s="27"/>
      <x:c r="AQ146" s="27"/>
      <x:c r="AR146" s="27"/>
      <x:c r="AS146" s="27"/>
      <x:c r="AT146" s="27"/>
      <x:c r="AU146" s="27"/>
      <x:c r="AV146" s="27"/>
      <x:c r="AW146" s="27"/>
      <x:c r="AX146" s="27"/>
      <x:c r="AY146" s="27"/>
      <x:c r="AZ146" s="27"/>
    </x:row>
    <x:row r="147">
      <x:c r="A147" s="27"/>
      <x:c r="B147" s="27"/>
      <x:c r="C147" s="27"/>
      <x:c r="D147" s="27"/>
      <x:c r="E147" s="27"/>
      <x:c r="F147" s="27"/>
      <x:c r="G147" s="27"/>
      <x:c r="H147" s="27"/>
      <x:c r="I147" s="27"/>
      <x:c r="J147" s="27"/>
      <x:c r="K147" s="27"/>
      <x:c r="L147" s="27"/>
      <x:c r="M147" s="27"/>
      <x:c r="N147" s="27"/>
      <x:c r="O147" s="27"/>
      <x:c r="P147" s="27"/>
      <x:c r="Q147" s="27"/>
      <x:c r="R147" s="27"/>
      <x:c r="S147" s="27"/>
      <x:c r="T147" s="27"/>
      <x:c r="U147" s="27"/>
      <x:c r="V147" s="27"/>
      <x:c r="W147" s="27"/>
      <x:c r="X147" s="27"/>
      <x:c r="Y147" s="27"/>
      <x:c r="Z147" s="27"/>
      <x:c r="AA147" s="27"/>
      <x:c r="AB147" s="27"/>
      <x:c r="AC147" s="27"/>
      <x:c r="AD147" s="27"/>
      <x:c r="AE147" s="27"/>
      <x:c r="AF147" s="27"/>
      <x:c r="AG147" s="27"/>
      <x:c r="AH147" s="27"/>
      <x:c r="AI147" s="27"/>
      <x:c r="AJ147" s="27"/>
      <x:c r="AK147" s="27"/>
      <x:c r="AL147" s="27"/>
      <x:c r="AM147" s="27"/>
      <x:c r="AN147" s="27"/>
      <x:c r="AO147" s="27"/>
      <x:c r="AP147" s="27"/>
      <x:c r="AQ147" s="27"/>
      <x:c r="AR147" s="27"/>
      <x:c r="AS147" s="27"/>
      <x:c r="AT147" s="27"/>
      <x:c r="AU147" s="27"/>
      <x:c r="AV147" s="27"/>
      <x:c r="AW147" s="27"/>
      <x:c r="AX147" s="27"/>
      <x:c r="AY147" s="27"/>
      <x:c r="AZ147" s="27"/>
    </x:row>
    <x:row r="148">
      <x:c r="A148" s="27"/>
      <x:c r="B148" s="27"/>
      <x:c r="C148" s="27"/>
      <x:c r="D148" s="27"/>
      <x:c r="E148" s="27"/>
      <x:c r="F148" s="27"/>
      <x:c r="G148" s="27"/>
      <x:c r="H148" s="27"/>
      <x:c r="I148" s="27"/>
      <x:c r="J148" s="27"/>
      <x:c r="K148" s="27"/>
      <x:c r="L148" s="27"/>
      <x:c r="M148" s="27"/>
      <x:c r="N148" s="27"/>
      <x:c r="O148" s="27"/>
      <x:c r="P148" s="27"/>
      <x:c r="Q148" s="27"/>
      <x:c r="R148" s="27"/>
      <x:c r="S148" s="27"/>
      <x:c r="T148" s="27"/>
      <x:c r="U148" s="27"/>
      <x:c r="V148" s="27"/>
      <x:c r="W148" s="27"/>
      <x:c r="X148" s="27"/>
      <x:c r="Y148" s="27"/>
      <x:c r="Z148" s="27"/>
      <x:c r="AA148" s="27"/>
      <x:c r="AB148" s="27"/>
      <x:c r="AC148" s="27"/>
      <x:c r="AD148" s="27"/>
      <x:c r="AE148" s="27"/>
      <x:c r="AF148" s="27"/>
      <x:c r="AG148" s="27"/>
      <x:c r="AH148" s="27"/>
      <x:c r="AI148" s="27"/>
      <x:c r="AJ148" s="27"/>
      <x:c r="AK148" s="27"/>
      <x:c r="AL148" s="27"/>
      <x:c r="AM148" s="27"/>
      <x:c r="AN148" s="27"/>
      <x:c r="AO148" s="27"/>
      <x:c r="AP148" s="27"/>
      <x:c r="AQ148" s="27"/>
      <x:c r="AR148" s="27"/>
      <x:c r="AS148" s="27"/>
      <x:c r="AT148" s="27"/>
      <x:c r="AU148" s="27"/>
      <x:c r="AV148" s="27"/>
      <x:c r="AW148" s="27"/>
      <x:c r="AX148" s="27"/>
      <x:c r="AY148" s="27"/>
      <x:c r="AZ148" s="27"/>
    </x:row>
    <x:row r="149">
      <x:c r="A149" s="27"/>
      <x:c r="B149" s="27"/>
      <x:c r="C149" s="27"/>
      <x:c r="D149" s="27"/>
      <x:c r="E149" s="27"/>
      <x:c r="F149" s="27"/>
      <x:c r="G149" s="27"/>
      <x:c r="H149" s="27"/>
      <x:c r="I149" s="27"/>
      <x:c r="J149" s="27"/>
      <x:c r="K149" s="27"/>
      <x:c r="L149" s="27"/>
      <x:c r="M149" s="27"/>
      <x:c r="N149" s="27"/>
      <x:c r="O149" s="27"/>
      <x:c r="P149" s="27"/>
      <x:c r="Q149" s="27"/>
      <x:c r="R149" s="27"/>
      <x:c r="S149" s="27"/>
      <x:c r="T149" s="27"/>
      <x:c r="U149" s="27"/>
      <x:c r="V149" s="27"/>
      <x:c r="W149" s="27"/>
      <x:c r="X149" s="27"/>
      <x:c r="Y149" s="27"/>
      <x:c r="Z149" s="27"/>
      <x:c r="AA149" s="27"/>
      <x:c r="AB149" s="27"/>
      <x:c r="AC149" s="27"/>
      <x:c r="AD149" s="27"/>
      <x:c r="AE149" s="27"/>
      <x:c r="AF149" s="27"/>
      <x:c r="AG149" s="27"/>
      <x:c r="AH149" s="27"/>
      <x:c r="AI149" s="27"/>
      <x:c r="AJ149" s="27"/>
      <x:c r="AK149" s="27"/>
      <x:c r="AL149" s="27"/>
      <x:c r="AM149" s="27"/>
      <x:c r="AN149" s="27"/>
      <x:c r="AO149" s="27"/>
      <x:c r="AP149" s="27"/>
      <x:c r="AQ149" s="27"/>
      <x:c r="AR149" s="27"/>
      <x:c r="AS149" s="27"/>
      <x:c r="AT149" s="27"/>
      <x:c r="AU149" s="27"/>
      <x:c r="AV149" s="27"/>
      <x:c r="AW149" s="27"/>
      <x:c r="AX149" s="27"/>
      <x:c r="AY149" s="27"/>
      <x:c r="AZ149" s="27"/>
    </x:row>
    <x:row r="150">
      <x:c r="A150" s="27"/>
      <x:c r="B150" s="27"/>
      <x:c r="C150" s="27"/>
      <x:c r="D150" s="27"/>
      <x:c r="E150" s="27"/>
      <x:c r="F150" s="27"/>
      <x:c r="G150" s="27"/>
      <x:c r="H150" s="27"/>
      <x:c r="I150" s="27"/>
      <x:c r="J150" s="27"/>
      <x:c r="K150" s="27"/>
      <x:c r="L150" s="27"/>
      <x:c r="M150" s="27"/>
      <x:c r="N150" s="27"/>
      <x:c r="O150" s="27"/>
      <x:c r="P150" s="27"/>
      <x:c r="Q150" s="27"/>
      <x:c r="R150" s="27"/>
      <x:c r="S150" s="27"/>
      <x:c r="T150" s="27"/>
      <x:c r="U150" s="27"/>
      <x:c r="V150" s="27"/>
      <x:c r="W150" s="27"/>
      <x:c r="X150" s="27"/>
      <x:c r="Y150" s="27"/>
      <x:c r="Z150" s="27"/>
      <x:c r="AA150" s="27"/>
      <x:c r="AB150" s="27"/>
      <x:c r="AC150" s="27"/>
      <x:c r="AD150" s="27"/>
      <x:c r="AE150" s="27"/>
      <x:c r="AF150" s="27"/>
      <x:c r="AG150" s="27"/>
      <x:c r="AH150" s="27"/>
      <x:c r="AI150" s="27"/>
      <x:c r="AJ150" s="27"/>
      <x:c r="AK150" s="27"/>
      <x:c r="AL150" s="27"/>
      <x:c r="AM150" s="27"/>
      <x:c r="AN150" s="27"/>
      <x:c r="AO150" s="27"/>
      <x:c r="AP150" s="27"/>
      <x:c r="AQ150" s="27"/>
      <x:c r="AR150" s="27"/>
      <x:c r="AS150" s="27"/>
      <x:c r="AT150" s="27"/>
      <x:c r="AU150" s="27"/>
      <x:c r="AV150" s="27"/>
      <x:c r="AW150" s="27"/>
      <x:c r="AX150" s="27"/>
      <x:c r="AY150" s="27"/>
      <x:c r="AZ150" s="27"/>
    </x:row>
    <x:row r="151">
      <x:c r="A151" s="27"/>
      <x:c r="B151" s="27"/>
      <x:c r="C151" s="27"/>
      <x:c r="D151" s="27"/>
      <x:c r="E151" s="27"/>
      <x:c r="F151" s="27"/>
      <x:c r="G151" s="27"/>
      <x:c r="H151" s="27"/>
      <x:c r="I151" s="27"/>
      <x:c r="J151" s="27"/>
      <x:c r="K151" s="27"/>
      <x:c r="L151" s="27"/>
      <x:c r="M151" s="27"/>
      <x:c r="N151" s="27"/>
      <x:c r="O151" s="27"/>
      <x:c r="P151" s="27"/>
      <x:c r="Q151" s="27"/>
      <x:c r="R151" s="27"/>
      <x:c r="S151" s="27"/>
      <x:c r="T151" s="27"/>
      <x:c r="U151" s="27"/>
      <x:c r="V151" s="27"/>
      <x:c r="W151" s="27"/>
      <x:c r="X151" s="27"/>
      <x:c r="Y151" s="27"/>
      <x:c r="Z151" s="27"/>
      <x:c r="AA151" s="27"/>
      <x:c r="AB151" s="27"/>
      <x:c r="AC151" s="27"/>
      <x:c r="AD151" s="27"/>
      <x:c r="AE151" s="27"/>
      <x:c r="AF151" s="27"/>
      <x:c r="AG151" s="27"/>
      <x:c r="AH151" s="27"/>
      <x:c r="AI151" s="27"/>
      <x:c r="AJ151" s="27"/>
      <x:c r="AK151" s="27"/>
      <x:c r="AL151" s="27"/>
      <x:c r="AM151" s="27"/>
      <x:c r="AN151" s="27"/>
      <x:c r="AO151" s="27"/>
      <x:c r="AP151" s="27"/>
      <x:c r="AQ151" s="27"/>
      <x:c r="AR151" s="27"/>
      <x:c r="AS151" s="27"/>
      <x:c r="AT151" s="27"/>
      <x:c r="AU151" s="27"/>
      <x:c r="AV151" s="27"/>
      <x:c r="AW151" s="27"/>
      <x:c r="AX151" s="27"/>
      <x:c r="AY151" s="27"/>
      <x:c r="AZ151" s="27"/>
    </x:row>
    <x:row r="152">
      <x:c r="A152" s="27"/>
      <x:c r="B152" s="27"/>
      <x:c r="C152" s="27"/>
      <x:c r="D152" s="27"/>
      <x:c r="E152" s="27"/>
      <x:c r="F152" s="27"/>
      <x:c r="G152" s="27"/>
      <x:c r="H152" s="27"/>
      <x:c r="I152" s="27"/>
      <x:c r="J152" s="27"/>
      <x:c r="K152" s="27"/>
      <x:c r="L152" s="27"/>
      <x:c r="M152" s="27"/>
      <x:c r="N152" s="27"/>
      <x:c r="O152" s="27"/>
      <x:c r="P152" s="27"/>
      <x:c r="Q152" s="27"/>
      <x:c r="R152" s="27"/>
      <x:c r="S152" s="27"/>
      <x:c r="T152" s="27"/>
      <x:c r="U152" s="27"/>
      <x:c r="V152" s="27"/>
      <x:c r="W152" s="27"/>
      <x:c r="X152" s="27"/>
      <x:c r="Y152" s="27"/>
      <x:c r="Z152" s="27"/>
      <x:c r="AA152" s="27"/>
      <x:c r="AB152" s="27"/>
      <x:c r="AC152" s="27"/>
      <x:c r="AD152" s="27"/>
      <x:c r="AE152" s="27"/>
      <x:c r="AF152" s="27"/>
      <x:c r="AG152" s="27"/>
      <x:c r="AH152" s="27"/>
      <x:c r="AI152" s="27"/>
      <x:c r="AJ152" s="27"/>
      <x:c r="AK152" s="27"/>
      <x:c r="AL152" s="27"/>
      <x:c r="AM152" s="27"/>
      <x:c r="AN152" s="27"/>
      <x:c r="AO152" s="27"/>
      <x:c r="AP152" s="27"/>
      <x:c r="AQ152" s="27"/>
      <x:c r="AR152" s="27"/>
      <x:c r="AS152" s="27"/>
      <x:c r="AT152" s="27"/>
      <x:c r="AU152" s="27"/>
      <x:c r="AV152" s="27"/>
      <x:c r="AW152" s="27"/>
      <x:c r="AX152" s="27"/>
      <x:c r="AY152" s="27"/>
      <x:c r="AZ152" s="27"/>
    </x:row>
    <x:row r="153">
      <x:c r="A153" s="27"/>
      <x:c r="B153" s="27"/>
      <x:c r="C153" s="27"/>
      <x:c r="D153" s="27"/>
      <x:c r="E153" s="27"/>
      <x:c r="F153" s="27"/>
      <x:c r="G153" s="27"/>
      <x:c r="H153" s="27"/>
      <x:c r="I153" s="27"/>
      <x:c r="J153" s="27"/>
      <x:c r="K153" s="27"/>
      <x:c r="L153" s="27"/>
      <x:c r="M153" s="27"/>
      <x:c r="N153" s="27"/>
      <x:c r="O153" s="27"/>
      <x:c r="P153" s="27"/>
      <x:c r="Q153" s="27"/>
      <x:c r="R153" s="27"/>
      <x:c r="S153" s="27"/>
      <x:c r="T153" s="27"/>
      <x:c r="U153" s="27"/>
      <x:c r="V153" s="27"/>
      <x:c r="W153" s="27"/>
      <x:c r="X153" s="27"/>
      <x:c r="Y153" s="27"/>
      <x:c r="Z153" s="27"/>
      <x:c r="AA153" s="27"/>
      <x:c r="AB153" s="27"/>
      <x:c r="AC153" s="27"/>
      <x:c r="AD153" s="27"/>
      <x:c r="AE153" s="27"/>
      <x:c r="AF153" s="27"/>
      <x:c r="AG153" s="27"/>
      <x:c r="AH153" s="27"/>
      <x:c r="AI153" s="27"/>
      <x:c r="AJ153" s="27"/>
      <x:c r="AK153" s="27"/>
      <x:c r="AL153" s="27"/>
      <x:c r="AM153" s="27"/>
      <x:c r="AN153" s="27"/>
      <x:c r="AO153" s="27"/>
      <x:c r="AP153" s="27"/>
      <x:c r="AQ153" s="27"/>
      <x:c r="AR153" s="27"/>
      <x:c r="AS153" s="27"/>
      <x:c r="AT153" s="27"/>
      <x:c r="AU153" s="27"/>
      <x:c r="AV153" s="27"/>
      <x:c r="AW153" s="27"/>
      <x:c r="AX153" s="27"/>
      <x:c r="AY153" s="27"/>
      <x:c r="AZ153" s="27"/>
    </x:row>
    <x:row r="154">
      <x:c r="A154" s="27"/>
      <x:c r="B154" s="27"/>
      <x:c r="C154" s="27"/>
      <x:c r="D154" s="27"/>
      <x:c r="E154" s="27"/>
      <x:c r="F154" s="27"/>
      <x:c r="G154" s="27"/>
      <x:c r="H154" s="27"/>
      <x:c r="I154" s="27"/>
      <x:c r="J154" s="27"/>
      <x:c r="K154" s="27"/>
      <x:c r="L154" s="27"/>
      <x:c r="M154" s="27"/>
      <x:c r="N154" s="27"/>
      <x:c r="O154" s="27"/>
      <x:c r="P154" s="27"/>
      <x:c r="Q154" s="27"/>
      <x:c r="R154" s="27"/>
      <x:c r="S154" s="27"/>
      <x:c r="T154" s="27"/>
      <x:c r="U154" s="27"/>
      <x:c r="V154" s="27"/>
      <x:c r="W154" s="27"/>
      <x:c r="X154" s="27"/>
      <x:c r="Y154" s="27"/>
      <x:c r="Z154" s="27"/>
      <x:c r="AA154" s="27"/>
      <x:c r="AB154" s="27"/>
      <x:c r="AC154" s="27"/>
      <x:c r="AD154" s="27"/>
      <x:c r="AE154" s="27"/>
      <x:c r="AF154" s="27"/>
      <x:c r="AG154" s="27"/>
      <x:c r="AH154" s="27"/>
      <x:c r="AI154" s="27"/>
      <x:c r="AJ154" s="27"/>
      <x:c r="AK154" s="27"/>
      <x:c r="AL154" s="27"/>
      <x:c r="AM154" s="27"/>
      <x:c r="AN154" s="27"/>
      <x:c r="AO154" s="27"/>
      <x:c r="AP154" s="27"/>
      <x:c r="AQ154" s="27"/>
      <x:c r="AR154" s="27"/>
      <x:c r="AS154" s="27"/>
      <x:c r="AT154" s="27"/>
      <x:c r="AU154" s="27"/>
      <x:c r="AV154" s="27"/>
      <x:c r="AW154" s="27"/>
      <x:c r="AX154" s="27"/>
      <x:c r="AY154" s="27"/>
      <x:c r="AZ154" s="27"/>
    </x:row>
    <x:row r="155">
      <x:c r="A155" s="27"/>
      <x:c r="B155" s="27"/>
      <x:c r="C155" s="27"/>
      <x:c r="D155" s="27"/>
      <x:c r="E155" s="27"/>
      <x:c r="F155" s="27"/>
      <x:c r="G155" s="27"/>
      <x:c r="H155" s="27"/>
      <x:c r="I155" s="27"/>
      <x:c r="J155" s="27"/>
      <x:c r="K155" s="27"/>
      <x:c r="L155" s="27"/>
      <x:c r="M155" s="27"/>
      <x:c r="N155" s="27"/>
      <x:c r="O155" s="27"/>
      <x:c r="P155" s="27"/>
      <x:c r="Q155" s="27"/>
      <x:c r="R155" s="27"/>
      <x:c r="S155" s="27"/>
      <x:c r="T155" s="27"/>
      <x:c r="U155" s="27"/>
      <x:c r="V155" s="27"/>
      <x:c r="W155" s="27"/>
      <x:c r="X155" s="27"/>
      <x:c r="Y155" s="27"/>
      <x:c r="Z155" s="27"/>
      <x:c r="AA155" s="27"/>
      <x:c r="AB155" s="27"/>
      <x:c r="AC155" s="27"/>
      <x:c r="AD155" s="27"/>
      <x:c r="AE155" s="27"/>
      <x:c r="AF155" s="27"/>
      <x:c r="AG155" s="27"/>
      <x:c r="AH155" s="27"/>
      <x:c r="AI155" s="27"/>
      <x:c r="AJ155" s="27"/>
      <x:c r="AK155" s="27"/>
      <x:c r="AL155" s="27"/>
      <x:c r="AM155" s="27"/>
      <x:c r="AN155" s="27"/>
      <x:c r="AO155" s="27"/>
      <x:c r="AP155" s="27"/>
      <x:c r="AQ155" s="27"/>
      <x:c r="AR155" s="27"/>
      <x:c r="AS155" s="27"/>
      <x:c r="AT155" s="27"/>
      <x:c r="AU155" s="27"/>
      <x:c r="AV155" s="27"/>
      <x:c r="AW155" s="27"/>
      <x:c r="AX155" s="27"/>
      <x:c r="AY155" s="27"/>
      <x:c r="AZ155" s="27"/>
    </x:row>
    <x:row r="156">
      <x:c r="A156" s="27"/>
      <x:c r="B156" s="27"/>
      <x:c r="C156" s="27"/>
      <x:c r="D156" s="27"/>
      <x:c r="E156" s="27"/>
      <x:c r="F156" s="27"/>
      <x:c r="G156" s="27"/>
      <x:c r="H156" s="27"/>
      <x:c r="I156" s="27"/>
      <x:c r="J156" s="27"/>
      <x:c r="K156" s="27"/>
      <x:c r="L156" s="27"/>
      <x:c r="M156" s="27"/>
      <x:c r="N156" s="27"/>
      <x:c r="O156" s="27"/>
      <x:c r="P156" s="27"/>
      <x:c r="Q156" s="27"/>
      <x:c r="R156" s="27"/>
      <x:c r="S156" s="27"/>
      <x:c r="T156" s="27"/>
      <x:c r="U156" s="27"/>
      <x:c r="V156" s="27"/>
      <x:c r="W156" s="27"/>
      <x:c r="X156" s="27"/>
      <x:c r="Y156" s="27"/>
      <x:c r="Z156" s="27"/>
      <x:c r="AA156" s="27"/>
      <x:c r="AB156" s="27"/>
      <x:c r="AC156" s="27"/>
      <x:c r="AD156" s="27"/>
      <x:c r="AE156" s="27"/>
      <x:c r="AF156" s="27"/>
      <x:c r="AG156" s="27"/>
      <x:c r="AH156" s="27"/>
      <x:c r="AI156" s="27"/>
      <x:c r="AJ156" s="27"/>
      <x:c r="AK156" s="27"/>
      <x:c r="AL156" s="27"/>
      <x:c r="AM156" s="27"/>
      <x:c r="AN156" s="27"/>
      <x:c r="AO156" s="27"/>
      <x:c r="AP156" s="27"/>
      <x:c r="AQ156" s="27"/>
      <x:c r="AR156" s="27"/>
      <x:c r="AS156" s="27"/>
      <x:c r="AT156" s="27"/>
      <x:c r="AU156" s="27"/>
      <x:c r="AV156" s="27"/>
      <x:c r="AW156" s="27"/>
      <x:c r="AX156" s="27"/>
      <x:c r="AY156" s="27"/>
      <x:c r="AZ156" s="27"/>
    </x:row>
    <x:row r="157">
      <x:c r="A157" s="27"/>
      <x:c r="B157" s="27"/>
      <x:c r="C157" s="27"/>
      <x:c r="D157" s="27"/>
      <x:c r="E157" s="27"/>
      <x:c r="F157" s="27"/>
      <x:c r="G157" s="27"/>
      <x:c r="H157" s="27"/>
      <x:c r="I157" s="27"/>
      <x:c r="J157" s="27"/>
      <x:c r="K157" s="27"/>
      <x:c r="L157" s="27"/>
      <x:c r="M157" s="27"/>
      <x:c r="N157" s="27"/>
      <x:c r="O157" s="27"/>
      <x:c r="P157" s="27"/>
      <x:c r="Q157" s="27"/>
      <x:c r="R157" s="27"/>
      <x:c r="S157" s="27"/>
      <x:c r="T157" s="27"/>
      <x:c r="U157" s="27"/>
      <x:c r="V157" s="27"/>
      <x:c r="W157" s="27"/>
      <x:c r="X157" s="27"/>
      <x:c r="Y157" s="27"/>
      <x:c r="Z157" s="27"/>
      <x:c r="AA157" s="27"/>
      <x:c r="AB157" s="27"/>
      <x:c r="AC157" s="27"/>
      <x:c r="AD157" s="27"/>
      <x:c r="AE157" s="27"/>
      <x:c r="AF157" s="27"/>
      <x:c r="AG157" s="27"/>
      <x:c r="AH157" s="27"/>
      <x:c r="AI157" s="27"/>
      <x:c r="AJ157" s="27"/>
      <x:c r="AK157" s="27"/>
      <x:c r="AL157" s="27"/>
      <x:c r="AM157" s="27"/>
      <x:c r="AN157" s="27"/>
      <x:c r="AO157" s="27"/>
      <x:c r="AP157" s="27"/>
      <x:c r="AQ157" s="27"/>
      <x:c r="AR157" s="27"/>
      <x:c r="AS157" s="27"/>
      <x:c r="AT157" s="27"/>
      <x:c r="AU157" s="27"/>
      <x:c r="AV157" s="27"/>
      <x:c r="AW157" s="27"/>
      <x:c r="AX157" s="27"/>
      <x:c r="AY157" s="27"/>
      <x:c r="AZ157" s="27"/>
    </x:row>
    <x:row r="158">
      <x:c r="A158" s="27"/>
      <x:c r="B158" s="27"/>
      <x:c r="C158" s="27"/>
      <x:c r="D158" s="27"/>
      <x:c r="E158" s="27"/>
      <x:c r="F158" s="27"/>
      <x:c r="G158" s="27"/>
      <x:c r="H158" s="27"/>
      <x:c r="I158" s="27"/>
      <x:c r="J158" s="27"/>
      <x:c r="K158" s="27"/>
      <x:c r="L158" s="27"/>
      <x:c r="M158" s="27"/>
      <x:c r="N158" s="27"/>
      <x:c r="O158" s="27"/>
      <x:c r="P158" s="27"/>
      <x:c r="Q158" s="27"/>
      <x:c r="R158" s="27"/>
      <x:c r="S158" s="27"/>
      <x:c r="T158" s="27"/>
      <x:c r="U158" s="27"/>
      <x:c r="V158" s="27"/>
      <x:c r="W158" s="27"/>
      <x:c r="X158" s="27"/>
      <x:c r="Y158" s="27"/>
      <x:c r="Z158" s="27"/>
      <x:c r="AA158" s="27"/>
      <x:c r="AB158" s="27"/>
      <x:c r="AC158" s="27"/>
      <x:c r="AD158" s="27"/>
      <x:c r="AE158" s="27"/>
      <x:c r="AF158" s="27"/>
      <x:c r="AG158" s="27"/>
      <x:c r="AH158" s="27"/>
      <x:c r="AI158" s="27"/>
      <x:c r="AJ158" s="27"/>
      <x:c r="AK158" s="27"/>
      <x:c r="AL158" s="27"/>
      <x:c r="AM158" s="27"/>
      <x:c r="AN158" s="27"/>
      <x:c r="AO158" s="27"/>
      <x:c r="AP158" s="27"/>
      <x:c r="AQ158" s="27"/>
      <x:c r="AR158" s="27"/>
      <x:c r="AS158" s="27"/>
      <x:c r="AT158" s="27"/>
      <x:c r="AU158" s="27"/>
      <x:c r="AV158" s="27"/>
      <x:c r="AW158" s="27"/>
      <x:c r="AX158" s="27"/>
      <x:c r="AY158" s="27"/>
      <x:c r="AZ158" s="27"/>
    </x:row>
    <x:row r="159">
      <x:c r="A159" s="27"/>
      <x:c r="B159" s="27"/>
      <x:c r="C159" s="27"/>
      <x:c r="D159" s="27"/>
      <x:c r="E159" s="27"/>
      <x:c r="F159" s="27"/>
      <x:c r="G159" s="27"/>
      <x:c r="H159" s="27"/>
      <x:c r="I159" s="27"/>
      <x:c r="J159" s="27"/>
      <x:c r="K159" s="27"/>
      <x:c r="L159" s="27"/>
      <x:c r="M159" s="27"/>
      <x:c r="N159" s="27"/>
      <x:c r="O159" s="27"/>
      <x:c r="P159" s="27"/>
      <x:c r="Q159" s="27"/>
      <x:c r="R159" s="27"/>
      <x:c r="S159" s="27"/>
      <x:c r="T159" s="27"/>
      <x:c r="U159" s="27"/>
      <x:c r="V159" s="27"/>
      <x:c r="W159" s="27"/>
      <x:c r="X159" s="27"/>
      <x:c r="Y159" s="27"/>
      <x:c r="Z159" s="27"/>
      <x:c r="AA159" s="27"/>
      <x:c r="AB159" s="27"/>
      <x:c r="AC159" s="27"/>
      <x:c r="AD159" s="27"/>
      <x:c r="AE159" s="27"/>
      <x:c r="AF159" s="27"/>
      <x:c r="AG159" s="27"/>
      <x:c r="AH159" s="27"/>
      <x:c r="AI159" s="27"/>
      <x:c r="AJ159" s="27"/>
      <x:c r="AK159" s="27"/>
      <x:c r="AL159" s="27"/>
      <x:c r="AM159" s="27"/>
      <x:c r="AN159" s="27"/>
      <x:c r="AO159" s="27"/>
      <x:c r="AP159" s="27"/>
      <x:c r="AQ159" s="27"/>
      <x:c r="AR159" s="27"/>
      <x:c r="AS159" s="27"/>
      <x:c r="AT159" s="27"/>
      <x:c r="AU159" s="27"/>
      <x:c r="AV159" s="27"/>
      <x:c r="AW159" s="27"/>
      <x:c r="AX159" s="27"/>
      <x:c r="AY159" s="27"/>
      <x:c r="AZ159" s="27"/>
    </x:row>
    <x:row r="160">
      <x:c r="A160" s="27"/>
      <x:c r="B160" s="27"/>
      <x:c r="C160" s="27"/>
      <x:c r="D160" s="27"/>
      <x:c r="E160" s="27"/>
      <x:c r="F160" s="27"/>
      <x:c r="G160" s="27"/>
      <x:c r="H160" s="27"/>
      <x:c r="I160" s="27"/>
      <x:c r="J160" s="27"/>
      <x:c r="K160" s="27"/>
      <x:c r="L160" s="27"/>
      <x:c r="M160" s="27"/>
      <x:c r="N160" s="27"/>
      <x:c r="O160" s="27"/>
      <x:c r="P160" s="27"/>
      <x:c r="Q160" s="27"/>
      <x:c r="R160" s="27"/>
      <x:c r="S160" s="27"/>
      <x:c r="T160" s="27"/>
      <x:c r="U160" s="27"/>
      <x:c r="V160" s="27"/>
      <x:c r="W160" s="27"/>
      <x:c r="X160" s="27"/>
      <x:c r="Y160" s="27"/>
      <x:c r="Z160" s="27"/>
      <x:c r="AA160" s="27"/>
      <x:c r="AB160" s="27"/>
      <x:c r="AC160" s="27"/>
      <x:c r="AD160" s="27"/>
      <x:c r="AE160" s="27"/>
      <x:c r="AF160" s="27"/>
      <x:c r="AG160" s="27"/>
      <x:c r="AH160" s="27"/>
      <x:c r="AI160" s="27"/>
      <x:c r="AJ160" s="27"/>
      <x:c r="AK160" s="27"/>
      <x:c r="AL160" s="27"/>
      <x:c r="AM160" s="27"/>
      <x:c r="AN160" s="27"/>
      <x:c r="AO160" s="27"/>
      <x:c r="AP160" s="27"/>
      <x:c r="AQ160" s="27"/>
      <x:c r="AR160" s="27"/>
      <x:c r="AS160" s="27"/>
      <x:c r="AT160" s="27"/>
      <x:c r="AU160" s="27"/>
      <x:c r="AV160" s="27"/>
      <x:c r="AW160" s="27"/>
      <x:c r="AX160" s="27"/>
      <x:c r="AY160" s="27"/>
      <x:c r="AZ160" s="27"/>
    </x:row>
    <x:row r="161">
      <x:c r="A161" s="27"/>
      <x:c r="B161" s="27"/>
      <x:c r="C161" s="27"/>
      <x:c r="D161" s="27"/>
      <x:c r="E161" s="27"/>
      <x:c r="F161" s="27"/>
      <x:c r="G161" s="27"/>
      <x:c r="H161" s="27"/>
      <x:c r="I161" s="27"/>
      <x:c r="J161" s="27"/>
      <x:c r="K161" s="27"/>
      <x:c r="L161" s="27"/>
      <x:c r="M161" s="27"/>
      <x:c r="N161" s="27"/>
      <x:c r="O161" s="27"/>
      <x:c r="P161" s="27"/>
      <x:c r="Q161" s="27"/>
      <x:c r="R161" s="27"/>
      <x:c r="S161" s="27"/>
      <x:c r="T161" s="27"/>
      <x:c r="U161" s="27"/>
      <x:c r="V161" s="27"/>
      <x:c r="W161" s="27"/>
      <x:c r="X161" s="27"/>
      <x:c r="Y161" s="27"/>
      <x:c r="Z161" s="27"/>
      <x:c r="AA161" s="27"/>
      <x:c r="AB161" s="27"/>
      <x:c r="AC161" s="27"/>
      <x:c r="AD161" s="27"/>
      <x:c r="AE161" s="27"/>
      <x:c r="AF161" s="27"/>
      <x:c r="AG161" s="27"/>
      <x:c r="AH161" s="27"/>
      <x:c r="AI161" s="27"/>
      <x:c r="AJ161" s="27"/>
      <x:c r="AK161" s="27"/>
      <x:c r="AL161" s="27"/>
      <x:c r="AM161" s="27"/>
      <x:c r="AN161" s="27"/>
      <x:c r="AO161" s="27"/>
      <x:c r="AP161" s="27"/>
      <x:c r="AQ161" s="27"/>
      <x:c r="AR161" s="27"/>
      <x:c r="AS161" s="27"/>
      <x:c r="AT161" s="27"/>
      <x:c r="AU161" s="27"/>
      <x:c r="AV161" s="27"/>
      <x:c r="AW161" s="27"/>
      <x:c r="AX161" s="27"/>
      <x:c r="AY161" s="27"/>
      <x:c r="AZ161" s="27"/>
    </x:row>
    <x:row r="162">
      <x:c r="A162" s="27"/>
      <x:c r="B162" s="27"/>
      <x:c r="C162" s="27"/>
      <x:c r="D162" s="27"/>
      <x:c r="E162" s="27"/>
      <x:c r="F162" s="27"/>
      <x:c r="G162" s="27"/>
      <x:c r="H162" s="27"/>
      <x:c r="I162" s="27"/>
      <x:c r="J162" s="27"/>
      <x:c r="K162" s="27"/>
      <x:c r="L162" s="27"/>
      <x:c r="M162" s="27"/>
      <x:c r="N162" s="27"/>
      <x:c r="O162" s="27"/>
      <x:c r="P162" s="27"/>
      <x:c r="Q162" s="27"/>
      <x:c r="R162" s="27"/>
      <x:c r="S162" s="27"/>
      <x:c r="T162" s="27"/>
      <x:c r="U162" s="27"/>
      <x:c r="V162" s="27"/>
      <x:c r="W162" s="27"/>
      <x:c r="X162" s="27"/>
      <x:c r="Y162" s="27"/>
      <x:c r="Z162" s="27"/>
      <x:c r="AA162" s="27"/>
      <x:c r="AB162" s="27"/>
      <x:c r="AC162" s="27"/>
      <x:c r="AD162" s="27"/>
      <x:c r="AE162" s="27"/>
      <x:c r="AF162" s="27"/>
      <x:c r="AG162" s="27"/>
      <x:c r="AH162" s="27"/>
      <x:c r="AI162" s="27"/>
      <x:c r="AJ162" s="27"/>
      <x:c r="AK162" s="27"/>
      <x:c r="AL162" s="27"/>
      <x:c r="AM162" s="27"/>
      <x:c r="AN162" s="27"/>
      <x:c r="AO162" s="27"/>
      <x:c r="AP162" s="27"/>
      <x:c r="AQ162" s="27"/>
      <x:c r="AR162" s="27"/>
      <x:c r="AS162" s="27"/>
      <x:c r="AT162" s="27"/>
      <x:c r="AU162" s="27"/>
      <x:c r="AV162" s="27"/>
      <x:c r="AW162" s="27"/>
      <x:c r="AX162" s="27"/>
      <x:c r="AY162" s="27"/>
      <x:c r="AZ162" s="27"/>
    </x:row>
    <x:row r="163">
      <x:c r="A163" s="27"/>
      <x:c r="B163" s="27"/>
      <x:c r="C163" s="27"/>
      <x:c r="D163" s="27"/>
      <x:c r="E163" s="27"/>
      <x:c r="F163" s="27"/>
      <x:c r="G163" s="27"/>
      <x:c r="H163" s="27"/>
      <x:c r="I163" s="27"/>
      <x:c r="J163" s="27"/>
      <x:c r="K163" s="27"/>
      <x:c r="L163" s="27"/>
      <x:c r="M163" s="27"/>
      <x:c r="N163" s="27"/>
      <x:c r="O163" s="27"/>
      <x:c r="P163" s="27"/>
      <x:c r="Q163" s="27"/>
      <x:c r="R163" s="27"/>
      <x:c r="S163" s="27"/>
      <x:c r="T163" s="27"/>
      <x:c r="U163" s="27"/>
      <x:c r="V163" s="27"/>
      <x:c r="W163" s="27"/>
      <x:c r="X163" s="27"/>
      <x:c r="Y163" s="27"/>
      <x:c r="Z163" s="27"/>
      <x:c r="AA163" s="27"/>
      <x:c r="AB163" s="27"/>
      <x:c r="AC163" s="27"/>
      <x:c r="AD163" s="27"/>
      <x:c r="AE163" s="27"/>
      <x:c r="AF163" s="27"/>
      <x:c r="AG163" s="27"/>
      <x:c r="AH163" s="27"/>
      <x:c r="AI163" s="27"/>
      <x:c r="AJ163" s="27"/>
      <x:c r="AK163" s="27"/>
      <x:c r="AL163" s="27"/>
      <x:c r="AM163" s="27"/>
      <x:c r="AN163" s="27"/>
      <x:c r="AO163" s="27"/>
      <x:c r="AP163" s="27"/>
      <x:c r="AQ163" s="27"/>
      <x:c r="AR163" s="27"/>
      <x:c r="AS163" s="27"/>
      <x:c r="AT163" s="27"/>
      <x:c r="AU163" s="27"/>
      <x:c r="AV163" s="27"/>
      <x:c r="AW163" s="27"/>
      <x:c r="AX163" s="27"/>
      <x:c r="AY163" s="27"/>
      <x:c r="AZ163" s="27"/>
    </x:row>
    <x:row r="164">
      <x:c r="A164" s="27"/>
      <x:c r="B164" s="27"/>
      <x:c r="C164" s="27"/>
      <x:c r="D164" s="27"/>
      <x:c r="E164" s="27"/>
      <x:c r="F164" s="27"/>
      <x:c r="G164" s="27"/>
      <x:c r="H164" s="27"/>
      <x:c r="I164" s="27"/>
      <x:c r="J164" s="27"/>
      <x:c r="K164" s="27"/>
      <x:c r="L164" s="27"/>
      <x:c r="M164" s="27"/>
      <x:c r="N164" s="27"/>
      <x:c r="O164" s="27"/>
      <x:c r="P164" s="27"/>
      <x:c r="Q164" s="27"/>
      <x:c r="R164" s="27"/>
      <x:c r="S164" s="27"/>
      <x:c r="T164" s="27"/>
      <x:c r="U164" s="27"/>
      <x:c r="V164" s="27"/>
      <x:c r="W164" s="27"/>
      <x:c r="X164" s="27"/>
      <x:c r="Y164" s="27"/>
      <x:c r="Z164" s="27"/>
      <x:c r="AA164" s="27"/>
      <x:c r="AB164" s="27"/>
      <x:c r="AC164" s="27"/>
      <x:c r="AD164" s="27"/>
      <x:c r="AE164" s="27"/>
      <x:c r="AF164" s="27"/>
      <x:c r="AG164" s="27"/>
      <x:c r="AH164" s="27"/>
      <x:c r="AI164" s="27"/>
      <x:c r="AJ164" s="27"/>
      <x:c r="AK164" s="27"/>
      <x:c r="AL164" s="27"/>
      <x:c r="AM164" s="27"/>
      <x:c r="AN164" s="27"/>
      <x:c r="AO164" s="27"/>
      <x:c r="AP164" s="27"/>
      <x:c r="AQ164" s="27"/>
      <x:c r="AR164" s="27"/>
      <x:c r="AS164" s="27"/>
      <x:c r="AT164" s="27"/>
      <x:c r="AU164" s="27"/>
      <x:c r="AV164" s="27"/>
      <x:c r="AW164" s="27"/>
      <x:c r="AX164" s="27"/>
      <x:c r="AY164" s="27"/>
      <x:c r="AZ164" s="27"/>
    </x:row>
    <x:row r="165">
      <x:c r="A165" s="27"/>
      <x:c r="B165" s="27"/>
      <x:c r="C165" s="27"/>
      <x:c r="D165" s="27"/>
      <x:c r="E165" s="27"/>
      <x:c r="F165" s="27"/>
      <x:c r="G165" s="27"/>
      <x:c r="H165" s="27"/>
      <x:c r="I165" s="27"/>
      <x:c r="J165" s="27"/>
      <x:c r="K165" s="27"/>
      <x:c r="L165" s="27"/>
      <x:c r="M165" s="27"/>
      <x:c r="N165" s="27"/>
      <x:c r="O165" s="27"/>
      <x:c r="P165" s="27"/>
      <x:c r="Q165" s="27"/>
      <x:c r="R165" s="27"/>
      <x:c r="S165" s="27"/>
      <x:c r="T165" s="27"/>
      <x:c r="U165" s="27"/>
      <x:c r="V165" s="27"/>
      <x:c r="W165" s="27"/>
      <x:c r="X165" s="27"/>
      <x:c r="Y165" s="27"/>
      <x:c r="Z165" s="27"/>
      <x:c r="AA165" s="27"/>
      <x:c r="AB165" s="27"/>
      <x:c r="AC165" s="27"/>
      <x:c r="AD165" s="27"/>
      <x:c r="AE165" s="27"/>
      <x:c r="AF165" s="27"/>
      <x:c r="AG165" s="27"/>
      <x:c r="AH165" s="27"/>
      <x:c r="AI165" s="27"/>
      <x:c r="AJ165" s="27"/>
      <x:c r="AK165" s="27"/>
      <x:c r="AL165" s="27"/>
      <x:c r="AM165" s="27"/>
      <x:c r="AN165" s="27"/>
      <x:c r="AO165" s="27"/>
      <x:c r="AP165" s="27"/>
      <x:c r="AQ165" s="27"/>
      <x:c r="AR165" s="27"/>
      <x:c r="AS165" s="27"/>
      <x:c r="AT165" s="27"/>
      <x:c r="AU165" s="27"/>
      <x:c r="AV165" s="27"/>
      <x:c r="AW165" s="27"/>
      <x:c r="AX165" s="27"/>
      <x:c r="AY165" s="27"/>
      <x:c r="AZ165" s="27"/>
    </x:row>
    <x:row r="166">
      <x:c r="A166" s="27"/>
      <x:c r="B166" s="27"/>
      <x:c r="C166" s="27"/>
      <x:c r="D166" s="27"/>
      <x:c r="E166" s="27"/>
      <x:c r="F166" s="27"/>
      <x:c r="G166" s="27"/>
      <x:c r="H166" s="27"/>
      <x:c r="I166" s="27"/>
      <x:c r="J166" s="27"/>
      <x:c r="K166" s="27"/>
      <x:c r="L166" s="27"/>
      <x:c r="M166" s="27"/>
      <x:c r="N166" s="27"/>
      <x:c r="O166" s="27"/>
      <x:c r="P166" s="27"/>
      <x:c r="Q166" s="27"/>
      <x:c r="R166" s="27"/>
      <x:c r="S166" s="27"/>
      <x:c r="T166" s="27"/>
      <x:c r="U166" s="27"/>
      <x:c r="V166" s="27"/>
      <x:c r="W166" s="27"/>
      <x:c r="X166" s="27"/>
      <x:c r="Y166" s="27"/>
      <x:c r="Z166" s="27"/>
      <x:c r="AA166" s="27"/>
      <x:c r="AB166" s="27"/>
      <x:c r="AC166" s="27"/>
      <x:c r="AD166" s="27"/>
      <x:c r="AE166" s="27"/>
      <x:c r="AF166" s="27"/>
      <x:c r="AG166" s="27"/>
      <x:c r="AH166" s="27"/>
      <x:c r="AI166" s="27"/>
      <x:c r="AJ166" s="27"/>
      <x:c r="AK166" s="27"/>
      <x:c r="AL166" s="27"/>
      <x:c r="AM166" s="27"/>
      <x:c r="AN166" s="27"/>
      <x:c r="AO166" s="27"/>
      <x:c r="AP166" s="27"/>
      <x:c r="AQ166" s="27"/>
      <x:c r="AR166" s="27"/>
      <x:c r="AS166" s="27"/>
      <x:c r="AT166" s="27"/>
      <x:c r="AU166" s="27"/>
      <x:c r="AV166" s="27"/>
      <x:c r="AW166" s="27"/>
      <x:c r="AX166" s="27"/>
      <x:c r="AY166" s="27"/>
      <x:c r="AZ166" s="27"/>
    </x:row>
    <x:row r="167">
      <x:c r="A167" s="27"/>
      <x:c r="B167" s="27"/>
      <x:c r="C167" s="27"/>
      <x:c r="D167" s="27"/>
      <x:c r="E167" s="27"/>
      <x:c r="F167" s="27"/>
      <x:c r="G167" s="27"/>
      <x:c r="H167" s="27"/>
      <x:c r="I167" s="27"/>
      <x:c r="J167" s="27"/>
      <x:c r="K167" s="27"/>
      <x:c r="L167" s="27"/>
      <x:c r="M167" s="27"/>
      <x:c r="N167" s="27"/>
      <x:c r="O167" s="27"/>
      <x:c r="P167" s="27"/>
      <x:c r="Q167" s="27"/>
      <x:c r="R167" s="27"/>
      <x:c r="S167" s="27"/>
      <x:c r="T167" s="27"/>
      <x:c r="U167" s="27"/>
      <x:c r="V167" s="27"/>
      <x:c r="W167" s="27"/>
      <x:c r="X167" s="27"/>
      <x:c r="Y167" s="27"/>
      <x:c r="Z167" s="27"/>
      <x:c r="AA167" s="27"/>
      <x:c r="AB167" s="27"/>
      <x:c r="AC167" s="27"/>
      <x:c r="AD167" s="27"/>
      <x:c r="AE167" s="27"/>
      <x:c r="AF167" s="27"/>
      <x:c r="AG167" s="27"/>
      <x:c r="AH167" s="27"/>
      <x:c r="AI167" s="27"/>
      <x:c r="AJ167" s="27"/>
      <x:c r="AK167" s="27"/>
      <x:c r="AL167" s="27"/>
      <x:c r="AM167" s="27"/>
      <x:c r="AN167" s="27"/>
      <x:c r="AO167" s="27"/>
      <x:c r="AP167" s="27"/>
      <x:c r="AQ167" s="27"/>
      <x:c r="AR167" s="27"/>
      <x:c r="AS167" s="27"/>
      <x:c r="AT167" s="27"/>
      <x:c r="AU167" s="27"/>
      <x:c r="AV167" s="27"/>
      <x:c r="AW167" s="27"/>
      <x:c r="AX167" s="27"/>
      <x:c r="AY167" s="27"/>
      <x:c r="AZ167" s="27"/>
    </x:row>
    <x:row r="168">
      <x:c r="A168" s="27"/>
      <x:c r="B168" s="27"/>
      <x:c r="C168" s="27"/>
      <x:c r="D168" s="27"/>
      <x:c r="E168" s="27"/>
      <x:c r="F168" s="27"/>
      <x:c r="G168" s="27"/>
      <x:c r="H168" s="27"/>
      <x:c r="I168" s="27"/>
      <x:c r="J168" s="27"/>
      <x:c r="K168" s="27"/>
      <x:c r="L168" s="27"/>
      <x:c r="M168" s="27"/>
      <x:c r="N168" s="27"/>
      <x:c r="O168" s="27"/>
      <x:c r="P168" s="27"/>
      <x:c r="Q168" s="27"/>
      <x:c r="R168" s="27"/>
      <x:c r="S168" s="27"/>
      <x:c r="T168" s="27"/>
      <x:c r="U168" s="27"/>
      <x:c r="V168" s="27"/>
      <x:c r="W168" s="27"/>
      <x:c r="X168" s="27"/>
      <x:c r="Y168" s="27"/>
      <x:c r="Z168" s="27"/>
      <x:c r="AA168" s="27"/>
      <x:c r="AB168" s="27"/>
      <x:c r="AC168" s="27"/>
      <x:c r="AD168" s="27"/>
      <x:c r="AE168" s="27"/>
      <x:c r="AF168" s="27"/>
      <x:c r="AG168" s="27"/>
      <x:c r="AH168" s="27"/>
      <x:c r="AI168" s="27"/>
      <x:c r="AJ168" s="27"/>
      <x:c r="AK168" s="27"/>
      <x:c r="AL168" s="27"/>
      <x:c r="AM168" s="27"/>
      <x:c r="AN168" s="27"/>
      <x:c r="AO168" s="27"/>
      <x:c r="AP168" s="27"/>
      <x:c r="AQ168" s="27"/>
      <x:c r="AR168" s="27"/>
      <x:c r="AS168" s="27"/>
      <x:c r="AT168" s="27"/>
      <x:c r="AU168" s="27"/>
      <x:c r="AV168" s="27"/>
      <x:c r="AW168" s="27"/>
      <x:c r="AX168" s="27"/>
      <x:c r="AY168" s="27"/>
      <x:c r="AZ168" s="27"/>
    </x:row>
    <x:row r="169">
      <x:c r="A169" s="27"/>
      <x:c r="B169" s="27"/>
      <x:c r="C169" s="27"/>
      <x:c r="D169" s="27"/>
      <x:c r="E169" s="27"/>
      <x:c r="F169" s="27"/>
      <x:c r="G169" s="27"/>
      <x:c r="H169" s="27"/>
      <x:c r="I169" s="27"/>
      <x:c r="J169" s="27"/>
      <x:c r="K169" s="27"/>
      <x:c r="L169" s="27"/>
      <x:c r="M169" s="27"/>
      <x:c r="N169" s="27"/>
      <x:c r="O169" s="27"/>
      <x:c r="P169" s="27"/>
      <x:c r="Q169" s="27"/>
      <x:c r="R169" s="27"/>
      <x:c r="S169" s="27"/>
      <x:c r="T169" s="27"/>
      <x:c r="U169" s="27"/>
      <x:c r="V169" s="27"/>
      <x:c r="W169" s="27"/>
      <x:c r="X169" s="27"/>
      <x:c r="Y169" s="27"/>
      <x:c r="Z169" s="27"/>
      <x:c r="AA169" s="27"/>
      <x:c r="AB169" s="27"/>
      <x:c r="AC169" s="27"/>
      <x:c r="AD169" s="27"/>
      <x:c r="AE169" s="27"/>
      <x:c r="AF169" s="27"/>
      <x:c r="AG169" s="27"/>
      <x:c r="AH169" s="27"/>
      <x:c r="AI169" s="27"/>
      <x:c r="AJ169" s="27"/>
      <x:c r="AK169" s="27"/>
      <x:c r="AL169" s="27"/>
      <x:c r="AM169" s="27"/>
      <x:c r="AN169" s="27"/>
      <x:c r="AO169" s="27"/>
      <x:c r="AP169" s="27"/>
      <x:c r="AQ169" s="27"/>
      <x:c r="AR169" s="27"/>
      <x:c r="AS169" s="27"/>
      <x:c r="AT169" s="27"/>
      <x:c r="AU169" s="27"/>
      <x:c r="AV169" s="27"/>
      <x:c r="AW169" s="27"/>
      <x:c r="AX169" s="27"/>
      <x:c r="AY169" s="27"/>
      <x:c r="AZ169" s="27"/>
    </x:row>
    <x:row r="170">
      <x:c r="A170" s="27"/>
      <x:c r="B170" s="27"/>
      <x:c r="C170" s="27"/>
      <x:c r="D170" s="27"/>
      <x:c r="E170" s="27"/>
      <x:c r="F170" s="27"/>
      <x:c r="G170" s="27"/>
      <x:c r="H170" s="27"/>
      <x:c r="I170" s="27"/>
      <x:c r="J170" s="27"/>
      <x:c r="K170" s="27"/>
      <x:c r="L170" s="27"/>
      <x:c r="M170" s="27"/>
      <x:c r="N170" s="27"/>
      <x:c r="O170" s="27"/>
      <x:c r="P170" s="27"/>
      <x:c r="Q170" s="27"/>
      <x:c r="R170" s="27"/>
      <x:c r="S170" s="27"/>
      <x:c r="T170" s="27"/>
      <x:c r="U170" s="27"/>
      <x:c r="V170" s="27"/>
      <x:c r="W170" s="27"/>
      <x:c r="X170" s="27"/>
      <x:c r="Y170" s="27"/>
      <x:c r="Z170" s="27"/>
      <x:c r="AA170" s="27"/>
      <x:c r="AB170" s="27"/>
      <x:c r="AC170" s="27"/>
      <x:c r="AD170" s="27"/>
      <x:c r="AE170" s="27"/>
      <x:c r="AF170" s="27"/>
      <x:c r="AG170" s="27"/>
      <x:c r="AH170" s="27"/>
      <x:c r="AI170" s="27"/>
      <x:c r="AJ170" s="27"/>
      <x:c r="AK170" s="27"/>
      <x:c r="AL170" s="27"/>
      <x:c r="AM170" s="27"/>
      <x:c r="AN170" s="27"/>
      <x:c r="AO170" s="27"/>
      <x:c r="AP170" s="27"/>
      <x:c r="AQ170" s="27"/>
      <x:c r="AR170" s="27"/>
      <x:c r="AS170" s="27"/>
      <x:c r="AT170" s="27"/>
      <x:c r="AU170" s="27"/>
      <x:c r="AV170" s="27"/>
      <x:c r="AW170" s="27"/>
      <x:c r="AX170" s="27"/>
      <x:c r="AY170" s="27"/>
      <x:c r="AZ170" s="27"/>
    </x:row>
    <x:row r="171">
      <x:c r="A171" s="27"/>
      <x:c r="B171" s="27"/>
      <x:c r="C171" s="27"/>
      <x:c r="D171" s="27"/>
      <x:c r="E171" s="27"/>
      <x:c r="F171" s="27"/>
      <x:c r="G171" s="27"/>
      <x:c r="H171" s="27"/>
      <x:c r="I171" s="27"/>
      <x:c r="J171" s="27"/>
      <x:c r="K171" s="27"/>
      <x:c r="L171" s="27"/>
      <x:c r="M171" s="27"/>
      <x:c r="N171" s="27"/>
      <x:c r="O171" s="27"/>
      <x:c r="P171" s="27"/>
      <x:c r="Q171" s="27"/>
      <x:c r="R171" s="27"/>
      <x:c r="S171" s="27"/>
      <x:c r="T171" s="27"/>
      <x:c r="U171" s="27"/>
      <x:c r="V171" s="27"/>
      <x:c r="W171" s="27"/>
      <x:c r="X171" s="27"/>
      <x:c r="Y171" s="27"/>
      <x:c r="Z171" s="27"/>
      <x:c r="AA171" s="27"/>
      <x:c r="AB171" s="27"/>
      <x:c r="AC171" s="27"/>
      <x:c r="AD171" s="27"/>
      <x:c r="AE171" s="27"/>
      <x:c r="AF171" s="27"/>
      <x:c r="AG171" s="27"/>
      <x:c r="AH171" s="27"/>
      <x:c r="AI171" s="27"/>
      <x:c r="AJ171" s="27"/>
      <x:c r="AK171" s="27"/>
      <x:c r="AL171" s="27"/>
      <x:c r="AM171" s="27"/>
      <x:c r="AN171" s="27"/>
      <x:c r="AO171" s="27"/>
      <x:c r="AP171" s="27"/>
      <x:c r="AQ171" s="27"/>
      <x:c r="AR171" s="27"/>
      <x:c r="AS171" s="27"/>
      <x:c r="AT171" s="27"/>
      <x:c r="AU171" s="27"/>
      <x:c r="AV171" s="27"/>
      <x:c r="AW171" s="27"/>
      <x:c r="AX171" s="27"/>
      <x:c r="AY171" s="27"/>
      <x:c r="AZ171" s="27"/>
    </x:row>
    <x:row r="172">
      <x:c r="A172" s="27"/>
      <x:c r="B172" s="27"/>
      <x:c r="C172" s="27"/>
      <x:c r="D172" s="27"/>
      <x:c r="E172" s="27"/>
      <x:c r="F172" s="27"/>
      <x:c r="G172" s="27"/>
      <x:c r="H172" s="27"/>
      <x:c r="I172" s="27"/>
      <x:c r="J172" s="27"/>
      <x:c r="K172" s="27"/>
      <x:c r="L172" s="27"/>
      <x:c r="M172" s="27"/>
      <x:c r="N172" s="27"/>
      <x:c r="O172" s="27"/>
      <x:c r="P172" s="27"/>
      <x:c r="Q172" s="27"/>
      <x:c r="R172" s="27"/>
      <x:c r="S172" s="27"/>
      <x:c r="T172" s="27"/>
      <x:c r="U172" s="27"/>
      <x:c r="V172" s="27"/>
      <x:c r="W172" s="27"/>
      <x:c r="X172" s="27"/>
      <x:c r="Y172" s="27"/>
      <x:c r="Z172" s="27"/>
      <x:c r="AA172" s="27"/>
      <x:c r="AB172" s="27"/>
      <x:c r="AC172" s="27"/>
      <x:c r="AD172" s="27"/>
      <x:c r="AE172" s="27"/>
      <x:c r="AF172" s="27"/>
      <x:c r="AG172" s="27"/>
      <x:c r="AH172" s="27"/>
      <x:c r="AI172" s="27"/>
      <x:c r="AJ172" s="27"/>
      <x:c r="AK172" s="27"/>
      <x:c r="AL172" s="27"/>
      <x:c r="AM172" s="27"/>
      <x:c r="AN172" s="27"/>
      <x:c r="AO172" s="27"/>
      <x:c r="AP172" s="27"/>
      <x:c r="AQ172" s="27"/>
      <x:c r="AR172" s="27"/>
      <x:c r="AS172" s="27"/>
      <x:c r="AT172" s="27"/>
      <x:c r="AU172" s="27"/>
      <x:c r="AV172" s="27"/>
      <x:c r="AW172" s="27"/>
      <x:c r="AX172" s="27"/>
      <x:c r="AY172" s="27"/>
      <x:c r="AZ172" s="27"/>
    </x:row>
    <x:row r="173">
      <x:c r="A173" s="27"/>
      <x:c r="B173" s="27"/>
      <x:c r="C173" s="27"/>
      <x:c r="D173" s="27"/>
      <x:c r="E173" s="27"/>
      <x:c r="F173" s="27"/>
      <x:c r="G173" s="27"/>
      <x:c r="H173" s="27"/>
      <x:c r="I173" s="27"/>
      <x:c r="J173" s="27"/>
      <x:c r="K173" s="27"/>
      <x:c r="L173" s="27"/>
      <x:c r="M173" s="27"/>
      <x:c r="N173" s="27"/>
      <x:c r="O173" s="27"/>
      <x:c r="P173" s="27"/>
      <x:c r="Q173" s="27"/>
      <x:c r="R173" s="27"/>
      <x:c r="S173" s="27"/>
      <x:c r="T173" s="27"/>
      <x:c r="U173" s="27"/>
      <x:c r="V173" s="27"/>
      <x:c r="W173" s="27"/>
      <x:c r="X173" s="27"/>
      <x:c r="Y173" s="27"/>
      <x:c r="Z173" s="27"/>
      <x:c r="AA173" s="27"/>
      <x:c r="AB173" s="27"/>
      <x:c r="AC173" s="27"/>
      <x:c r="AD173" s="27"/>
      <x:c r="AE173" s="27"/>
      <x:c r="AF173" s="27"/>
      <x:c r="AG173" s="27"/>
      <x:c r="AH173" s="27"/>
      <x:c r="AI173" s="27"/>
      <x:c r="AJ173" s="27"/>
      <x:c r="AK173" s="27"/>
      <x:c r="AL173" s="27"/>
      <x:c r="AM173" s="27"/>
      <x:c r="AN173" s="27"/>
      <x:c r="AO173" s="27"/>
      <x:c r="AP173" s="27"/>
      <x:c r="AQ173" s="27"/>
      <x:c r="AR173" s="27"/>
      <x:c r="AS173" s="27"/>
      <x:c r="AT173" s="27"/>
      <x:c r="AU173" s="27"/>
      <x:c r="AV173" s="27"/>
      <x:c r="AW173" s="27"/>
      <x:c r="AX173" s="27"/>
      <x:c r="AY173" s="27"/>
      <x:c r="AZ173" s="27"/>
    </x:row>
    <x:row r="174">
      <x:c r="A174" s="27"/>
      <x:c r="B174" s="27"/>
      <x:c r="C174" s="27"/>
      <x:c r="D174" s="27"/>
      <x:c r="E174" s="27"/>
      <x:c r="F174" s="27"/>
      <x:c r="G174" s="27"/>
      <x:c r="H174" s="27"/>
      <x:c r="I174" s="27"/>
      <x:c r="J174" s="27"/>
      <x:c r="K174" s="27"/>
      <x:c r="L174" s="27"/>
      <x:c r="M174" s="27"/>
      <x:c r="N174" s="27"/>
      <x:c r="O174" s="27"/>
      <x:c r="P174" s="27"/>
      <x:c r="Q174" s="27"/>
      <x:c r="R174" s="27"/>
      <x:c r="S174" s="27"/>
      <x:c r="T174" s="27"/>
      <x:c r="U174" s="27"/>
      <x:c r="V174" s="27"/>
      <x:c r="W174" s="27"/>
      <x:c r="X174" s="27"/>
      <x:c r="Y174" s="27"/>
      <x:c r="Z174" s="27"/>
      <x:c r="AA174" s="27"/>
      <x:c r="AB174" s="27"/>
      <x:c r="AC174" s="27"/>
      <x:c r="AD174" s="27"/>
      <x:c r="AE174" s="27"/>
      <x:c r="AF174" s="27"/>
      <x:c r="AG174" s="27"/>
      <x:c r="AH174" s="27"/>
      <x:c r="AI174" s="27"/>
      <x:c r="AJ174" s="27"/>
      <x:c r="AK174" s="27"/>
      <x:c r="AL174" s="27"/>
      <x:c r="AM174" s="27"/>
      <x:c r="AN174" s="27"/>
      <x:c r="AO174" s="27"/>
      <x:c r="AP174" s="27"/>
      <x:c r="AQ174" s="27"/>
      <x:c r="AR174" s="27"/>
      <x:c r="AS174" s="27"/>
      <x:c r="AT174" s="27"/>
      <x:c r="AU174" s="27"/>
      <x:c r="AV174" s="27"/>
      <x:c r="AW174" s="27"/>
      <x:c r="AX174" s="27"/>
      <x:c r="AY174" s="27"/>
      <x:c r="AZ174" s="27"/>
    </x:row>
    <x:row r="175">
      <x:c r="A175" s="27"/>
      <x:c r="B175" s="27"/>
      <x:c r="C175" s="27"/>
      <x:c r="D175" s="27"/>
      <x:c r="E175" s="27"/>
      <x:c r="F175" s="27"/>
      <x:c r="G175" s="27"/>
      <x:c r="H175" s="27"/>
      <x:c r="I175" s="27"/>
      <x:c r="J175" s="27"/>
      <x:c r="K175" s="27"/>
      <x:c r="L175" s="27"/>
      <x:c r="M175" s="27"/>
      <x:c r="N175" s="27"/>
      <x:c r="O175" s="27"/>
      <x:c r="P175" s="27"/>
      <x:c r="Q175" s="27"/>
      <x:c r="R175" s="27"/>
      <x:c r="S175" s="27"/>
      <x:c r="T175" s="27"/>
      <x:c r="U175" s="27"/>
      <x:c r="V175" s="27"/>
      <x:c r="W175" s="27"/>
      <x:c r="X175" s="27"/>
      <x:c r="Y175" s="27"/>
      <x:c r="Z175" s="27"/>
      <x:c r="AA175" s="27"/>
      <x:c r="AB175" s="27"/>
      <x:c r="AC175" s="27"/>
      <x:c r="AD175" s="27"/>
      <x:c r="AE175" s="27"/>
      <x:c r="AF175" s="27"/>
      <x:c r="AG175" s="27"/>
      <x:c r="AH175" s="27"/>
      <x:c r="AI175" s="27"/>
      <x:c r="AJ175" s="27"/>
      <x:c r="AK175" s="27"/>
      <x:c r="AL175" s="27"/>
      <x:c r="AM175" s="27"/>
      <x:c r="AN175" s="27"/>
      <x:c r="AO175" s="27"/>
      <x:c r="AP175" s="27"/>
      <x:c r="AQ175" s="27"/>
      <x:c r="AR175" s="27"/>
      <x:c r="AS175" s="27"/>
      <x:c r="AT175" s="27"/>
      <x:c r="AU175" s="27"/>
      <x:c r="AV175" s="27"/>
      <x:c r="AW175" s="27"/>
      <x:c r="AX175" s="27"/>
      <x:c r="AY175" s="27"/>
      <x:c r="AZ175" s="27"/>
    </x:row>
    <x:row r="176">
      <x:c r="A176" s="27"/>
      <x:c r="B176" s="27"/>
      <x:c r="C176" s="27"/>
      <x:c r="D176" s="27"/>
      <x:c r="E176" s="27"/>
      <x:c r="F176" s="27"/>
      <x:c r="G176" s="27"/>
      <x:c r="H176" s="27"/>
      <x:c r="I176" s="27"/>
      <x:c r="J176" s="27"/>
      <x:c r="K176" s="27"/>
      <x:c r="L176" s="27"/>
      <x:c r="M176" s="27"/>
      <x:c r="N176" s="27"/>
      <x:c r="O176" s="27"/>
      <x:c r="P176" s="27"/>
      <x:c r="Q176" s="27"/>
      <x:c r="R176" s="27"/>
      <x:c r="S176" s="27"/>
      <x:c r="T176" s="27"/>
      <x:c r="U176" s="27"/>
      <x:c r="V176" s="27"/>
      <x:c r="W176" s="27"/>
      <x:c r="X176" s="27"/>
      <x:c r="Y176" s="27"/>
      <x:c r="Z176" s="27"/>
      <x:c r="AA176" s="27"/>
      <x:c r="AB176" s="27"/>
      <x:c r="AC176" s="27"/>
      <x:c r="AD176" s="27"/>
      <x:c r="AE176" s="27"/>
      <x:c r="AF176" s="27"/>
      <x:c r="AG176" s="27"/>
      <x:c r="AH176" s="27"/>
      <x:c r="AI176" s="27"/>
      <x:c r="AJ176" s="27"/>
      <x:c r="AK176" s="27"/>
      <x:c r="AL176" s="27"/>
      <x:c r="AM176" s="27"/>
      <x:c r="AN176" s="27"/>
      <x:c r="AO176" s="27"/>
      <x:c r="AP176" s="27"/>
      <x:c r="AQ176" s="27"/>
      <x:c r="AR176" s="27"/>
      <x:c r="AS176" s="27"/>
      <x:c r="AT176" s="27"/>
      <x:c r="AU176" s="27"/>
      <x:c r="AV176" s="27"/>
      <x:c r="AW176" s="27"/>
      <x:c r="AX176" s="27"/>
      <x:c r="AY176" s="27"/>
      <x:c r="AZ176" s="27"/>
    </x:row>
    <x:row r="177">
      <x:c r="A177" s="27"/>
      <x:c r="B177" s="27"/>
      <x:c r="C177" s="27"/>
      <x:c r="D177" s="27"/>
      <x:c r="E177" s="27"/>
      <x:c r="F177" s="27"/>
      <x:c r="G177" s="27"/>
      <x:c r="H177" s="27"/>
      <x:c r="I177" s="27"/>
      <x:c r="J177" s="27"/>
      <x:c r="K177" s="27"/>
      <x:c r="L177" s="27"/>
      <x:c r="M177" s="27"/>
      <x:c r="N177" s="27"/>
      <x:c r="O177" s="27"/>
      <x:c r="P177" s="27"/>
      <x:c r="Q177" s="27"/>
      <x:c r="R177" s="27"/>
      <x:c r="S177" s="27"/>
      <x:c r="T177" s="27"/>
      <x:c r="U177" s="27"/>
      <x:c r="V177" s="27"/>
      <x:c r="W177" s="27"/>
      <x:c r="X177" s="27"/>
      <x:c r="Y177" s="27"/>
      <x:c r="Z177" s="27"/>
      <x:c r="AA177" s="27"/>
      <x:c r="AB177" s="27"/>
      <x:c r="AC177" s="27"/>
      <x:c r="AD177" s="27"/>
      <x:c r="AE177" s="27"/>
      <x:c r="AF177" s="27"/>
      <x:c r="AG177" s="27"/>
      <x:c r="AH177" s="27"/>
      <x:c r="AI177" s="27"/>
      <x:c r="AJ177" s="27"/>
      <x:c r="AK177" s="27"/>
      <x:c r="AL177" s="27"/>
      <x:c r="AM177" s="27"/>
      <x:c r="AN177" s="27"/>
      <x:c r="AO177" s="27"/>
      <x:c r="AP177" s="27"/>
      <x:c r="AQ177" s="27"/>
      <x:c r="AR177" s="27"/>
      <x:c r="AS177" s="27"/>
      <x:c r="AT177" s="27"/>
      <x:c r="AU177" s="27"/>
      <x:c r="AV177" s="27"/>
      <x:c r="AW177" s="27"/>
      <x:c r="AX177" s="27"/>
      <x:c r="AY177" s="27"/>
      <x:c r="AZ177" s="27"/>
    </x:row>
    <x:row r="178">
      <x:c r="A178" s="27"/>
      <x:c r="B178" s="27"/>
      <x:c r="C178" s="27"/>
      <x:c r="D178" s="27"/>
      <x:c r="E178" s="27"/>
      <x:c r="F178" s="27"/>
      <x:c r="G178" s="27"/>
      <x:c r="H178" s="27"/>
      <x:c r="I178" s="27"/>
      <x:c r="J178" s="27"/>
      <x:c r="K178" s="27"/>
      <x:c r="L178" s="27"/>
      <x:c r="M178" s="27"/>
      <x:c r="N178" s="27"/>
      <x:c r="O178" s="27"/>
      <x:c r="P178" s="27"/>
      <x:c r="Q178" s="27"/>
      <x:c r="R178" s="27"/>
      <x:c r="S178" s="27"/>
      <x:c r="T178" s="27"/>
      <x:c r="U178" s="27"/>
      <x:c r="V178" s="27"/>
      <x:c r="W178" s="27"/>
      <x:c r="X178" s="27"/>
      <x:c r="Y178" s="27"/>
      <x:c r="Z178" s="27"/>
      <x:c r="AA178" s="27"/>
      <x:c r="AB178" s="27"/>
      <x:c r="AC178" s="27"/>
      <x:c r="AD178" s="27"/>
      <x:c r="AE178" s="27"/>
      <x:c r="AF178" s="27"/>
      <x:c r="AG178" s="27"/>
      <x:c r="AH178" s="27"/>
      <x:c r="AI178" s="27"/>
      <x:c r="AJ178" s="27"/>
      <x:c r="AK178" s="27"/>
      <x:c r="AL178" s="27"/>
      <x:c r="AM178" s="27"/>
      <x:c r="AN178" s="27"/>
      <x:c r="AO178" s="27"/>
      <x:c r="AP178" s="27"/>
      <x:c r="AQ178" s="27"/>
      <x:c r="AR178" s="27"/>
      <x:c r="AS178" s="27"/>
      <x:c r="AT178" s="27"/>
      <x:c r="AU178" s="27"/>
      <x:c r="AV178" s="27"/>
      <x:c r="AW178" s="27"/>
      <x:c r="AX178" s="27"/>
      <x:c r="AY178" s="27"/>
      <x:c r="AZ178" s="27"/>
    </x:row>
    <x:row r="179">
      <x:c r="A179" s="27"/>
      <x:c r="B179" s="27"/>
      <x:c r="C179" s="27"/>
      <x:c r="D179" s="27"/>
      <x:c r="E179" s="27"/>
      <x:c r="F179" s="27"/>
      <x:c r="G179" s="27"/>
      <x:c r="H179" s="27"/>
      <x:c r="I179" s="27"/>
      <x:c r="J179" s="27"/>
      <x:c r="K179" s="27"/>
      <x:c r="L179" s="27"/>
      <x:c r="M179" s="27"/>
      <x:c r="N179" s="27"/>
      <x:c r="O179" s="27"/>
      <x:c r="P179" s="27"/>
      <x:c r="Q179" s="27"/>
      <x:c r="R179" s="27"/>
      <x:c r="S179" s="27"/>
      <x:c r="T179" s="27"/>
      <x:c r="U179" s="27"/>
      <x:c r="V179" s="27"/>
      <x:c r="W179" s="27"/>
      <x:c r="X179" s="27"/>
      <x:c r="Y179" s="27"/>
      <x:c r="Z179" s="27"/>
      <x:c r="AA179" s="27"/>
      <x:c r="AB179" s="27"/>
      <x:c r="AC179" s="27"/>
      <x:c r="AD179" s="27"/>
      <x:c r="AE179" s="27"/>
      <x:c r="AF179" s="27"/>
      <x:c r="AG179" s="27"/>
      <x:c r="AH179" s="27"/>
      <x:c r="AI179" s="27"/>
      <x:c r="AJ179" s="27"/>
      <x:c r="AK179" s="27"/>
      <x:c r="AL179" s="27"/>
      <x:c r="AM179" s="27"/>
      <x:c r="AN179" s="27"/>
      <x:c r="AO179" s="27"/>
      <x:c r="AP179" s="27"/>
      <x:c r="AQ179" s="27"/>
      <x:c r="AR179" s="27"/>
      <x:c r="AS179" s="27"/>
      <x:c r="AT179" s="27"/>
      <x:c r="AU179" s="27"/>
      <x:c r="AV179" s="27"/>
      <x:c r="AW179" s="27"/>
      <x:c r="AX179" s="27"/>
      <x:c r="AY179" s="27"/>
      <x:c r="AZ179" s="27"/>
    </x:row>
    <x:row r="180">
      <x:c r="A180" s="27"/>
      <x:c r="B180" s="27"/>
      <x:c r="C180" s="27"/>
      <x:c r="D180" s="27"/>
      <x:c r="E180" s="27"/>
      <x:c r="F180" s="27"/>
      <x:c r="G180" s="27"/>
      <x:c r="H180" s="27"/>
      <x:c r="I180" s="27"/>
      <x:c r="J180" s="27"/>
      <x:c r="K180" s="27"/>
      <x:c r="L180" s="27"/>
      <x:c r="M180" s="27"/>
      <x:c r="N180" s="27"/>
      <x:c r="O180" s="27"/>
      <x:c r="P180" s="27"/>
      <x:c r="Q180" s="27"/>
      <x:c r="R180" s="27"/>
      <x:c r="S180" s="27"/>
      <x:c r="T180" s="27"/>
      <x:c r="U180" s="27"/>
      <x:c r="V180" s="27"/>
      <x:c r="W180" s="27"/>
      <x:c r="X180" s="27"/>
      <x:c r="Y180" s="27"/>
      <x:c r="Z180" s="27"/>
      <x:c r="AA180" s="27"/>
      <x:c r="AB180" s="27"/>
      <x:c r="AC180" s="27"/>
      <x:c r="AD180" s="27"/>
      <x:c r="AE180" s="27"/>
      <x:c r="AF180" s="27"/>
      <x:c r="AG180" s="27"/>
      <x:c r="AH180" s="27"/>
      <x:c r="AI180" s="27"/>
      <x:c r="AJ180" s="27"/>
      <x:c r="AK180" s="27"/>
      <x:c r="AL180" s="27"/>
      <x:c r="AM180" s="27"/>
      <x:c r="AN180" s="27"/>
      <x:c r="AO180" s="27"/>
      <x:c r="AP180" s="27"/>
      <x:c r="AQ180" s="27"/>
      <x:c r="AR180" s="27"/>
      <x:c r="AS180" s="27"/>
      <x:c r="AT180" s="27"/>
      <x:c r="AU180" s="27"/>
      <x:c r="AV180" s="27"/>
      <x:c r="AW180" s="27"/>
      <x:c r="AX180" s="27"/>
      <x:c r="AY180" s="27"/>
      <x:c r="AZ180" s="27"/>
    </x:row>
    <x:row r="181">
      <x:c r="A181" s="27"/>
      <x:c r="B181" s="27"/>
      <x:c r="C181" s="27"/>
      <x:c r="D181" s="27"/>
      <x:c r="E181" s="27"/>
      <x:c r="F181" s="27"/>
      <x:c r="G181" s="27"/>
      <x:c r="H181" s="27"/>
      <x:c r="I181" s="27"/>
      <x:c r="J181" s="27"/>
      <x:c r="K181" s="27"/>
      <x:c r="L181" s="27"/>
      <x:c r="M181" s="27"/>
      <x:c r="N181" s="27"/>
      <x:c r="O181" s="27"/>
      <x:c r="P181" s="27"/>
      <x:c r="Q181" s="27"/>
      <x:c r="R181" s="27"/>
      <x:c r="S181" s="27"/>
      <x:c r="T181" s="27"/>
      <x:c r="U181" s="27"/>
      <x:c r="V181" s="27"/>
      <x:c r="W181" s="27"/>
      <x:c r="X181" s="27"/>
      <x:c r="Y181" s="27"/>
      <x:c r="Z181" s="27"/>
      <x:c r="AA181" s="27"/>
      <x:c r="AB181" s="27"/>
      <x:c r="AC181" s="27"/>
      <x:c r="AD181" s="27"/>
      <x:c r="AE181" s="27"/>
      <x:c r="AF181" s="27"/>
      <x:c r="AG181" s="27"/>
      <x:c r="AH181" s="27"/>
      <x:c r="AI181" s="27"/>
      <x:c r="AJ181" s="27"/>
      <x:c r="AK181" s="27"/>
      <x:c r="AL181" s="27"/>
      <x:c r="AM181" s="27"/>
      <x:c r="AN181" s="27"/>
      <x:c r="AO181" s="27"/>
      <x:c r="AP181" s="27"/>
      <x:c r="AQ181" s="27"/>
      <x:c r="AR181" s="27"/>
      <x:c r="AS181" s="27"/>
      <x:c r="AT181" s="27"/>
      <x:c r="AU181" s="27"/>
      <x:c r="AV181" s="27"/>
      <x:c r="AW181" s="27"/>
      <x:c r="AX181" s="27"/>
      <x:c r="AY181" s="27"/>
      <x:c r="AZ181" s="27"/>
    </x:row>
    <x:row r="182">
      <x:c r="A182" s="27"/>
      <x:c r="B182" s="27"/>
      <x:c r="C182" s="27"/>
      <x:c r="D182" s="27"/>
      <x:c r="E182" s="27"/>
      <x:c r="F182" s="27"/>
      <x:c r="G182" s="27"/>
      <x:c r="H182" s="27"/>
      <x:c r="I182" s="27"/>
      <x:c r="J182" s="27"/>
      <x:c r="K182" s="27"/>
      <x:c r="L182" s="27"/>
      <x:c r="M182" s="27"/>
      <x:c r="N182" s="27"/>
      <x:c r="O182" s="27"/>
      <x:c r="P182" s="27"/>
      <x:c r="Q182" s="27"/>
      <x:c r="R182" s="27"/>
      <x:c r="S182" s="27"/>
      <x:c r="T182" s="27"/>
      <x:c r="U182" s="27"/>
      <x:c r="V182" s="27"/>
      <x:c r="W182" s="27"/>
      <x:c r="X182" s="27"/>
      <x:c r="Y182" s="27"/>
      <x:c r="Z182" s="27"/>
      <x:c r="AA182" s="27"/>
      <x:c r="AB182" s="27"/>
      <x:c r="AC182" s="27"/>
      <x:c r="AD182" s="27"/>
      <x:c r="AE182" s="27"/>
      <x:c r="AF182" s="27"/>
      <x:c r="AG182" s="27"/>
      <x:c r="AH182" s="27"/>
      <x:c r="AI182" s="27"/>
      <x:c r="AJ182" s="27"/>
      <x:c r="AK182" s="27"/>
      <x:c r="AL182" s="27"/>
      <x:c r="AM182" s="27"/>
      <x:c r="AN182" s="27"/>
      <x:c r="AO182" s="27"/>
      <x:c r="AP182" s="27"/>
      <x:c r="AQ182" s="27"/>
      <x:c r="AR182" s="27"/>
      <x:c r="AS182" s="27"/>
      <x:c r="AT182" s="27"/>
      <x:c r="AU182" s="27"/>
      <x:c r="AV182" s="27"/>
      <x:c r="AW182" s="27"/>
      <x:c r="AX182" s="27"/>
      <x:c r="AY182" s="27"/>
      <x:c r="AZ182" s="27"/>
    </x:row>
    <x:row r="183">
      <x:c r="A183" s="27"/>
      <x:c r="B183" s="27"/>
      <x:c r="C183" s="27"/>
      <x:c r="D183" s="27"/>
      <x:c r="E183" s="27"/>
      <x:c r="F183" s="27"/>
      <x:c r="G183" s="27"/>
      <x:c r="H183" s="27"/>
      <x:c r="I183" s="27"/>
      <x:c r="J183" s="27"/>
      <x:c r="K183" s="27"/>
      <x:c r="L183" s="27"/>
      <x:c r="M183" s="27"/>
      <x:c r="N183" s="27"/>
      <x:c r="O183" s="27"/>
      <x:c r="P183" s="27"/>
      <x:c r="Q183" s="27"/>
      <x:c r="R183" s="27"/>
      <x:c r="S183" s="27"/>
      <x:c r="T183" s="27"/>
      <x:c r="U183" s="27"/>
      <x:c r="V183" s="27"/>
      <x:c r="W183" s="27"/>
      <x:c r="X183" s="27"/>
      <x:c r="Y183" s="27"/>
      <x:c r="Z183" s="27"/>
      <x:c r="AA183" s="27"/>
      <x:c r="AB183" s="27"/>
      <x:c r="AC183" s="27"/>
      <x:c r="AD183" s="27"/>
      <x:c r="AE183" s="27"/>
      <x:c r="AF183" s="27"/>
      <x:c r="AG183" s="27"/>
      <x:c r="AH183" s="27"/>
      <x:c r="AI183" s="27"/>
      <x:c r="AJ183" s="27"/>
      <x:c r="AK183" s="27"/>
      <x:c r="AL183" s="27"/>
      <x:c r="AM183" s="27"/>
      <x:c r="AN183" s="27"/>
      <x:c r="AO183" s="27"/>
      <x:c r="AP183" s="27"/>
      <x:c r="AQ183" s="27"/>
      <x:c r="AR183" s="27"/>
      <x:c r="AS183" s="27"/>
      <x:c r="AT183" s="27"/>
      <x:c r="AU183" s="27"/>
      <x:c r="AV183" s="27"/>
      <x:c r="AW183" s="27"/>
      <x:c r="AX183" s="27"/>
      <x:c r="AY183" s="27"/>
      <x:c r="AZ183" s="27"/>
    </x:row>
    <x:row r="184">
      <x:c r="A184" s="27"/>
      <x:c r="B184" s="27"/>
      <x:c r="C184" s="27"/>
      <x:c r="D184" s="27"/>
      <x:c r="E184" s="27"/>
      <x:c r="F184" s="27"/>
      <x:c r="G184" s="27"/>
      <x:c r="H184" s="27"/>
      <x:c r="I184" s="27"/>
      <x:c r="J184" s="27"/>
      <x:c r="K184" s="27"/>
      <x:c r="L184" s="27"/>
      <x:c r="M184" s="27"/>
      <x:c r="N184" s="27"/>
      <x:c r="O184" s="27"/>
      <x:c r="P184" s="27"/>
      <x:c r="Q184" s="27"/>
      <x:c r="R184" s="27"/>
      <x:c r="S184" s="27"/>
      <x:c r="T184" s="27"/>
      <x:c r="U184" s="27"/>
      <x:c r="V184" s="27"/>
      <x:c r="W184" s="27"/>
      <x:c r="X184" s="27"/>
      <x:c r="Y184" s="27"/>
      <x:c r="Z184" s="27"/>
      <x:c r="AA184" s="27"/>
      <x:c r="AB184" s="27"/>
      <x:c r="AC184" s="27"/>
      <x:c r="AD184" s="27"/>
      <x:c r="AE184" s="27"/>
      <x:c r="AF184" s="27"/>
      <x:c r="AG184" s="27"/>
      <x:c r="AH184" s="27"/>
      <x:c r="AI184" s="27"/>
      <x:c r="AJ184" s="27"/>
      <x:c r="AK184" s="27"/>
      <x:c r="AL184" s="27"/>
      <x:c r="AM184" s="27"/>
      <x:c r="AN184" s="27"/>
      <x:c r="AO184" s="27"/>
      <x:c r="AP184" s="27"/>
      <x:c r="AQ184" s="27"/>
      <x:c r="AR184" s="27"/>
      <x:c r="AS184" s="27"/>
      <x:c r="AT184" s="27"/>
      <x:c r="AU184" s="27"/>
      <x:c r="AV184" s="27"/>
      <x:c r="AW184" s="27"/>
      <x:c r="AX184" s="27"/>
      <x:c r="AY184" s="27"/>
      <x:c r="AZ184" s="27"/>
    </x:row>
    <x:row r="185">
      <x:c r="A185" s="27"/>
      <x:c r="B185" s="27"/>
      <x:c r="C185" s="27"/>
      <x:c r="D185" s="27"/>
      <x:c r="E185" s="27"/>
      <x:c r="F185" s="27"/>
      <x:c r="G185" s="27"/>
      <x:c r="H185" s="27"/>
      <x:c r="I185" s="27"/>
      <x:c r="J185" s="27"/>
      <x:c r="K185" s="27"/>
      <x:c r="L185" s="27"/>
      <x:c r="M185" s="27"/>
      <x:c r="N185" s="27"/>
      <x:c r="O185" s="27"/>
      <x:c r="P185" s="27"/>
      <x:c r="Q185" s="27"/>
      <x:c r="R185" s="27"/>
      <x:c r="S185" s="27"/>
      <x:c r="T185" s="27"/>
      <x:c r="U185" s="27"/>
      <x:c r="V185" s="27"/>
      <x:c r="W185" s="27"/>
      <x:c r="X185" s="27"/>
      <x:c r="Y185" s="27"/>
      <x:c r="Z185" s="27"/>
      <x:c r="AA185" s="27"/>
      <x:c r="AB185" s="27"/>
      <x:c r="AC185" s="27"/>
      <x:c r="AD185" s="27"/>
      <x:c r="AE185" s="27"/>
      <x:c r="AF185" s="27"/>
      <x:c r="AG185" s="27"/>
      <x:c r="AH185" s="27"/>
      <x:c r="AI185" s="27"/>
      <x:c r="AJ185" s="27"/>
      <x:c r="AK185" s="27"/>
      <x:c r="AL185" s="27"/>
      <x:c r="AM185" s="27"/>
      <x:c r="AN185" s="27"/>
      <x:c r="AO185" s="27"/>
      <x:c r="AP185" s="27"/>
      <x:c r="AQ185" s="27"/>
      <x:c r="AR185" s="27"/>
      <x:c r="AS185" s="27"/>
      <x:c r="AT185" s="27"/>
      <x:c r="AU185" s="27"/>
      <x:c r="AV185" s="27"/>
      <x:c r="AW185" s="27"/>
      <x:c r="AX185" s="27"/>
      <x:c r="AY185" s="27"/>
      <x:c r="AZ185" s="27"/>
    </x:row>
    <x:row r="186">
      <x:c r="A186" s="27"/>
      <x:c r="B186" s="27"/>
      <x:c r="C186" s="27"/>
      <x:c r="D186" s="27"/>
      <x:c r="E186" s="27"/>
      <x:c r="F186" s="27"/>
      <x:c r="G186" s="27"/>
      <x:c r="H186" s="27"/>
      <x:c r="I186" s="27"/>
      <x:c r="J186" s="27"/>
      <x:c r="K186" s="27"/>
      <x:c r="L186" s="27"/>
      <x:c r="M186" s="27"/>
      <x:c r="N186" s="27"/>
      <x:c r="O186" s="27"/>
      <x:c r="P186" s="27"/>
      <x:c r="Q186" s="27"/>
      <x:c r="R186" s="27"/>
      <x:c r="S186" s="27"/>
      <x:c r="T186" s="27"/>
      <x:c r="U186" s="27"/>
      <x:c r="V186" s="27"/>
      <x:c r="W186" s="27"/>
      <x:c r="X186" s="27"/>
      <x:c r="Y186" s="27"/>
      <x:c r="Z186" s="27"/>
      <x:c r="AA186" s="27"/>
      <x:c r="AB186" s="27"/>
      <x:c r="AC186" s="27"/>
      <x:c r="AD186" s="27"/>
      <x:c r="AE186" s="27"/>
      <x:c r="AF186" s="27"/>
      <x:c r="AG186" s="27"/>
      <x:c r="AH186" s="27"/>
      <x:c r="AI186" s="27"/>
      <x:c r="AJ186" s="27"/>
      <x:c r="AK186" s="27"/>
      <x:c r="AL186" s="27"/>
      <x:c r="AM186" s="27"/>
      <x:c r="AN186" s="27"/>
      <x:c r="AO186" s="27"/>
      <x:c r="AP186" s="27"/>
      <x:c r="AQ186" s="27"/>
      <x:c r="AR186" s="27"/>
      <x:c r="AS186" s="27"/>
      <x:c r="AT186" s="27"/>
      <x:c r="AU186" s="27"/>
      <x:c r="AV186" s="27"/>
      <x:c r="AW186" s="27"/>
      <x:c r="AX186" s="27"/>
      <x:c r="AY186" s="27"/>
      <x:c r="AZ186" s="27"/>
    </x:row>
    <x:row r="187">
      <x:c r="A187" s="27"/>
      <x:c r="B187" s="27"/>
      <x:c r="C187" s="27"/>
      <x:c r="D187" s="27"/>
      <x:c r="E187" s="27"/>
      <x:c r="F187" s="27"/>
      <x:c r="G187" s="27"/>
      <x:c r="H187" s="27"/>
      <x:c r="I187" s="27"/>
      <x:c r="J187" s="27"/>
      <x:c r="K187" s="27"/>
      <x:c r="L187" s="27"/>
      <x:c r="M187" s="27"/>
      <x:c r="N187" s="27"/>
      <x:c r="O187" s="27"/>
      <x:c r="P187" s="27"/>
      <x:c r="Q187" s="27"/>
      <x:c r="R187" s="27"/>
      <x:c r="S187" s="27"/>
      <x:c r="T187" s="27"/>
      <x:c r="U187" s="27"/>
      <x:c r="V187" s="27"/>
      <x:c r="W187" s="27"/>
      <x:c r="X187" s="27"/>
      <x:c r="Y187" s="27"/>
      <x:c r="Z187" s="27"/>
      <x:c r="AA187" s="27"/>
      <x:c r="AB187" s="27"/>
      <x:c r="AC187" s="27"/>
      <x:c r="AD187" s="27"/>
      <x:c r="AE187" s="27"/>
      <x:c r="AF187" s="27"/>
      <x:c r="AG187" s="27"/>
      <x:c r="AH187" s="27"/>
      <x:c r="AI187" s="27"/>
      <x:c r="AJ187" s="27"/>
      <x:c r="AK187" s="27"/>
      <x:c r="AL187" s="27"/>
      <x:c r="AM187" s="27"/>
      <x:c r="AN187" s="27"/>
      <x:c r="AO187" s="27"/>
      <x:c r="AP187" s="27"/>
      <x:c r="AQ187" s="27"/>
      <x:c r="AR187" s="27"/>
      <x:c r="AS187" s="27"/>
      <x:c r="AT187" s="27"/>
      <x:c r="AU187" s="27"/>
      <x:c r="AV187" s="27"/>
      <x:c r="AW187" s="27"/>
      <x:c r="AX187" s="27"/>
      <x:c r="AY187" s="27"/>
      <x:c r="AZ187" s="27"/>
    </x:row>
    <x:row r="188">
      <x:c r="A188" s="27"/>
      <x:c r="B188" s="27"/>
      <x:c r="C188" s="27"/>
      <x:c r="D188" s="27"/>
      <x:c r="E188" s="27"/>
      <x:c r="F188" s="27"/>
      <x:c r="G188" s="27"/>
      <x:c r="H188" s="27"/>
      <x:c r="I188" s="27"/>
      <x:c r="J188" s="27"/>
      <x:c r="K188" s="27"/>
      <x:c r="L188" s="27"/>
      <x:c r="M188" s="27"/>
      <x:c r="N188" s="27"/>
      <x:c r="O188" s="27"/>
      <x:c r="P188" s="27"/>
      <x:c r="Q188" s="27"/>
      <x:c r="R188" s="27"/>
      <x:c r="S188" s="27"/>
      <x:c r="T188" s="27"/>
      <x:c r="U188" s="27"/>
      <x:c r="V188" s="27"/>
      <x:c r="W188" s="27"/>
      <x:c r="X188" s="27"/>
      <x:c r="Y188" s="27"/>
      <x:c r="Z188" s="27"/>
      <x:c r="AA188" s="27"/>
      <x:c r="AB188" s="27"/>
      <x:c r="AC188" s="27"/>
      <x:c r="AD188" s="27"/>
      <x:c r="AE188" s="27"/>
      <x:c r="AF188" s="27"/>
      <x:c r="AG188" s="27"/>
      <x:c r="AH188" s="27"/>
      <x:c r="AI188" s="27"/>
      <x:c r="AJ188" s="27"/>
      <x:c r="AK188" s="27"/>
      <x:c r="AL188" s="27"/>
      <x:c r="AM188" s="27"/>
      <x:c r="AN188" s="27"/>
      <x:c r="AO188" s="27"/>
      <x:c r="AP188" s="27"/>
      <x:c r="AQ188" s="27"/>
      <x:c r="AR188" s="27"/>
      <x:c r="AS188" s="27"/>
      <x:c r="AT188" s="27"/>
      <x:c r="AU188" s="27"/>
      <x:c r="AV188" s="27"/>
      <x:c r="AW188" s="27"/>
      <x:c r="AX188" s="27"/>
      <x:c r="AY188" s="27"/>
      <x:c r="AZ188" s="27"/>
    </x:row>
    <x:row r="189">
      <x:c r="A189" s="27"/>
      <x:c r="B189" s="27"/>
      <x:c r="C189" s="27"/>
      <x:c r="D189" s="27"/>
      <x:c r="E189" s="27"/>
      <x:c r="F189" s="27"/>
      <x:c r="G189" s="27"/>
      <x:c r="H189" s="27"/>
      <x:c r="I189" s="27"/>
      <x:c r="J189" s="27"/>
      <x:c r="K189" s="27"/>
      <x:c r="L189" s="27"/>
      <x:c r="M189" s="27"/>
      <x:c r="N189" s="27"/>
      <x:c r="O189" s="27"/>
      <x:c r="P189" s="27"/>
      <x:c r="Q189" s="27"/>
      <x:c r="R189" s="27"/>
      <x:c r="S189" s="27"/>
      <x:c r="T189" s="27"/>
      <x:c r="U189" s="27"/>
      <x:c r="V189" s="27"/>
      <x:c r="W189" s="27"/>
      <x:c r="X189" s="27"/>
      <x:c r="Y189" s="27"/>
      <x:c r="Z189" s="27"/>
      <x:c r="AA189" s="27"/>
      <x:c r="AB189" s="27"/>
      <x:c r="AC189" s="27"/>
      <x:c r="AD189" s="27"/>
      <x:c r="AE189" s="27"/>
      <x:c r="AF189" s="27"/>
      <x:c r="AG189" s="27"/>
      <x:c r="AH189" s="27"/>
      <x:c r="AI189" s="27"/>
      <x:c r="AJ189" s="27"/>
      <x:c r="AK189" s="27"/>
      <x:c r="AL189" s="27"/>
      <x:c r="AM189" s="27"/>
      <x:c r="AN189" s="27"/>
      <x:c r="AO189" s="27"/>
      <x:c r="AP189" s="27"/>
      <x:c r="AQ189" s="27"/>
      <x:c r="AR189" s="27"/>
      <x:c r="AS189" s="27"/>
      <x:c r="AT189" s="27"/>
      <x:c r="AU189" s="27"/>
      <x:c r="AV189" s="27"/>
      <x:c r="AW189" s="27"/>
      <x:c r="AX189" s="27"/>
      <x:c r="AY189" s="27"/>
      <x:c r="AZ189" s="27"/>
    </x:row>
    <x:row r="190">
      <x:c r="A190" s="27"/>
      <x:c r="B190" s="27"/>
      <x:c r="C190" s="27"/>
      <x:c r="D190" s="27"/>
      <x:c r="E190" s="27"/>
      <x:c r="F190" s="27"/>
      <x:c r="G190" s="27"/>
      <x:c r="H190" s="27"/>
      <x:c r="I190" s="27"/>
      <x:c r="J190" s="27"/>
      <x:c r="K190" s="27"/>
      <x:c r="L190" s="27"/>
      <x:c r="M190" s="27"/>
      <x:c r="N190" s="27"/>
      <x:c r="O190" s="27"/>
      <x:c r="P190" s="27"/>
      <x:c r="Q190" s="27"/>
      <x:c r="R190" s="27"/>
      <x:c r="S190" s="27"/>
      <x:c r="T190" s="27"/>
      <x:c r="U190" s="27"/>
      <x:c r="V190" s="27"/>
      <x:c r="W190" s="27"/>
      <x:c r="X190" s="27"/>
      <x:c r="Y190" s="27"/>
      <x:c r="Z190" s="27"/>
      <x:c r="AA190" s="27"/>
      <x:c r="AB190" s="27"/>
      <x:c r="AC190" s="27"/>
      <x:c r="AD190" s="27"/>
      <x:c r="AE190" s="27"/>
      <x:c r="AF190" s="27"/>
      <x:c r="AG190" s="27"/>
      <x:c r="AH190" s="27"/>
      <x:c r="AI190" s="27"/>
      <x:c r="AJ190" s="27"/>
      <x:c r="AK190" s="27"/>
      <x:c r="AL190" s="27"/>
      <x:c r="AM190" s="27"/>
      <x:c r="AN190" s="27"/>
      <x:c r="AO190" s="27"/>
      <x:c r="AP190" s="27"/>
      <x:c r="AQ190" s="27"/>
      <x:c r="AR190" s="27"/>
      <x:c r="AS190" s="27"/>
      <x:c r="AT190" s="27"/>
      <x:c r="AU190" s="27"/>
      <x:c r="AV190" s="27"/>
      <x:c r="AW190" s="27"/>
      <x:c r="AX190" s="27"/>
      <x:c r="AY190" s="27"/>
      <x:c r="AZ190" s="27"/>
    </x:row>
    <x:row r="191">
      <x:c r="A191" s="27"/>
      <x:c r="B191" s="27"/>
      <x:c r="C191" s="27"/>
      <x:c r="D191" s="27"/>
      <x:c r="E191" s="27"/>
      <x:c r="F191" s="27"/>
      <x:c r="G191" s="27"/>
      <x:c r="H191" s="27"/>
      <x:c r="I191" s="27"/>
      <x:c r="J191" s="27"/>
      <x:c r="K191" s="27"/>
      <x:c r="L191" s="27"/>
      <x:c r="M191" s="27"/>
      <x:c r="N191" s="27"/>
      <x:c r="O191" s="27"/>
      <x:c r="P191" s="27"/>
      <x:c r="Q191" s="27"/>
      <x:c r="R191" s="27"/>
      <x:c r="S191" s="27"/>
      <x:c r="T191" s="27"/>
      <x:c r="U191" s="27"/>
      <x:c r="V191" s="27"/>
      <x:c r="W191" s="27"/>
      <x:c r="X191" s="27"/>
      <x:c r="Y191" s="27"/>
      <x:c r="Z191" s="27"/>
      <x:c r="AA191" s="27"/>
      <x:c r="AB191" s="27"/>
      <x:c r="AC191" s="27"/>
      <x:c r="AD191" s="27"/>
      <x:c r="AE191" s="27"/>
      <x:c r="AF191" s="27"/>
      <x:c r="AG191" s="27"/>
      <x:c r="AH191" s="27"/>
      <x:c r="AI191" s="27"/>
      <x:c r="AJ191" s="27"/>
      <x:c r="AK191" s="27"/>
      <x:c r="AL191" s="27"/>
      <x:c r="AM191" s="27"/>
      <x:c r="AN191" s="27"/>
      <x:c r="AO191" s="27"/>
      <x:c r="AP191" s="27"/>
      <x:c r="AQ191" s="27"/>
      <x:c r="AR191" s="27"/>
      <x:c r="AS191" s="27"/>
      <x:c r="AT191" s="27"/>
      <x:c r="AU191" s="27"/>
      <x:c r="AV191" s="27"/>
      <x:c r="AW191" s="27"/>
      <x:c r="AX191" s="27"/>
      <x:c r="AY191" s="27"/>
      <x:c r="AZ191" s="27"/>
    </x:row>
    <x:row r="192">
      <x:c r="A192" s="27"/>
      <x:c r="B192" s="27"/>
      <x:c r="C192" s="27"/>
      <x:c r="D192" s="27"/>
      <x:c r="E192" s="27"/>
      <x:c r="F192" s="27"/>
      <x:c r="G192" s="27"/>
      <x:c r="H192" s="27"/>
      <x:c r="I192" s="27"/>
      <x:c r="J192" s="27"/>
      <x:c r="K192" s="27"/>
      <x:c r="L192" s="27"/>
      <x:c r="M192" s="27"/>
      <x:c r="N192" s="27"/>
      <x:c r="O192" s="27"/>
      <x:c r="P192" s="27"/>
      <x:c r="Q192" s="27"/>
      <x:c r="R192" s="27"/>
      <x:c r="S192" s="27"/>
      <x:c r="T192" s="27"/>
      <x:c r="U192" s="27"/>
      <x:c r="V192" s="27"/>
      <x:c r="W192" s="27"/>
      <x:c r="X192" s="27"/>
      <x:c r="Y192" s="27"/>
      <x:c r="Z192" s="27"/>
      <x:c r="AA192" s="27"/>
      <x:c r="AB192" s="27"/>
      <x:c r="AC192" s="27"/>
      <x:c r="AD192" s="27"/>
      <x:c r="AE192" s="27"/>
      <x:c r="AF192" s="27"/>
      <x:c r="AG192" s="27"/>
      <x:c r="AH192" s="27"/>
      <x:c r="AI192" s="27"/>
      <x:c r="AJ192" s="27"/>
      <x:c r="AK192" s="27"/>
      <x:c r="AL192" s="27"/>
      <x:c r="AM192" s="27"/>
      <x:c r="AN192" s="27"/>
      <x:c r="AO192" s="27"/>
      <x:c r="AP192" s="27"/>
      <x:c r="AQ192" s="27"/>
      <x:c r="AR192" s="27"/>
      <x:c r="AS192" s="27"/>
      <x:c r="AT192" s="27"/>
      <x:c r="AU192" s="27"/>
      <x:c r="AV192" s="27"/>
      <x:c r="AW192" s="27"/>
      <x:c r="AX192" s="27"/>
      <x:c r="AY192" s="27"/>
      <x:c r="AZ192" s="27"/>
    </x:row>
    <x:row r="193">
      <x:c r="A193" s="27"/>
      <x:c r="B193" s="27"/>
      <x:c r="C193" s="27"/>
      <x:c r="D193" s="27"/>
      <x:c r="E193" s="27"/>
      <x:c r="F193" s="27"/>
      <x:c r="G193" s="27"/>
      <x:c r="H193" s="27"/>
      <x:c r="I193" s="27"/>
      <x:c r="J193" s="27"/>
      <x:c r="K193" s="27"/>
      <x:c r="L193" s="27"/>
      <x:c r="M193" s="27"/>
      <x:c r="N193" s="27"/>
      <x:c r="O193" s="27"/>
      <x:c r="P193" s="27"/>
      <x:c r="Q193" s="27"/>
      <x:c r="R193" s="27"/>
      <x:c r="S193" s="27"/>
      <x:c r="T193" s="27"/>
      <x:c r="U193" s="27"/>
      <x:c r="V193" s="27"/>
      <x:c r="W193" s="27"/>
      <x:c r="X193" s="27"/>
      <x:c r="Y193" s="27"/>
      <x:c r="Z193" s="27"/>
      <x:c r="AA193" s="27"/>
      <x:c r="AB193" s="27"/>
      <x:c r="AC193" s="27"/>
      <x:c r="AD193" s="27"/>
      <x:c r="AE193" s="27"/>
      <x:c r="AF193" s="27"/>
      <x:c r="AG193" s="27"/>
      <x:c r="AH193" s="27"/>
      <x:c r="AI193" s="27"/>
      <x:c r="AJ193" s="27"/>
      <x:c r="AK193" s="27"/>
      <x:c r="AL193" s="27"/>
      <x:c r="AM193" s="27"/>
      <x:c r="AN193" s="27"/>
      <x:c r="AO193" s="27"/>
      <x:c r="AP193" s="27"/>
      <x:c r="AQ193" s="27"/>
      <x:c r="AR193" s="27"/>
      <x:c r="AS193" s="27"/>
      <x:c r="AT193" s="27"/>
      <x:c r="AU193" s="27"/>
      <x:c r="AV193" s="27"/>
      <x:c r="AW193" s="27"/>
      <x:c r="AX193" s="27"/>
      <x:c r="AY193" s="27"/>
      <x:c r="AZ193" s="27"/>
    </x:row>
    <x:row r="194">
      <x:c r="A194" s="27"/>
      <x:c r="B194" s="27"/>
      <x:c r="C194" s="27"/>
      <x:c r="D194" s="27"/>
      <x:c r="E194" s="27"/>
      <x:c r="F194" s="27"/>
      <x:c r="G194" s="27"/>
      <x:c r="H194" s="27"/>
      <x:c r="I194" s="27"/>
      <x:c r="J194" s="27"/>
      <x:c r="K194" s="27"/>
      <x:c r="L194" s="27"/>
      <x:c r="M194" s="27"/>
      <x:c r="N194" s="27"/>
      <x:c r="O194" s="27"/>
      <x:c r="P194" s="27"/>
      <x:c r="Q194" s="27"/>
      <x:c r="R194" s="27"/>
      <x:c r="S194" s="27"/>
      <x:c r="T194" s="27"/>
      <x:c r="U194" s="27"/>
      <x:c r="V194" s="27"/>
      <x:c r="W194" s="27"/>
      <x:c r="X194" s="27"/>
      <x:c r="Y194" s="27"/>
      <x:c r="Z194" s="27"/>
      <x:c r="AA194" s="27"/>
      <x:c r="AB194" s="27"/>
      <x:c r="AC194" s="27"/>
      <x:c r="AD194" s="27"/>
      <x:c r="AE194" s="27"/>
      <x:c r="AF194" s="27"/>
      <x:c r="AG194" s="27"/>
      <x:c r="AH194" s="27"/>
      <x:c r="AI194" s="27"/>
      <x:c r="AJ194" s="27"/>
      <x:c r="AK194" s="27"/>
      <x:c r="AL194" s="27"/>
      <x:c r="AM194" s="27"/>
      <x:c r="AN194" s="27"/>
      <x:c r="AO194" s="27"/>
      <x:c r="AP194" s="27"/>
      <x:c r="AQ194" s="27"/>
      <x:c r="AR194" s="27"/>
      <x:c r="AS194" s="27"/>
      <x:c r="AT194" s="27"/>
      <x:c r="AU194" s="27"/>
      <x:c r="AV194" s="27"/>
      <x:c r="AW194" s="27"/>
      <x:c r="AX194" s="27"/>
      <x:c r="AY194" s="27"/>
      <x:c r="AZ194" s="27"/>
    </x:row>
    <x:row r="195">
      <x:c r="A195" s="27"/>
      <x:c r="B195" s="27"/>
      <x:c r="C195" s="27"/>
      <x:c r="D195" s="27"/>
      <x:c r="E195" s="27"/>
      <x:c r="F195" s="27"/>
      <x:c r="G195" s="27"/>
      <x:c r="H195" s="27"/>
      <x:c r="I195" s="27"/>
      <x:c r="J195" s="27"/>
      <x:c r="K195" s="27"/>
      <x:c r="L195" s="27"/>
      <x:c r="M195" s="27"/>
      <x:c r="N195" s="27"/>
      <x:c r="O195" s="27"/>
      <x:c r="P195" s="27"/>
      <x:c r="Q195" s="27"/>
      <x:c r="R195" s="27"/>
      <x:c r="S195" s="27"/>
      <x:c r="T195" s="27"/>
      <x:c r="U195" s="27"/>
      <x:c r="V195" s="27"/>
      <x:c r="W195" s="27"/>
      <x:c r="X195" s="27"/>
      <x:c r="Y195" s="27"/>
      <x:c r="Z195" s="27"/>
      <x:c r="AA195" s="27"/>
      <x:c r="AB195" s="27"/>
      <x:c r="AC195" s="27"/>
      <x:c r="AD195" s="27"/>
      <x:c r="AE195" s="27"/>
      <x:c r="AF195" s="27"/>
      <x:c r="AG195" s="27"/>
      <x:c r="AH195" s="27"/>
      <x:c r="AI195" s="27"/>
      <x:c r="AJ195" s="27"/>
      <x:c r="AK195" s="27"/>
      <x:c r="AL195" s="27"/>
      <x:c r="AM195" s="27"/>
      <x:c r="AN195" s="27"/>
      <x:c r="AO195" s="27"/>
      <x:c r="AP195" s="27"/>
      <x:c r="AQ195" s="27"/>
      <x:c r="AR195" s="27"/>
      <x:c r="AS195" s="27"/>
      <x:c r="AT195" s="27"/>
      <x:c r="AU195" s="27"/>
      <x:c r="AV195" s="27"/>
      <x:c r="AW195" s="27"/>
      <x:c r="AX195" s="27"/>
      <x:c r="AY195" s="27"/>
      <x:c r="AZ195" s="27"/>
    </x:row>
    <x:row r="196">
      <x:c r="A196" s="27"/>
      <x:c r="B196" s="27"/>
      <x:c r="C196" s="27"/>
      <x:c r="D196" s="27"/>
      <x:c r="E196" s="27"/>
      <x:c r="F196" s="27"/>
      <x:c r="G196" s="27"/>
      <x:c r="H196" s="27"/>
      <x:c r="I196" s="27"/>
      <x:c r="J196" s="27"/>
      <x:c r="K196" s="27"/>
      <x:c r="L196" s="27"/>
      <x:c r="M196" s="27"/>
      <x:c r="N196" s="27"/>
      <x:c r="O196" s="27"/>
      <x:c r="P196" s="27"/>
      <x:c r="Q196" s="27"/>
      <x:c r="R196" s="27"/>
      <x:c r="S196" s="27"/>
      <x:c r="T196" s="27"/>
      <x:c r="U196" s="27"/>
      <x:c r="V196" s="27"/>
      <x:c r="W196" s="27"/>
      <x:c r="X196" s="27"/>
      <x:c r="Y196" s="27"/>
      <x:c r="Z196" s="27"/>
      <x:c r="AA196" s="27"/>
      <x:c r="AB196" s="27"/>
      <x:c r="AC196" s="27"/>
      <x:c r="AD196" s="27"/>
      <x:c r="AE196" s="27"/>
      <x:c r="AF196" s="27"/>
      <x:c r="AG196" s="27"/>
      <x:c r="AH196" s="27"/>
      <x:c r="AI196" s="27"/>
      <x:c r="AJ196" s="27"/>
      <x:c r="AK196" s="27"/>
      <x:c r="AL196" s="27"/>
      <x:c r="AM196" s="27"/>
      <x:c r="AN196" s="27"/>
      <x:c r="AO196" s="27"/>
      <x:c r="AP196" s="27"/>
      <x:c r="AQ196" s="27"/>
      <x:c r="AR196" s="27"/>
      <x:c r="AS196" s="27"/>
      <x:c r="AT196" s="27"/>
      <x:c r="AU196" s="27"/>
      <x:c r="AV196" s="27"/>
      <x:c r="AW196" s="27"/>
      <x:c r="AX196" s="27"/>
      <x:c r="AY196" s="27"/>
      <x:c r="AZ196" s="27"/>
    </x:row>
    <x:row r="197">
      <x:c r="A197" s="27"/>
      <x:c r="B197" s="27"/>
      <x:c r="C197" s="27"/>
      <x:c r="D197" s="27"/>
      <x:c r="E197" s="27"/>
      <x:c r="F197" s="27"/>
      <x:c r="G197" s="27"/>
      <x:c r="H197" s="27"/>
      <x:c r="I197" s="27"/>
      <x:c r="J197" s="27"/>
      <x:c r="K197" s="27"/>
      <x:c r="L197" s="27"/>
      <x:c r="M197" s="27"/>
      <x:c r="N197" s="27"/>
      <x:c r="O197" s="27"/>
      <x:c r="P197" s="27"/>
      <x:c r="Q197" s="27"/>
      <x:c r="R197" s="27"/>
      <x:c r="S197" s="27"/>
      <x:c r="T197" s="27"/>
      <x:c r="U197" s="27"/>
      <x:c r="V197" s="27"/>
      <x:c r="W197" s="27"/>
      <x:c r="X197" s="27"/>
      <x:c r="Y197" s="27"/>
      <x:c r="Z197" s="27"/>
      <x:c r="AA197" s="27"/>
      <x:c r="AB197" s="27"/>
      <x:c r="AC197" s="27"/>
      <x:c r="AD197" s="27"/>
      <x:c r="AE197" s="27"/>
      <x:c r="AF197" s="27"/>
      <x:c r="AG197" s="27"/>
      <x:c r="AH197" s="27"/>
      <x:c r="AI197" s="27"/>
      <x:c r="AJ197" s="27"/>
      <x:c r="AK197" s="27"/>
      <x:c r="AL197" s="27"/>
      <x:c r="AM197" s="27"/>
      <x:c r="AN197" s="27"/>
      <x:c r="AO197" s="27"/>
      <x:c r="AP197" s="27"/>
      <x:c r="AQ197" s="27"/>
      <x:c r="AR197" s="27"/>
      <x:c r="AS197" s="27"/>
      <x:c r="AT197" s="27"/>
      <x:c r="AU197" s="27"/>
      <x:c r="AV197" s="27"/>
      <x:c r="AW197" s="27"/>
      <x:c r="AX197" s="27"/>
      <x:c r="AY197" s="27"/>
      <x:c r="AZ197" s="27"/>
    </x:row>
    <x:row r="198">
      <x:c r="A198" s="27"/>
      <x:c r="B198" s="27"/>
      <x:c r="C198" s="27"/>
      <x:c r="D198" s="27"/>
      <x:c r="E198" s="27"/>
      <x:c r="F198" s="27"/>
      <x:c r="G198" s="27"/>
      <x:c r="H198" s="27"/>
      <x:c r="I198" s="27"/>
      <x:c r="J198" s="27"/>
      <x:c r="K198" s="27"/>
      <x:c r="L198" s="27"/>
      <x:c r="M198" s="27"/>
      <x:c r="N198" s="27"/>
      <x:c r="O198" s="27"/>
      <x:c r="P198" s="27"/>
      <x:c r="Q198" s="27"/>
      <x:c r="R198" s="27"/>
      <x:c r="S198" s="27"/>
      <x:c r="T198" s="27"/>
      <x:c r="U198" s="27"/>
      <x:c r="V198" s="27"/>
      <x:c r="W198" s="27"/>
      <x:c r="X198" s="27"/>
      <x:c r="Y198" s="27"/>
      <x:c r="Z198" s="27"/>
      <x:c r="AA198" s="27"/>
      <x:c r="AB198" s="27"/>
      <x:c r="AC198" s="27"/>
      <x:c r="AD198" s="27"/>
      <x:c r="AE198" s="27"/>
      <x:c r="AF198" s="27"/>
      <x:c r="AG198" s="27"/>
      <x:c r="AH198" s="27"/>
      <x:c r="AI198" s="27"/>
      <x:c r="AJ198" s="27"/>
      <x:c r="AK198" s="27"/>
      <x:c r="AL198" s="27"/>
      <x:c r="AM198" s="27"/>
      <x:c r="AN198" s="27"/>
      <x:c r="AO198" s="27"/>
      <x:c r="AP198" s="27"/>
      <x:c r="AQ198" s="27"/>
      <x:c r="AR198" s="27"/>
      <x:c r="AS198" s="27"/>
      <x:c r="AT198" s="27"/>
      <x:c r="AU198" s="27"/>
      <x:c r="AV198" s="27"/>
      <x:c r="AW198" s="27"/>
      <x:c r="AX198" s="27"/>
      <x:c r="AY198" s="27"/>
      <x:c r="AZ198" s="27"/>
    </x:row>
    <x:row r="199">
      <x:c r="A199" s="27"/>
      <x:c r="B199" s="27"/>
      <x:c r="C199" s="27"/>
      <x:c r="D199" s="27"/>
      <x:c r="E199" s="27"/>
      <x:c r="F199" s="27"/>
      <x:c r="G199" s="27"/>
      <x:c r="H199" s="27"/>
      <x:c r="I199" s="27"/>
      <x:c r="J199" s="27"/>
      <x:c r="K199" s="27"/>
      <x:c r="L199" s="27"/>
      <x:c r="M199" s="27"/>
      <x:c r="N199" s="27"/>
      <x:c r="O199" s="27"/>
      <x:c r="P199" s="27"/>
      <x:c r="Q199" s="27"/>
      <x:c r="R199" s="27"/>
      <x:c r="S199" s="27"/>
      <x:c r="T199" s="27"/>
      <x:c r="U199" s="27"/>
      <x:c r="V199" s="27"/>
      <x:c r="W199" s="27"/>
      <x:c r="X199" s="27"/>
      <x:c r="Y199" s="27"/>
      <x:c r="Z199" s="27"/>
      <x:c r="AA199" s="27"/>
      <x:c r="AB199" s="27"/>
      <x:c r="AC199" s="27"/>
      <x:c r="AD199" s="27"/>
      <x:c r="AE199" s="27"/>
      <x:c r="AF199" s="27"/>
      <x:c r="AG199" s="27"/>
      <x:c r="AH199" s="27"/>
      <x:c r="AI199" s="27"/>
      <x:c r="AJ199" s="27"/>
      <x:c r="AK199" s="27"/>
      <x:c r="AL199" s="27"/>
      <x:c r="AM199" s="27"/>
      <x:c r="AN199" s="27"/>
      <x:c r="AO199" s="27"/>
      <x:c r="AP199" s="27"/>
      <x:c r="AQ199" s="27"/>
      <x:c r="AR199" s="27"/>
      <x:c r="AS199" s="27"/>
      <x:c r="AT199" s="27"/>
      <x:c r="AU199" s="27"/>
      <x:c r="AV199" s="27"/>
      <x:c r="AW199" s="27"/>
      <x:c r="AX199" s="27"/>
      <x:c r="AY199" s="27"/>
      <x:c r="AZ199" s="27"/>
    </x:row>
    <x:row r="200">
      <x:c r="A200" s="27"/>
      <x:c r="B200" s="27"/>
      <x:c r="C200" s="27"/>
      <x:c r="D200" s="27"/>
      <x:c r="E200" s="27"/>
      <x:c r="F200" s="27"/>
      <x:c r="G200" s="27"/>
      <x:c r="H200" s="27"/>
      <x:c r="I200" s="27"/>
      <x:c r="J200" s="27"/>
      <x:c r="K200" s="27"/>
      <x:c r="L200" s="27"/>
      <x:c r="M200" s="27"/>
      <x:c r="N200" s="27"/>
      <x:c r="O200" s="27"/>
      <x:c r="P200" s="27"/>
      <x:c r="Q200" s="27"/>
      <x:c r="R200" s="27"/>
      <x:c r="S200" s="27"/>
      <x:c r="T200" s="27"/>
      <x:c r="U200" s="27"/>
      <x:c r="V200" s="27"/>
      <x:c r="W200" s="27"/>
      <x:c r="X200" s="27"/>
      <x:c r="Y200" s="27"/>
      <x:c r="Z200" s="27"/>
      <x:c r="AA200" s="27"/>
      <x:c r="AB200" s="27"/>
      <x:c r="AC200" s="27"/>
      <x:c r="AD200" s="27"/>
      <x:c r="AE200" s="27"/>
      <x:c r="AF200" s="27"/>
      <x:c r="AG200" s="27"/>
      <x:c r="AH200" s="27"/>
      <x:c r="AI200" s="27"/>
      <x:c r="AJ200" s="27"/>
      <x:c r="AK200" s="27"/>
      <x:c r="AL200" s="27"/>
      <x:c r="AM200" s="27"/>
      <x:c r="AN200" s="27"/>
      <x:c r="AO200" s="27"/>
      <x:c r="AP200" s="27"/>
      <x:c r="AQ200" s="27"/>
      <x:c r="AR200" s="27"/>
      <x:c r="AS200" s="27"/>
      <x:c r="AT200" s="27"/>
      <x:c r="AU200" s="27"/>
      <x:c r="AV200" s="27"/>
      <x:c r="AW200" s="27"/>
      <x:c r="AX200" s="27"/>
      <x:c r="AY200" s="27"/>
      <x:c r="AZ200" s="27"/>
    </x:row>
  </x:sheetData>
  <x:mergeCells>
    <x:mergeCell ref="A1:J1"/>
    <x:mergeCell ref="A2:J2"/>
  </x:mergeCell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48" hidden="0" customWidth="1"/>
    <x:col min="3" max="3" width="20" hidden="0" customWidth="1"/>
    <x:col min="4" max="4" width="27" hidden="0" customWidth="1"/>
    <x:col min="5" max="5" width="28" hidden="0" customWidth="1"/>
    <x:col min="6" max="6" width="58" hidden="0" customWidth="1"/>
    <x:col min="7" max="7" width="60" hidden="0" customWidth="1"/>
    <x:col min="8" max="8" width="24" hidden="0" customWidth="1"/>
  </x:cols>
  <x:sheetData>
    <x:row r="1" ht="28" customHeight="1">
      <x:c r="A1" s="26" t="str">
        <x:v>Source Registry</x:v>
      </x:c>
      <x:c r="B1" s="26"/>
      <x:c r="C1" s="26"/>
      <x:c r="D1" s="26"/>
      <x:c r="E1" s="26"/>
      <x:c r="F1" s="26"/>
      <x:c r="G1" s="26"/>
      <x:c r="H1" s="26"/>
      <x:c r="I1" s="27"/>
      <x:c r="J1" s="27"/>
      <x:c r="K1" s="27"/>
      <x:c r="L1" s="27"/>
      <x:c r="M1" s="27"/>
      <x:c r="N1" s="27"/>
      <x:c r="O1" s="27"/>
      <x:c r="P1" s="27"/>
      <x:c r="Q1" s="27"/>
      <x:c r="R1" s="27"/>
      <x:c r="S1" s="27"/>
      <x:c r="T1" s="27"/>
      <x:c r="U1" s="27"/>
      <x:c r="V1" s="27"/>
      <x:c r="W1" s="27"/>
      <x:c r="X1" s="27"/>
      <x:c r="Y1" s="27"/>
      <x:c r="Z1" s="27"/>
      <x:c r="AA1" s="27"/>
      <x:c r="AB1" s="27"/>
      <x:c r="AC1" s="27"/>
      <x:c r="AD1" s="27"/>
      <x:c r="AE1" s="27"/>
      <x:c r="AF1" s="27"/>
      <x:c r="AG1" s="27"/>
      <x:c r="AH1" s="27"/>
      <x:c r="AI1" s="27"/>
      <x:c r="AJ1" s="27"/>
      <x:c r="AK1" s="27"/>
      <x:c r="AL1" s="27"/>
      <x:c r="AM1" s="27"/>
      <x:c r="AN1" s="27"/>
      <x:c r="AO1" s="27"/>
      <x:c r="AP1" s="27"/>
      <x:c r="AQ1" s="27"/>
      <x:c r="AR1" s="27"/>
      <x:c r="AS1" s="27"/>
      <x:c r="AT1" s="27"/>
      <x:c r="AU1" s="27"/>
      <x:c r="AV1" s="27"/>
      <x:c r="AW1" s="27"/>
      <x:c r="AX1" s="27"/>
      <x:c r="AY1" s="27"/>
      <x:c r="AZ1" s="27"/>
    </x:row>
    <x:row r="2" ht="34" customHeight="1">
      <x:c r="A2" s="28" t="str">
        <x:v>Inventory of currently available Operation Pancake evidence and external references.</x:v>
      </x:c>
      <x:c r="B2" s="28"/>
      <x:c r="C2" s="28"/>
      <x:c r="D2" s="28"/>
      <x:c r="E2" s="28"/>
      <x:c r="F2" s="28"/>
      <x:c r="G2" s="28"/>
      <x:c r="H2" s="28"/>
      <x:c r="I2" s="27"/>
      <x:c r="J2" s="27"/>
      <x:c r="K2" s="27"/>
      <x:c r="L2" s="27"/>
      <x:c r="M2" s="27"/>
      <x:c r="N2" s="27"/>
      <x:c r="O2" s="27"/>
      <x:c r="P2" s="27"/>
      <x:c r="Q2" s="27"/>
      <x:c r="R2" s="27"/>
      <x:c r="S2" s="27"/>
      <x:c r="T2" s="27"/>
      <x:c r="U2" s="27"/>
      <x:c r="V2" s="27"/>
      <x:c r="W2" s="27"/>
      <x:c r="X2" s="27"/>
      <x:c r="Y2" s="27"/>
      <x:c r="Z2" s="27"/>
      <x:c r="AA2" s="27"/>
      <x:c r="AB2" s="27"/>
      <x:c r="AC2" s="27"/>
      <x:c r="AD2" s="27"/>
      <x:c r="AE2" s="27"/>
      <x:c r="AF2" s="27"/>
      <x:c r="AG2" s="27"/>
      <x:c r="AH2" s="27"/>
      <x:c r="AI2" s="27"/>
      <x:c r="AJ2" s="27"/>
      <x:c r="AK2" s="27"/>
      <x:c r="AL2" s="27"/>
      <x:c r="AM2" s="27"/>
      <x:c r="AN2" s="27"/>
      <x:c r="AO2" s="27"/>
      <x:c r="AP2" s="27"/>
      <x:c r="AQ2" s="27"/>
      <x:c r="AR2" s="27"/>
      <x:c r="AS2" s="27"/>
      <x:c r="AT2" s="27"/>
      <x:c r="AU2" s="27"/>
      <x:c r="AV2" s="27"/>
      <x:c r="AW2" s="27"/>
      <x:c r="AX2" s="27"/>
      <x:c r="AY2" s="27"/>
      <x:c r="AZ2" s="27"/>
    </x:row>
    <x:row r="3">
      <x:c r="A3" s="27"/>
      <x:c r="B3" s="27"/>
      <x:c r="C3" s="27"/>
      <x:c r="D3" s="27"/>
      <x:c r="E3" s="27"/>
      <x:c r="F3" s="27"/>
      <x:c r="G3" s="27"/>
      <x:c r="H3" s="27"/>
      <x:c r="I3" s="27"/>
      <x:c r="J3" s="27"/>
      <x:c r="K3" s="27"/>
      <x:c r="L3" s="27"/>
      <x:c r="M3" s="27"/>
      <x:c r="N3" s="27"/>
      <x:c r="O3" s="27"/>
      <x:c r="P3" s="27"/>
      <x:c r="Q3" s="27"/>
      <x:c r="R3" s="27"/>
      <x:c r="S3" s="27"/>
      <x:c r="T3" s="27"/>
      <x:c r="U3" s="27"/>
      <x:c r="V3" s="27"/>
      <x:c r="W3" s="27"/>
      <x:c r="X3" s="27"/>
      <x:c r="Y3" s="27"/>
      <x:c r="Z3" s="27"/>
      <x:c r="AA3" s="27"/>
      <x:c r="AB3" s="27"/>
      <x:c r="AC3" s="27"/>
      <x:c r="AD3" s="27"/>
      <x:c r="AE3" s="27"/>
      <x:c r="AF3" s="27"/>
      <x:c r="AG3" s="27"/>
      <x:c r="AH3" s="27"/>
      <x:c r="AI3" s="27"/>
      <x:c r="AJ3" s="27"/>
      <x:c r="AK3" s="27"/>
      <x:c r="AL3" s="27"/>
      <x:c r="AM3" s="27"/>
      <x:c r="AN3" s="27"/>
      <x:c r="AO3" s="27"/>
      <x:c r="AP3" s="27"/>
      <x:c r="AQ3" s="27"/>
      <x:c r="AR3" s="27"/>
      <x:c r="AS3" s="27"/>
      <x:c r="AT3" s="27"/>
      <x:c r="AU3" s="27"/>
      <x:c r="AV3" s="27"/>
      <x:c r="AW3" s="27"/>
      <x:c r="AX3" s="27"/>
      <x:c r="AY3" s="27"/>
      <x:c r="AZ3" s="27"/>
    </x:row>
    <x:row r="4" ht="30" customHeight="1">
      <x:c r="A4" s="29" t="str">
        <x:v>Source_ID</x:v>
      </x:c>
      <x:c r="B4" s="29" t="str">
        <x:v>Source_File</x:v>
      </x:c>
      <x:c r="C4" s="29" t="str">
        <x:v>Type</x:v>
      </x:c>
      <x:c r="D4" s="29" t="str">
        <x:v>Domain</x:v>
      </x:c>
      <x:c r="E4" s="29" t="str">
        <x:v>Extraction_Status</x:v>
      </x:c>
      <x:c r="F4" s="29" t="str">
        <x:v>Source_URL</x:v>
      </x:c>
      <x:c r="G4" s="29" t="str">
        <x:v>Notes</x:v>
      </x:c>
      <x:c r="H4" s="29" t="str">
        <x:v>Canonical_Use</x:v>
      </x:c>
      <x:c r="I4" s="27"/>
      <x:c r="J4" s="27"/>
      <x:c r="K4" s="27"/>
      <x:c r="L4" s="27"/>
      <x:c r="M4" s="27"/>
      <x:c r="N4" s="27"/>
      <x:c r="O4" s="27"/>
      <x:c r="P4" s="27"/>
      <x:c r="Q4" s="27"/>
      <x:c r="R4" s="27"/>
      <x:c r="S4" s="27"/>
      <x:c r="T4" s="27"/>
      <x:c r="U4" s="27"/>
      <x:c r="V4" s="27"/>
      <x:c r="W4" s="27"/>
      <x:c r="X4" s="27"/>
      <x:c r="Y4" s="27"/>
      <x:c r="Z4" s="27"/>
      <x:c r="AA4" s="27"/>
      <x:c r="AB4" s="27"/>
      <x:c r="AC4" s="27"/>
      <x:c r="AD4" s="27"/>
      <x:c r="AE4" s="27"/>
      <x:c r="AF4" s="27"/>
      <x:c r="AG4" s="27"/>
      <x:c r="AH4" s="27"/>
      <x:c r="AI4" s="27"/>
      <x:c r="AJ4" s="27"/>
      <x:c r="AK4" s="27"/>
      <x:c r="AL4" s="27"/>
      <x:c r="AM4" s="27"/>
      <x:c r="AN4" s="27"/>
      <x:c r="AO4" s="27"/>
      <x:c r="AP4" s="27"/>
      <x:c r="AQ4" s="27"/>
      <x:c r="AR4" s="27"/>
      <x:c r="AS4" s="27"/>
      <x:c r="AT4" s="27"/>
      <x:c r="AU4" s="27"/>
      <x:c r="AV4" s="27"/>
      <x:c r="AW4" s="27"/>
      <x:c r="AX4" s="27"/>
      <x:c r="AY4" s="27"/>
      <x:c r="AZ4" s="27"/>
    </x:row>
    <x:row r="5">
      <x:c r="A5" s="30" t="str">
        <x:v>SRC-TE-001</x:v>
      </x:c>
      <x:c r="B5" s="30" t="str">
        <x:v>Screenshot 2026-08-01 003541(1).pdf</x:v>
      </x:c>
      <x:c r="C5" s="30" t="str">
        <x:v>PDF / 69 image pages</x:v>
      </x:c>
      <x:c r="D5" s="30" t="str">
        <x:v>CFB27 TE cards</x:v>
      </x:c>
      <x:c r="E5" s="30" t="str">
        <x:v>COMPLETE - pages 1-24 structured; remainder completed via SRC-TE-002</x:v>
      </x:c>
      <x:c r="F5" s="30" t="str"/>
      <x:c r="G5" s="30" t="str">
        <x:v>Pages 25-69 retained as evidence; queued for reliable extraction.</x:v>
      </x:c>
      <x:c r="H5" s="30" t="str">
        <x:v>Observed card data</x:v>
      </x:c>
      <x:c r="I5" s="27"/>
      <x:c r="J5" s="27"/>
      <x:c r="K5" s="27"/>
      <x:c r="L5" s="27"/>
      <x:c r="M5" s="27"/>
      <x:c r="N5" s="27"/>
      <x:c r="O5" s="27"/>
      <x:c r="P5" s="27"/>
      <x:c r="Q5" s="27"/>
      <x:c r="R5" s="27"/>
      <x:c r="S5" s="27"/>
      <x:c r="T5" s="27"/>
      <x:c r="U5" s="27"/>
      <x:c r="V5" s="27"/>
      <x:c r="W5" s="27"/>
      <x:c r="X5" s="27"/>
      <x:c r="Y5" s="27"/>
      <x:c r="Z5" s="27"/>
      <x:c r="AA5" s="27"/>
      <x:c r="AB5" s="27"/>
      <x:c r="AC5" s="27"/>
      <x:c r="AD5" s="27"/>
      <x:c r="AE5" s="27"/>
      <x:c r="AF5" s="27"/>
      <x:c r="AG5" s="27"/>
      <x:c r="AH5" s="27"/>
      <x:c r="AI5" s="27"/>
      <x:c r="AJ5" s="27"/>
      <x:c r="AK5" s="27"/>
      <x:c r="AL5" s="27"/>
      <x:c r="AM5" s="27"/>
      <x:c r="AN5" s="27"/>
      <x:c r="AO5" s="27"/>
      <x:c r="AP5" s="27"/>
      <x:c r="AQ5" s="27"/>
      <x:c r="AR5" s="27"/>
      <x:c r="AS5" s="27"/>
      <x:c r="AT5" s="27"/>
      <x:c r="AU5" s="27"/>
      <x:c r="AV5" s="27"/>
      <x:c r="AW5" s="27"/>
      <x:c r="AX5" s="27"/>
      <x:c r="AY5" s="27"/>
      <x:c r="AZ5" s="27"/>
    </x:row>
    <x:row r="6">
      <x:c r="A6" s="30" t="str">
        <x:v>SRC-HIST-001</x:v>
      </x:c>
      <x:c r="B6" s="30" t="str">
        <x:v>history(4).pdf</x:v>
      </x:c>
      <x:c r="C6" s="30" t="str">
        <x:v>PDF / 150 image pages</x:v>
      </x:c>
      <x:c r="D6" s="30" t="str">
        <x:v>Operation Pancake history</x:v>
      </x:c>
      <x:c r="E6" s="30" t="str">
        <x:v>PARTIAL</x:v>
      </x:c>
      <x:c r="F6" s="30" t="str"/>
      <x:c r="G6" s="30" t="str">
        <x:v>Saturday Reset logs and selected card evidence visible; rest queued.</x:v>
      </x:c>
      <x:c r="H6" s="30" t="str">
        <x:v>Research evidence</x:v>
      </x:c>
      <x:c r="I6" s="27"/>
      <x:c r="J6" s="27"/>
      <x:c r="K6" s="27"/>
      <x:c r="L6" s="27"/>
      <x:c r="M6" s="27"/>
      <x:c r="N6" s="27"/>
      <x:c r="O6" s="27"/>
      <x:c r="P6" s="27"/>
      <x:c r="Q6" s="27"/>
      <x:c r="R6" s="27"/>
      <x:c r="S6" s="27"/>
      <x:c r="T6" s="27"/>
      <x:c r="U6" s="27"/>
      <x:c r="V6" s="27"/>
      <x:c r="W6" s="27"/>
      <x:c r="X6" s="27"/>
      <x:c r="Y6" s="27"/>
      <x:c r="Z6" s="27"/>
      <x:c r="AA6" s="27"/>
      <x:c r="AB6" s="27"/>
      <x:c r="AC6" s="27"/>
      <x:c r="AD6" s="27"/>
      <x:c r="AE6" s="27"/>
      <x:c r="AF6" s="27"/>
      <x:c r="AG6" s="27"/>
      <x:c r="AH6" s="27"/>
      <x:c r="AI6" s="27"/>
      <x:c r="AJ6" s="27"/>
      <x:c r="AK6" s="27"/>
      <x:c r="AL6" s="27"/>
      <x:c r="AM6" s="27"/>
      <x:c r="AN6" s="27"/>
      <x:c r="AO6" s="27"/>
      <x:c r="AP6" s="27"/>
      <x:c r="AQ6" s="27"/>
      <x:c r="AR6" s="27"/>
      <x:c r="AS6" s="27"/>
      <x:c r="AT6" s="27"/>
      <x:c r="AU6" s="27"/>
      <x:c r="AV6" s="27"/>
      <x:c r="AW6" s="27"/>
      <x:c r="AX6" s="27"/>
      <x:c r="AY6" s="27"/>
      <x:c r="AZ6" s="27"/>
    </x:row>
    <x:row r="7">
      <x:c r="A7" s="30" t="str">
        <x:v>SRC-M19-001</x:v>
      </x:c>
      <x:c r="B7" s="30" t="str">
        <x:v>Guide_ Overall Rating Attribute Weightings for Different Positions_Archetypes _ r_Madden(2).pdf</x:v>
      </x:c>
      <x:c r="C7" s="30" t="str">
        <x:v>PDF/web capture</x:v>
      </x:c>
      <x:c r="D7" s="30" t="str">
        <x:v>Madden 19 weights</x:v>
      </x:c>
      <x:c r="E7" s="30" t="str">
        <x:v>EXTRACTED - TE subset</x:v>
      </x:c>
      <x:c r="F7" s="30" t="str">
        <x:v>https://www.reddit.com/r/Madden/comments/9e6qlb/guide_overall_rating_attribute_weightings_for/</x:v>
      </x:c>
      <x:c r="G7" s="30" t="str">
        <x:v>Weights reported as extracted from Madden 19 PC XML; rounding can make totals slightly ≠100.</x:v>
      </x:c>
      <x:c r="H7" s="30" t="str">
        <x:v>External reference</x:v>
      </x:c>
      <x:c r="I7" s="27"/>
      <x:c r="J7" s="27"/>
      <x:c r="K7" s="27"/>
      <x:c r="L7" s="27"/>
      <x:c r="M7" s="27"/>
      <x:c r="N7" s="27"/>
      <x:c r="O7" s="27"/>
      <x:c r="P7" s="27"/>
      <x:c r="Q7" s="27"/>
      <x:c r="R7" s="27"/>
      <x:c r="S7" s="27"/>
      <x:c r="T7" s="27"/>
      <x:c r="U7" s="27"/>
      <x:c r="V7" s="27"/>
      <x:c r="W7" s="27"/>
      <x:c r="X7" s="27"/>
      <x:c r="Y7" s="27"/>
      <x:c r="Z7" s="27"/>
      <x:c r="AA7" s="27"/>
      <x:c r="AB7" s="27"/>
      <x:c r="AC7" s="27"/>
      <x:c r="AD7" s="27"/>
      <x:c r="AE7" s="27"/>
      <x:c r="AF7" s="27"/>
      <x:c r="AG7" s="27"/>
      <x:c r="AH7" s="27"/>
      <x:c r="AI7" s="27"/>
      <x:c r="AJ7" s="27"/>
      <x:c r="AK7" s="27"/>
      <x:c r="AL7" s="27"/>
      <x:c r="AM7" s="27"/>
      <x:c r="AN7" s="27"/>
      <x:c r="AO7" s="27"/>
      <x:c r="AP7" s="27"/>
      <x:c r="AQ7" s="27"/>
      <x:c r="AR7" s="27"/>
      <x:c r="AS7" s="27"/>
      <x:c r="AT7" s="27"/>
      <x:c r="AU7" s="27"/>
      <x:c r="AV7" s="27"/>
      <x:c r="AW7" s="27"/>
      <x:c r="AX7" s="27"/>
      <x:c r="AY7" s="27"/>
      <x:c r="AZ7" s="27"/>
    </x:row>
    <x:row r="8">
      <x:c r="A8" s="30" t="str">
        <x:v>SRC-M19-IMG</x:v>
      </x:c>
      <x:c r="B8" s="30" t="str">
        <x:v>madden 2019(1).jpg</x:v>
      </x:c>
      <x:c r="C8" s="30" t="str">
        <x:v>Image</x:v>
      </x:c>
      <x:c r="D8" s="30" t="str">
        <x:v>Madden 19 weights</x:v>
      </x:c>
      <x:c r="E8" s="30" t="str">
        <x:v>EXTRACTED - TE subset</x:v>
      </x:c>
      <x:c r="F8" s="30" t="str">
        <x:v>https://www.reddit.com/r/Madden/comments/9e6qlb/guide_overall_rating_attribute_weightings_for/</x:v>
      </x:c>
      <x:c r="G8" s="30" t="str">
        <x:v>Infographic duplicate/reference image.</x:v>
      </x:c>
      <x:c r="H8" s="30" t="str">
        <x:v>External reference</x:v>
      </x:c>
      <x:c r="I8" s="27"/>
      <x:c r="J8" s="27"/>
      <x:c r="K8" s="27"/>
      <x:c r="L8" s="27"/>
      <x:c r="M8" s="27"/>
      <x:c r="N8" s="27"/>
      <x:c r="O8" s="27"/>
      <x:c r="P8" s="27"/>
      <x:c r="Q8" s="27"/>
      <x:c r="R8" s="27"/>
      <x:c r="S8" s="27"/>
      <x:c r="T8" s="27"/>
      <x:c r="U8" s="27"/>
      <x:c r="V8" s="27"/>
      <x:c r="W8" s="27"/>
      <x:c r="X8" s="27"/>
      <x:c r="Y8" s="27"/>
      <x:c r="Z8" s="27"/>
      <x:c r="AA8" s="27"/>
      <x:c r="AB8" s="27"/>
      <x:c r="AC8" s="27"/>
      <x:c r="AD8" s="27"/>
      <x:c r="AE8" s="27"/>
      <x:c r="AF8" s="27"/>
      <x:c r="AG8" s="27"/>
      <x:c r="AH8" s="27"/>
      <x:c r="AI8" s="27"/>
      <x:c r="AJ8" s="27"/>
      <x:c r="AK8" s="27"/>
      <x:c r="AL8" s="27"/>
      <x:c r="AM8" s="27"/>
      <x:c r="AN8" s="27"/>
      <x:c r="AO8" s="27"/>
      <x:c r="AP8" s="27"/>
      <x:c r="AQ8" s="27"/>
      <x:c r="AR8" s="27"/>
      <x:c r="AS8" s="27"/>
      <x:c r="AT8" s="27"/>
      <x:c r="AU8" s="27"/>
      <x:c r="AV8" s="27"/>
      <x:c r="AW8" s="27"/>
      <x:c r="AX8" s="27"/>
      <x:c r="AY8" s="27"/>
      <x:c r="AZ8" s="27"/>
    </x:row>
    <x:row r="9">
      <x:c r="A9" s="30" t="str">
        <x:v>SRC-XP-001</x:v>
      </x:c>
      <x:c r="B9" s="30" t="str">
        <x:v>CFB 27 Player XP, Levels &amp; Dev Traits · Preston Choate(1).pdf</x:v>
      </x:c>
      <x:c r="C9" s="30" t="str">
        <x:v>PDF/web capture</x:v>
      </x:c>
      <x:c r="D9" s="30" t="str">
        <x:v>CFB27 Dynasty progression</x:v>
      </x:c>
      <x:c r="E9" s="30" t="str">
        <x:v>EXTRACTED - key tables</x:v>
      </x:c>
      <x:c r="F9" s="30" t="str">
        <x:v>https://prestonchoate.dev/cfb-data-mining/player-xp-levels-devtraits/</x:v>
      </x:c>
      <x:c r="G9" s="30" t="str">
        <x:v>External data-mining reference; not CUT OVR evidence.</x:v>
      </x:c>
      <x:c r="H9" s="30" t="str">
        <x:v>External reference</x:v>
      </x:c>
      <x:c r="I9" s="27"/>
      <x:c r="J9" s="27"/>
      <x:c r="K9" s="27"/>
      <x:c r="L9" s="27"/>
      <x:c r="M9" s="27"/>
      <x:c r="N9" s="27"/>
      <x:c r="O9" s="27"/>
      <x:c r="P9" s="27"/>
      <x:c r="Q9" s="27"/>
      <x:c r="R9" s="27"/>
      <x:c r="S9" s="27"/>
      <x:c r="T9" s="27"/>
      <x:c r="U9" s="27"/>
      <x:c r="V9" s="27"/>
      <x:c r="W9" s="27"/>
      <x:c r="X9" s="27"/>
      <x:c r="Y9" s="27"/>
      <x:c r="Z9" s="27"/>
      <x:c r="AA9" s="27"/>
      <x:c r="AB9" s="27"/>
      <x:c r="AC9" s="27"/>
      <x:c r="AD9" s="27"/>
      <x:c r="AE9" s="27"/>
      <x:c r="AF9" s="27"/>
      <x:c r="AG9" s="27"/>
      <x:c r="AH9" s="27"/>
      <x:c r="AI9" s="27"/>
      <x:c r="AJ9" s="27"/>
      <x:c r="AK9" s="27"/>
      <x:c r="AL9" s="27"/>
      <x:c r="AM9" s="27"/>
      <x:c r="AN9" s="27"/>
      <x:c r="AO9" s="27"/>
      <x:c r="AP9" s="27"/>
      <x:c r="AQ9" s="27"/>
      <x:c r="AR9" s="27"/>
      <x:c r="AS9" s="27"/>
      <x:c r="AT9" s="27"/>
      <x:c r="AU9" s="27"/>
      <x:c r="AV9" s="27"/>
      <x:c r="AW9" s="27"/>
      <x:c r="AX9" s="27"/>
      <x:c r="AY9" s="27"/>
      <x:c r="AZ9" s="27"/>
    </x:row>
    <x:row r="10">
      <x:c r="A10" s="30" t="str">
        <x:v>SRC-RATE-001</x:v>
      </x:c>
      <x:c r="B10" s="30" t="str">
        <x:v>College Football 27 Ratings(1).pdf</x:v>
      </x:c>
      <x:c r="C10" s="30" t="str">
        <x:v>PDF/web capture</x:v>
      </x:c>
      <x:c r="D10" s="30" t="str">
        <x:v>EA base roster ratings - Centers</x:v>
      </x:c>
      <x:c r="E10" s="30" t="str">
        <x:v>PARTIAL / queued</x:v>
      </x:c>
      <x:c r="F10" s="30" t="str">
        <x:v>https://www.ea.com/games/ea-sports-college-football/ratings?position=C</x:v>
      </x:c>
      <x:c r="G10" s="30" t="str">
        <x:v>Parsed text loses some row alignment, so not all rows are safe to auto-import.</x:v>
      </x:c>
      <x:c r="H10" s="30" t="str">
        <x:v>External reference</x:v>
      </x:c>
      <x:c r="I10" s="27"/>
      <x:c r="J10" s="27"/>
      <x:c r="K10" s="27"/>
      <x:c r="L10" s="27"/>
      <x:c r="M10" s="27"/>
      <x:c r="N10" s="27"/>
      <x:c r="O10" s="27"/>
      <x:c r="P10" s="27"/>
      <x:c r="Q10" s="27"/>
      <x:c r="R10" s="27"/>
      <x:c r="S10" s="27"/>
      <x:c r="T10" s="27"/>
      <x:c r="U10" s="27"/>
      <x:c r="V10" s="27"/>
      <x:c r="W10" s="27"/>
      <x:c r="X10" s="27"/>
      <x:c r="Y10" s="27"/>
      <x:c r="Z10" s="27"/>
      <x:c r="AA10" s="27"/>
      <x:c r="AB10" s="27"/>
      <x:c r="AC10" s="27"/>
      <x:c r="AD10" s="27"/>
      <x:c r="AE10" s="27"/>
      <x:c r="AF10" s="27"/>
      <x:c r="AG10" s="27"/>
      <x:c r="AH10" s="27"/>
      <x:c r="AI10" s="27"/>
      <x:c r="AJ10" s="27"/>
      <x:c r="AK10" s="27"/>
      <x:c r="AL10" s="27"/>
      <x:c r="AM10" s="27"/>
      <x:c r="AN10" s="27"/>
      <x:c r="AO10" s="27"/>
      <x:c r="AP10" s="27"/>
      <x:c r="AQ10" s="27"/>
      <x:c r="AR10" s="27"/>
      <x:c r="AS10" s="27"/>
      <x:c r="AT10" s="27"/>
      <x:c r="AU10" s="27"/>
      <x:c r="AV10" s="27"/>
      <x:c r="AW10" s="27"/>
      <x:c r="AX10" s="27"/>
      <x:c r="AY10" s="27"/>
      <x:c r="AZ10" s="27"/>
    </x:row>
    <x:row r="11">
      <x:c r="A11" s="30" t="str">
        <x:v>SRC-C-RAW-001</x:v>
      </x:c>
      <x:c r="B11" s="30" t="str">
        <x:v>raw str centers(1).pdf</x:v>
      </x:c>
      <x:c r="C11" s="30" t="str">
        <x:v>PDF / 14 image pages</x:v>
      </x:c>
      <x:c r="D11" s="30" t="str">
        <x:v>CFB27 CUT Centers</x:v>
      </x:c>
      <x:c r="E11" s="30" t="str">
        <x:v>PARTIAL - selected pages</x:v>
      </x:c>
      <x:c r="F11" s="30" t="str"/>
      <x:c r="G11" s="30" t="str">
        <x:v>Selected Raw Strength center cards retained; full 14-page extraction queued.</x:v>
      </x:c>
      <x:c r="H11" s="30" t="str">
        <x:v>Observed card data</x:v>
      </x:c>
      <x:c r="I11" s="27"/>
      <x:c r="J11" s="27"/>
      <x:c r="K11" s="27"/>
      <x:c r="L11" s="27"/>
      <x:c r="M11" s="27"/>
      <x:c r="N11" s="27"/>
      <x:c r="O11" s="27"/>
      <x:c r="P11" s="27"/>
      <x:c r="Q11" s="27"/>
      <x:c r="R11" s="27"/>
      <x:c r="S11" s="27"/>
      <x:c r="T11" s="27"/>
      <x:c r="U11" s="27"/>
      <x:c r="V11" s="27"/>
      <x:c r="W11" s="27"/>
      <x:c r="X11" s="27"/>
      <x:c r="Y11" s="27"/>
      <x:c r="Z11" s="27"/>
      <x:c r="AA11" s="27"/>
      <x:c r="AB11" s="27"/>
      <x:c r="AC11" s="27"/>
      <x:c r="AD11" s="27"/>
      <x:c r="AE11" s="27"/>
      <x:c r="AF11" s="27"/>
      <x:c r="AG11" s="27"/>
      <x:c r="AH11" s="27"/>
      <x:c r="AI11" s="27"/>
      <x:c r="AJ11" s="27"/>
      <x:c r="AK11" s="27"/>
      <x:c r="AL11" s="27"/>
      <x:c r="AM11" s="27"/>
      <x:c r="AN11" s="27"/>
      <x:c r="AO11" s="27"/>
      <x:c r="AP11" s="27"/>
      <x:c r="AQ11" s="27"/>
      <x:c r="AR11" s="27"/>
      <x:c r="AS11" s="27"/>
      <x:c r="AT11" s="27"/>
      <x:c r="AU11" s="27"/>
      <x:c r="AV11" s="27"/>
      <x:c r="AW11" s="27"/>
      <x:c r="AX11" s="27"/>
      <x:c r="AY11" s="27"/>
      <x:c r="AZ11" s="27"/>
    </x:row>
    <x:row r="12">
      <x:c r="A12" s="30" t="str">
        <x:v>SRC-C-RAW-002</x:v>
      </x:c>
      <x:c r="B12" s="30" t="str">
        <x:v>raw str centers2(3).pdf</x:v>
      </x:c>
      <x:c r="C12" s="30" t="str">
        <x:v>PDF / 14 image pages</x:v>
      </x:c>
      <x:c r="D12" s="30" t="str">
        <x:v>CFB27 CUT Centers</x:v>
      </x:c>
      <x:c r="E12" s="30" t="str">
        <x:v>DUPLICATE / cross-check</x:v>
      </x:c>
      <x:c r="F12" s="30" t="str"/>
      <x:c r="G12" s="30" t="str">
        <x:v>Appears substantially duplicate of raw str centers.</x:v>
      </x:c>
      <x:c r="H12" s="30" t="str">
        <x:v>Observed card data</x:v>
      </x:c>
      <x:c r="I12" s="27"/>
      <x:c r="J12" s="27"/>
      <x:c r="K12" s="27"/>
      <x:c r="L12" s="27"/>
      <x:c r="M12" s="27"/>
      <x:c r="N12" s="27"/>
      <x:c r="O12" s="27"/>
      <x:c r="P12" s="27"/>
      <x:c r="Q12" s="27"/>
      <x:c r="R12" s="27"/>
      <x:c r="S12" s="27"/>
      <x:c r="T12" s="27"/>
      <x:c r="U12" s="27"/>
      <x:c r="V12" s="27"/>
      <x:c r="W12" s="27"/>
      <x:c r="X12" s="27"/>
      <x:c r="Y12" s="27"/>
      <x:c r="Z12" s="27"/>
      <x:c r="AA12" s="27"/>
      <x:c r="AB12" s="27"/>
      <x:c r="AC12" s="27"/>
      <x:c r="AD12" s="27"/>
      <x:c r="AE12" s="27"/>
      <x:c r="AF12" s="27"/>
      <x:c r="AG12" s="27"/>
      <x:c r="AH12" s="27"/>
      <x:c r="AI12" s="27"/>
      <x:c r="AJ12" s="27"/>
      <x:c r="AK12" s="27"/>
      <x:c r="AL12" s="27"/>
      <x:c r="AM12" s="27"/>
      <x:c r="AN12" s="27"/>
      <x:c r="AO12" s="27"/>
      <x:c r="AP12" s="27"/>
      <x:c r="AQ12" s="27"/>
      <x:c r="AR12" s="27"/>
      <x:c r="AS12" s="27"/>
      <x:c r="AT12" s="27"/>
      <x:c r="AU12" s="27"/>
      <x:c r="AV12" s="27"/>
      <x:c r="AW12" s="27"/>
      <x:c r="AX12" s="27"/>
      <x:c r="AY12" s="27"/>
      <x:c r="AZ12" s="27"/>
    </x:row>
    <x:row r="13">
      <x:c r="A13" s="30" t="str">
        <x:v>SRC-IMG-ARCH</x:v>
      </x:c>
      <x:c r="B13" s="30" t="str">
        <x:v>/mnt/data Screenshot 2026-07-* archive</x:v>
      </x:c>
      <x:c r="C13" s="30" t="str">
        <x:v>Image archive</x:v>
      </x:c>
      <x:c r="D13" s="30" t="str">
        <x:v>CFB27 CUT cards / research</x:v>
      </x:c>
      <x:c r="E13" s="30" t="str">
        <x:v>REGISTERED - 202 files</x:v>
      </x:c>
      <x:c r="F13" s="30" t="str"/>
      <x:c r="G13" s="30" t="str">
        <x:v>Hundreds of raw screenshots retained in current runtime; individual row mapping not yet reliably cataloged.</x:v>
      </x:c>
      <x:c r="H13" s="30" t="str">
        <x:v>Raw evidence archive</x:v>
      </x:c>
      <x:c r="I13" s="27"/>
      <x:c r="J13" s="27"/>
      <x:c r="K13" s="27"/>
      <x:c r="L13" s="27"/>
      <x:c r="M13" s="27"/>
      <x:c r="N13" s="27"/>
      <x:c r="O13" s="27"/>
      <x:c r="P13" s="27"/>
      <x:c r="Q13" s="27"/>
      <x:c r="R13" s="27"/>
      <x:c r="S13" s="27"/>
      <x:c r="T13" s="27"/>
      <x:c r="U13" s="27"/>
      <x:c r="V13" s="27"/>
      <x:c r="W13" s="27"/>
      <x:c r="X13" s="27"/>
      <x:c r="Y13" s="27"/>
      <x:c r="Z13" s="27"/>
      <x:c r="AA13" s="27"/>
      <x:c r="AB13" s="27"/>
      <x:c r="AC13" s="27"/>
      <x:c r="AD13" s="27"/>
      <x:c r="AE13" s="27"/>
      <x:c r="AF13" s="27"/>
      <x:c r="AG13" s="27"/>
      <x:c r="AH13" s="27"/>
      <x:c r="AI13" s="27"/>
      <x:c r="AJ13" s="27"/>
      <x:c r="AK13" s="27"/>
      <x:c r="AL13" s="27"/>
      <x:c r="AM13" s="27"/>
      <x:c r="AN13" s="27"/>
      <x:c r="AO13" s="27"/>
      <x:c r="AP13" s="27"/>
      <x:c r="AQ13" s="27"/>
      <x:c r="AR13" s="27"/>
      <x:c r="AS13" s="27"/>
      <x:c r="AT13" s="27"/>
      <x:c r="AU13" s="27"/>
      <x:c r="AV13" s="27"/>
      <x:c r="AW13" s="27"/>
      <x:c r="AX13" s="27"/>
      <x:c r="AY13" s="27"/>
      <x:c r="AZ13" s="27"/>
    </x:row>
    <x:row r="14">
      <x:c r="A14" s="27" t="str">
        <x:v>SRC-TE-002</x:v>
      </x:c>
      <x:c r="B14" s="27" t="str">
        <x:v>Screenshot 2026-08-01 003541(2).pdf</x:v>
      </x:c>
      <x:c r="C14" s="27" t="str">
        <x:v>PDF / 69 image pages</x:v>
      </x:c>
      <x:c r="D14" s="27" t="str">
        <x:v>CFB27 TE cards</x:v>
      </x:c>
      <x:c r="E14" s="27" t="str">
        <x:v>EXTRACTED - pages 25-69 complete</x:v>
      </x:c>
      <x:c r="F14" s="27" t="str"/>
      <x:c r="G14" s="27" t="str">
        <x:v>Re-upload of the 69-page TE evidence PDF. Pages 25-69 were visually validated in v1.2; page 62 is an exact duplicate screenshot of page 61 and was not double-counted.</x:v>
      </x:c>
      <x:c r="H14" s="27" t="str">
        <x:v>Observed card data / blind holdout evidence</x:v>
      </x:c>
      <x:c r="I14" s="27"/>
      <x:c r="J14" s="27"/>
      <x:c r="K14" s="27"/>
      <x:c r="L14" s="27"/>
      <x:c r="M14" s="27"/>
      <x:c r="N14" s="27"/>
      <x:c r="O14" s="27"/>
      <x:c r="P14" s="27"/>
      <x:c r="Q14" s="27"/>
      <x:c r="R14" s="27"/>
      <x:c r="S14" s="27"/>
      <x:c r="T14" s="27"/>
      <x:c r="U14" s="27"/>
      <x:c r="V14" s="27"/>
      <x:c r="W14" s="27"/>
      <x:c r="X14" s="27"/>
      <x:c r="Y14" s="27"/>
      <x:c r="Z14" s="27"/>
      <x:c r="AA14" s="27"/>
      <x:c r="AB14" s="27"/>
      <x:c r="AC14" s="27"/>
      <x:c r="AD14" s="27"/>
      <x:c r="AE14" s="27"/>
      <x:c r="AF14" s="27"/>
      <x:c r="AG14" s="27"/>
      <x:c r="AH14" s="27"/>
      <x:c r="AI14" s="27"/>
      <x:c r="AJ14" s="27"/>
      <x:c r="AK14" s="27"/>
      <x:c r="AL14" s="27"/>
      <x:c r="AM14" s="27"/>
      <x:c r="AN14" s="27"/>
      <x:c r="AO14" s="27"/>
      <x:c r="AP14" s="27"/>
      <x:c r="AQ14" s="27"/>
      <x:c r="AR14" s="27"/>
      <x:c r="AS14" s="27"/>
      <x:c r="AT14" s="27"/>
      <x:c r="AU14" s="27"/>
      <x:c r="AV14" s="27"/>
      <x:c r="AW14" s="27"/>
      <x:c r="AX14" s="27"/>
      <x:c r="AY14" s="27"/>
      <x:c r="AZ14" s="27"/>
    </x:row>
    <x:row r="15">
      <x:c r="A15" s="267" t="str">
        <x:v>SRC-QB-001</x:v>
      </x:c>
      <x:c r="B15" s="267" t="str">
        <x:v>all qb.pdf</x:v>
      </x:c>
      <x:c r="C15" s="267" t="str">
        <x:v>PDF / 74 image pages</x:v>
      </x:c>
      <x:c r="D15" s="267" t="str">
        <x:v>CFB27 CUT QB cards</x:v>
      </x:c>
      <x:c r="E15" s="267" t="str">
        <x:v>COMPLETE — 73 unique card/version records; 1 exact duplicate excluded</x:v>
      </x:c>
      <x:c r="F15" s="267"/>
      <x:c r="G15" s="267" t="str">
        <x:v>Pages 1–74 visually/OCR audited. Page 56 duplicates page 45. Conner Weigman Core Rare and Platinum Rare are distinct versions with identical ratings.</x:v>
      </x:c>
      <x:c r="H15" s="267" t="str">
        <x:v>Observed QB card data</x:v>
      </x:c>
      <x:c r="I15" s="27"/>
      <x:c r="J15" s="27"/>
      <x:c r="K15" s="27"/>
      <x:c r="L15" s="27"/>
      <x:c r="M15" s="27"/>
      <x:c r="N15" s="27"/>
      <x:c r="O15" s="27"/>
      <x:c r="P15" s="27"/>
      <x:c r="Q15" s="27"/>
      <x:c r="R15" s="27"/>
      <x:c r="S15" s="27"/>
      <x:c r="T15" s="27"/>
      <x:c r="U15" s="27"/>
      <x:c r="V15" s="27"/>
      <x:c r="W15" s="27"/>
      <x:c r="X15" s="27"/>
      <x:c r="Y15" s="27"/>
      <x:c r="Z15" s="27"/>
      <x:c r="AA15" s="27"/>
      <x:c r="AB15" s="27"/>
      <x:c r="AC15" s="27"/>
      <x:c r="AD15" s="27"/>
      <x:c r="AE15" s="27"/>
      <x:c r="AF15" s="27"/>
      <x:c r="AG15" s="27"/>
      <x:c r="AH15" s="27"/>
      <x:c r="AI15" s="27"/>
      <x:c r="AJ15" s="27"/>
      <x:c r="AK15" s="27"/>
      <x:c r="AL15" s="27"/>
      <x:c r="AM15" s="27"/>
      <x:c r="AN15" s="27"/>
      <x:c r="AO15" s="27"/>
      <x:c r="AP15" s="27"/>
      <x:c r="AQ15" s="27"/>
      <x:c r="AR15" s="27"/>
      <x:c r="AS15" s="27"/>
      <x:c r="AT15" s="27"/>
      <x:c r="AU15" s="27"/>
      <x:c r="AV15" s="27"/>
      <x:c r="AW15" s="27"/>
      <x:c r="AX15" s="27"/>
      <x:c r="AY15" s="27"/>
      <x:c r="AZ15" s="27"/>
    </x:row>
    <x:row r="16">
      <x:c r="A16" s="270" t="str">
        <x:v>SRC-QB-002</x:v>
      </x:c>
      <x:c r="B16" s="270" t="str">
        <x:v>players wlevel progression</x:v>
      </x:c>
      <x:c r="C16" s="270" t="str">
        <x:v>Image archive / 45 files</x:v>
      </x:c>
      <x:c r="D16" s="270" t="str">
        <x:v>CFB27 same-player progression</x:v>
      </x:c>
      <x:c r="E16" s="270" t="str">
        <x:v>COMPLETE — QB subset</x:v>
      </x:c>
      <x:c r="F16" s="270" t="str"/>
      <x:c r="G16" s="270" t="str">
        <x:v>Four Joey Harrington SI Legends states found: 79, 81, 84, 86 OVR. Three overlap SRC-QB-001; 79 added as boundary evidence.</x:v>
      </x:c>
      <x:c r="H16" s="270" t="str">
        <x:v>Observed QB progression</x:v>
      </x:c>
      <x:c r="I16" s="27"/>
      <x:c r="J16" s="27"/>
      <x:c r="K16" s="27"/>
      <x:c r="L16" s="27"/>
      <x:c r="M16" s="27"/>
      <x:c r="N16" s="27"/>
      <x:c r="O16" s="27"/>
      <x:c r="P16" s="27"/>
      <x:c r="Q16" s="27"/>
      <x:c r="R16" s="27"/>
      <x:c r="S16" s="27"/>
      <x:c r="T16" s="27"/>
      <x:c r="U16" s="27"/>
      <x:c r="V16" s="27"/>
      <x:c r="W16" s="27"/>
      <x:c r="X16" s="27"/>
      <x:c r="Y16" s="27"/>
      <x:c r="Z16" s="27"/>
      <x:c r="AA16" s="27"/>
      <x:c r="AB16" s="27"/>
      <x:c r="AC16" s="27"/>
      <x:c r="AD16" s="27"/>
      <x:c r="AE16" s="27"/>
      <x:c r="AF16" s="27"/>
      <x:c r="AG16" s="27"/>
      <x:c r="AH16" s="27"/>
      <x:c r="AI16" s="27"/>
      <x:c r="AJ16" s="27"/>
      <x:c r="AK16" s="27"/>
      <x:c r="AL16" s="27"/>
      <x:c r="AM16" s="27"/>
      <x:c r="AN16" s="27"/>
      <x:c r="AO16" s="27"/>
      <x:c r="AP16" s="27"/>
      <x:c r="AQ16" s="27"/>
      <x:c r="AR16" s="27"/>
      <x:c r="AS16" s="27"/>
      <x:c r="AT16" s="27"/>
      <x:c r="AU16" s="27"/>
      <x:c r="AV16" s="27"/>
      <x:c r="AW16" s="27"/>
      <x:c r="AX16" s="27"/>
      <x:c r="AY16" s="27"/>
      <x:c r="AZ16" s="27"/>
    </x:row>
    <x:row r="17">
      <x:c r="A17" s="267" t="str">
        <x:v>SRC-M19-QB-001</x:v>
      </x:c>
      <x:c r="B17" s="267" t="str">
        <x:v>Guide_ Overall Rating Attribute Weightings...pdf + madden 2019.jpg</x:v>
      </x:c>
      <x:c r="C17" s="267" t="str">
        <x:v>PDF/image</x:v>
      </x:c>
      <x:c r="D17" s="267" t="str">
        <x:v>Madden 19 QB weights</x:v>
      </x:c>
      <x:c r="E17" s="267" t="str">
        <x:v>EXTRACTED — QB subset</x:v>
      </x:c>
      <x:c r="F17" s="267" t="str">
        <x:v>https://www.reddit.com/r/Madden/comments/9e6qlb/guide_overall_rating_attribute_weightings_for/</x:v>
      </x:c>
      <x:c r="G17" s="267" t="str">
        <x:v>Historical Field General, Scrambler, Strong Arm, and West Coast weights. Reference only; not treated as CFB27 truth.</x:v>
      </x:c>
      <x:c r="H17" s="267" t="str">
        <x:v>External reference</x:v>
      </x:c>
      <x:c r="I17" s="27"/>
      <x:c r="J17" s="27"/>
      <x:c r="K17" s="27"/>
      <x:c r="L17" s="27"/>
      <x:c r="M17" s="27"/>
      <x:c r="N17" s="27"/>
      <x:c r="O17" s="27"/>
      <x:c r="P17" s="27"/>
      <x:c r="Q17" s="27"/>
      <x:c r="R17" s="27"/>
      <x:c r="S17" s="27"/>
      <x:c r="T17" s="27"/>
      <x:c r="U17" s="27"/>
      <x:c r="V17" s="27"/>
      <x:c r="W17" s="27"/>
      <x:c r="X17" s="27"/>
      <x:c r="Y17" s="27"/>
      <x:c r="Z17" s="27"/>
      <x:c r="AA17" s="27"/>
      <x:c r="AB17" s="27"/>
      <x:c r="AC17" s="27"/>
      <x:c r="AD17" s="27"/>
      <x:c r="AE17" s="27"/>
      <x:c r="AF17" s="27"/>
      <x:c r="AG17" s="27"/>
      <x:c r="AH17" s="27"/>
      <x:c r="AI17" s="27"/>
      <x:c r="AJ17" s="27"/>
      <x:c r="AK17" s="27"/>
      <x:c r="AL17" s="27"/>
      <x:c r="AM17" s="27"/>
      <x:c r="AN17" s="27"/>
      <x:c r="AO17" s="27"/>
      <x:c r="AP17" s="27"/>
      <x:c r="AQ17" s="27"/>
      <x:c r="AR17" s="27"/>
      <x:c r="AS17" s="27"/>
      <x:c r="AT17" s="27"/>
      <x:c r="AU17" s="27"/>
      <x:c r="AV17" s="27"/>
      <x:c r="AW17" s="27"/>
      <x:c r="AX17" s="27"/>
      <x:c r="AY17" s="27"/>
      <x:c r="AZ17" s="27"/>
    </x:row>
    <x:row r="18">
      <x:c r="A18" s="27"/>
      <x:c r="B18" s="27"/>
      <x:c r="C18" s="27"/>
      <x:c r="D18" s="27"/>
      <x:c r="E18" s="27"/>
      <x:c r="F18" s="27"/>
      <x:c r="G18" s="27"/>
      <x:c r="H18" s="27"/>
      <x:c r="I18" s="27"/>
      <x:c r="J18" s="27"/>
      <x:c r="K18" s="27"/>
      <x:c r="L18" s="27"/>
      <x:c r="M18" s="27"/>
      <x:c r="N18" s="27"/>
      <x:c r="O18" s="27"/>
      <x:c r="P18" s="27"/>
      <x:c r="Q18" s="27"/>
      <x:c r="R18" s="27"/>
      <x:c r="S18" s="27"/>
      <x:c r="T18" s="27"/>
      <x:c r="U18" s="27"/>
      <x:c r="V18" s="27"/>
      <x:c r="W18" s="27"/>
      <x:c r="X18" s="27"/>
      <x:c r="Y18" s="27"/>
      <x:c r="Z18" s="27"/>
      <x:c r="AA18" s="27"/>
      <x:c r="AB18" s="27"/>
      <x:c r="AC18" s="27"/>
      <x:c r="AD18" s="27"/>
      <x:c r="AE18" s="27"/>
      <x:c r="AF18" s="27"/>
      <x:c r="AG18" s="27"/>
      <x:c r="AH18" s="27"/>
      <x:c r="AI18" s="27"/>
      <x:c r="AJ18" s="27"/>
      <x:c r="AK18" s="27"/>
      <x:c r="AL18" s="27"/>
      <x:c r="AM18" s="27"/>
      <x:c r="AN18" s="27"/>
      <x:c r="AO18" s="27"/>
      <x:c r="AP18" s="27"/>
      <x:c r="AQ18" s="27"/>
      <x:c r="AR18" s="27"/>
      <x:c r="AS18" s="27"/>
      <x:c r="AT18" s="27"/>
      <x:c r="AU18" s="27"/>
      <x:c r="AV18" s="27"/>
      <x:c r="AW18" s="27"/>
      <x:c r="AX18" s="27"/>
      <x:c r="AY18" s="27"/>
      <x:c r="AZ18" s="27"/>
    </x:row>
    <x:row r="19">
      <x:c r="A19" s="27"/>
      <x:c r="B19" s="27"/>
      <x:c r="C19" s="27"/>
      <x:c r="D19" s="27"/>
      <x:c r="E19" s="27"/>
      <x:c r="F19" s="27"/>
      <x:c r="G19" s="27"/>
      <x:c r="H19" s="27"/>
      <x:c r="I19" s="27"/>
      <x:c r="J19" s="27"/>
      <x:c r="K19" s="27"/>
      <x:c r="L19" s="27"/>
      <x:c r="M19" s="27"/>
      <x:c r="N19" s="27"/>
      <x:c r="O19" s="27"/>
      <x:c r="P19" s="27"/>
      <x:c r="Q19" s="27"/>
      <x:c r="R19" s="27"/>
      <x:c r="S19" s="27"/>
      <x:c r="T19" s="27"/>
      <x:c r="U19" s="27"/>
      <x:c r="V19" s="27"/>
      <x:c r="W19" s="27"/>
      <x:c r="X19" s="27"/>
      <x:c r="Y19" s="27"/>
      <x:c r="Z19" s="27"/>
      <x:c r="AA19" s="27"/>
      <x:c r="AB19" s="27"/>
      <x:c r="AC19" s="27"/>
      <x:c r="AD19" s="27"/>
      <x:c r="AE19" s="27"/>
      <x:c r="AF19" s="27"/>
      <x:c r="AG19" s="27"/>
      <x:c r="AH19" s="27"/>
      <x:c r="AI19" s="27"/>
      <x:c r="AJ19" s="27"/>
      <x:c r="AK19" s="27"/>
      <x:c r="AL19" s="27"/>
      <x:c r="AM19" s="27"/>
      <x:c r="AN19" s="27"/>
      <x:c r="AO19" s="27"/>
      <x:c r="AP19" s="27"/>
      <x:c r="AQ19" s="27"/>
      <x:c r="AR19" s="27"/>
      <x:c r="AS19" s="27"/>
      <x:c r="AT19" s="27"/>
      <x:c r="AU19" s="27"/>
      <x:c r="AV19" s="27"/>
      <x:c r="AW19" s="27"/>
      <x:c r="AX19" s="27"/>
      <x:c r="AY19" s="27"/>
      <x:c r="AZ19" s="27"/>
    </x:row>
    <x:row r="20">
      <x:c r="A20" s="27"/>
      <x:c r="B20" s="27"/>
      <x:c r="C20" s="27"/>
      <x:c r="D20" s="27"/>
      <x:c r="E20" s="27"/>
      <x:c r="F20" s="27"/>
      <x:c r="G20" s="27"/>
      <x:c r="H20" s="27"/>
      <x:c r="I20" s="27"/>
      <x:c r="J20" s="27"/>
      <x:c r="K20" s="27"/>
      <x:c r="L20" s="27"/>
      <x:c r="M20" s="27"/>
      <x:c r="N20" s="27"/>
      <x:c r="O20" s="27"/>
      <x:c r="P20" s="27"/>
      <x:c r="Q20" s="27"/>
      <x:c r="R20" s="27"/>
      <x:c r="S20" s="27"/>
      <x:c r="T20" s="27"/>
      <x:c r="U20" s="27"/>
      <x:c r="V20" s="27"/>
      <x:c r="W20" s="27"/>
      <x:c r="X20" s="27"/>
      <x:c r="Y20" s="27"/>
      <x:c r="Z20" s="27"/>
      <x:c r="AA20" s="27"/>
      <x:c r="AB20" s="27"/>
      <x:c r="AC20" s="27"/>
      <x:c r="AD20" s="27"/>
      <x:c r="AE20" s="27"/>
      <x:c r="AF20" s="27"/>
      <x:c r="AG20" s="27"/>
      <x:c r="AH20" s="27"/>
      <x:c r="AI20" s="27"/>
      <x:c r="AJ20" s="27"/>
      <x:c r="AK20" s="27"/>
      <x:c r="AL20" s="27"/>
      <x:c r="AM20" s="27"/>
      <x:c r="AN20" s="27"/>
      <x:c r="AO20" s="27"/>
      <x:c r="AP20" s="27"/>
      <x:c r="AQ20" s="27"/>
      <x:c r="AR20" s="27"/>
      <x:c r="AS20" s="27"/>
      <x:c r="AT20" s="27"/>
      <x:c r="AU20" s="27"/>
      <x:c r="AV20" s="27"/>
      <x:c r="AW20" s="27"/>
      <x:c r="AX20" s="27"/>
      <x:c r="AY20" s="27"/>
      <x:c r="AZ20" s="27"/>
    </x:row>
    <x:row r="21">
      <x:c r="A21" s="27"/>
      <x:c r="B21" s="27"/>
      <x:c r="C21" s="27"/>
      <x:c r="D21" s="27"/>
      <x:c r="E21" s="27"/>
      <x:c r="F21" s="27"/>
      <x:c r="G21" s="27"/>
      <x:c r="H21" s="27"/>
      <x:c r="I21" s="27"/>
      <x:c r="J21" s="27"/>
      <x:c r="K21" s="27"/>
      <x:c r="L21" s="27"/>
      <x:c r="M21" s="27"/>
      <x:c r="N21" s="27"/>
      <x:c r="O21" s="27"/>
      <x:c r="P21" s="27"/>
      <x:c r="Q21" s="27"/>
      <x:c r="R21" s="27"/>
      <x:c r="S21" s="27"/>
      <x:c r="T21" s="27"/>
      <x:c r="U21" s="27"/>
      <x:c r="V21" s="27"/>
      <x:c r="W21" s="27"/>
      <x:c r="X21" s="27"/>
      <x:c r="Y21" s="27"/>
      <x:c r="Z21" s="27"/>
      <x:c r="AA21" s="27"/>
      <x:c r="AB21" s="27"/>
      <x:c r="AC21" s="27"/>
      <x:c r="AD21" s="27"/>
      <x:c r="AE21" s="27"/>
      <x:c r="AF21" s="27"/>
      <x:c r="AG21" s="27"/>
      <x:c r="AH21" s="27"/>
      <x:c r="AI21" s="27"/>
      <x:c r="AJ21" s="27"/>
      <x:c r="AK21" s="27"/>
      <x:c r="AL21" s="27"/>
      <x:c r="AM21" s="27"/>
      <x:c r="AN21" s="27"/>
      <x:c r="AO21" s="27"/>
      <x:c r="AP21" s="27"/>
      <x:c r="AQ21" s="27"/>
      <x:c r="AR21" s="27"/>
      <x:c r="AS21" s="27"/>
      <x:c r="AT21" s="27"/>
      <x:c r="AU21" s="27"/>
      <x:c r="AV21" s="27"/>
      <x:c r="AW21" s="27"/>
      <x:c r="AX21" s="27"/>
      <x:c r="AY21" s="27"/>
      <x:c r="AZ21" s="27"/>
    </x:row>
    <x:row r="22">
      <x:c r="A22" s="27"/>
      <x:c r="B22" s="27"/>
      <x:c r="C22" s="27"/>
      <x:c r="D22" s="27"/>
      <x:c r="E22" s="27"/>
      <x:c r="F22" s="27"/>
      <x:c r="G22" s="27"/>
      <x:c r="H22" s="27"/>
      <x:c r="I22" s="27"/>
      <x:c r="J22" s="27"/>
      <x:c r="K22" s="27"/>
      <x:c r="L22" s="27"/>
      <x:c r="M22" s="27"/>
      <x:c r="N22" s="27"/>
      <x:c r="O22" s="27"/>
      <x:c r="P22" s="27"/>
      <x:c r="Q22" s="27"/>
      <x:c r="R22" s="27"/>
      <x:c r="S22" s="27"/>
      <x:c r="T22" s="27"/>
      <x:c r="U22" s="27"/>
      <x:c r="V22" s="27"/>
      <x:c r="W22" s="27"/>
      <x:c r="X22" s="27"/>
      <x:c r="Y22" s="27"/>
      <x:c r="Z22" s="27"/>
      <x:c r="AA22" s="27"/>
      <x:c r="AB22" s="27"/>
      <x:c r="AC22" s="27"/>
      <x:c r="AD22" s="27"/>
      <x:c r="AE22" s="27"/>
      <x:c r="AF22" s="27"/>
      <x:c r="AG22" s="27"/>
      <x:c r="AH22" s="27"/>
      <x:c r="AI22" s="27"/>
      <x:c r="AJ22" s="27"/>
      <x:c r="AK22" s="27"/>
      <x:c r="AL22" s="27"/>
      <x:c r="AM22" s="27"/>
      <x:c r="AN22" s="27"/>
      <x:c r="AO22" s="27"/>
      <x:c r="AP22" s="27"/>
      <x:c r="AQ22" s="27"/>
      <x:c r="AR22" s="27"/>
      <x:c r="AS22" s="27"/>
      <x:c r="AT22" s="27"/>
      <x:c r="AU22" s="27"/>
      <x:c r="AV22" s="27"/>
      <x:c r="AW22" s="27"/>
      <x:c r="AX22" s="27"/>
      <x:c r="AY22" s="27"/>
      <x:c r="AZ22" s="27"/>
    </x:row>
    <x:row r="23">
      <x:c r="A23" s="27"/>
      <x:c r="B23" s="27"/>
      <x:c r="C23" s="27"/>
      <x:c r="D23" s="27"/>
      <x:c r="E23" s="27"/>
      <x:c r="F23" s="27"/>
      <x:c r="G23" s="27"/>
      <x:c r="H23" s="27"/>
      <x:c r="I23" s="27"/>
      <x:c r="J23" s="27"/>
      <x:c r="K23" s="27"/>
      <x:c r="L23" s="27"/>
      <x:c r="M23" s="27"/>
      <x:c r="N23" s="27"/>
      <x:c r="O23" s="27"/>
      <x:c r="P23" s="27"/>
      <x:c r="Q23" s="27"/>
      <x:c r="R23" s="27"/>
      <x:c r="S23" s="27"/>
      <x:c r="T23" s="27"/>
      <x:c r="U23" s="27"/>
      <x:c r="V23" s="27"/>
      <x:c r="W23" s="27"/>
      <x:c r="X23" s="27"/>
      <x:c r="Y23" s="27"/>
      <x:c r="Z23" s="27"/>
      <x:c r="AA23" s="27"/>
      <x:c r="AB23" s="27"/>
      <x:c r="AC23" s="27"/>
      <x:c r="AD23" s="27"/>
      <x:c r="AE23" s="27"/>
      <x:c r="AF23" s="27"/>
      <x:c r="AG23" s="27"/>
      <x:c r="AH23" s="27"/>
      <x:c r="AI23" s="27"/>
      <x:c r="AJ23" s="27"/>
      <x:c r="AK23" s="27"/>
      <x:c r="AL23" s="27"/>
      <x:c r="AM23" s="27"/>
      <x:c r="AN23" s="27"/>
      <x:c r="AO23" s="27"/>
      <x:c r="AP23" s="27"/>
      <x:c r="AQ23" s="27"/>
      <x:c r="AR23" s="27"/>
      <x:c r="AS23" s="27"/>
      <x:c r="AT23" s="27"/>
      <x:c r="AU23" s="27"/>
      <x:c r="AV23" s="27"/>
      <x:c r="AW23" s="27"/>
      <x:c r="AX23" s="27"/>
      <x:c r="AY23" s="27"/>
      <x:c r="AZ23" s="27"/>
    </x:row>
    <x:row r="24">
      <x:c r="A24" s="27"/>
      <x:c r="B24" s="27"/>
      <x:c r="C24" s="27"/>
      <x:c r="D24" s="27"/>
      <x:c r="E24" s="27"/>
      <x:c r="F24" s="27"/>
      <x:c r="G24" s="27"/>
      <x:c r="H24" s="27"/>
      <x:c r="I24" s="27"/>
      <x:c r="J24" s="27"/>
      <x:c r="K24" s="27"/>
      <x:c r="L24" s="27"/>
      <x:c r="M24" s="27"/>
      <x:c r="N24" s="27"/>
      <x:c r="O24" s="27"/>
      <x:c r="P24" s="27"/>
      <x:c r="Q24" s="27"/>
      <x:c r="R24" s="27"/>
      <x:c r="S24" s="27"/>
      <x:c r="T24" s="27"/>
      <x:c r="U24" s="27"/>
      <x:c r="V24" s="27"/>
      <x:c r="W24" s="27"/>
      <x:c r="X24" s="27"/>
      <x:c r="Y24" s="27"/>
      <x:c r="Z24" s="27"/>
      <x:c r="AA24" s="27"/>
      <x:c r="AB24" s="27"/>
      <x:c r="AC24" s="27"/>
      <x:c r="AD24" s="27"/>
      <x:c r="AE24" s="27"/>
      <x:c r="AF24" s="27"/>
      <x:c r="AG24" s="27"/>
      <x:c r="AH24" s="27"/>
      <x:c r="AI24" s="27"/>
      <x:c r="AJ24" s="27"/>
      <x:c r="AK24" s="27"/>
      <x:c r="AL24" s="27"/>
      <x:c r="AM24" s="27"/>
      <x:c r="AN24" s="27"/>
      <x:c r="AO24" s="27"/>
      <x:c r="AP24" s="27"/>
      <x:c r="AQ24" s="27"/>
      <x:c r="AR24" s="27"/>
      <x:c r="AS24" s="27"/>
      <x:c r="AT24" s="27"/>
      <x:c r="AU24" s="27"/>
      <x:c r="AV24" s="27"/>
      <x:c r="AW24" s="27"/>
      <x:c r="AX24" s="27"/>
      <x:c r="AY24" s="27"/>
      <x:c r="AZ24" s="27"/>
    </x:row>
    <x:row r="25">
      <x:c r="A25" s="27"/>
      <x:c r="B25" s="27"/>
      <x:c r="C25" s="27"/>
      <x:c r="D25" s="27"/>
      <x:c r="E25" s="27"/>
      <x:c r="F25" s="27"/>
      <x:c r="G25" s="27"/>
      <x:c r="H25" s="27"/>
      <x:c r="I25" s="27"/>
      <x:c r="J25" s="27"/>
      <x:c r="K25" s="27"/>
      <x:c r="L25" s="27"/>
      <x:c r="M25" s="27"/>
      <x:c r="N25" s="27"/>
      <x:c r="O25" s="27"/>
      <x:c r="P25" s="27"/>
      <x:c r="Q25" s="27"/>
      <x:c r="R25" s="27"/>
      <x:c r="S25" s="27"/>
      <x:c r="T25" s="27"/>
      <x:c r="U25" s="27"/>
      <x:c r="V25" s="27"/>
      <x:c r="W25" s="27"/>
      <x:c r="X25" s="27"/>
      <x:c r="Y25" s="27"/>
      <x:c r="Z25" s="27"/>
      <x:c r="AA25" s="27"/>
      <x:c r="AB25" s="27"/>
      <x:c r="AC25" s="27"/>
      <x:c r="AD25" s="27"/>
      <x:c r="AE25" s="27"/>
      <x:c r="AF25" s="27"/>
      <x:c r="AG25" s="27"/>
      <x:c r="AH25" s="27"/>
      <x:c r="AI25" s="27"/>
      <x:c r="AJ25" s="27"/>
      <x:c r="AK25" s="27"/>
      <x:c r="AL25" s="27"/>
      <x:c r="AM25" s="27"/>
      <x:c r="AN25" s="27"/>
      <x:c r="AO25" s="27"/>
      <x:c r="AP25" s="27"/>
      <x:c r="AQ25" s="27"/>
      <x:c r="AR25" s="27"/>
      <x:c r="AS25" s="27"/>
      <x:c r="AT25" s="27"/>
      <x:c r="AU25" s="27"/>
      <x:c r="AV25" s="27"/>
      <x:c r="AW25" s="27"/>
      <x:c r="AX25" s="27"/>
      <x:c r="AY25" s="27"/>
      <x:c r="AZ25" s="27"/>
    </x:row>
    <x:row r="26">
      <x:c r="A26" s="27"/>
      <x:c r="B26" s="27"/>
      <x:c r="C26" s="27"/>
      <x:c r="D26" s="27"/>
      <x:c r="E26" s="27"/>
      <x:c r="F26" s="27"/>
      <x:c r="G26" s="27"/>
      <x:c r="H26" s="27"/>
      <x:c r="I26" s="27"/>
      <x:c r="J26" s="27"/>
      <x:c r="K26" s="27"/>
      <x:c r="L26" s="27"/>
      <x:c r="M26" s="27"/>
      <x:c r="N26" s="27"/>
      <x:c r="O26" s="27"/>
      <x:c r="P26" s="27"/>
      <x:c r="Q26" s="27"/>
      <x:c r="R26" s="27"/>
      <x:c r="S26" s="27"/>
      <x:c r="T26" s="27"/>
      <x:c r="U26" s="27"/>
      <x:c r="V26" s="27"/>
      <x:c r="W26" s="27"/>
      <x:c r="X26" s="27"/>
      <x:c r="Y26" s="27"/>
      <x:c r="Z26" s="27"/>
      <x:c r="AA26" s="27"/>
      <x:c r="AB26" s="27"/>
      <x:c r="AC26" s="27"/>
      <x:c r="AD26" s="27"/>
      <x:c r="AE26" s="27"/>
      <x:c r="AF26" s="27"/>
      <x:c r="AG26" s="27"/>
      <x:c r="AH26" s="27"/>
      <x:c r="AI26" s="27"/>
      <x:c r="AJ26" s="27"/>
      <x:c r="AK26" s="27"/>
      <x:c r="AL26" s="27"/>
      <x:c r="AM26" s="27"/>
      <x:c r="AN26" s="27"/>
      <x:c r="AO26" s="27"/>
      <x:c r="AP26" s="27"/>
      <x:c r="AQ26" s="27"/>
      <x:c r="AR26" s="27"/>
      <x:c r="AS26" s="27"/>
      <x:c r="AT26" s="27"/>
      <x:c r="AU26" s="27"/>
      <x:c r="AV26" s="27"/>
      <x:c r="AW26" s="27"/>
      <x:c r="AX26" s="27"/>
      <x:c r="AY26" s="27"/>
      <x:c r="AZ26" s="27"/>
    </x:row>
    <x:row r="27">
      <x:c r="A27" s="27"/>
      <x:c r="B27" s="27"/>
      <x:c r="C27" s="27"/>
      <x:c r="D27" s="27"/>
      <x:c r="E27" s="27"/>
      <x:c r="F27" s="27"/>
      <x:c r="G27" s="27"/>
      <x:c r="H27" s="27"/>
      <x:c r="I27" s="27"/>
      <x:c r="J27" s="27"/>
      <x:c r="K27" s="27"/>
      <x:c r="L27" s="27"/>
      <x:c r="M27" s="27"/>
      <x:c r="N27" s="27"/>
      <x:c r="O27" s="27"/>
      <x:c r="P27" s="27"/>
      <x:c r="Q27" s="27"/>
      <x:c r="R27" s="27"/>
      <x:c r="S27" s="27"/>
      <x:c r="T27" s="27"/>
      <x:c r="U27" s="27"/>
      <x:c r="V27" s="27"/>
      <x:c r="W27" s="27"/>
      <x:c r="X27" s="27"/>
      <x:c r="Y27" s="27"/>
      <x:c r="Z27" s="27"/>
      <x:c r="AA27" s="27"/>
      <x:c r="AB27" s="27"/>
      <x:c r="AC27" s="27"/>
      <x:c r="AD27" s="27"/>
      <x:c r="AE27" s="27"/>
      <x:c r="AF27" s="27"/>
      <x:c r="AG27" s="27"/>
      <x:c r="AH27" s="27"/>
      <x:c r="AI27" s="27"/>
      <x:c r="AJ27" s="27"/>
      <x:c r="AK27" s="27"/>
      <x:c r="AL27" s="27"/>
      <x:c r="AM27" s="27"/>
      <x:c r="AN27" s="27"/>
      <x:c r="AO27" s="27"/>
      <x:c r="AP27" s="27"/>
      <x:c r="AQ27" s="27"/>
      <x:c r="AR27" s="27"/>
      <x:c r="AS27" s="27"/>
      <x:c r="AT27" s="27"/>
      <x:c r="AU27" s="27"/>
      <x:c r="AV27" s="27"/>
      <x:c r="AW27" s="27"/>
      <x:c r="AX27" s="27"/>
      <x:c r="AY27" s="27"/>
      <x:c r="AZ27" s="27"/>
    </x:row>
    <x:row r="28">
      <x:c r="A28" s="27"/>
      <x:c r="B28" s="27"/>
      <x:c r="C28" s="27"/>
      <x:c r="D28" s="27"/>
      <x:c r="E28" s="27"/>
      <x:c r="F28" s="27"/>
      <x:c r="G28" s="27"/>
      <x:c r="H28" s="27"/>
      <x:c r="I28" s="27"/>
      <x:c r="J28" s="27"/>
      <x:c r="K28" s="27"/>
      <x:c r="L28" s="27"/>
      <x:c r="M28" s="27"/>
      <x:c r="N28" s="27"/>
      <x:c r="O28" s="27"/>
      <x:c r="P28" s="27"/>
      <x:c r="Q28" s="27"/>
      <x:c r="R28" s="27"/>
      <x:c r="S28" s="27"/>
      <x:c r="T28" s="27"/>
      <x:c r="U28" s="27"/>
      <x:c r="V28" s="27"/>
      <x:c r="W28" s="27"/>
      <x:c r="X28" s="27"/>
      <x:c r="Y28" s="27"/>
      <x:c r="Z28" s="27"/>
      <x:c r="AA28" s="27"/>
      <x:c r="AB28" s="27"/>
      <x:c r="AC28" s="27"/>
      <x:c r="AD28" s="27"/>
      <x:c r="AE28" s="27"/>
      <x:c r="AF28" s="27"/>
      <x:c r="AG28" s="27"/>
      <x:c r="AH28" s="27"/>
      <x:c r="AI28" s="27"/>
      <x:c r="AJ28" s="27"/>
      <x:c r="AK28" s="27"/>
      <x:c r="AL28" s="27"/>
      <x:c r="AM28" s="27"/>
      <x:c r="AN28" s="27"/>
      <x:c r="AO28" s="27"/>
      <x:c r="AP28" s="27"/>
      <x:c r="AQ28" s="27"/>
      <x:c r="AR28" s="27"/>
      <x:c r="AS28" s="27"/>
      <x:c r="AT28" s="27"/>
      <x:c r="AU28" s="27"/>
      <x:c r="AV28" s="27"/>
      <x:c r="AW28" s="27"/>
      <x:c r="AX28" s="27"/>
      <x:c r="AY28" s="27"/>
      <x:c r="AZ28" s="27"/>
    </x:row>
    <x:row r="29">
      <x:c r="A29" s="27"/>
      <x:c r="B29" s="27"/>
      <x:c r="C29" s="27"/>
      <x:c r="D29" s="27"/>
      <x:c r="E29" s="27"/>
      <x:c r="F29" s="27"/>
      <x:c r="G29" s="27"/>
      <x:c r="H29" s="27"/>
      <x:c r="I29" s="27"/>
      <x:c r="J29" s="27"/>
      <x:c r="K29" s="27"/>
      <x:c r="L29" s="27"/>
      <x:c r="M29" s="27"/>
      <x:c r="N29" s="27"/>
      <x:c r="O29" s="27"/>
      <x:c r="P29" s="27"/>
      <x:c r="Q29" s="27"/>
      <x:c r="R29" s="27"/>
      <x:c r="S29" s="27"/>
      <x:c r="T29" s="27"/>
      <x:c r="U29" s="27"/>
      <x:c r="V29" s="27"/>
      <x:c r="W29" s="27"/>
      <x:c r="X29" s="27"/>
      <x:c r="Y29" s="27"/>
      <x:c r="Z29" s="27"/>
      <x:c r="AA29" s="27"/>
      <x:c r="AB29" s="27"/>
      <x:c r="AC29" s="27"/>
      <x:c r="AD29" s="27"/>
      <x:c r="AE29" s="27"/>
      <x:c r="AF29" s="27"/>
      <x:c r="AG29" s="27"/>
      <x:c r="AH29" s="27"/>
      <x:c r="AI29" s="27"/>
      <x:c r="AJ29" s="27"/>
      <x:c r="AK29" s="27"/>
      <x:c r="AL29" s="27"/>
      <x:c r="AM29" s="27"/>
      <x:c r="AN29" s="27"/>
      <x:c r="AO29" s="27"/>
      <x:c r="AP29" s="27"/>
      <x:c r="AQ29" s="27"/>
      <x:c r="AR29" s="27"/>
      <x:c r="AS29" s="27"/>
      <x:c r="AT29" s="27"/>
      <x:c r="AU29" s="27"/>
      <x:c r="AV29" s="27"/>
      <x:c r="AW29" s="27"/>
      <x:c r="AX29" s="27"/>
      <x:c r="AY29" s="27"/>
      <x:c r="AZ29" s="27"/>
    </x:row>
    <x:row r="30">
      <x:c r="A30" s="27"/>
      <x:c r="B30" s="27"/>
      <x:c r="C30" s="27"/>
      <x:c r="D30" s="27"/>
      <x:c r="E30" s="27"/>
      <x:c r="F30" s="27"/>
      <x:c r="G30" s="27"/>
      <x:c r="H30" s="27"/>
      <x:c r="I30" s="27"/>
      <x:c r="J30" s="27"/>
      <x:c r="K30" s="27"/>
      <x:c r="L30" s="27"/>
      <x:c r="M30" s="27"/>
      <x:c r="N30" s="27"/>
      <x:c r="O30" s="27"/>
      <x:c r="P30" s="27"/>
      <x:c r="Q30" s="27"/>
      <x:c r="R30" s="27"/>
      <x:c r="S30" s="27"/>
      <x:c r="T30" s="27"/>
      <x:c r="U30" s="27"/>
      <x:c r="V30" s="27"/>
      <x:c r="W30" s="27"/>
      <x:c r="X30" s="27"/>
      <x:c r="Y30" s="27"/>
      <x:c r="Z30" s="27"/>
      <x:c r="AA30" s="27"/>
      <x:c r="AB30" s="27"/>
      <x:c r="AC30" s="27"/>
      <x:c r="AD30" s="27"/>
      <x:c r="AE30" s="27"/>
      <x:c r="AF30" s="27"/>
      <x:c r="AG30" s="27"/>
      <x:c r="AH30" s="27"/>
      <x:c r="AI30" s="27"/>
      <x:c r="AJ30" s="27"/>
      <x:c r="AK30" s="27"/>
      <x:c r="AL30" s="27"/>
      <x:c r="AM30" s="27"/>
      <x:c r="AN30" s="27"/>
      <x:c r="AO30" s="27"/>
      <x:c r="AP30" s="27"/>
      <x:c r="AQ30" s="27"/>
      <x:c r="AR30" s="27"/>
      <x:c r="AS30" s="27"/>
      <x:c r="AT30" s="27"/>
      <x:c r="AU30" s="27"/>
      <x:c r="AV30" s="27"/>
      <x:c r="AW30" s="27"/>
      <x:c r="AX30" s="27"/>
      <x:c r="AY30" s="27"/>
      <x:c r="AZ30" s="27"/>
    </x:row>
    <x:row r="31">
      <x:c r="A31" s="27"/>
      <x:c r="B31" s="27"/>
      <x:c r="C31" s="27"/>
      <x:c r="D31" s="27"/>
      <x:c r="E31" s="27"/>
      <x:c r="F31" s="27"/>
      <x:c r="G31" s="27"/>
      <x:c r="H31" s="27"/>
      <x:c r="I31" s="27"/>
      <x:c r="J31" s="27"/>
      <x:c r="K31" s="27"/>
      <x:c r="L31" s="27"/>
      <x:c r="M31" s="27"/>
      <x:c r="N31" s="27"/>
      <x:c r="O31" s="27"/>
      <x:c r="P31" s="27"/>
      <x:c r="Q31" s="27"/>
      <x:c r="R31" s="27"/>
      <x:c r="S31" s="27"/>
      <x:c r="T31" s="27"/>
      <x:c r="U31" s="27"/>
      <x:c r="V31" s="27"/>
      <x:c r="W31" s="27"/>
      <x:c r="X31" s="27"/>
      <x:c r="Y31" s="27"/>
      <x:c r="Z31" s="27"/>
      <x:c r="AA31" s="27"/>
      <x:c r="AB31" s="27"/>
      <x:c r="AC31" s="27"/>
      <x:c r="AD31" s="27"/>
      <x:c r="AE31" s="27"/>
      <x:c r="AF31" s="27"/>
      <x:c r="AG31" s="27"/>
      <x:c r="AH31" s="27"/>
      <x:c r="AI31" s="27"/>
      <x:c r="AJ31" s="27"/>
      <x:c r="AK31" s="27"/>
      <x:c r="AL31" s="27"/>
      <x:c r="AM31" s="27"/>
      <x:c r="AN31" s="27"/>
      <x:c r="AO31" s="27"/>
      <x:c r="AP31" s="27"/>
      <x:c r="AQ31" s="27"/>
      <x:c r="AR31" s="27"/>
      <x:c r="AS31" s="27"/>
      <x:c r="AT31" s="27"/>
      <x:c r="AU31" s="27"/>
      <x:c r="AV31" s="27"/>
      <x:c r="AW31" s="27"/>
      <x:c r="AX31" s="27"/>
      <x:c r="AY31" s="27"/>
      <x:c r="AZ31" s="27"/>
    </x:row>
    <x:row r="32">
      <x:c r="A32" s="27"/>
      <x:c r="B32" s="27"/>
      <x:c r="C32" s="27"/>
      <x:c r="D32" s="27"/>
      <x:c r="E32" s="27"/>
      <x:c r="F32" s="27"/>
      <x:c r="G32" s="27"/>
      <x:c r="H32" s="27"/>
      <x:c r="I32" s="27"/>
      <x:c r="J32" s="27"/>
      <x:c r="K32" s="27"/>
      <x:c r="L32" s="27"/>
      <x:c r="M32" s="27"/>
      <x:c r="N32" s="27"/>
      <x:c r="O32" s="27"/>
      <x:c r="P32" s="27"/>
      <x:c r="Q32" s="27"/>
      <x:c r="R32" s="27"/>
      <x:c r="S32" s="27"/>
      <x:c r="T32" s="27"/>
      <x:c r="U32" s="27"/>
      <x:c r="V32" s="27"/>
      <x:c r="W32" s="27"/>
      <x:c r="X32" s="27"/>
      <x:c r="Y32" s="27"/>
      <x:c r="Z32" s="27"/>
      <x:c r="AA32" s="27"/>
      <x:c r="AB32" s="27"/>
      <x:c r="AC32" s="27"/>
      <x:c r="AD32" s="27"/>
      <x:c r="AE32" s="27"/>
      <x:c r="AF32" s="27"/>
      <x:c r="AG32" s="27"/>
      <x:c r="AH32" s="27"/>
      <x:c r="AI32" s="27"/>
      <x:c r="AJ32" s="27"/>
      <x:c r="AK32" s="27"/>
      <x:c r="AL32" s="27"/>
      <x:c r="AM32" s="27"/>
      <x:c r="AN32" s="27"/>
      <x:c r="AO32" s="27"/>
      <x:c r="AP32" s="27"/>
      <x:c r="AQ32" s="27"/>
      <x:c r="AR32" s="27"/>
      <x:c r="AS32" s="27"/>
      <x:c r="AT32" s="27"/>
      <x:c r="AU32" s="27"/>
      <x:c r="AV32" s="27"/>
      <x:c r="AW32" s="27"/>
      <x:c r="AX32" s="27"/>
      <x:c r="AY32" s="27"/>
      <x:c r="AZ32" s="27"/>
    </x:row>
    <x:row r="33">
      <x:c r="A33" s="27"/>
      <x:c r="B33" s="27"/>
      <x:c r="C33" s="27"/>
      <x:c r="D33" s="27"/>
      <x:c r="E33" s="27"/>
      <x:c r="F33" s="27"/>
      <x:c r="G33" s="27"/>
      <x:c r="H33" s="27"/>
      <x:c r="I33" s="27"/>
      <x:c r="J33" s="27"/>
      <x:c r="K33" s="27"/>
      <x:c r="L33" s="27"/>
      <x:c r="M33" s="27"/>
      <x:c r="N33" s="27"/>
      <x:c r="O33" s="27"/>
      <x:c r="P33" s="27"/>
      <x:c r="Q33" s="27"/>
      <x:c r="R33" s="27"/>
      <x:c r="S33" s="27"/>
      <x:c r="T33" s="27"/>
      <x:c r="U33" s="27"/>
      <x:c r="V33" s="27"/>
      <x:c r="W33" s="27"/>
      <x:c r="X33" s="27"/>
      <x:c r="Y33" s="27"/>
      <x:c r="Z33" s="27"/>
      <x:c r="AA33" s="27"/>
      <x:c r="AB33" s="27"/>
      <x:c r="AC33" s="27"/>
      <x:c r="AD33" s="27"/>
      <x:c r="AE33" s="27"/>
      <x:c r="AF33" s="27"/>
      <x:c r="AG33" s="27"/>
      <x:c r="AH33" s="27"/>
      <x:c r="AI33" s="27"/>
      <x:c r="AJ33" s="27"/>
      <x:c r="AK33" s="27"/>
      <x:c r="AL33" s="27"/>
      <x:c r="AM33" s="27"/>
      <x:c r="AN33" s="27"/>
      <x:c r="AO33" s="27"/>
      <x:c r="AP33" s="27"/>
      <x:c r="AQ33" s="27"/>
      <x:c r="AR33" s="27"/>
      <x:c r="AS33" s="27"/>
      <x:c r="AT33" s="27"/>
      <x:c r="AU33" s="27"/>
      <x:c r="AV33" s="27"/>
      <x:c r="AW33" s="27"/>
      <x:c r="AX33" s="27"/>
      <x:c r="AY33" s="27"/>
      <x:c r="AZ33" s="27"/>
    </x:row>
    <x:row r="34">
      <x:c r="A34" s="27"/>
      <x:c r="B34" s="27"/>
      <x:c r="C34" s="27"/>
      <x:c r="D34" s="27"/>
      <x:c r="E34" s="27"/>
      <x:c r="F34" s="27"/>
      <x:c r="G34" s="27"/>
      <x:c r="H34" s="27"/>
      <x:c r="I34" s="27"/>
      <x:c r="J34" s="27"/>
      <x:c r="K34" s="27"/>
      <x:c r="L34" s="27"/>
      <x:c r="M34" s="27"/>
      <x:c r="N34" s="27"/>
      <x:c r="O34" s="27"/>
      <x:c r="P34" s="27"/>
      <x:c r="Q34" s="27"/>
      <x:c r="R34" s="27"/>
      <x:c r="S34" s="27"/>
      <x:c r="T34" s="27"/>
      <x:c r="U34" s="27"/>
      <x:c r="V34" s="27"/>
      <x:c r="W34" s="27"/>
      <x:c r="X34" s="27"/>
      <x:c r="Y34" s="27"/>
      <x:c r="Z34" s="27"/>
      <x:c r="AA34" s="27"/>
      <x:c r="AB34" s="27"/>
      <x:c r="AC34" s="27"/>
      <x:c r="AD34" s="27"/>
      <x:c r="AE34" s="27"/>
      <x:c r="AF34" s="27"/>
      <x:c r="AG34" s="27"/>
      <x:c r="AH34" s="27"/>
      <x:c r="AI34" s="27"/>
      <x:c r="AJ34" s="27"/>
      <x:c r="AK34" s="27"/>
      <x:c r="AL34" s="27"/>
      <x:c r="AM34" s="27"/>
      <x:c r="AN34" s="27"/>
      <x:c r="AO34" s="27"/>
      <x:c r="AP34" s="27"/>
      <x:c r="AQ34" s="27"/>
      <x:c r="AR34" s="27"/>
      <x:c r="AS34" s="27"/>
      <x:c r="AT34" s="27"/>
      <x:c r="AU34" s="27"/>
      <x:c r="AV34" s="27"/>
      <x:c r="AW34" s="27"/>
      <x:c r="AX34" s="27"/>
      <x:c r="AY34" s="27"/>
      <x:c r="AZ34" s="27"/>
    </x:row>
    <x:row r="35">
      <x:c r="A35" s="27"/>
      <x:c r="B35" s="27"/>
      <x:c r="C35" s="27"/>
      <x:c r="D35" s="27"/>
      <x:c r="E35" s="27"/>
      <x:c r="F35" s="27"/>
      <x:c r="G35" s="27"/>
      <x:c r="H35" s="27"/>
      <x:c r="I35" s="27"/>
      <x:c r="J35" s="27"/>
      <x:c r="K35" s="27"/>
      <x:c r="L35" s="27"/>
      <x:c r="M35" s="27"/>
      <x:c r="N35" s="27"/>
      <x:c r="O35" s="27"/>
      <x:c r="P35" s="27"/>
      <x:c r="Q35" s="27"/>
      <x:c r="R35" s="27"/>
      <x:c r="S35" s="27"/>
      <x:c r="T35" s="27"/>
      <x:c r="U35" s="27"/>
      <x:c r="V35" s="27"/>
      <x:c r="W35" s="27"/>
      <x:c r="X35" s="27"/>
      <x:c r="Y35" s="27"/>
      <x:c r="Z35" s="27"/>
      <x:c r="AA35" s="27"/>
      <x:c r="AB35" s="27"/>
      <x:c r="AC35" s="27"/>
      <x:c r="AD35" s="27"/>
      <x:c r="AE35" s="27"/>
      <x:c r="AF35" s="27"/>
      <x:c r="AG35" s="27"/>
      <x:c r="AH35" s="27"/>
      <x:c r="AI35" s="27"/>
      <x:c r="AJ35" s="27"/>
      <x:c r="AK35" s="27"/>
      <x:c r="AL35" s="27"/>
      <x:c r="AM35" s="27"/>
      <x:c r="AN35" s="27"/>
      <x:c r="AO35" s="27"/>
      <x:c r="AP35" s="27"/>
      <x:c r="AQ35" s="27"/>
      <x:c r="AR35" s="27"/>
      <x:c r="AS35" s="27"/>
      <x:c r="AT35" s="27"/>
      <x:c r="AU35" s="27"/>
      <x:c r="AV35" s="27"/>
      <x:c r="AW35" s="27"/>
      <x:c r="AX35" s="27"/>
      <x:c r="AY35" s="27"/>
      <x:c r="AZ35" s="27"/>
    </x:row>
    <x:row r="36">
      <x:c r="A36" s="27"/>
      <x:c r="B36" s="27"/>
      <x:c r="C36" s="27"/>
      <x:c r="D36" s="27"/>
      <x:c r="E36" s="27"/>
      <x:c r="F36" s="27"/>
      <x:c r="G36" s="27"/>
      <x:c r="H36" s="27"/>
      <x:c r="I36" s="27"/>
      <x:c r="J36" s="27"/>
      <x:c r="K36" s="27"/>
      <x:c r="L36" s="27"/>
      <x:c r="M36" s="27"/>
      <x:c r="N36" s="27"/>
      <x:c r="O36" s="27"/>
      <x:c r="P36" s="27"/>
      <x:c r="Q36" s="27"/>
      <x:c r="R36" s="27"/>
      <x:c r="S36" s="27"/>
      <x:c r="T36" s="27"/>
      <x:c r="U36" s="27"/>
      <x:c r="V36" s="27"/>
      <x:c r="W36" s="27"/>
      <x:c r="X36" s="27"/>
      <x:c r="Y36" s="27"/>
      <x:c r="Z36" s="27"/>
      <x:c r="AA36" s="27"/>
      <x:c r="AB36" s="27"/>
      <x:c r="AC36" s="27"/>
      <x:c r="AD36" s="27"/>
      <x:c r="AE36" s="27"/>
      <x:c r="AF36" s="27"/>
      <x:c r="AG36" s="27"/>
      <x:c r="AH36" s="27"/>
      <x:c r="AI36" s="27"/>
      <x:c r="AJ36" s="27"/>
      <x:c r="AK36" s="27"/>
      <x:c r="AL36" s="27"/>
      <x:c r="AM36" s="27"/>
      <x:c r="AN36" s="27"/>
      <x:c r="AO36" s="27"/>
      <x:c r="AP36" s="27"/>
      <x:c r="AQ36" s="27"/>
      <x:c r="AR36" s="27"/>
      <x:c r="AS36" s="27"/>
      <x:c r="AT36" s="27"/>
      <x:c r="AU36" s="27"/>
      <x:c r="AV36" s="27"/>
      <x:c r="AW36" s="27"/>
      <x:c r="AX36" s="27"/>
      <x:c r="AY36" s="27"/>
      <x:c r="AZ36" s="27"/>
    </x:row>
    <x:row r="37">
      <x:c r="A37" s="27"/>
      <x:c r="B37" s="27"/>
      <x:c r="C37" s="27"/>
      <x:c r="D37" s="27"/>
      <x:c r="E37" s="27"/>
      <x:c r="F37" s="27"/>
      <x:c r="G37" s="27"/>
      <x:c r="H37" s="27"/>
      <x:c r="I37" s="27"/>
      <x:c r="J37" s="27"/>
      <x:c r="K37" s="27"/>
      <x:c r="L37" s="27"/>
      <x:c r="M37" s="27"/>
      <x:c r="N37" s="27"/>
      <x:c r="O37" s="27"/>
      <x:c r="P37" s="27"/>
      <x:c r="Q37" s="27"/>
      <x:c r="R37" s="27"/>
      <x:c r="S37" s="27"/>
      <x:c r="T37" s="27"/>
      <x:c r="U37" s="27"/>
      <x:c r="V37" s="27"/>
      <x:c r="W37" s="27"/>
      <x:c r="X37" s="27"/>
      <x:c r="Y37" s="27"/>
      <x:c r="Z37" s="27"/>
      <x:c r="AA37" s="27"/>
      <x:c r="AB37" s="27"/>
      <x:c r="AC37" s="27"/>
      <x:c r="AD37" s="27"/>
      <x:c r="AE37" s="27"/>
      <x:c r="AF37" s="27"/>
      <x:c r="AG37" s="27"/>
      <x:c r="AH37" s="27"/>
      <x:c r="AI37" s="27"/>
      <x:c r="AJ37" s="27"/>
      <x:c r="AK37" s="27"/>
      <x:c r="AL37" s="27"/>
      <x:c r="AM37" s="27"/>
      <x:c r="AN37" s="27"/>
      <x:c r="AO37" s="27"/>
      <x:c r="AP37" s="27"/>
      <x:c r="AQ37" s="27"/>
      <x:c r="AR37" s="27"/>
      <x:c r="AS37" s="27"/>
      <x:c r="AT37" s="27"/>
      <x:c r="AU37" s="27"/>
      <x:c r="AV37" s="27"/>
      <x:c r="AW37" s="27"/>
      <x:c r="AX37" s="27"/>
      <x:c r="AY37" s="27"/>
      <x:c r="AZ37" s="27"/>
    </x:row>
    <x:row r="38">
      <x:c r="A38" s="27"/>
      <x:c r="B38" s="27"/>
      <x:c r="C38" s="27"/>
      <x:c r="D38" s="27"/>
      <x:c r="E38" s="27"/>
      <x:c r="F38" s="27"/>
      <x:c r="G38" s="27"/>
      <x:c r="H38" s="27"/>
      <x:c r="I38" s="27"/>
      <x:c r="J38" s="27"/>
      <x:c r="K38" s="27"/>
      <x:c r="L38" s="27"/>
      <x:c r="M38" s="27"/>
      <x:c r="N38" s="27"/>
      <x:c r="O38" s="27"/>
      <x:c r="P38" s="27"/>
      <x:c r="Q38" s="27"/>
      <x:c r="R38" s="27"/>
      <x:c r="S38" s="27"/>
      <x:c r="T38" s="27"/>
      <x:c r="U38" s="27"/>
      <x:c r="V38" s="27"/>
      <x:c r="W38" s="27"/>
      <x:c r="X38" s="27"/>
      <x:c r="Y38" s="27"/>
      <x:c r="Z38" s="27"/>
      <x:c r="AA38" s="27"/>
      <x:c r="AB38" s="27"/>
      <x:c r="AC38" s="27"/>
      <x:c r="AD38" s="27"/>
      <x:c r="AE38" s="27"/>
      <x:c r="AF38" s="27"/>
      <x:c r="AG38" s="27"/>
      <x:c r="AH38" s="27"/>
      <x:c r="AI38" s="27"/>
      <x:c r="AJ38" s="27"/>
      <x:c r="AK38" s="27"/>
      <x:c r="AL38" s="27"/>
      <x:c r="AM38" s="27"/>
      <x:c r="AN38" s="27"/>
      <x:c r="AO38" s="27"/>
      <x:c r="AP38" s="27"/>
      <x:c r="AQ38" s="27"/>
      <x:c r="AR38" s="27"/>
      <x:c r="AS38" s="27"/>
      <x:c r="AT38" s="27"/>
      <x:c r="AU38" s="27"/>
      <x:c r="AV38" s="27"/>
      <x:c r="AW38" s="27"/>
      <x:c r="AX38" s="27"/>
      <x:c r="AY38" s="27"/>
      <x:c r="AZ38" s="27"/>
    </x:row>
    <x:row r="39">
      <x:c r="A39" s="27"/>
      <x:c r="B39" s="27"/>
      <x:c r="C39" s="27"/>
      <x:c r="D39" s="27"/>
      <x:c r="E39" s="27"/>
      <x:c r="F39" s="27"/>
      <x:c r="G39" s="27"/>
      <x:c r="H39" s="27"/>
      <x:c r="I39" s="27"/>
      <x:c r="J39" s="27"/>
      <x:c r="K39" s="27"/>
      <x:c r="L39" s="27"/>
      <x:c r="M39" s="27"/>
      <x:c r="N39" s="27"/>
      <x:c r="O39" s="27"/>
      <x:c r="P39" s="27"/>
      <x:c r="Q39" s="27"/>
      <x:c r="R39" s="27"/>
      <x:c r="S39" s="27"/>
      <x:c r="T39" s="27"/>
      <x:c r="U39" s="27"/>
      <x:c r="V39" s="27"/>
      <x:c r="W39" s="27"/>
      <x:c r="X39" s="27"/>
      <x:c r="Y39" s="27"/>
      <x:c r="Z39" s="27"/>
      <x:c r="AA39" s="27"/>
      <x:c r="AB39" s="27"/>
      <x:c r="AC39" s="27"/>
      <x:c r="AD39" s="27"/>
      <x:c r="AE39" s="27"/>
      <x:c r="AF39" s="27"/>
      <x:c r="AG39" s="27"/>
      <x:c r="AH39" s="27"/>
      <x:c r="AI39" s="27"/>
      <x:c r="AJ39" s="27"/>
      <x:c r="AK39" s="27"/>
      <x:c r="AL39" s="27"/>
      <x:c r="AM39" s="27"/>
      <x:c r="AN39" s="27"/>
      <x:c r="AO39" s="27"/>
      <x:c r="AP39" s="27"/>
      <x:c r="AQ39" s="27"/>
      <x:c r="AR39" s="27"/>
      <x:c r="AS39" s="27"/>
      <x:c r="AT39" s="27"/>
      <x:c r="AU39" s="27"/>
      <x:c r="AV39" s="27"/>
      <x:c r="AW39" s="27"/>
      <x:c r="AX39" s="27"/>
      <x:c r="AY39" s="27"/>
      <x:c r="AZ39" s="27"/>
    </x:row>
    <x:row r="40">
      <x:c r="A40" s="27"/>
      <x:c r="B40" s="27"/>
      <x:c r="C40" s="27"/>
      <x:c r="D40" s="27"/>
      <x:c r="E40" s="27"/>
      <x:c r="F40" s="27"/>
      <x:c r="G40" s="27"/>
      <x:c r="H40" s="27"/>
      <x:c r="I40" s="27"/>
      <x:c r="J40" s="27"/>
      <x:c r="K40" s="27"/>
      <x:c r="L40" s="27"/>
      <x:c r="M40" s="27"/>
      <x:c r="N40" s="27"/>
      <x:c r="O40" s="27"/>
      <x:c r="P40" s="27"/>
      <x:c r="Q40" s="27"/>
      <x:c r="R40" s="27"/>
      <x:c r="S40" s="27"/>
      <x:c r="T40" s="27"/>
      <x:c r="U40" s="27"/>
      <x:c r="V40" s="27"/>
      <x:c r="W40" s="27"/>
      <x:c r="X40" s="27"/>
      <x:c r="Y40" s="27"/>
      <x:c r="Z40" s="27"/>
      <x:c r="AA40" s="27"/>
      <x:c r="AB40" s="27"/>
      <x:c r="AC40" s="27"/>
      <x:c r="AD40" s="27"/>
      <x:c r="AE40" s="27"/>
      <x:c r="AF40" s="27"/>
      <x:c r="AG40" s="27"/>
      <x:c r="AH40" s="27"/>
      <x:c r="AI40" s="27"/>
      <x:c r="AJ40" s="27"/>
      <x:c r="AK40" s="27"/>
      <x:c r="AL40" s="27"/>
      <x:c r="AM40" s="27"/>
      <x:c r="AN40" s="27"/>
      <x:c r="AO40" s="27"/>
      <x:c r="AP40" s="27"/>
      <x:c r="AQ40" s="27"/>
      <x:c r="AR40" s="27"/>
      <x:c r="AS40" s="27"/>
      <x:c r="AT40" s="27"/>
      <x:c r="AU40" s="27"/>
      <x:c r="AV40" s="27"/>
      <x:c r="AW40" s="27"/>
      <x:c r="AX40" s="27"/>
      <x:c r="AY40" s="27"/>
      <x:c r="AZ40" s="27"/>
    </x:row>
    <x:row r="41">
      <x:c r="A41" s="27"/>
      <x:c r="B41" s="27"/>
      <x:c r="C41" s="27"/>
      <x:c r="D41" s="27"/>
      <x:c r="E41" s="27"/>
      <x:c r="F41" s="27"/>
      <x:c r="G41" s="27"/>
      <x:c r="H41" s="27"/>
      <x:c r="I41" s="27"/>
      <x:c r="J41" s="27"/>
      <x:c r="K41" s="27"/>
      <x:c r="L41" s="27"/>
      <x:c r="M41" s="27"/>
      <x:c r="N41" s="27"/>
      <x:c r="O41" s="27"/>
      <x:c r="P41" s="27"/>
      <x:c r="Q41" s="27"/>
      <x:c r="R41" s="27"/>
      <x:c r="S41" s="27"/>
      <x:c r="T41" s="27"/>
      <x:c r="U41" s="27"/>
      <x:c r="V41" s="27"/>
      <x:c r="W41" s="27"/>
      <x:c r="X41" s="27"/>
      <x:c r="Y41" s="27"/>
      <x:c r="Z41" s="27"/>
      <x:c r="AA41" s="27"/>
      <x:c r="AB41" s="27"/>
      <x:c r="AC41" s="27"/>
      <x:c r="AD41" s="27"/>
      <x:c r="AE41" s="27"/>
      <x:c r="AF41" s="27"/>
      <x:c r="AG41" s="27"/>
      <x:c r="AH41" s="27"/>
      <x:c r="AI41" s="27"/>
      <x:c r="AJ41" s="27"/>
      <x:c r="AK41" s="27"/>
      <x:c r="AL41" s="27"/>
      <x:c r="AM41" s="27"/>
      <x:c r="AN41" s="27"/>
      <x:c r="AO41" s="27"/>
      <x:c r="AP41" s="27"/>
      <x:c r="AQ41" s="27"/>
      <x:c r="AR41" s="27"/>
      <x:c r="AS41" s="27"/>
      <x:c r="AT41" s="27"/>
      <x:c r="AU41" s="27"/>
      <x:c r="AV41" s="27"/>
      <x:c r="AW41" s="27"/>
      <x:c r="AX41" s="27"/>
      <x:c r="AY41" s="27"/>
      <x:c r="AZ41" s="27"/>
    </x:row>
    <x:row r="42">
      <x:c r="A42" s="27"/>
      <x:c r="B42" s="27"/>
      <x:c r="C42" s="27"/>
      <x:c r="D42" s="27"/>
      <x:c r="E42" s="27"/>
      <x:c r="F42" s="27"/>
      <x:c r="G42" s="27"/>
      <x:c r="H42" s="27"/>
      <x:c r="I42" s="27"/>
      <x:c r="J42" s="27"/>
      <x:c r="K42" s="27"/>
      <x:c r="L42" s="27"/>
      <x:c r="M42" s="27"/>
      <x:c r="N42" s="27"/>
      <x:c r="O42" s="27"/>
      <x:c r="P42" s="27"/>
      <x:c r="Q42" s="27"/>
      <x:c r="R42" s="27"/>
      <x:c r="S42" s="27"/>
      <x:c r="T42" s="27"/>
      <x:c r="U42" s="27"/>
      <x:c r="V42" s="27"/>
      <x:c r="W42" s="27"/>
      <x:c r="X42" s="27"/>
      <x:c r="Y42" s="27"/>
      <x:c r="Z42" s="27"/>
      <x:c r="AA42" s="27"/>
      <x:c r="AB42" s="27"/>
      <x:c r="AC42" s="27"/>
      <x:c r="AD42" s="27"/>
      <x:c r="AE42" s="27"/>
      <x:c r="AF42" s="27"/>
      <x:c r="AG42" s="27"/>
      <x:c r="AH42" s="27"/>
      <x:c r="AI42" s="27"/>
      <x:c r="AJ42" s="27"/>
      <x:c r="AK42" s="27"/>
      <x:c r="AL42" s="27"/>
      <x:c r="AM42" s="27"/>
      <x:c r="AN42" s="27"/>
      <x:c r="AO42" s="27"/>
      <x:c r="AP42" s="27"/>
      <x:c r="AQ42" s="27"/>
      <x:c r="AR42" s="27"/>
      <x:c r="AS42" s="27"/>
      <x:c r="AT42" s="27"/>
      <x:c r="AU42" s="27"/>
      <x:c r="AV42" s="27"/>
      <x:c r="AW42" s="27"/>
      <x:c r="AX42" s="27"/>
      <x:c r="AY42" s="27"/>
      <x:c r="AZ42" s="27"/>
    </x:row>
    <x:row r="43">
      <x:c r="A43" s="27"/>
      <x:c r="B43" s="27"/>
      <x:c r="C43" s="27"/>
      <x:c r="D43" s="27"/>
      <x:c r="E43" s="27"/>
      <x:c r="F43" s="27"/>
      <x:c r="G43" s="27"/>
      <x:c r="H43" s="27"/>
      <x:c r="I43" s="27"/>
      <x:c r="J43" s="27"/>
      <x:c r="K43" s="27"/>
      <x:c r="L43" s="27"/>
      <x:c r="M43" s="27"/>
      <x:c r="N43" s="27"/>
      <x:c r="O43" s="27"/>
      <x:c r="P43" s="27"/>
      <x:c r="Q43" s="27"/>
      <x:c r="R43" s="27"/>
      <x:c r="S43" s="27"/>
      <x:c r="T43" s="27"/>
      <x:c r="U43" s="27"/>
      <x:c r="V43" s="27"/>
      <x:c r="W43" s="27"/>
      <x:c r="X43" s="27"/>
      <x:c r="Y43" s="27"/>
      <x:c r="Z43" s="27"/>
      <x:c r="AA43" s="27"/>
      <x:c r="AB43" s="27"/>
      <x:c r="AC43" s="27"/>
      <x:c r="AD43" s="27"/>
      <x:c r="AE43" s="27"/>
      <x:c r="AF43" s="27"/>
      <x:c r="AG43" s="27"/>
      <x:c r="AH43" s="27"/>
      <x:c r="AI43" s="27"/>
      <x:c r="AJ43" s="27"/>
      <x:c r="AK43" s="27"/>
      <x:c r="AL43" s="27"/>
      <x:c r="AM43" s="27"/>
      <x:c r="AN43" s="27"/>
      <x:c r="AO43" s="27"/>
      <x:c r="AP43" s="27"/>
      <x:c r="AQ43" s="27"/>
      <x:c r="AR43" s="27"/>
      <x:c r="AS43" s="27"/>
      <x:c r="AT43" s="27"/>
      <x:c r="AU43" s="27"/>
      <x:c r="AV43" s="27"/>
      <x:c r="AW43" s="27"/>
      <x:c r="AX43" s="27"/>
      <x:c r="AY43" s="27"/>
      <x:c r="AZ43" s="27"/>
    </x:row>
    <x:row r="44">
      <x:c r="A44" s="27"/>
      <x:c r="B44" s="27"/>
      <x:c r="C44" s="27"/>
      <x:c r="D44" s="27"/>
      <x:c r="E44" s="27"/>
      <x:c r="F44" s="27"/>
      <x:c r="G44" s="27"/>
      <x:c r="H44" s="27"/>
      <x:c r="I44" s="27"/>
      <x:c r="J44" s="27"/>
      <x:c r="K44" s="27"/>
      <x:c r="L44" s="27"/>
      <x:c r="M44" s="27"/>
      <x:c r="N44" s="27"/>
      <x:c r="O44" s="27"/>
      <x:c r="P44" s="27"/>
      <x:c r="Q44" s="27"/>
      <x:c r="R44" s="27"/>
      <x:c r="S44" s="27"/>
      <x:c r="T44" s="27"/>
      <x:c r="U44" s="27"/>
      <x:c r="V44" s="27"/>
      <x:c r="W44" s="27"/>
      <x:c r="X44" s="27"/>
      <x:c r="Y44" s="27"/>
      <x:c r="Z44" s="27"/>
      <x:c r="AA44" s="27"/>
      <x:c r="AB44" s="27"/>
      <x:c r="AC44" s="27"/>
      <x:c r="AD44" s="27"/>
      <x:c r="AE44" s="27"/>
      <x:c r="AF44" s="27"/>
      <x:c r="AG44" s="27"/>
      <x:c r="AH44" s="27"/>
      <x:c r="AI44" s="27"/>
      <x:c r="AJ44" s="27"/>
      <x:c r="AK44" s="27"/>
      <x:c r="AL44" s="27"/>
      <x:c r="AM44" s="27"/>
      <x:c r="AN44" s="27"/>
      <x:c r="AO44" s="27"/>
      <x:c r="AP44" s="27"/>
      <x:c r="AQ44" s="27"/>
      <x:c r="AR44" s="27"/>
      <x:c r="AS44" s="27"/>
      <x:c r="AT44" s="27"/>
      <x:c r="AU44" s="27"/>
      <x:c r="AV44" s="27"/>
      <x:c r="AW44" s="27"/>
      <x:c r="AX44" s="27"/>
      <x:c r="AY44" s="27"/>
      <x:c r="AZ44" s="27"/>
    </x:row>
    <x:row r="45">
      <x:c r="A45" s="27"/>
      <x:c r="B45" s="27"/>
      <x:c r="C45" s="27"/>
      <x:c r="D45" s="27"/>
      <x:c r="E45" s="27"/>
      <x:c r="F45" s="27"/>
      <x:c r="G45" s="27"/>
      <x:c r="H45" s="27"/>
      <x:c r="I45" s="27"/>
      <x:c r="J45" s="27"/>
      <x:c r="K45" s="27"/>
      <x:c r="L45" s="27"/>
      <x:c r="M45" s="27"/>
      <x:c r="N45" s="27"/>
      <x:c r="O45" s="27"/>
      <x:c r="P45" s="27"/>
      <x:c r="Q45" s="27"/>
      <x:c r="R45" s="27"/>
      <x:c r="S45" s="27"/>
      <x:c r="T45" s="27"/>
      <x:c r="U45" s="27"/>
      <x:c r="V45" s="27"/>
      <x:c r="W45" s="27"/>
      <x:c r="X45" s="27"/>
      <x:c r="Y45" s="27"/>
      <x:c r="Z45" s="27"/>
      <x:c r="AA45" s="27"/>
      <x:c r="AB45" s="27"/>
      <x:c r="AC45" s="27"/>
      <x:c r="AD45" s="27"/>
      <x:c r="AE45" s="27"/>
      <x:c r="AF45" s="27"/>
      <x:c r="AG45" s="27"/>
      <x:c r="AH45" s="27"/>
      <x:c r="AI45" s="27"/>
      <x:c r="AJ45" s="27"/>
      <x:c r="AK45" s="27"/>
      <x:c r="AL45" s="27"/>
      <x:c r="AM45" s="27"/>
      <x:c r="AN45" s="27"/>
      <x:c r="AO45" s="27"/>
      <x:c r="AP45" s="27"/>
      <x:c r="AQ45" s="27"/>
      <x:c r="AR45" s="27"/>
      <x:c r="AS45" s="27"/>
      <x:c r="AT45" s="27"/>
      <x:c r="AU45" s="27"/>
      <x:c r="AV45" s="27"/>
      <x:c r="AW45" s="27"/>
      <x:c r="AX45" s="27"/>
      <x:c r="AY45" s="27"/>
      <x:c r="AZ45" s="27"/>
    </x:row>
    <x:row r="46">
      <x:c r="A46" s="27"/>
      <x:c r="B46" s="27"/>
      <x:c r="C46" s="27"/>
      <x:c r="D46" s="27"/>
      <x:c r="E46" s="27"/>
      <x:c r="F46" s="27"/>
      <x:c r="G46" s="27"/>
      <x:c r="H46" s="27"/>
      <x:c r="I46" s="27"/>
      <x:c r="J46" s="27"/>
      <x:c r="K46" s="27"/>
      <x:c r="L46" s="27"/>
      <x:c r="M46" s="27"/>
      <x:c r="N46" s="27"/>
      <x:c r="O46" s="27"/>
      <x:c r="P46" s="27"/>
      <x:c r="Q46" s="27"/>
      <x:c r="R46" s="27"/>
      <x:c r="S46" s="27"/>
      <x:c r="T46" s="27"/>
      <x:c r="U46" s="27"/>
      <x:c r="V46" s="27"/>
      <x:c r="W46" s="27"/>
      <x:c r="X46" s="27"/>
      <x:c r="Y46" s="27"/>
      <x:c r="Z46" s="27"/>
      <x:c r="AA46" s="27"/>
      <x:c r="AB46" s="27"/>
      <x:c r="AC46" s="27"/>
      <x:c r="AD46" s="27"/>
      <x:c r="AE46" s="27"/>
      <x:c r="AF46" s="27"/>
      <x:c r="AG46" s="27"/>
      <x:c r="AH46" s="27"/>
      <x:c r="AI46" s="27"/>
      <x:c r="AJ46" s="27"/>
      <x:c r="AK46" s="27"/>
      <x:c r="AL46" s="27"/>
      <x:c r="AM46" s="27"/>
      <x:c r="AN46" s="27"/>
      <x:c r="AO46" s="27"/>
      <x:c r="AP46" s="27"/>
      <x:c r="AQ46" s="27"/>
      <x:c r="AR46" s="27"/>
      <x:c r="AS46" s="27"/>
      <x:c r="AT46" s="27"/>
      <x:c r="AU46" s="27"/>
      <x:c r="AV46" s="27"/>
      <x:c r="AW46" s="27"/>
      <x:c r="AX46" s="27"/>
      <x:c r="AY46" s="27"/>
      <x:c r="AZ46" s="27"/>
    </x:row>
    <x:row r="47">
      <x:c r="A47" s="27"/>
      <x:c r="B47" s="27"/>
      <x:c r="C47" s="27"/>
      <x:c r="D47" s="27"/>
      <x:c r="E47" s="27"/>
      <x:c r="F47" s="27"/>
      <x:c r="G47" s="27"/>
      <x:c r="H47" s="27"/>
      <x:c r="I47" s="27"/>
      <x:c r="J47" s="27"/>
      <x:c r="K47" s="27"/>
      <x:c r="L47" s="27"/>
      <x:c r="M47" s="27"/>
      <x:c r="N47" s="27"/>
      <x:c r="O47" s="27"/>
      <x:c r="P47" s="27"/>
      <x:c r="Q47" s="27"/>
      <x:c r="R47" s="27"/>
      <x:c r="S47" s="27"/>
      <x:c r="T47" s="27"/>
      <x:c r="U47" s="27"/>
      <x:c r="V47" s="27"/>
      <x:c r="W47" s="27"/>
      <x:c r="X47" s="27"/>
      <x:c r="Y47" s="27"/>
      <x:c r="Z47" s="27"/>
      <x:c r="AA47" s="27"/>
      <x:c r="AB47" s="27"/>
      <x:c r="AC47" s="27"/>
      <x:c r="AD47" s="27"/>
      <x:c r="AE47" s="27"/>
      <x:c r="AF47" s="27"/>
      <x:c r="AG47" s="27"/>
      <x:c r="AH47" s="27"/>
      <x:c r="AI47" s="27"/>
      <x:c r="AJ47" s="27"/>
      <x:c r="AK47" s="27"/>
      <x:c r="AL47" s="27"/>
      <x:c r="AM47" s="27"/>
      <x:c r="AN47" s="27"/>
      <x:c r="AO47" s="27"/>
      <x:c r="AP47" s="27"/>
      <x:c r="AQ47" s="27"/>
      <x:c r="AR47" s="27"/>
      <x:c r="AS47" s="27"/>
      <x:c r="AT47" s="27"/>
      <x:c r="AU47" s="27"/>
      <x:c r="AV47" s="27"/>
      <x:c r="AW47" s="27"/>
      <x:c r="AX47" s="27"/>
      <x:c r="AY47" s="27"/>
      <x:c r="AZ47" s="27"/>
    </x:row>
    <x:row r="48">
      <x:c r="A48" s="27"/>
      <x:c r="B48" s="27"/>
      <x:c r="C48" s="27"/>
      <x:c r="D48" s="27"/>
      <x:c r="E48" s="27"/>
      <x:c r="F48" s="27"/>
      <x:c r="G48" s="27"/>
      <x:c r="H48" s="27"/>
      <x:c r="I48" s="27"/>
      <x:c r="J48" s="27"/>
      <x:c r="K48" s="27"/>
      <x:c r="L48" s="27"/>
      <x:c r="M48" s="27"/>
      <x:c r="N48" s="27"/>
      <x:c r="O48" s="27"/>
      <x:c r="P48" s="27"/>
      <x:c r="Q48" s="27"/>
      <x:c r="R48" s="27"/>
      <x:c r="S48" s="27"/>
      <x:c r="T48" s="27"/>
      <x:c r="U48" s="27"/>
      <x:c r="V48" s="27"/>
      <x:c r="W48" s="27"/>
      <x:c r="X48" s="27"/>
      <x:c r="Y48" s="27"/>
      <x:c r="Z48" s="27"/>
      <x:c r="AA48" s="27"/>
      <x:c r="AB48" s="27"/>
      <x:c r="AC48" s="27"/>
      <x:c r="AD48" s="27"/>
      <x:c r="AE48" s="27"/>
      <x:c r="AF48" s="27"/>
      <x:c r="AG48" s="27"/>
      <x:c r="AH48" s="27"/>
      <x:c r="AI48" s="27"/>
      <x:c r="AJ48" s="27"/>
      <x:c r="AK48" s="27"/>
      <x:c r="AL48" s="27"/>
      <x:c r="AM48" s="27"/>
      <x:c r="AN48" s="27"/>
      <x:c r="AO48" s="27"/>
      <x:c r="AP48" s="27"/>
      <x:c r="AQ48" s="27"/>
      <x:c r="AR48" s="27"/>
      <x:c r="AS48" s="27"/>
      <x:c r="AT48" s="27"/>
      <x:c r="AU48" s="27"/>
      <x:c r="AV48" s="27"/>
      <x:c r="AW48" s="27"/>
      <x:c r="AX48" s="27"/>
      <x:c r="AY48" s="27"/>
      <x:c r="AZ48" s="27"/>
    </x:row>
    <x:row r="49">
      <x:c r="A49" s="27"/>
      <x:c r="B49" s="27"/>
      <x:c r="C49" s="27"/>
      <x:c r="D49" s="27"/>
      <x:c r="E49" s="27"/>
      <x:c r="F49" s="27"/>
      <x:c r="G49" s="27"/>
      <x:c r="H49" s="27"/>
      <x:c r="I49" s="27"/>
      <x:c r="J49" s="27"/>
      <x:c r="K49" s="27"/>
      <x:c r="L49" s="27"/>
      <x:c r="M49" s="27"/>
      <x:c r="N49" s="27"/>
      <x:c r="O49" s="27"/>
      <x:c r="P49" s="27"/>
      <x:c r="Q49" s="27"/>
      <x:c r="R49" s="27"/>
      <x:c r="S49" s="27"/>
      <x:c r="T49" s="27"/>
      <x:c r="U49" s="27"/>
      <x:c r="V49" s="27"/>
      <x:c r="W49" s="27"/>
      <x:c r="X49" s="27"/>
      <x:c r="Y49" s="27"/>
      <x:c r="Z49" s="27"/>
      <x:c r="AA49" s="27"/>
      <x:c r="AB49" s="27"/>
      <x:c r="AC49" s="27"/>
      <x:c r="AD49" s="27"/>
      <x:c r="AE49" s="27"/>
      <x:c r="AF49" s="27"/>
      <x:c r="AG49" s="27"/>
      <x:c r="AH49" s="27"/>
      <x:c r="AI49" s="27"/>
      <x:c r="AJ49" s="27"/>
      <x:c r="AK49" s="27"/>
      <x:c r="AL49" s="27"/>
      <x:c r="AM49" s="27"/>
      <x:c r="AN49" s="27"/>
      <x:c r="AO49" s="27"/>
      <x:c r="AP49" s="27"/>
      <x:c r="AQ49" s="27"/>
      <x:c r="AR49" s="27"/>
      <x:c r="AS49" s="27"/>
      <x:c r="AT49" s="27"/>
      <x:c r="AU49" s="27"/>
      <x:c r="AV49" s="27"/>
      <x:c r="AW49" s="27"/>
      <x:c r="AX49" s="27"/>
      <x:c r="AY49" s="27"/>
      <x:c r="AZ49" s="27"/>
    </x:row>
    <x:row r="50">
      <x:c r="A50" s="27"/>
      <x:c r="B50" s="27"/>
      <x:c r="C50" s="27"/>
      <x:c r="D50" s="27"/>
      <x:c r="E50" s="27"/>
      <x:c r="F50" s="27"/>
      <x:c r="G50" s="27"/>
      <x:c r="H50" s="27"/>
      <x:c r="I50" s="27"/>
      <x:c r="J50" s="27"/>
      <x:c r="K50" s="27"/>
      <x:c r="L50" s="27"/>
      <x:c r="M50" s="27"/>
      <x:c r="N50" s="27"/>
      <x:c r="O50" s="27"/>
      <x:c r="P50" s="27"/>
      <x:c r="Q50" s="27"/>
      <x:c r="R50" s="27"/>
      <x:c r="S50" s="27"/>
      <x:c r="T50" s="27"/>
      <x:c r="U50" s="27"/>
      <x:c r="V50" s="27"/>
      <x:c r="W50" s="27"/>
      <x:c r="X50" s="27"/>
      <x:c r="Y50" s="27"/>
      <x:c r="Z50" s="27"/>
      <x:c r="AA50" s="27"/>
      <x:c r="AB50" s="27"/>
      <x:c r="AC50" s="27"/>
      <x:c r="AD50" s="27"/>
      <x:c r="AE50" s="27"/>
      <x:c r="AF50" s="27"/>
      <x:c r="AG50" s="27"/>
      <x:c r="AH50" s="27"/>
      <x:c r="AI50" s="27"/>
      <x:c r="AJ50" s="27"/>
      <x:c r="AK50" s="27"/>
      <x:c r="AL50" s="27"/>
      <x:c r="AM50" s="27"/>
      <x:c r="AN50" s="27"/>
      <x:c r="AO50" s="27"/>
      <x:c r="AP50" s="27"/>
      <x:c r="AQ50" s="27"/>
      <x:c r="AR50" s="27"/>
      <x:c r="AS50" s="27"/>
      <x:c r="AT50" s="27"/>
      <x:c r="AU50" s="27"/>
      <x:c r="AV50" s="27"/>
      <x:c r="AW50" s="27"/>
      <x:c r="AX50" s="27"/>
      <x:c r="AY50" s="27"/>
      <x:c r="AZ50" s="27"/>
    </x:row>
    <x:row r="51">
      <x:c r="A51" s="27"/>
      <x:c r="B51" s="27"/>
      <x:c r="C51" s="27"/>
      <x:c r="D51" s="27"/>
      <x:c r="E51" s="27"/>
      <x:c r="F51" s="27"/>
      <x:c r="G51" s="27"/>
      <x:c r="H51" s="27"/>
      <x:c r="I51" s="27"/>
      <x:c r="J51" s="27"/>
      <x:c r="K51" s="27"/>
      <x:c r="L51" s="27"/>
      <x:c r="M51" s="27"/>
      <x:c r="N51" s="27"/>
      <x:c r="O51" s="27"/>
      <x:c r="P51" s="27"/>
      <x:c r="Q51" s="27"/>
      <x:c r="R51" s="27"/>
      <x:c r="S51" s="27"/>
      <x:c r="T51" s="27"/>
      <x:c r="U51" s="27"/>
      <x:c r="V51" s="27"/>
      <x:c r="W51" s="27"/>
      <x:c r="X51" s="27"/>
      <x:c r="Y51" s="27"/>
      <x:c r="Z51" s="27"/>
      <x:c r="AA51" s="27"/>
      <x:c r="AB51" s="27"/>
      <x:c r="AC51" s="27"/>
      <x:c r="AD51" s="27"/>
      <x:c r="AE51" s="27"/>
      <x:c r="AF51" s="27"/>
      <x:c r="AG51" s="27"/>
      <x:c r="AH51" s="27"/>
      <x:c r="AI51" s="27"/>
      <x:c r="AJ51" s="27"/>
      <x:c r="AK51" s="27"/>
      <x:c r="AL51" s="27"/>
      <x:c r="AM51" s="27"/>
      <x:c r="AN51" s="27"/>
      <x:c r="AO51" s="27"/>
      <x:c r="AP51" s="27"/>
      <x:c r="AQ51" s="27"/>
      <x:c r="AR51" s="27"/>
      <x:c r="AS51" s="27"/>
      <x:c r="AT51" s="27"/>
      <x:c r="AU51" s="27"/>
      <x:c r="AV51" s="27"/>
      <x:c r="AW51" s="27"/>
      <x:c r="AX51" s="27"/>
      <x:c r="AY51" s="27"/>
      <x:c r="AZ51" s="27"/>
    </x:row>
    <x:row r="52">
      <x:c r="A52" s="27"/>
      <x:c r="B52" s="27"/>
      <x:c r="C52" s="27"/>
      <x:c r="D52" s="27"/>
      <x:c r="E52" s="27"/>
      <x:c r="F52" s="27"/>
      <x:c r="G52" s="27"/>
      <x:c r="H52" s="27"/>
      <x:c r="I52" s="27"/>
      <x:c r="J52" s="27"/>
      <x:c r="K52" s="27"/>
      <x:c r="L52" s="27"/>
      <x:c r="M52" s="27"/>
      <x:c r="N52" s="27"/>
      <x:c r="O52" s="27"/>
      <x:c r="P52" s="27"/>
      <x:c r="Q52" s="27"/>
      <x:c r="R52" s="27"/>
      <x:c r="S52" s="27"/>
      <x:c r="T52" s="27"/>
      <x:c r="U52" s="27"/>
      <x:c r="V52" s="27"/>
      <x:c r="W52" s="27"/>
      <x:c r="X52" s="27"/>
      <x:c r="Y52" s="27"/>
      <x:c r="Z52" s="27"/>
      <x:c r="AA52" s="27"/>
      <x:c r="AB52" s="27"/>
      <x:c r="AC52" s="27"/>
      <x:c r="AD52" s="27"/>
      <x:c r="AE52" s="27"/>
      <x:c r="AF52" s="27"/>
      <x:c r="AG52" s="27"/>
      <x:c r="AH52" s="27"/>
      <x:c r="AI52" s="27"/>
      <x:c r="AJ52" s="27"/>
      <x:c r="AK52" s="27"/>
      <x:c r="AL52" s="27"/>
      <x:c r="AM52" s="27"/>
      <x:c r="AN52" s="27"/>
      <x:c r="AO52" s="27"/>
      <x:c r="AP52" s="27"/>
      <x:c r="AQ52" s="27"/>
      <x:c r="AR52" s="27"/>
      <x:c r="AS52" s="27"/>
      <x:c r="AT52" s="27"/>
      <x:c r="AU52" s="27"/>
      <x:c r="AV52" s="27"/>
      <x:c r="AW52" s="27"/>
      <x:c r="AX52" s="27"/>
      <x:c r="AY52" s="27"/>
      <x:c r="AZ52" s="27"/>
    </x:row>
    <x:row r="53">
      <x:c r="A53" s="27"/>
      <x:c r="B53" s="27"/>
      <x:c r="C53" s="27"/>
      <x:c r="D53" s="27"/>
      <x:c r="E53" s="27"/>
      <x:c r="F53" s="27"/>
      <x:c r="G53" s="27"/>
      <x:c r="H53" s="27"/>
      <x:c r="I53" s="27"/>
      <x:c r="J53" s="27"/>
      <x:c r="K53" s="27"/>
      <x:c r="L53" s="27"/>
      <x:c r="M53" s="27"/>
      <x:c r="N53" s="27"/>
      <x:c r="O53" s="27"/>
      <x:c r="P53" s="27"/>
      <x:c r="Q53" s="27"/>
      <x:c r="R53" s="27"/>
      <x:c r="S53" s="27"/>
      <x:c r="T53" s="27"/>
      <x:c r="U53" s="27"/>
      <x:c r="V53" s="27"/>
      <x:c r="W53" s="27"/>
      <x:c r="X53" s="27"/>
      <x:c r="Y53" s="27"/>
      <x:c r="Z53" s="27"/>
      <x:c r="AA53" s="27"/>
      <x:c r="AB53" s="27"/>
      <x:c r="AC53" s="27"/>
      <x:c r="AD53" s="27"/>
      <x:c r="AE53" s="27"/>
      <x:c r="AF53" s="27"/>
      <x:c r="AG53" s="27"/>
      <x:c r="AH53" s="27"/>
      <x:c r="AI53" s="27"/>
      <x:c r="AJ53" s="27"/>
      <x:c r="AK53" s="27"/>
      <x:c r="AL53" s="27"/>
      <x:c r="AM53" s="27"/>
      <x:c r="AN53" s="27"/>
      <x:c r="AO53" s="27"/>
      <x:c r="AP53" s="27"/>
      <x:c r="AQ53" s="27"/>
      <x:c r="AR53" s="27"/>
      <x:c r="AS53" s="27"/>
      <x:c r="AT53" s="27"/>
      <x:c r="AU53" s="27"/>
      <x:c r="AV53" s="27"/>
      <x:c r="AW53" s="27"/>
      <x:c r="AX53" s="27"/>
      <x:c r="AY53" s="27"/>
      <x:c r="AZ53" s="27"/>
    </x:row>
    <x:row r="54">
      <x:c r="A54" s="27"/>
      <x:c r="B54" s="27"/>
      <x:c r="C54" s="27"/>
      <x:c r="D54" s="27"/>
      <x:c r="E54" s="27"/>
      <x:c r="F54" s="27"/>
      <x:c r="G54" s="27"/>
      <x:c r="H54" s="27"/>
      <x:c r="I54" s="27"/>
      <x:c r="J54" s="27"/>
      <x:c r="K54" s="27"/>
      <x:c r="L54" s="27"/>
      <x:c r="M54" s="27"/>
      <x:c r="N54" s="27"/>
      <x:c r="O54" s="27"/>
      <x:c r="P54" s="27"/>
      <x:c r="Q54" s="27"/>
      <x:c r="R54" s="27"/>
      <x:c r="S54" s="27"/>
      <x:c r="T54" s="27"/>
      <x:c r="U54" s="27"/>
      <x:c r="V54" s="27"/>
      <x:c r="W54" s="27"/>
      <x:c r="X54" s="27"/>
      <x:c r="Y54" s="27"/>
      <x:c r="Z54" s="27"/>
      <x:c r="AA54" s="27"/>
      <x:c r="AB54" s="27"/>
      <x:c r="AC54" s="27"/>
      <x:c r="AD54" s="27"/>
      <x:c r="AE54" s="27"/>
      <x:c r="AF54" s="27"/>
      <x:c r="AG54" s="27"/>
      <x:c r="AH54" s="27"/>
      <x:c r="AI54" s="27"/>
      <x:c r="AJ54" s="27"/>
      <x:c r="AK54" s="27"/>
      <x:c r="AL54" s="27"/>
      <x:c r="AM54" s="27"/>
      <x:c r="AN54" s="27"/>
      <x:c r="AO54" s="27"/>
      <x:c r="AP54" s="27"/>
      <x:c r="AQ54" s="27"/>
      <x:c r="AR54" s="27"/>
      <x:c r="AS54" s="27"/>
      <x:c r="AT54" s="27"/>
      <x:c r="AU54" s="27"/>
      <x:c r="AV54" s="27"/>
      <x:c r="AW54" s="27"/>
      <x:c r="AX54" s="27"/>
      <x:c r="AY54" s="27"/>
      <x:c r="AZ54" s="27"/>
    </x:row>
    <x:row r="55">
      <x:c r="A55" s="27"/>
      <x:c r="B55" s="27"/>
      <x:c r="C55" s="27"/>
      <x:c r="D55" s="27"/>
      <x:c r="E55" s="27"/>
      <x:c r="F55" s="27"/>
      <x:c r="G55" s="27"/>
      <x:c r="H55" s="27"/>
      <x:c r="I55" s="27"/>
      <x:c r="J55" s="27"/>
      <x:c r="K55" s="27"/>
      <x:c r="L55" s="27"/>
      <x:c r="M55" s="27"/>
      <x:c r="N55" s="27"/>
      <x:c r="O55" s="27"/>
      <x:c r="P55" s="27"/>
      <x:c r="Q55" s="27"/>
      <x:c r="R55" s="27"/>
      <x:c r="S55" s="27"/>
      <x:c r="T55" s="27"/>
      <x:c r="U55" s="27"/>
      <x:c r="V55" s="27"/>
      <x:c r="W55" s="27"/>
      <x:c r="X55" s="27"/>
      <x:c r="Y55" s="27"/>
      <x:c r="Z55" s="27"/>
      <x:c r="AA55" s="27"/>
      <x:c r="AB55" s="27"/>
      <x:c r="AC55" s="27"/>
      <x:c r="AD55" s="27"/>
      <x:c r="AE55" s="27"/>
      <x:c r="AF55" s="27"/>
      <x:c r="AG55" s="27"/>
      <x:c r="AH55" s="27"/>
      <x:c r="AI55" s="27"/>
      <x:c r="AJ55" s="27"/>
      <x:c r="AK55" s="27"/>
      <x:c r="AL55" s="27"/>
      <x:c r="AM55" s="27"/>
      <x:c r="AN55" s="27"/>
      <x:c r="AO55" s="27"/>
      <x:c r="AP55" s="27"/>
      <x:c r="AQ55" s="27"/>
      <x:c r="AR55" s="27"/>
      <x:c r="AS55" s="27"/>
      <x:c r="AT55" s="27"/>
      <x:c r="AU55" s="27"/>
      <x:c r="AV55" s="27"/>
      <x:c r="AW55" s="27"/>
      <x:c r="AX55" s="27"/>
      <x:c r="AY55" s="27"/>
      <x:c r="AZ55" s="27"/>
    </x:row>
    <x:row r="56">
      <x:c r="A56" s="27"/>
      <x:c r="B56" s="27"/>
      <x:c r="C56" s="27"/>
      <x:c r="D56" s="27"/>
      <x:c r="E56" s="27"/>
      <x:c r="F56" s="27"/>
      <x:c r="G56" s="27"/>
      <x:c r="H56" s="27"/>
      <x:c r="I56" s="27"/>
      <x:c r="J56" s="27"/>
      <x:c r="K56" s="27"/>
      <x:c r="L56" s="27"/>
      <x:c r="M56" s="27"/>
      <x:c r="N56" s="27"/>
      <x:c r="O56" s="27"/>
      <x:c r="P56" s="27"/>
      <x:c r="Q56" s="27"/>
      <x:c r="R56" s="27"/>
      <x:c r="S56" s="27"/>
      <x:c r="T56" s="27"/>
      <x:c r="U56" s="27"/>
      <x:c r="V56" s="27"/>
      <x:c r="W56" s="27"/>
      <x:c r="X56" s="27"/>
      <x:c r="Y56" s="27"/>
      <x:c r="Z56" s="27"/>
      <x:c r="AA56" s="27"/>
      <x:c r="AB56" s="27"/>
      <x:c r="AC56" s="27"/>
      <x:c r="AD56" s="27"/>
      <x:c r="AE56" s="27"/>
      <x:c r="AF56" s="27"/>
      <x:c r="AG56" s="27"/>
      <x:c r="AH56" s="27"/>
      <x:c r="AI56" s="27"/>
      <x:c r="AJ56" s="27"/>
      <x:c r="AK56" s="27"/>
      <x:c r="AL56" s="27"/>
      <x:c r="AM56" s="27"/>
      <x:c r="AN56" s="27"/>
      <x:c r="AO56" s="27"/>
      <x:c r="AP56" s="27"/>
      <x:c r="AQ56" s="27"/>
      <x:c r="AR56" s="27"/>
      <x:c r="AS56" s="27"/>
      <x:c r="AT56" s="27"/>
      <x:c r="AU56" s="27"/>
      <x:c r="AV56" s="27"/>
      <x:c r="AW56" s="27"/>
      <x:c r="AX56" s="27"/>
      <x:c r="AY56" s="27"/>
      <x:c r="AZ56" s="27"/>
    </x:row>
    <x:row r="57">
      <x:c r="A57" s="27"/>
      <x:c r="B57" s="27"/>
      <x:c r="C57" s="27"/>
      <x:c r="D57" s="27"/>
      <x:c r="E57" s="27"/>
      <x:c r="F57" s="27"/>
      <x:c r="G57" s="27"/>
      <x:c r="H57" s="27"/>
      <x:c r="I57" s="27"/>
      <x:c r="J57" s="27"/>
      <x:c r="K57" s="27"/>
      <x:c r="L57" s="27"/>
      <x:c r="M57" s="27"/>
      <x:c r="N57" s="27"/>
      <x:c r="O57" s="27"/>
      <x:c r="P57" s="27"/>
      <x:c r="Q57" s="27"/>
      <x:c r="R57" s="27"/>
      <x:c r="S57" s="27"/>
      <x:c r="T57" s="27"/>
      <x:c r="U57" s="27"/>
      <x:c r="V57" s="27"/>
      <x:c r="W57" s="27"/>
      <x:c r="X57" s="27"/>
      <x:c r="Y57" s="27"/>
      <x:c r="Z57" s="27"/>
      <x:c r="AA57" s="27"/>
      <x:c r="AB57" s="27"/>
      <x:c r="AC57" s="27"/>
      <x:c r="AD57" s="27"/>
      <x:c r="AE57" s="27"/>
      <x:c r="AF57" s="27"/>
      <x:c r="AG57" s="27"/>
      <x:c r="AH57" s="27"/>
      <x:c r="AI57" s="27"/>
      <x:c r="AJ57" s="27"/>
      <x:c r="AK57" s="27"/>
      <x:c r="AL57" s="27"/>
      <x:c r="AM57" s="27"/>
      <x:c r="AN57" s="27"/>
      <x:c r="AO57" s="27"/>
      <x:c r="AP57" s="27"/>
      <x:c r="AQ57" s="27"/>
      <x:c r="AR57" s="27"/>
      <x:c r="AS57" s="27"/>
      <x:c r="AT57" s="27"/>
      <x:c r="AU57" s="27"/>
      <x:c r="AV57" s="27"/>
      <x:c r="AW57" s="27"/>
      <x:c r="AX57" s="27"/>
      <x:c r="AY57" s="27"/>
      <x:c r="AZ57" s="27"/>
    </x:row>
    <x:row r="58">
      <x:c r="A58" s="27"/>
      <x:c r="B58" s="27"/>
      <x:c r="C58" s="27"/>
      <x:c r="D58" s="27"/>
      <x:c r="E58" s="27"/>
      <x:c r="F58" s="27"/>
      <x:c r="G58" s="27"/>
      <x:c r="H58" s="27"/>
      <x:c r="I58" s="27"/>
      <x:c r="J58" s="27"/>
      <x:c r="K58" s="27"/>
      <x:c r="L58" s="27"/>
      <x:c r="M58" s="27"/>
      <x:c r="N58" s="27"/>
      <x:c r="O58" s="27"/>
      <x:c r="P58" s="27"/>
      <x:c r="Q58" s="27"/>
      <x:c r="R58" s="27"/>
      <x:c r="S58" s="27"/>
      <x:c r="T58" s="27"/>
      <x:c r="U58" s="27"/>
      <x:c r="V58" s="27"/>
      <x:c r="W58" s="27"/>
      <x:c r="X58" s="27"/>
      <x:c r="Y58" s="27"/>
      <x:c r="Z58" s="27"/>
      <x:c r="AA58" s="27"/>
      <x:c r="AB58" s="27"/>
      <x:c r="AC58" s="27"/>
      <x:c r="AD58" s="27"/>
      <x:c r="AE58" s="27"/>
      <x:c r="AF58" s="27"/>
      <x:c r="AG58" s="27"/>
      <x:c r="AH58" s="27"/>
      <x:c r="AI58" s="27"/>
      <x:c r="AJ58" s="27"/>
      <x:c r="AK58" s="27"/>
      <x:c r="AL58" s="27"/>
      <x:c r="AM58" s="27"/>
      <x:c r="AN58" s="27"/>
      <x:c r="AO58" s="27"/>
      <x:c r="AP58" s="27"/>
      <x:c r="AQ58" s="27"/>
      <x:c r="AR58" s="27"/>
      <x:c r="AS58" s="27"/>
      <x:c r="AT58" s="27"/>
      <x:c r="AU58" s="27"/>
      <x:c r="AV58" s="27"/>
      <x:c r="AW58" s="27"/>
      <x:c r="AX58" s="27"/>
      <x:c r="AY58" s="27"/>
      <x:c r="AZ58" s="27"/>
    </x:row>
    <x:row r="59">
      <x:c r="A59" s="27"/>
      <x:c r="B59" s="27"/>
      <x:c r="C59" s="27"/>
      <x:c r="D59" s="27"/>
      <x:c r="E59" s="27"/>
      <x:c r="F59" s="27"/>
      <x:c r="G59" s="27"/>
      <x:c r="H59" s="27"/>
      <x:c r="I59" s="27"/>
      <x:c r="J59" s="27"/>
      <x:c r="K59" s="27"/>
      <x:c r="L59" s="27"/>
      <x:c r="M59" s="27"/>
      <x:c r="N59" s="27"/>
      <x:c r="O59" s="27"/>
      <x:c r="P59" s="27"/>
      <x:c r="Q59" s="27"/>
      <x:c r="R59" s="27"/>
      <x:c r="S59" s="27"/>
      <x:c r="T59" s="27"/>
      <x:c r="U59" s="27"/>
      <x:c r="V59" s="27"/>
      <x:c r="W59" s="27"/>
      <x:c r="X59" s="27"/>
      <x:c r="Y59" s="27"/>
      <x:c r="Z59" s="27"/>
      <x:c r="AA59" s="27"/>
      <x:c r="AB59" s="27"/>
      <x:c r="AC59" s="27"/>
      <x:c r="AD59" s="27"/>
      <x:c r="AE59" s="27"/>
      <x:c r="AF59" s="27"/>
      <x:c r="AG59" s="27"/>
      <x:c r="AH59" s="27"/>
      <x:c r="AI59" s="27"/>
      <x:c r="AJ59" s="27"/>
      <x:c r="AK59" s="27"/>
      <x:c r="AL59" s="27"/>
      <x:c r="AM59" s="27"/>
      <x:c r="AN59" s="27"/>
      <x:c r="AO59" s="27"/>
      <x:c r="AP59" s="27"/>
      <x:c r="AQ59" s="27"/>
      <x:c r="AR59" s="27"/>
      <x:c r="AS59" s="27"/>
      <x:c r="AT59" s="27"/>
      <x:c r="AU59" s="27"/>
      <x:c r="AV59" s="27"/>
      <x:c r="AW59" s="27"/>
      <x:c r="AX59" s="27"/>
      <x:c r="AY59" s="27"/>
      <x:c r="AZ59" s="27"/>
    </x:row>
    <x:row r="60">
      <x:c r="A60" s="27"/>
      <x:c r="B60" s="27"/>
      <x:c r="C60" s="27"/>
      <x:c r="D60" s="27"/>
      <x:c r="E60" s="27"/>
      <x:c r="F60" s="27"/>
      <x:c r="G60" s="27"/>
      <x:c r="H60" s="27"/>
      <x:c r="I60" s="27"/>
      <x:c r="J60" s="27"/>
      <x:c r="K60" s="27"/>
      <x:c r="L60" s="27"/>
      <x:c r="M60" s="27"/>
      <x:c r="N60" s="27"/>
      <x:c r="O60" s="27"/>
      <x:c r="P60" s="27"/>
      <x:c r="Q60" s="27"/>
      <x:c r="R60" s="27"/>
      <x:c r="S60" s="27"/>
      <x:c r="T60" s="27"/>
      <x:c r="U60" s="27"/>
      <x:c r="V60" s="27"/>
      <x:c r="W60" s="27"/>
      <x:c r="X60" s="27"/>
      <x:c r="Y60" s="27"/>
      <x:c r="Z60" s="27"/>
      <x:c r="AA60" s="27"/>
      <x:c r="AB60" s="27"/>
      <x:c r="AC60" s="27"/>
      <x:c r="AD60" s="27"/>
      <x:c r="AE60" s="27"/>
      <x:c r="AF60" s="27"/>
      <x:c r="AG60" s="27"/>
      <x:c r="AH60" s="27"/>
      <x:c r="AI60" s="27"/>
      <x:c r="AJ60" s="27"/>
      <x:c r="AK60" s="27"/>
      <x:c r="AL60" s="27"/>
      <x:c r="AM60" s="27"/>
      <x:c r="AN60" s="27"/>
      <x:c r="AO60" s="27"/>
      <x:c r="AP60" s="27"/>
      <x:c r="AQ60" s="27"/>
      <x:c r="AR60" s="27"/>
      <x:c r="AS60" s="27"/>
      <x:c r="AT60" s="27"/>
      <x:c r="AU60" s="27"/>
      <x:c r="AV60" s="27"/>
      <x:c r="AW60" s="27"/>
      <x:c r="AX60" s="27"/>
      <x:c r="AY60" s="27"/>
      <x:c r="AZ60" s="27"/>
    </x:row>
    <x:row r="61">
      <x:c r="A61" s="27"/>
      <x:c r="B61" s="27"/>
      <x:c r="C61" s="27"/>
      <x:c r="D61" s="27"/>
      <x:c r="E61" s="27"/>
      <x:c r="F61" s="27"/>
      <x:c r="G61" s="27"/>
      <x:c r="H61" s="27"/>
      <x:c r="I61" s="27"/>
      <x:c r="J61" s="27"/>
      <x:c r="K61" s="27"/>
      <x:c r="L61" s="27"/>
      <x:c r="M61" s="27"/>
      <x:c r="N61" s="27"/>
      <x:c r="O61" s="27"/>
      <x:c r="P61" s="27"/>
      <x:c r="Q61" s="27"/>
      <x:c r="R61" s="27"/>
      <x:c r="S61" s="27"/>
      <x:c r="T61" s="27"/>
      <x:c r="U61" s="27"/>
      <x:c r="V61" s="27"/>
      <x:c r="W61" s="27"/>
      <x:c r="X61" s="27"/>
      <x:c r="Y61" s="27"/>
      <x:c r="Z61" s="27"/>
      <x:c r="AA61" s="27"/>
      <x:c r="AB61" s="27"/>
      <x:c r="AC61" s="27"/>
      <x:c r="AD61" s="27"/>
      <x:c r="AE61" s="27"/>
      <x:c r="AF61" s="27"/>
      <x:c r="AG61" s="27"/>
      <x:c r="AH61" s="27"/>
      <x:c r="AI61" s="27"/>
      <x:c r="AJ61" s="27"/>
      <x:c r="AK61" s="27"/>
      <x:c r="AL61" s="27"/>
      <x:c r="AM61" s="27"/>
      <x:c r="AN61" s="27"/>
      <x:c r="AO61" s="27"/>
      <x:c r="AP61" s="27"/>
      <x:c r="AQ61" s="27"/>
      <x:c r="AR61" s="27"/>
      <x:c r="AS61" s="27"/>
      <x:c r="AT61" s="27"/>
      <x:c r="AU61" s="27"/>
      <x:c r="AV61" s="27"/>
      <x:c r="AW61" s="27"/>
      <x:c r="AX61" s="27"/>
      <x:c r="AY61" s="27"/>
      <x:c r="AZ61" s="27"/>
    </x:row>
    <x:row r="62">
      <x:c r="A62" s="27"/>
      <x:c r="B62" s="27"/>
      <x:c r="C62" s="27"/>
      <x:c r="D62" s="27"/>
      <x:c r="E62" s="27"/>
      <x:c r="F62" s="27"/>
      <x:c r="G62" s="27"/>
      <x:c r="H62" s="27"/>
      <x:c r="I62" s="27"/>
      <x:c r="J62" s="27"/>
      <x:c r="K62" s="27"/>
      <x:c r="L62" s="27"/>
      <x:c r="M62" s="27"/>
      <x:c r="N62" s="27"/>
      <x:c r="O62" s="27"/>
      <x:c r="P62" s="27"/>
      <x:c r="Q62" s="27"/>
      <x:c r="R62" s="27"/>
      <x:c r="S62" s="27"/>
      <x:c r="T62" s="27"/>
      <x:c r="U62" s="27"/>
      <x:c r="V62" s="27"/>
      <x:c r="W62" s="27"/>
      <x:c r="X62" s="27"/>
      <x:c r="Y62" s="27"/>
      <x:c r="Z62" s="27"/>
      <x:c r="AA62" s="27"/>
      <x:c r="AB62" s="27"/>
      <x:c r="AC62" s="27"/>
      <x:c r="AD62" s="27"/>
      <x:c r="AE62" s="27"/>
      <x:c r="AF62" s="27"/>
      <x:c r="AG62" s="27"/>
      <x:c r="AH62" s="27"/>
      <x:c r="AI62" s="27"/>
      <x:c r="AJ62" s="27"/>
      <x:c r="AK62" s="27"/>
      <x:c r="AL62" s="27"/>
      <x:c r="AM62" s="27"/>
      <x:c r="AN62" s="27"/>
      <x:c r="AO62" s="27"/>
      <x:c r="AP62" s="27"/>
      <x:c r="AQ62" s="27"/>
      <x:c r="AR62" s="27"/>
      <x:c r="AS62" s="27"/>
      <x:c r="AT62" s="27"/>
      <x:c r="AU62" s="27"/>
      <x:c r="AV62" s="27"/>
      <x:c r="AW62" s="27"/>
      <x:c r="AX62" s="27"/>
      <x:c r="AY62" s="27"/>
      <x:c r="AZ62" s="27"/>
    </x:row>
    <x:row r="63">
      <x:c r="A63" s="27"/>
      <x:c r="B63" s="27"/>
      <x:c r="C63" s="27"/>
      <x:c r="D63" s="27"/>
      <x:c r="E63" s="27"/>
      <x:c r="F63" s="27"/>
      <x:c r="G63" s="27"/>
      <x:c r="H63" s="27"/>
      <x:c r="I63" s="27"/>
      <x:c r="J63" s="27"/>
      <x:c r="K63" s="27"/>
      <x:c r="L63" s="27"/>
      <x:c r="M63" s="27"/>
      <x:c r="N63" s="27"/>
      <x:c r="O63" s="27"/>
      <x:c r="P63" s="27"/>
      <x:c r="Q63" s="27"/>
      <x:c r="R63" s="27"/>
      <x:c r="S63" s="27"/>
      <x:c r="T63" s="27"/>
      <x:c r="U63" s="27"/>
      <x:c r="V63" s="27"/>
      <x:c r="W63" s="27"/>
      <x:c r="X63" s="27"/>
      <x:c r="Y63" s="27"/>
      <x:c r="Z63" s="27"/>
      <x:c r="AA63" s="27"/>
      <x:c r="AB63" s="27"/>
      <x:c r="AC63" s="27"/>
      <x:c r="AD63" s="27"/>
      <x:c r="AE63" s="27"/>
      <x:c r="AF63" s="27"/>
      <x:c r="AG63" s="27"/>
      <x:c r="AH63" s="27"/>
      <x:c r="AI63" s="27"/>
      <x:c r="AJ63" s="27"/>
      <x:c r="AK63" s="27"/>
      <x:c r="AL63" s="27"/>
      <x:c r="AM63" s="27"/>
      <x:c r="AN63" s="27"/>
      <x:c r="AO63" s="27"/>
      <x:c r="AP63" s="27"/>
      <x:c r="AQ63" s="27"/>
      <x:c r="AR63" s="27"/>
      <x:c r="AS63" s="27"/>
      <x:c r="AT63" s="27"/>
      <x:c r="AU63" s="27"/>
      <x:c r="AV63" s="27"/>
      <x:c r="AW63" s="27"/>
      <x:c r="AX63" s="27"/>
      <x:c r="AY63" s="27"/>
      <x:c r="AZ63" s="27"/>
    </x:row>
    <x:row r="64">
      <x:c r="A64" s="27"/>
      <x:c r="B64" s="27"/>
      <x:c r="C64" s="27"/>
      <x:c r="D64" s="27"/>
      <x:c r="E64" s="27"/>
      <x:c r="F64" s="27"/>
      <x:c r="G64" s="27"/>
      <x:c r="H64" s="27"/>
      <x:c r="I64" s="27"/>
      <x:c r="J64" s="27"/>
      <x:c r="K64" s="27"/>
      <x:c r="L64" s="27"/>
      <x:c r="M64" s="27"/>
      <x:c r="N64" s="27"/>
      <x:c r="O64" s="27"/>
      <x:c r="P64" s="27"/>
      <x:c r="Q64" s="27"/>
      <x:c r="R64" s="27"/>
      <x:c r="S64" s="27"/>
      <x:c r="T64" s="27"/>
      <x:c r="U64" s="27"/>
      <x:c r="V64" s="27"/>
      <x:c r="W64" s="27"/>
      <x:c r="X64" s="27"/>
      <x:c r="Y64" s="27"/>
      <x:c r="Z64" s="27"/>
      <x:c r="AA64" s="27"/>
      <x:c r="AB64" s="27"/>
      <x:c r="AC64" s="27"/>
      <x:c r="AD64" s="27"/>
      <x:c r="AE64" s="27"/>
      <x:c r="AF64" s="27"/>
      <x:c r="AG64" s="27"/>
      <x:c r="AH64" s="27"/>
      <x:c r="AI64" s="27"/>
      <x:c r="AJ64" s="27"/>
      <x:c r="AK64" s="27"/>
      <x:c r="AL64" s="27"/>
      <x:c r="AM64" s="27"/>
      <x:c r="AN64" s="27"/>
      <x:c r="AO64" s="27"/>
      <x:c r="AP64" s="27"/>
      <x:c r="AQ64" s="27"/>
      <x:c r="AR64" s="27"/>
      <x:c r="AS64" s="27"/>
      <x:c r="AT64" s="27"/>
      <x:c r="AU64" s="27"/>
      <x:c r="AV64" s="27"/>
      <x:c r="AW64" s="27"/>
      <x:c r="AX64" s="27"/>
      <x:c r="AY64" s="27"/>
      <x:c r="AZ64" s="27"/>
    </x:row>
    <x:row r="65">
      <x:c r="A65" s="27"/>
      <x:c r="B65" s="27"/>
      <x:c r="C65" s="27"/>
      <x:c r="D65" s="27"/>
      <x:c r="E65" s="27"/>
      <x:c r="F65" s="27"/>
      <x:c r="G65" s="27"/>
      <x:c r="H65" s="27"/>
      <x:c r="I65" s="27"/>
      <x:c r="J65" s="27"/>
      <x:c r="K65" s="27"/>
      <x:c r="L65" s="27"/>
      <x:c r="M65" s="27"/>
      <x:c r="N65" s="27"/>
      <x:c r="O65" s="27"/>
      <x:c r="P65" s="27"/>
      <x:c r="Q65" s="27"/>
      <x:c r="R65" s="27"/>
      <x:c r="S65" s="27"/>
      <x:c r="T65" s="27"/>
      <x:c r="U65" s="27"/>
      <x:c r="V65" s="27"/>
      <x:c r="W65" s="27"/>
      <x:c r="X65" s="27"/>
      <x:c r="Y65" s="27"/>
      <x:c r="Z65" s="27"/>
      <x:c r="AA65" s="27"/>
      <x:c r="AB65" s="27"/>
      <x:c r="AC65" s="27"/>
      <x:c r="AD65" s="27"/>
      <x:c r="AE65" s="27"/>
      <x:c r="AF65" s="27"/>
      <x:c r="AG65" s="27"/>
      <x:c r="AH65" s="27"/>
      <x:c r="AI65" s="27"/>
      <x:c r="AJ65" s="27"/>
      <x:c r="AK65" s="27"/>
      <x:c r="AL65" s="27"/>
      <x:c r="AM65" s="27"/>
      <x:c r="AN65" s="27"/>
      <x:c r="AO65" s="27"/>
      <x:c r="AP65" s="27"/>
      <x:c r="AQ65" s="27"/>
      <x:c r="AR65" s="27"/>
      <x:c r="AS65" s="27"/>
      <x:c r="AT65" s="27"/>
      <x:c r="AU65" s="27"/>
      <x:c r="AV65" s="27"/>
      <x:c r="AW65" s="27"/>
      <x:c r="AX65" s="27"/>
      <x:c r="AY65" s="27"/>
      <x:c r="AZ65" s="27"/>
    </x:row>
    <x:row r="66">
      <x:c r="A66" s="27"/>
      <x:c r="B66" s="27"/>
      <x:c r="C66" s="27"/>
      <x:c r="D66" s="27"/>
      <x:c r="E66" s="27"/>
      <x:c r="F66" s="27"/>
      <x:c r="G66" s="27"/>
      <x:c r="H66" s="27"/>
      <x:c r="I66" s="27"/>
      <x:c r="J66" s="27"/>
      <x:c r="K66" s="27"/>
      <x:c r="L66" s="27"/>
      <x:c r="M66" s="27"/>
      <x:c r="N66" s="27"/>
      <x:c r="O66" s="27"/>
      <x:c r="P66" s="27"/>
      <x:c r="Q66" s="27"/>
      <x:c r="R66" s="27"/>
      <x:c r="S66" s="27"/>
      <x:c r="T66" s="27"/>
      <x:c r="U66" s="27"/>
      <x:c r="V66" s="27"/>
      <x:c r="W66" s="27"/>
      <x:c r="X66" s="27"/>
      <x:c r="Y66" s="27"/>
      <x:c r="Z66" s="27"/>
      <x:c r="AA66" s="27"/>
      <x:c r="AB66" s="27"/>
      <x:c r="AC66" s="27"/>
      <x:c r="AD66" s="27"/>
      <x:c r="AE66" s="27"/>
      <x:c r="AF66" s="27"/>
      <x:c r="AG66" s="27"/>
      <x:c r="AH66" s="27"/>
      <x:c r="AI66" s="27"/>
      <x:c r="AJ66" s="27"/>
      <x:c r="AK66" s="27"/>
      <x:c r="AL66" s="27"/>
      <x:c r="AM66" s="27"/>
      <x:c r="AN66" s="27"/>
      <x:c r="AO66" s="27"/>
      <x:c r="AP66" s="27"/>
      <x:c r="AQ66" s="27"/>
      <x:c r="AR66" s="27"/>
      <x:c r="AS66" s="27"/>
      <x:c r="AT66" s="27"/>
      <x:c r="AU66" s="27"/>
      <x:c r="AV66" s="27"/>
      <x:c r="AW66" s="27"/>
      <x:c r="AX66" s="27"/>
      <x:c r="AY66" s="27"/>
      <x:c r="AZ66" s="27"/>
    </x:row>
    <x:row r="67">
      <x:c r="A67" s="27"/>
      <x:c r="B67" s="27"/>
      <x:c r="C67" s="27"/>
      <x:c r="D67" s="27"/>
      <x:c r="E67" s="27"/>
      <x:c r="F67" s="27"/>
      <x:c r="G67" s="27"/>
      <x:c r="H67" s="27"/>
      <x:c r="I67" s="27"/>
      <x:c r="J67" s="27"/>
      <x:c r="K67" s="27"/>
      <x:c r="L67" s="27"/>
      <x:c r="M67" s="27"/>
      <x:c r="N67" s="27"/>
      <x:c r="O67" s="27"/>
      <x:c r="P67" s="27"/>
      <x:c r="Q67" s="27"/>
      <x:c r="R67" s="27"/>
      <x:c r="S67" s="27"/>
      <x:c r="T67" s="27"/>
      <x:c r="U67" s="27"/>
      <x:c r="V67" s="27"/>
      <x:c r="W67" s="27"/>
      <x:c r="X67" s="27"/>
      <x:c r="Y67" s="27"/>
      <x:c r="Z67" s="27"/>
      <x:c r="AA67" s="27"/>
      <x:c r="AB67" s="27"/>
      <x:c r="AC67" s="27"/>
      <x:c r="AD67" s="27"/>
      <x:c r="AE67" s="27"/>
      <x:c r="AF67" s="27"/>
      <x:c r="AG67" s="27"/>
      <x:c r="AH67" s="27"/>
      <x:c r="AI67" s="27"/>
      <x:c r="AJ67" s="27"/>
      <x:c r="AK67" s="27"/>
      <x:c r="AL67" s="27"/>
      <x:c r="AM67" s="27"/>
      <x:c r="AN67" s="27"/>
      <x:c r="AO67" s="27"/>
      <x:c r="AP67" s="27"/>
      <x:c r="AQ67" s="27"/>
      <x:c r="AR67" s="27"/>
      <x:c r="AS67" s="27"/>
      <x:c r="AT67" s="27"/>
      <x:c r="AU67" s="27"/>
      <x:c r="AV67" s="27"/>
      <x:c r="AW67" s="27"/>
      <x:c r="AX67" s="27"/>
      <x:c r="AY67" s="27"/>
      <x:c r="AZ67" s="27"/>
    </x:row>
    <x:row r="68">
      <x:c r="A68" s="27"/>
      <x:c r="B68" s="27"/>
      <x:c r="C68" s="27"/>
      <x:c r="D68" s="27"/>
      <x:c r="E68" s="27"/>
      <x:c r="F68" s="27"/>
      <x:c r="G68" s="27"/>
      <x:c r="H68" s="27"/>
      <x:c r="I68" s="27"/>
      <x:c r="J68" s="27"/>
      <x:c r="K68" s="27"/>
      <x:c r="L68" s="27"/>
      <x:c r="M68" s="27"/>
      <x:c r="N68" s="27"/>
      <x:c r="O68" s="27"/>
      <x:c r="P68" s="27"/>
      <x:c r="Q68" s="27"/>
      <x:c r="R68" s="27"/>
      <x:c r="S68" s="27"/>
      <x:c r="T68" s="27"/>
      <x:c r="U68" s="27"/>
      <x:c r="V68" s="27"/>
      <x:c r="W68" s="27"/>
      <x:c r="X68" s="27"/>
      <x:c r="Y68" s="27"/>
      <x:c r="Z68" s="27"/>
      <x:c r="AA68" s="27"/>
      <x:c r="AB68" s="27"/>
      <x:c r="AC68" s="27"/>
      <x:c r="AD68" s="27"/>
      <x:c r="AE68" s="27"/>
      <x:c r="AF68" s="27"/>
      <x:c r="AG68" s="27"/>
      <x:c r="AH68" s="27"/>
      <x:c r="AI68" s="27"/>
      <x:c r="AJ68" s="27"/>
      <x:c r="AK68" s="27"/>
      <x:c r="AL68" s="27"/>
      <x:c r="AM68" s="27"/>
      <x:c r="AN68" s="27"/>
      <x:c r="AO68" s="27"/>
      <x:c r="AP68" s="27"/>
      <x:c r="AQ68" s="27"/>
      <x:c r="AR68" s="27"/>
      <x:c r="AS68" s="27"/>
      <x:c r="AT68" s="27"/>
      <x:c r="AU68" s="27"/>
      <x:c r="AV68" s="27"/>
      <x:c r="AW68" s="27"/>
      <x:c r="AX68" s="27"/>
      <x:c r="AY68" s="27"/>
      <x:c r="AZ68" s="27"/>
    </x:row>
    <x:row r="69">
      <x:c r="A69" s="27"/>
      <x:c r="B69" s="27"/>
      <x:c r="C69" s="27"/>
      <x:c r="D69" s="27"/>
      <x:c r="E69" s="27"/>
      <x:c r="F69" s="27"/>
      <x:c r="G69" s="27"/>
      <x:c r="H69" s="27"/>
      <x:c r="I69" s="27"/>
      <x:c r="J69" s="27"/>
      <x:c r="K69" s="27"/>
      <x:c r="L69" s="27"/>
      <x:c r="M69" s="27"/>
      <x:c r="N69" s="27"/>
      <x:c r="O69" s="27"/>
      <x:c r="P69" s="27"/>
      <x:c r="Q69" s="27"/>
      <x:c r="R69" s="27"/>
      <x:c r="S69" s="27"/>
      <x:c r="T69" s="27"/>
      <x:c r="U69" s="27"/>
      <x:c r="V69" s="27"/>
      <x:c r="W69" s="27"/>
      <x:c r="X69" s="27"/>
      <x:c r="Y69" s="27"/>
      <x:c r="Z69" s="27"/>
      <x:c r="AA69" s="27"/>
      <x:c r="AB69" s="27"/>
      <x:c r="AC69" s="27"/>
      <x:c r="AD69" s="27"/>
      <x:c r="AE69" s="27"/>
      <x:c r="AF69" s="27"/>
      <x:c r="AG69" s="27"/>
      <x:c r="AH69" s="27"/>
      <x:c r="AI69" s="27"/>
      <x:c r="AJ69" s="27"/>
      <x:c r="AK69" s="27"/>
      <x:c r="AL69" s="27"/>
      <x:c r="AM69" s="27"/>
      <x:c r="AN69" s="27"/>
      <x:c r="AO69" s="27"/>
      <x:c r="AP69" s="27"/>
      <x:c r="AQ69" s="27"/>
      <x:c r="AR69" s="27"/>
      <x:c r="AS69" s="27"/>
      <x:c r="AT69" s="27"/>
      <x:c r="AU69" s="27"/>
      <x:c r="AV69" s="27"/>
      <x:c r="AW69" s="27"/>
      <x:c r="AX69" s="27"/>
      <x:c r="AY69" s="27"/>
      <x:c r="AZ69" s="27"/>
    </x:row>
    <x:row r="70">
      <x:c r="A70" s="27"/>
      <x:c r="B70" s="27"/>
      <x:c r="C70" s="27"/>
      <x:c r="D70" s="27"/>
      <x:c r="E70" s="27"/>
      <x:c r="F70" s="27"/>
      <x:c r="G70" s="27"/>
      <x:c r="H70" s="27"/>
      <x:c r="I70" s="27"/>
      <x:c r="J70" s="27"/>
      <x:c r="K70" s="27"/>
      <x:c r="L70" s="27"/>
      <x:c r="M70" s="27"/>
      <x:c r="N70" s="27"/>
      <x:c r="O70" s="27"/>
      <x:c r="P70" s="27"/>
      <x:c r="Q70" s="27"/>
      <x:c r="R70" s="27"/>
      <x:c r="S70" s="27"/>
      <x:c r="T70" s="27"/>
      <x:c r="U70" s="27"/>
      <x:c r="V70" s="27"/>
      <x:c r="W70" s="27"/>
      <x:c r="X70" s="27"/>
      <x:c r="Y70" s="27"/>
      <x:c r="Z70" s="27"/>
      <x:c r="AA70" s="27"/>
      <x:c r="AB70" s="27"/>
      <x:c r="AC70" s="27"/>
      <x:c r="AD70" s="27"/>
      <x:c r="AE70" s="27"/>
      <x:c r="AF70" s="27"/>
      <x:c r="AG70" s="27"/>
      <x:c r="AH70" s="27"/>
      <x:c r="AI70" s="27"/>
      <x:c r="AJ70" s="27"/>
      <x:c r="AK70" s="27"/>
      <x:c r="AL70" s="27"/>
      <x:c r="AM70" s="27"/>
      <x:c r="AN70" s="27"/>
      <x:c r="AO70" s="27"/>
      <x:c r="AP70" s="27"/>
      <x:c r="AQ70" s="27"/>
      <x:c r="AR70" s="27"/>
      <x:c r="AS70" s="27"/>
      <x:c r="AT70" s="27"/>
      <x:c r="AU70" s="27"/>
      <x:c r="AV70" s="27"/>
      <x:c r="AW70" s="27"/>
      <x:c r="AX70" s="27"/>
      <x:c r="AY70" s="27"/>
      <x:c r="AZ70" s="27"/>
    </x:row>
    <x:row r="71">
      <x:c r="A71" s="27"/>
      <x:c r="B71" s="27"/>
      <x:c r="C71" s="27"/>
      <x:c r="D71" s="27"/>
      <x:c r="E71" s="27"/>
      <x:c r="F71" s="27"/>
      <x:c r="G71" s="27"/>
      <x:c r="H71" s="27"/>
      <x:c r="I71" s="27"/>
      <x:c r="J71" s="27"/>
      <x:c r="K71" s="27"/>
      <x:c r="L71" s="27"/>
      <x:c r="M71" s="27"/>
      <x:c r="N71" s="27"/>
      <x:c r="O71" s="27"/>
      <x:c r="P71" s="27"/>
      <x:c r="Q71" s="27"/>
      <x:c r="R71" s="27"/>
      <x:c r="S71" s="27"/>
      <x:c r="T71" s="27"/>
      <x:c r="U71" s="27"/>
      <x:c r="V71" s="27"/>
      <x:c r="W71" s="27"/>
      <x:c r="X71" s="27"/>
      <x:c r="Y71" s="27"/>
      <x:c r="Z71" s="27"/>
      <x:c r="AA71" s="27"/>
      <x:c r="AB71" s="27"/>
      <x:c r="AC71" s="27"/>
      <x:c r="AD71" s="27"/>
      <x:c r="AE71" s="27"/>
      <x:c r="AF71" s="27"/>
      <x:c r="AG71" s="27"/>
      <x:c r="AH71" s="27"/>
      <x:c r="AI71" s="27"/>
      <x:c r="AJ71" s="27"/>
      <x:c r="AK71" s="27"/>
      <x:c r="AL71" s="27"/>
      <x:c r="AM71" s="27"/>
      <x:c r="AN71" s="27"/>
      <x:c r="AO71" s="27"/>
      <x:c r="AP71" s="27"/>
      <x:c r="AQ71" s="27"/>
      <x:c r="AR71" s="27"/>
      <x:c r="AS71" s="27"/>
      <x:c r="AT71" s="27"/>
      <x:c r="AU71" s="27"/>
      <x:c r="AV71" s="27"/>
      <x:c r="AW71" s="27"/>
      <x:c r="AX71" s="27"/>
      <x:c r="AY71" s="27"/>
      <x:c r="AZ71" s="27"/>
    </x:row>
    <x:row r="72">
      <x:c r="A72" s="27"/>
      <x:c r="B72" s="27"/>
      <x:c r="C72" s="27"/>
      <x:c r="D72" s="27"/>
      <x:c r="E72" s="27"/>
      <x:c r="F72" s="27"/>
      <x:c r="G72" s="27"/>
      <x:c r="H72" s="27"/>
      <x:c r="I72" s="27"/>
      <x:c r="J72" s="27"/>
      <x:c r="K72" s="27"/>
      <x:c r="L72" s="27"/>
      <x:c r="M72" s="27"/>
      <x:c r="N72" s="27"/>
      <x:c r="O72" s="27"/>
      <x:c r="P72" s="27"/>
      <x:c r="Q72" s="27"/>
      <x:c r="R72" s="27"/>
      <x:c r="S72" s="27"/>
      <x:c r="T72" s="27"/>
      <x:c r="U72" s="27"/>
      <x:c r="V72" s="27"/>
      <x:c r="W72" s="27"/>
      <x:c r="X72" s="27"/>
      <x:c r="Y72" s="27"/>
      <x:c r="Z72" s="27"/>
      <x:c r="AA72" s="27"/>
      <x:c r="AB72" s="27"/>
      <x:c r="AC72" s="27"/>
      <x:c r="AD72" s="27"/>
      <x:c r="AE72" s="27"/>
      <x:c r="AF72" s="27"/>
      <x:c r="AG72" s="27"/>
      <x:c r="AH72" s="27"/>
      <x:c r="AI72" s="27"/>
      <x:c r="AJ72" s="27"/>
      <x:c r="AK72" s="27"/>
      <x:c r="AL72" s="27"/>
      <x:c r="AM72" s="27"/>
      <x:c r="AN72" s="27"/>
      <x:c r="AO72" s="27"/>
      <x:c r="AP72" s="27"/>
      <x:c r="AQ72" s="27"/>
      <x:c r="AR72" s="27"/>
      <x:c r="AS72" s="27"/>
      <x:c r="AT72" s="27"/>
      <x:c r="AU72" s="27"/>
      <x:c r="AV72" s="27"/>
      <x:c r="AW72" s="27"/>
      <x:c r="AX72" s="27"/>
      <x:c r="AY72" s="27"/>
      <x:c r="AZ72" s="27"/>
    </x:row>
    <x:row r="73">
      <x:c r="A73" s="27"/>
      <x:c r="B73" s="27"/>
      <x:c r="C73" s="27"/>
      <x:c r="D73" s="27"/>
      <x:c r="E73" s="27"/>
      <x:c r="F73" s="27"/>
      <x:c r="G73" s="27"/>
      <x:c r="H73" s="27"/>
      <x:c r="I73" s="27"/>
      <x:c r="J73" s="27"/>
      <x:c r="K73" s="27"/>
      <x:c r="L73" s="27"/>
      <x:c r="M73" s="27"/>
      <x:c r="N73" s="27"/>
      <x:c r="O73" s="27"/>
      <x:c r="P73" s="27"/>
      <x:c r="Q73" s="27"/>
      <x:c r="R73" s="27"/>
      <x:c r="S73" s="27"/>
      <x:c r="T73" s="27"/>
      <x:c r="U73" s="27"/>
      <x:c r="V73" s="27"/>
      <x:c r="W73" s="27"/>
      <x:c r="X73" s="27"/>
      <x:c r="Y73" s="27"/>
      <x:c r="Z73" s="27"/>
      <x:c r="AA73" s="27"/>
      <x:c r="AB73" s="27"/>
      <x:c r="AC73" s="27"/>
      <x:c r="AD73" s="27"/>
      <x:c r="AE73" s="27"/>
      <x:c r="AF73" s="27"/>
      <x:c r="AG73" s="27"/>
      <x:c r="AH73" s="27"/>
      <x:c r="AI73" s="27"/>
      <x:c r="AJ73" s="27"/>
      <x:c r="AK73" s="27"/>
      <x:c r="AL73" s="27"/>
      <x:c r="AM73" s="27"/>
      <x:c r="AN73" s="27"/>
      <x:c r="AO73" s="27"/>
      <x:c r="AP73" s="27"/>
      <x:c r="AQ73" s="27"/>
      <x:c r="AR73" s="27"/>
      <x:c r="AS73" s="27"/>
      <x:c r="AT73" s="27"/>
      <x:c r="AU73" s="27"/>
      <x:c r="AV73" s="27"/>
      <x:c r="AW73" s="27"/>
      <x:c r="AX73" s="27"/>
      <x:c r="AY73" s="27"/>
      <x:c r="AZ73" s="27"/>
    </x:row>
    <x:row r="74">
      <x:c r="A74" s="27"/>
      <x:c r="B74" s="27"/>
      <x:c r="C74" s="27"/>
      <x:c r="D74" s="27"/>
      <x:c r="E74" s="27"/>
      <x:c r="F74" s="27"/>
      <x:c r="G74" s="27"/>
      <x:c r="H74" s="27"/>
      <x:c r="I74" s="27"/>
      <x:c r="J74" s="27"/>
      <x:c r="K74" s="27"/>
      <x:c r="L74" s="27"/>
      <x:c r="M74" s="27"/>
      <x:c r="N74" s="27"/>
      <x:c r="O74" s="27"/>
      <x:c r="P74" s="27"/>
      <x:c r="Q74" s="27"/>
      <x:c r="R74" s="27"/>
      <x:c r="S74" s="27"/>
      <x:c r="T74" s="27"/>
      <x:c r="U74" s="27"/>
      <x:c r="V74" s="27"/>
      <x:c r="W74" s="27"/>
      <x:c r="X74" s="27"/>
      <x:c r="Y74" s="27"/>
      <x:c r="Z74" s="27"/>
      <x:c r="AA74" s="27"/>
      <x:c r="AB74" s="27"/>
      <x:c r="AC74" s="27"/>
      <x:c r="AD74" s="27"/>
      <x:c r="AE74" s="27"/>
      <x:c r="AF74" s="27"/>
      <x:c r="AG74" s="27"/>
      <x:c r="AH74" s="27"/>
      <x:c r="AI74" s="27"/>
      <x:c r="AJ74" s="27"/>
      <x:c r="AK74" s="27"/>
      <x:c r="AL74" s="27"/>
      <x:c r="AM74" s="27"/>
      <x:c r="AN74" s="27"/>
      <x:c r="AO74" s="27"/>
      <x:c r="AP74" s="27"/>
      <x:c r="AQ74" s="27"/>
      <x:c r="AR74" s="27"/>
      <x:c r="AS74" s="27"/>
      <x:c r="AT74" s="27"/>
      <x:c r="AU74" s="27"/>
      <x:c r="AV74" s="27"/>
      <x:c r="AW74" s="27"/>
      <x:c r="AX74" s="27"/>
      <x:c r="AY74" s="27"/>
      <x:c r="AZ74" s="27"/>
    </x:row>
    <x:row r="75">
      <x:c r="A75" s="27"/>
      <x:c r="B75" s="27"/>
      <x:c r="C75" s="27"/>
      <x:c r="D75" s="27"/>
      <x:c r="E75" s="27"/>
      <x:c r="F75" s="27"/>
      <x:c r="G75" s="27"/>
      <x:c r="H75" s="27"/>
      <x:c r="I75" s="27"/>
      <x:c r="J75" s="27"/>
      <x:c r="K75" s="27"/>
      <x:c r="L75" s="27"/>
      <x:c r="M75" s="27"/>
      <x:c r="N75" s="27"/>
      <x:c r="O75" s="27"/>
      <x:c r="P75" s="27"/>
      <x:c r="Q75" s="27"/>
      <x:c r="R75" s="27"/>
      <x:c r="S75" s="27"/>
      <x:c r="T75" s="27"/>
      <x:c r="U75" s="27"/>
      <x:c r="V75" s="27"/>
      <x:c r="W75" s="27"/>
      <x:c r="X75" s="27"/>
      <x:c r="Y75" s="27"/>
      <x:c r="Z75" s="27"/>
      <x:c r="AA75" s="27"/>
      <x:c r="AB75" s="27"/>
      <x:c r="AC75" s="27"/>
      <x:c r="AD75" s="27"/>
      <x:c r="AE75" s="27"/>
      <x:c r="AF75" s="27"/>
      <x:c r="AG75" s="27"/>
      <x:c r="AH75" s="27"/>
      <x:c r="AI75" s="27"/>
      <x:c r="AJ75" s="27"/>
      <x:c r="AK75" s="27"/>
      <x:c r="AL75" s="27"/>
      <x:c r="AM75" s="27"/>
      <x:c r="AN75" s="27"/>
      <x:c r="AO75" s="27"/>
      <x:c r="AP75" s="27"/>
      <x:c r="AQ75" s="27"/>
      <x:c r="AR75" s="27"/>
      <x:c r="AS75" s="27"/>
      <x:c r="AT75" s="27"/>
      <x:c r="AU75" s="27"/>
      <x:c r="AV75" s="27"/>
      <x:c r="AW75" s="27"/>
      <x:c r="AX75" s="27"/>
      <x:c r="AY75" s="27"/>
      <x:c r="AZ75" s="27"/>
    </x:row>
    <x:row r="76">
      <x:c r="A76" s="27"/>
      <x:c r="B76" s="27"/>
      <x:c r="C76" s="27"/>
      <x:c r="D76" s="27"/>
      <x:c r="E76" s="27"/>
      <x:c r="F76" s="27"/>
      <x:c r="G76" s="27"/>
      <x:c r="H76" s="27"/>
      <x:c r="I76" s="27"/>
      <x:c r="J76" s="27"/>
      <x:c r="K76" s="27"/>
      <x:c r="L76" s="27"/>
      <x:c r="M76" s="27"/>
      <x:c r="N76" s="27"/>
      <x:c r="O76" s="27"/>
      <x:c r="P76" s="27"/>
      <x:c r="Q76" s="27"/>
      <x:c r="R76" s="27"/>
      <x:c r="S76" s="27"/>
      <x:c r="T76" s="27"/>
      <x:c r="U76" s="27"/>
      <x:c r="V76" s="27"/>
      <x:c r="W76" s="27"/>
      <x:c r="X76" s="27"/>
      <x:c r="Y76" s="27"/>
      <x:c r="Z76" s="27"/>
      <x:c r="AA76" s="27"/>
      <x:c r="AB76" s="27"/>
      <x:c r="AC76" s="27"/>
      <x:c r="AD76" s="27"/>
      <x:c r="AE76" s="27"/>
      <x:c r="AF76" s="27"/>
      <x:c r="AG76" s="27"/>
      <x:c r="AH76" s="27"/>
      <x:c r="AI76" s="27"/>
      <x:c r="AJ76" s="27"/>
      <x:c r="AK76" s="27"/>
      <x:c r="AL76" s="27"/>
      <x:c r="AM76" s="27"/>
      <x:c r="AN76" s="27"/>
      <x:c r="AO76" s="27"/>
      <x:c r="AP76" s="27"/>
      <x:c r="AQ76" s="27"/>
      <x:c r="AR76" s="27"/>
      <x:c r="AS76" s="27"/>
      <x:c r="AT76" s="27"/>
      <x:c r="AU76" s="27"/>
      <x:c r="AV76" s="27"/>
      <x:c r="AW76" s="27"/>
      <x:c r="AX76" s="27"/>
      <x:c r="AY76" s="27"/>
      <x:c r="AZ76" s="27"/>
    </x:row>
    <x:row r="77">
      <x:c r="A77" s="27"/>
      <x:c r="B77" s="27"/>
      <x:c r="C77" s="27"/>
      <x:c r="D77" s="27"/>
      <x:c r="E77" s="27"/>
      <x:c r="F77" s="27"/>
      <x:c r="G77" s="27"/>
      <x:c r="H77" s="27"/>
      <x:c r="I77" s="27"/>
      <x:c r="J77" s="27"/>
      <x:c r="K77" s="27"/>
      <x:c r="L77" s="27"/>
      <x:c r="M77" s="27"/>
      <x:c r="N77" s="27"/>
      <x:c r="O77" s="27"/>
      <x:c r="P77" s="27"/>
      <x:c r="Q77" s="27"/>
      <x:c r="R77" s="27"/>
      <x:c r="S77" s="27"/>
      <x:c r="T77" s="27"/>
      <x:c r="U77" s="27"/>
      <x:c r="V77" s="27"/>
      <x:c r="W77" s="27"/>
      <x:c r="X77" s="27"/>
      <x:c r="Y77" s="27"/>
      <x:c r="Z77" s="27"/>
      <x:c r="AA77" s="27"/>
      <x:c r="AB77" s="27"/>
      <x:c r="AC77" s="27"/>
      <x:c r="AD77" s="27"/>
      <x:c r="AE77" s="27"/>
      <x:c r="AF77" s="27"/>
      <x:c r="AG77" s="27"/>
      <x:c r="AH77" s="27"/>
      <x:c r="AI77" s="27"/>
      <x:c r="AJ77" s="27"/>
      <x:c r="AK77" s="27"/>
      <x:c r="AL77" s="27"/>
      <x:c r="AM77" s="27"/>
      <x:c r="AN77" s="27"/>
      <x:c r="AO77" s="27"/>
      <x:c r="AP77" s="27"/>
      <x:c r="AQ77" s="27"/>
      <x:c r="AR77" s="27"/>
      <x:c r="AS77" s="27"/>
      <x:c r="AT77" s="27"/>
      <x:c r="AU77" s="27"/>
      <x:c r="AV77" s="27"/>
      <x:c r="AW77" s="27"/>
      <x:c r="AX77" s="27"/>
      <x:c r="AY77" s="27"/>
      <x:c r="AZ77" s="27"/>
    </x:row>
    <x:row r="78">
      <x:c r="A78" s="27"/>
      <x:c r="B78" s="27"/>
      <x:c r="C78" s="27"/>
      <x:c r="D78" s="27"/>
      <x:c r="E78" s="27"/>
      <x:c r="F78" s="27"/>
      <x:c r="G78" s="27"/>
      <x:c r="H78" s="27"/>
      <x:c r="I78" s="27"/>
      <x:c r="J78" s="27"/>
      <x:c r="K78" s="27"/>
      <x:c r="L78" s="27"/>
      <x:c r="M78" s="27"/>
      <x:c r="N78" s="27"/>
      <x:c r="O78" s="27"/>
      <x:c r="P78" s="27"/>
      <x:c r="Q78" s="27"/>
      <x:c r="R78" s="27"/>
      <x:c r="S78" s="27"/>
      <x:c r="T78" s="27"/>
      <x:c r="U78" s="27"/>
      <x:c r="V78" s="27"/>
      <x:c r="W78" s="27"/>
      <x:c r="X78" s="27"/>
      <x:c r="Y78" s="27"/>
      <x:c r="Z78" s="27"/>
      <x:c r="AA78" s="27"/>
      <x:c r="AB78" s="27"/>
      <x:c r="AC78" s="27"/>
      <x:c r="AD78" s="27"/>
      <x:c r="AE78" s="27"/>
      <x:c r="AF78" s="27"/>
      <x:c r="AG78" s="27"/>
      <x:c r="AH78" s="27"/>
      <x:c r="AI78" s="27"/>
      <x:c r="AJ78" s="27"/>
      <x:c r="AK78" s="27"/>
      <x:c r="AL78" s="27"/>
      <x:c r="AM78" s="27"/>
      <x:c r="AN78" s="27"/>
      <x:c r="AO78" s="27"/>
      <x:c r="AP78" s="27"/>
      <x:c r="AQ78" s="27"/>
      <x:c r="AR78" s="27"/>
      <x:c r="AS78" s="27"/>
      <x:c r="AT78" s="27"/>
      <x:c r="AU78" s="27"/>
      <x:c r="AV78" s="27"/>
      <x:c r="AW78" s="27"/>
      <x:c r="AX78" s="27"/>
      <x:c r="AY78" s="27"/>
      <x:c r="AZ78" s="27"/>
    </x:row>
    <x:row r="79">
      <x:c r="A79" s="27"/>
      <x:c r="B79" s="27"/>
      <x:c r="C79" s="27"/>
      <x:c r="D79" s="27"/>
      <x:c r="E79" s="27"/>
      <x:c r="F79" s="27"/>
      <x:c r="G79" s="27"/>
      <x:c r="H79" s="27"/>
      <x:c r="I79" s="27"/>
      <x:c r="J79" s="27"/>
      <x:c r="K79" s="27"/>
      <x:c r="L79" s="27"/>
      <x:c r="M79" s="27"/>
      <x:c r="N79" s="27"/>
      <x:c r="O79" s="27"/>
      <x:c r="P79" s="27"/>
      <x:c r="Q79" s="27"/>
      <x:c r="R79" s="27"/>
      <x:c r="S79" s="27"/>
      <x:c r="T79" s="27"/>
      <x:c r="U79" s="27"/>
      <x:c r="V79" s="27"/>
      <x:c r="W79" s="27"/>
      <x:c r="X79" s="27"/>
      <x:c r="Y79" s="27"/>
      <x:c r="Z79" s="27"/>
      <x:c r="AA79" s="27"/>
      <x:c r="AB79" s="27"/>
      <x:c r="AC79" s="27"/>
      <x:c r="AD79" s="27"/>
      <x:c r="AE79" s="27"/>
      <x:c r="AF79" s="27"/>
      <x:c r="AG79" s="27"/>
      <x:c r="AH79" s="27"/>
      <x:c r="AI79" s="27"/>
      <x:c r="AJ79" s="27"/>
      <x:c r="AK79" s="27"/>
      <x:c r="AL79" s="27"/>
      <x:c r="AM79" s="27"/>
      <x:c r="AN79" s="27"/>
      <x:c r="AO79" s="27"/>
      <x:c r="AP79" s="27"/>
      <x:c r="AQ79" s="27"/>
      <x:c r="AR79" s="27"/>
      <x:c r="AS79" s="27"/>
      <x:c r="AT79" s="27"/>
      <x:c r="AU79" s="27"/>
      <x:c r="AV79" s="27"/>
      <x:c r="AW79" s="27"/>
      <x:c r="AX79" s="27"/>
      <x:c r="AY79" s="27"/>
      <x:c r="AZ79" s="27"/>
    </x:row>
    <x:row r="80">
      <x:c r="A80" s="27"/>
      <x:c r="B80" s="27"/>
      <x:c r="C80" s="27"/>
      <x:c r="D80" s="27"/>
      <x:c r="E80" s="27"/>
      <x:c r="F80" s="27"/>
      <x:c r="G80" s="27"/>
      <x:c r="H80" s="27"/>
      <x:c r="I80" s="27"/>
      <x:c r="J80" s="27"/>
      <x:c r="K80" s="27"/>
      <x:c r="L80" s="27"/>
      <x:c r="M80" s="27"/>
      <x:c r="N80" s="27"/>
      <x:c r="O80" s="27"/>
      <x:c r="P80" s="27"/>
      <x:c r="Q80" s="27"/>
      <x:c r="R80" s="27"/>
      <x:c r="S80" s="27"/>
      <x:c r="T80" s="27"/>
      <x:c r="U80" s="27"/>
      <x:c r="V80" s="27"/>
      <x:c r="W80" s="27"/>
      <x:c r="X80" s="27"/>
      <x:c r="Y80" s="27"/>
      <x:c r="Z80" s="27"/>
      <x:c r="AA80" s="27"/>
      <x:c r="AB80" s="27"/>
      <x:c r="AC80" s="27"/>
      <x:c r="AD80" s="27"/>
      <x:c r="AE80" s="27"/>
      <x:c r="AF80" s="27"/>
      <x:c r="AG80" s="27"/>
      <x:c r="AH80" s="27"/>
      <x:c r="AI80" s="27"/>
      <x:c r="AJ80" s="27"/>
      <x:c r="AK80" s="27"/>
      <x:c r="AL80" s="27"/>
      <x:c r="AM80" s="27"/>
      <x:c r="AN80" s="27"/>
      <x:c r="AO80" s="27"/>
      <x:c r="AP80" s="27"/>
      <x:c r="AQ80" s="27"/>
      <x:c r="AR80" s="27"/>
      <x:c r="AS80" s="27"/>
      <x:c r="AT80" s="27"/>
      <x:c r="AU80" s="27"/>
      <x:c r="AV80" s="27"/>
      <x:c r="AW80" s="27"/>
      <x:c r="AX80" s="27"/>
      <x:c r="AY80" s="27"/>
      <x:c r="AZ80" s="27"/>
    </x:row>
    <x:row r="81">
      <x:c r="A81" s="27"/>
      <x:c r="B81" s="27"/>
      <x:c r="C81" s="27"/>
      <x:c r="D81" s="27"/>
      <x:c r="E81" s="27"/>
      <x:c r="F81" s="27"/>
      <x:c r="G81" s="27"/>
      <x:c r="H81" s="27"/>
      <x:c r="I81" s="27"/>
      <x:c r="J81" s="27"/>
      <x:c r="K81" s="27"/>
      <x:c r="L81" s="27"/>
      <x:c r="M81" s="27"/>
      <x:c r="N81" s="27"/>
      <x:c r="O81" s="27"/>
      <x:c r="P81" s="27"/>
      <x:c r="Q81" s="27"/>
      <x:c r="R81" s="27"/>
      <x:c r="S81" s="27"/>
      <x:c r="T81" s="27"/>
      <x:c r="U81" s="27"/>
      <x:c r="V81" s="27"/>
      <x:c r="W81" s="27"/>
      <x:c r="X81" s="27"/>
      <x:c r="Y81" s="27"/>
      <x:c r="Z81" s="27"/>
      <x:c r="AA81" s="27"/>
      <x:c r="AB81" s="27"/>
      <x:c r="AC81" s="27"/>
      <x:c r="AD81" s="27"/>
      <x:c r="AE81" s="27"/>
      <x:c r="AF81" s="27"/>
      <x:c r="AG81" s="27"/>
      <x:c r="AH81" s="27"/>
      <x:c r="AI81" s="27"/>
      <x:c r="AJ81" s="27"/>
      <x:c r="AK81" s="27"/>
      <x:c r="AL81" s="27"/>
      <x:c r="AM81" s="27"/>
      <x:c r="AN81" s="27"/>
      <x:c r="AO81" s="27"/>
      <x:c r="AP81" s="27"/>
      <x:c r="AQ81" s="27"/>
      <x:c r="AR81" s="27"/>
      <x:c r="AS81" s="27"/>
      <x:c r="AT81" s="27"/>
      <x:c r="AU81" s="27"/>
      <x:c r="AV81" s="27"/>
      <x:c r="AW81" s="27"/>
      <x:c r="AX81" s="27"/>
      <x:c r="AY81" s="27"/>
      <x:c r="AZ81" s="27"/>
    </x:row>
    <x:row r="82">
      <x:c r="A82" s="27"/>
      <x:c r="B82" s="27"/>
      <x:c r="C82" s="27"/>
      <x:c r="D82" s="27"/>
      <x:c r="E82" s="27"/>
      <x:c r="F82" s="27"/>
      <x:c r="G82" s="27"/>
      <x:c r="H82" s="27"/>
      <x:c r="I82" s="27"/>
      <x:c r="J82" s="27"/>
      <x:c r="K82" s="27"/>
      <x:c r="L82" s="27"/>
      <x:c r="M82" s="27"/>
      <x:c r="N82" s="27"/>
      <x:c r="O82" s="27"/>
      <x:c r="P82" s="27"/>
      <x:c r="Q82" s="27"/>
      <x:c r="R82" s="27"/>
      <x:c r="S82" s="27"/>
      <x:c r="T82" s="27"/>
      <x:c r="U82" s="27"/>
      <x:c r="V82" s="27"/>
      <x:c r="W82" s="27"/>
      <x:c r="X82" s="27"/>
      <x:c r="Y82" s="27"/>
      <x:c r="Z82" s="27"/>
      <x:c r="AA82" s="27"/>
      <x:c r="AB82" s="27"/>
      <x:c r="AC82" s="27"/>
      <x:c r="AD82" s="27"/>
      <x:c r="AE82" s="27"/>
      <x:c r="AF82" s="27"/>
      <x:c r="AG82" s="27"/>
      <x:c r="AH82" s="27"/>
      <x:c r="AI82" s="27"/>
      <x:c r="AJ82" s="27"/>
      <x:c r="AK82" s="27"/>
      <x:c r="AL82" s="27"/>
      <x:c r="AM82" s="27"/>
      <x:c r="AN82" s="27"/>
      <x:c r="AO82" s="27"/>
      <x:c r="AP82" s="27"/>
      <x:c r="AQ82" s="27"/>
      <x:c r="AR82" s="27"/>
      <x:c r="AS82" s="27"/>
      <x:c r="AT82" s="27"/>
      <x:c r="AU82" s="27"/>
      <x:c r="AV82" s="27"/>
      <x:c r="AW82" s="27"/>
      <x:c r="AX82" s="27"/>
      <x:c r="AY82" s="27"/>
      <x:c r="AZ82" s="27"/>
    </x:row>
    <x:row r="83">
      <x:c r="A83" s="27"/>
      <x:c r="B83" s="27"/>
      <x:c r="C83" s="27"/>
      <x:c r="D83" s="27"/>
      <x:c r="E83" s="27"/>
      <x:c r="F83" s="27"/>
      <x:c r="G83" s="27"/>
      <x:c r="H83" s="27"/>
      <x:c r="I83" s="27"/>
      <x:c r="J83" s="27"/>
      <x:c r="K83" s="27"/>
      <x:c r="L83" s="27"/>
      <x:c r="M83" s="27"/>
      <x:c r="N83" s="27"/>
      <x:c r="O83" s="27"/>
      <x:c r="P83" s="27"/>
      <x:c r="Q83" s="27"/>
      <x:c r="R83" s="27"/>
      <x:c r="S83" s="27"/>
      <x:c r="T83" s="27"/>
      <x:c r="U83" s="27"/>
      <x:c r="V83" s="27"/>
      <x:c r="W83" s="27"/>
      <x:c r="X83" s="27"/>
      <x:c r="Y83" s="27"/>
      <x:c r="Z83" s="27"/>
      <x:c r="AA83" s="27"/>
      <x:c r="AB83" s="27"/>
      <x:c r="AC83" s="27"/>
      <x:c r="AD83" s="27"/>
      <x:c r="AE83" s="27"/>
      <x:c r="AF83" s="27"/>
      <x:c r="AG83" s="27"/>
      <x:c r="AH83" s="27"/>
      <x:c r="AI83" s="27"/>
      <x:c r="AJ83" s="27"/>
      <x:c r="AK83" s="27"/>
      <x:c r="AL83" s="27"/>
      <x:c r="AM83" s="27"/>
      <x:c r="AN83" s="27"/>
      <x:c r="AO83" s="27"/>
      <x:c r="AP83" s="27"/>
      <x:c r="AQ83" s="27"/>
      <x:c r="AR83" s="27"/>
      <x:c r="AS83" s="27"/>
      <x:c r="AT83" s="27"/>
      <x:c r="AU83" s="27"/>
      <x:c r="AV83" s="27"/>
      <x:c r="AW83" s="27"/>
      <x:c r="AX83" s="27"/>
      <x:c r="AY83" s="27"/>
      <x:c r="AZ83" s="27"/>
    </x:row>
    <x:row r="84">
      <x:c r="A84" s="27"/>
      <x:c r="B84" s="27"/>
      <x:c r="C84" s="27"/>
      <x:c r="D84" s="27"/>
      <x:c r="E84" s="27"/>
      <x:c r="F84" s="27"/>
      <x:c r="G84" s="27"/>
      <x:c r="H84" s="27"/>
      <x:c r="I84" s="27"/>
      <x:c r="J84" s="27"/>
      <x:c r="K84" s="27"/>
      <x:c r="L84" s="27"/>
      <x:c r="M84" s="27"/>
      <x:c r="N84" s="27"/>
      <x:c r="O84" s="27"/>
      <x:c r="P84" s="27"/>
      <x:c r="Q84" s="27"/>
      <x:c r="R84" s="27"/>
      <x:c r="S84" s="27"/>
      <x:c r="T84" s="27"/>
      <x:c r="U84" s="27"/>
      <x:c r="V84" s="27"/>
      <x:c r="W84" s="27"/>
      <x:c r="X84" s="27"/>
      <x:c r="Y84" s="27"/>
      <x:c r="Z84" s="27"/>
      <x:c r="AA84" s="27"/>
      <x:c r="AB84" s="27"/>
      <x:c r="AC84" s="27"/>
      <x:c r="AD84" s="27"/>
      <x:c r="AE84" s="27"/>
      <x:c r="AF84" s="27"/>
      <x:c r="AG84" s="27"/>
      <x:c r="AH84" s="27"/>
      <x:c r="AI84" s="27"/>
      <x:c r="AJ84" s="27"/>
      <x:c r="AK84" s="27"/>
      <x:c r="AL84" s="27"/>
      <x:c r="AM84" s="27"/>
      <x:c r="AN84" s="27"/>
      <x:c r="AO84" s="27"/>
      <x:c r="AP84" s="27"/>
      <x:c r="AQ84" s="27"/>
      <x:c r="AR84" s="27"/>
      <x:c r="AS84" s="27"/>
      <x:c r="AT84" s="27"/>
      <x:c r="AU84" s="27"/>
      <x:c r="AV84" s="27"/>
      <x:c r="AW84" s="27"/>
      <x:c r="AX84" s="27"/>
      <x:c r="AY84" s="27"/>
      <x:c r="AZ84" s="27"/>
    </x:row>
    <x:row r="85">
      <x:c r="A85" s="27"/>
      <x:c r="B85" s="27"/>
      <x:c r="C85" s="27"/>
      <x:c r="D85" s="27"/>
      <x:c r="E85" s="27"/>
      <x:c r="F85" s="27"/>
      <x:c r="G85" s="27"/>
      <x:c r="H85" s="27"/>
      <x:c r="I85" s="27"/>
      <x:c r="J85" s="27"/>
      <x:c r="K85" s="27"/>
      <x:c r="L85" s="27"/>
      <x:c r="M85" s="27"/>
      <x:c r="N85" s="27"/>
      <x:c r="O85" s="27"/>
      <x:c r="P85" s="27"/>
      <x:c r="Q85" s="27"/>
      <x:c r="R85" s="27"/>
      <x:c r="S85" s="27"/>
      <x:c r="T85" s="27"/>
      <x:c r="U85" s="27"/>
      <x:c r="V85" s="27"/>
      <x:c r="W85" s="27"/>
      <x:c r="X85" s="27"/>
      <x:c r="Y85" s="27"/>
      <x:c r="Z85" s="27"/>
      <x:c r="AA85" s="27"/>
      <x:c r="AB85" s="27"/>
      <x:c r="AC85" s="27"/>
      <x:c r="AD85" s="27"/>
      <x:c r="AE85" s="27"/>
      <x:c r="AF85" s="27"/>
      <x:c r="AG85" s="27"/>
      <x:c r="AH85" s="27"/>
      <x:c r="AI85" s="27"/>
      <x:c r="AJ85" s="27"/>
      <x:c r="AK85" s="27"/>
      <x:c r="AL85" s="27"/>
      <x:c r="AM85" s="27"/>
      <x:c r="AN85" s="27"/>
      <x:c r="AO85" s="27"/>
      <x:c r="AP85" s="27"/>
      <x:c r="AQ85" s="27"/>
      <x:c r="AR85" s="27"/>
      <x:c r="AS85" s="27"/>
      <x:c r="AT85" s="27"/>
      <x:c r="AU85" s="27"/>
      <x:c r="AV85" s="27"/>
      <x:c r="AW85" s="27"/>
      <x:c r="AX85" s="27"/>
      <x:c r="AY85" s="27"/>
      <x:c r="AZ85" s="27"/>
    </x:row>
    <x:row r="86">
      <x:c r="A86" s="27"/>
      <x:c r="B86" s="27"/>
      <x:c r="C86" s="27"/>
      <x:c r="D86" s="27"/>
      <x:c r="E86" s="27"/>
      <x:c r="F86" s="27"/>
      <x:c r="G86" s="27"/>
      <x:c r="H86" s="27"/>
      <x:c r="I86" s="27"/>
      <x:c r="J86" s="27"/>
      <x:c r="K86" s="27"/>
      <x:c r="L86" s="27"/>
      <x:c r="M86" s="27"/>
      <x:c r="N86" s="27"/>
      <x:c r="O86" s="27"/>
      <x:c r="P86" s="27"/>
      <x:c r="Q86" s="27"/>
      <x:c r="R86" s="27"/>
      <x:c r="S86" s="27"/>
      <x:c r="T86" s="27"/>
      <x:c r="U86" s="27"/>
      <x:c r="V86" s="27"/>
      <x:c r="W86" s="27"/>
      <x:c r="X86" s="27"/>
      <x:c r="Y86" s="27"/>
      <x:c r="Z86" s="27"/>
      <x:c r="AA86" s="27"/>
      <x:c r="AB86" s="27"/>
      <x:c r="AC86" s="27"/>
      <x:c r="AD86" s="27"/>
      <x:c r="AE86" s="27"/>
      <x:c r="AF86" s="27"/>
      <x:c r="AG86" s="27"/>
      <x:c r="AH86" s="27"/>
      <x:c r="AI86" s="27"/>
      <x:c r="AJ86" s="27"/>
      <x:c r="AK86" s="27"/>
      <x:c r="AL86" s="27"/>
      <x:c r="AM86" s="27"/>
      <x:c r="AN86" s="27"/>
      <x:c r="AO86" s="27"/>
      <x:c r="AP86" s="27"/>
      <x:c r="AQ86" s="27"/>
      <x:c r="AR86" s="27"/>
      <x:c r="AS86" s="27"/>
      <x:c r="AT86" s="27"/>
      <x:c r="AU86" s="27"/>
      <x:c r="AV86" s="27"/>
      <x:c r="AW86" s="27"/>
      <x:c r="AX86" s="27"/>
      <x:c r="AY86" s="27"/>
      <x:c r="AZ86" s="27"/>
    </x:row>
    <x:row r="87">
      <x:c r="A87" s="27"/>
      <x:c r="B87" s="27"/>
      <x:c r="C87" s="27"/>
      <x:c r="D87" s="27"/>
      <x:c r="E87" s="27"/>
      <x:c r="F87" s="27"/>
      <x:c r="G87" s="27"/>
      <x:c r="H87" s="27"/>
      <x:c r="I87" s="27"/>
      <x:c r="J87" s="27"/>
      <x:c r="K87" s="27"/>
      <x:c r="L87" s="27"/>
      <x:c r="M87" s="27"/>
      <x:c r="N87" s="27"/>
      <x:c r="O87" s="27"/>
      <x:c r="P87" s="27"/>
      <x:c r="Q87" s="27"/>
      <x:c r="R87" s="27"/>
      <x:c r="S87" s="27"/>
      <x:c r="T87" s="27"/>
      <x:c r="U87" s="27"/>
      <x:c r="V87" s="27"/>
      <x:c r="W87" s="27"/>
      <x:c r="X87" s="27"/>
      <x:c r="Y87" s="27"/>
      <x:c r="Z87" s="27"/>
      <x:c r="AA87" s="27"/>
      <x:c r="AB87" s="27"/>
      <x:c r="AC87" s="27"/>
      <x:c r="AD87" s="27"/>
      <x:c r="AE87" s="27"/>
      <x:c r="AF87" s="27"/>
      <x:c r="AG87" s="27"/>
      <x:c r="AH87" s="27"/>
      <x:c r="AI87" s="27"/>
      <x:c r="AJ87" s="27"/>
      <x:c r="AK87" s="27"/>
      <x:c r="AL87" s="27"/>
      <x:c r="AM87" s="27"/>
      <x:c r="AN87" s="27"/>
      <x:c r="AO87" s="27"/>
      <x:c r="AP87" s="27"/>
      <x:c r="AQ87" s="27"/>
      <x:c r="AR87" s="27"/>
      <x:c r="AS87" s="27"/>
      <x:c r="AT87" s="27"/>
      <x:c r="AU87" s="27"/>
      <x:c r="AV87" s="27"/>
      <x:c r="AW87" s="27"/>
      <x:c r="AX87" s="27"/>
      <x:c r="AY87" s="27"/>
      <x:c r="AZ87" s="27"/>
    </x:row>
    <x:row r="88">
      <x:c r="A88" s="27"/>
      <x:c r="B88" s="27"/>
      <x:c r="C88" s="27"/>
      <x:c r="D88" s="27"/>
      <x:c r="E88" s="27"/>
      <x:c r="F88" s="27"/>
      <x:c r="G88" s="27"/>
      <x:c r="H88" s="27"/>
      <x:c r="I88" s="27"/>
      <x:c r="J88" s="27"/>
      <x:c r="K88" s="27"/>
      <x:c r="L88" s="27"/>
      <x:c r="M88" s="27"/>
      <x:c r="N88" s="27"/>
      <x:c r="O88" s="27"/>
      <x:c r="P88" s="27"/>
      <x:c r="Q88" s="27"/>
      <x:c r="R88" s="27"/>
      <x:c r="S88" s="27"/>
      <x:c r="T88" s="27"/>
      <x:c r="U88" s="27"/>
      <x:c r="V88" s="27"/>
      <x:c r="W88" s="27"/>
      <x:c r="X88" s="27"/>
      <x:c r="Y88" s="27"/>
      <x:c r="Z88" s="27"/>
      <x:c r="AA88" s="27"/>
      <x:c r="AB88" s="27"/>
      <x:c r="AC88" s="27"/>
      <x:c r="AD88" s="27"/>
      <x:c r="AE88" s="27"/>
      <x:c r="AF88" s="27"/>
      <x:c r="AG88" s="27"/>
      <x:c r="AH88" s="27"/>
      <x:c r="AI88" s="27"/>
      <x:c r="AJ88" s="27"/>
      <x:c r="AK88" s="27"/>
      <x:c r="AL88" s="27"/>
      <x:c r="AM88" s="27"/>
      <x:c r="AN88" s="27"/>
      <x:c r="AO88" s="27"/>
      <x:c r="AP88" s="27"/>
      <x:c r="AQ88" s="27"/>
      <x:c r="AR88" s="27"/>
      <x:c r="AS88" s="27"/>
      <x:c r="AT88" s="27"/>
      <x:c r="AU88" s="27"/>
      <x:c r="AV88" s="27"/>
      <x:c r="AW88" s="27"/>
      <x:c r="AX88" s="27"/>
      <x:c r="AY88" s="27"/>
      <x:c r="AZ88" s="27"/>
    </x:row>
    <x:row r="89">
      <x:c r="A89" s="27"/>
      <x:c r="B89" s="27"/>
      <x:c r="C89" s="27"/>
      <x:c r="D89" s="27"/>
      <x:c r="E89" s="27"/>
      <x:c r="F89" s="27"/>
      <x:c r="G89" s="27"/>
      <x:c r="H89" s="27"/>
      <x:c r="I89" s="27"/>
      <x:c r="J89" s="27"/>
      <x:c r="K89" s="27"/>
      <x:c r="L89" s="27"/>
      <x:c r="M89" s="27"/>
      <x:c r="N89" s="27"/>
      <x:c r="O89" s="27"/>
      <x:c r="P89" s="27"/>
      <x:c r="Q89" s="27"/>
      <x:c r="R89" s="27"/>
      <x:c r="S89" s="27"/>
      <x:c r="T89" s="27"/>
      <x:c r="U89" s="27"/>
      <x:c r="V89" s="27"/>
      <x:c r="W89" s="27"/>
      <x:c r="X89" s="27"/>
      <x:c r="Y89" s="27"/>
      <x:c r="Z89" s="27"/>
      <x:c r="AA89" s="27"/>
      <x:c r="AB89" s="27"/>
      <x:c r="AC89" s="27"/>
      <x:c r="AD89" s="27"/>
      <x:c r="AE89" s="27"/>
      <x:c r="AF89" s="27"/>
      <x:c r="AG89" s="27"/>
      <x:c r="AH89" s="27"/>
      <x:c r="AI89" s="27"/>
      <x:c r="AJ89" s="27"/>
      <x:c r="AK89" s="27"/>
      <x:c r="AL89" s="27"/>
      <x:c r="AM89" s="27"/>
      <x:c r="AN89" s="27"/>
      <x:c r="AO89" s="27"/>
      <x:c r="AP89" s="27"/>
      <x:c r="AQ89" s="27"/>
      <x:c r="AR89" s="27"/>
      <x:c r="AS89" s="27"/>
      <x:c r="AT89" s="27"/>
      <x:c r="AU89" s="27"/>
      <x:c r="AV89" s="27"/>
      <x:c r="AW89" s="27"/>
      <x:c r="AX89" s="27"/>
      <x:c r="AY89" s="27"/>
      <x:c r="AZ89" s="27"/>
    </x:row>
    <x:row r="90">
      <x:c r="A90" s="27"/>
      <x:c r="B90" s="27"/>
      <x:c r="C90" s="27"/>
      <x:c r="D90" s="27"/>
      <x:c r="E90" s="27"/>
      <x:c r="F90" s="27"/>
      <x:c r="G90" s="27"/>
      <x:c r="H90" s="27"/>
      <x:c r="I90" s="27"/>
      <x:c r="J90" s="27"/>
      <x:c r="K90" s="27"/>
      <x:c r="L90" s="27"/>
      <x:c r="M90" s="27"/>
      <x:c r="N90" s="27"/>
      <x:c r="O90" s="27"/>
      <x:c r="P90" s="27"/>
      <x:c r="Q90" s="27"/>
      <x:c r="R90" s="27"/>
      <x:c r="S90" s="27"/>
      <x:c r="T90" s="27"/>
      <x:c r="U90" s="27"/>
      <x:c r="V90" s="27"/>
      <x:c r="W90" s="27"/>
      <x:c r="X90" s="27"/>
      <x:c r="Y90" s="27"/>
      <x:c r="Z90" s="27"/>
      <x:c r="AA90" s="27"/>
      <x:c r="AB90" s="27"/>
      <x:c r="AC90" s="27"/>
      <x:c r="AD90" s="27"/>
      <x:c r="AE90" s="27"/>
      <x:c r="AF90" s="27"/>
      <x:c r="AG90" s="27"/>
      <x:c r="AH90" s="27"/>
      <x:c r="AI90" s="27"/>
      <x:c r="AJ90" s="27"/>
      <x:c r="AK90" s="27"/>
      <x:c r="AL90" s="27"/>
      <x:c r="AM90" s="27"/>
      <x:c r="AN90" s="27"/>
      <x:c r="AO90" s="27"/>
      <x:c r="AP90" s="27"/>
      <x:c r="AQ90" s="27"/>
      <x:c r="AR90" s="27"/>
      <x:c r="AS90" s="27"/>
      <x:c r="AT90" s="27"/>
      <x:c r="AU90" s="27"/>
      <x:c r="AV90" s="27"/>
      <x:c r="AW90" s="27"/>
      <x:c r="AX90" s="27"/>
      <x:c r="AY90" s="27"/>
      <x:c r="AZ90" s="27"/>
    </x:row>
    <x:row r="91">
      <x:c r="A91" s="27"/>
      <x:c r="B91" s="27"/>
      <x:c r="C91" s="27"/>
      <x:c r="D91" s="27"/>
      <x:c r="E91" s="27"/>
      <x:c r="F91" s="27"/>
      <x:c r="G91" s="27"/>
      <x:c r="H91" s="27"/>
      <x:c r="I91" s="27"/>
      <x:c r="J91" s="27"/>
      <x:c r="K91" s="27"/>
      <x:c r="L91" s="27"/>
      <x:c r="M91" s="27"/>
      <x:c r="N91" s="27"/>
      <x:c r="O91" s="27"/>
      <x:c r="P91" s="27"/>
      <x:c r="Q91" s="27"/>
      <x:c r="R91" s="27"/>
      <x:c r="S91" s="27"/>
      <x:c r="T91" s="27"/>
      <x:c r="U91" s="27"/>
      <x:c r="V91" s="27"/>
      <x:c r="W91" s="27"/>
      <x:c r="X91" s="27"/>
      <x:c r="Y91" s="27"/>
      <x:c r="Z91" s="27"/>
      <x:c r="AA91" s="27"/>
      <x:c r="AB91" s="27"/>
      <x:c r="AC91" s="27"/>
      <x:c r="AD91" s="27"/>
      <x:c r="AE91" s="27"/>
      <x:c r="AF91" s="27"/>
      <x:c r="AG91" s="27"/>
      <x:c r="AH91" s="27"/>
      <x:c r="AI91" s="27"/>
      <x:c r="AJ91" s="27"/>
      <x:c r="AK91" s="27"/>
      <x:c r="AL91" s="27"/>
      <x:c r="AM91" s="27"/>
      <x:c r="AN91" s="27"/>
      <x:c r="AO91" s="27"/>
      <x:c r="AP91" s="27"/>
      <x:c r="AQ91" s="27"/>
      <x:c r="AR91" s="27"/>
      <x:c r="AS91" s="27"/>
      <x:c r="AT91" s="27"/>
      <x:c r="AU91" s="27"/>
      <x:c r="AV91" s="27"/>
      <x:c r="AW91" s="27"/>
      <x:c r="AX91" s="27"/>
      <x:c r="AY91" s="27"/>
      <x:c r="AZ91" s="27"/>
    </x:row>
    <x:row r="92">
      <x:c r="A92" s="27"/>
      <x:c r="B92" s="27"/>
      <x:c r="C92" s="27"/>
      <x:c r="D92" s="27"/>
      <x:c r="E92" s="27"/>
      <x:c r="F92" s="27"/>
      <x:c r="G92" s="27"/>
      <x:c r="H92" s="27"/>
      <x:c r="I92" s="27"/>
      <x:c r="J92" s="27"/>
      <x:c r="K92" s="27"/>
      <x:c r="L92" s="27"/>
      <x:c r="M92" s="27"/>
      <x:c r="N92" s="27"/>
      <x:c r="O92" s="27"/>
      <x:c r="P92" s="27"/>
      <x:c r="Q92" s="27"/>
      <x:c r="R92" s="27"/>
      <x:c r="S92" s="27"/>
      <x:c r="T92" s="27"/>
      <x:c r="U92" s="27"/>
      <x:c r="V92" s="27"/>
      <x:c r="W92" s="27"/>
      <x:c r="X92" s="27"/>
      <x:c r="Y92" s="27"/>
      <x:c r="Z92" s="27"/>
      <x:c r="AA92" s="27"/>
      <x:c r="AB92" s="27"/>
      <x:c r="AC92" s="27"/>
      <x:c r="AD92" s="27"/>
      <x:c r="AE92" s="27"/>
      <x:c r="AF92" s="27"/>
      <x:c r="AG92" s="27"/>
      <x:c r="AH92" s="27"/>
      <x:c r="AI92" s="27"/>
      <x:c r="AJ92" s="27"/>
      <x:c r="AK92" s="27"/>
      <x:c r="AL92" s="27"/>
      <x:c r="AM92" s="27"/>
      <x:c r="AN92" s="27"/>
      <x:c r="AO92" s="27"/>
      <x:c r="AP92" s="27"/>
      <x:c r="AQ92" s="27"/>
      <x:c r="AR92" s="27"/>
      <x:c r="AS92" s="27"/>
      <x:c r="AT92" s="27"/>
      <x:c r="AU92" s="27"/>
      <x:c r="AV92" s="27"/>
      <x:c r="AW92" s="27"/>
      <x:c r="AX92" s="27"/>
      <x:c r="AY92" s="27"/>
      <x:c r="AZ92" s="27"/>
    </x:row>
    <x:row r="93">
      <x:c r="A93" s="27"/>
      <x:c r="B93" s="27"/>
      <x:c r="C93" s="27"/>
      <x:c r="D93" s="27"/>
      <x:c r="E93" s="27"/>
      <x:c r="F93" s="27"/>
      <x:c r="G93" s="27"/>
      <x:c r="H93" s="27"/>
      <x:c r="I93" s="27"/>
      <x:c r="J93" s="27"/>
      <x:c r="K93" s="27"/>
      <x:c r="L93" s="27"/>
      <x:c r="M93" s="27"/>
      <x:c r="N93" s="27"/>
      <x:c r="O93" s="27"/>
      <x:c r="P93" s="27"/>
      <x:c r="Q93" s="27"/>
      <x:c r="R93" s="27"/>
      <x:c r="S93" s="27"/>
      <x:c r="T93" s="27"/>
      <x:c r="U93" s="27"/>
      <x:c r="V93" s="27"/>
      <x:c r="W93" s="27"/>
      <x:c r="X93" s="27"/>
      <x:c r="Y93" s="27"/>
      <x:c r="Z93" s="27"/>
      <x:c r="AA93" s="27"/>
      <x:c r="AB93" s="27"/>
      <x:c r="AC93" s="27"/>
      <x:c r="AD93" s="27"/>
      <x:c r="AE93" s="27"/>
      <x:c r="AF93" s="27"/>
      <x:c r="AG93" s="27"/>
      <x:c r="AH93" s="27"/>
      <x:c r="AI93" s="27"/>
      <x:c r="AJ93" s="27"/>
      <x:c r="AK93" s="27"/>
      <x:c r="AL93" s="27"/>
      <x:c r="AM93" s="27"/>
      <x:c r="AN93" s="27"/>
      <x:c r="AO93" s="27"/>
      <x:c r="AP93" s="27"/>
      <x:c r="AQ93" s="27"/>
      <x:c r="AR93" s="27"/>
      <x:c r="AS93" s="27"/>
      <x:c r="AT93" s="27"/>
      <x:c r="AU93" s="27"/>
      <x:c r="AV93" s="27"/>
      <x:c r="AW93" s="27"/>
      <x:c r="AX93" s="27"/>
      <x:c r="AY93" s="27"/>
      <x:c r="AZ93" s="27"/>
    </x:row>
    <x:row r="94">
      <x:c r="A94" s="27"/>
      <x:c r="B94" s="27"/>
      <x:c r="C94" s="27"/>
      <x:c r="D94" s="27"/>
      <x:c r="E94" s="27"/>
      <x:c r="F94" s="27"/>
      <x:c r="G94" s="27"/>
      <x:c r="H94" s="27"/>
      <x:c r="I94" s="27"/>
      <x:c r="J94" s="27"/>
      <x:c r="K94" s="27"/>
      <x:c r="L94" s="27"/>
      <x:c r="M94" s="27"/>
      <x:c r="N94" s="27"/>
      <x:c r="O94" s="27"/>
      <x:c r="P94" s="27"/>
      <x:c r="Q94" s="27"/>
      <x:c r="R94" s="27"/>
      <x:c r="S94" s="27"/>
      <x:c r="T94" s="27"/>
      <x:c r="U94" s="27"/>
      <x:c r="V94" s="27"/>
      <x:c r="W94" s="27"/>
      <x:c r="X94" s="27"/>
      <x:c r="Y94" s="27"/>
      <x:c r="Z94" s="27"/>
      <x:c r="AA94" s="27"/>
      <x:c r="AB94" s="27"/>
      <x:c r="AC94" s="27"/>
      <x:c r="AD94" s="27"/>
      <x:c r="AE94" s="27"/>
      <x:c r="AF94" s="27"/>
      <x:c r="AG94" s="27"/>
      <x:c r="AH94" s="27"/>
      <x:c r="AI94" s="27"/>
      <x:c r="AJ94" s="27"/>
      <x:c r="AK94" s="27"/>
      <x:c r="AL94" s="27"/>
      <x:c r="AM94" s="27"/>
      <x:c r="AN94" s="27"/>
      <x:c r="AO94" s="27"/>
      <x:c r="AP94" s="27"/>
      <x:c r="AQ94" s="27"/>
      <x:c r="AR94" s="27"/>
      <x:c r="AS94" s="27"/>
      <x:c r="AT94" s="27"/>
      <x:c r="AU94" s="27"/>
      <x:c r="AV94" s="27"/>
      <x:c r="AW94" s="27"/>
      <x:c r="AX94" s="27"/>
      <x:c r="AY94" s="27"/>
      <x:c r="AZ94" s="27"/>
    </x:row>
    <x:row r="95">
      <x:c r="A95" s="27"/>
      <x:c r="B95" s="27"/>
      <x:c r="C95" s="27"/>
      <x:c r="D95" s="27"/>
      <x:c r="E95" s="27"/>
      <x:c r="F95" s="27"/>
      <x:c r="G95" s="27"/>
      <x:c r="H95" s="27"/>
      <x:c r="I95" s="27"/>
      <x:c r="J95" s="27"/>
      <x:c r="K95" s="27"/>
      <x:c r="L95" s="27"/>
      <x:c r="M95" s="27"/>
      <x:c r="N95" s="27"/>
      <x:c r="O95" s="27"/>
      <x:c r="P95" s="27"/>
      <x:c r="Q95" s="27"/>
      <x:c r="R95" s="27"/>
      <x:c r="S95" s="27"/>
      <x:c r="T95" s="27"/>
      <x:c r="U95" s="27"/>
      <x:c r="V95" s="27"/>
      <x:c r="W95" s="27"/>
      <x:c r="X95" s="27"/>
      <x:c r="Y95" s="27"/>
      <x:c r="Z95" s="27"/>
      <x:c r="AA95" s="27"/>
      <x:c r="AB95" s="27"/>
      <x:c r="AC95" s="27"/>
      <x:c r="AD95" s="27"/>
      <x:c r="AE95" s="27"/>
      <x:c r="AF95" s="27"/>
      <x:c r="AG95" s="27"/>
      <x:c r="AH95" s="27"/>
      <x:c r="AI95" s="27"/>
      <x:c r="AJ95" s="27"/>
      <x:c r="AK95" s="27"/>
      <x:c r="AL95" s="27"/>
      <x:c r="AM95" s="27"/>
      <x:c r="AN95" s="27"/>
      <x:c r="AO95" s="27"/>
      <x:c r="AP95" s="27"/>
      <x:c r="AQ95" s="27"/>
      <x:c r="AR95" s="27"/>
      <x:c r="AS95" s="27"/>
      <x:c r="AT95" s="27"/>
      <x:c r="AU95" s="27"/>
      <x:c r="AV95" s="27"/>
      <x:c r="AW95" s="27"/>
      <x:c r="AX95" s="27"/>
      <x:c r="AY95" s="27"/>
      <x:c r="AZ95" s="27"/>
    </x:row>
    <x:row r="96">
      <x:c r="A96" s="27"/>
      <x:c r="B96" s="27"/>
      <x:c r="C96" s="27"/>
      <x:c r="D96" s="27"/>
      <x:c r="E96" s="27"/>
      <x:c r="F96" s="27"/>
      <x:c r="G96" s="27"/>
      <x:c r="H96" s="27"/>
      <x:c r="I96" s="27"/>
      <x:c r="J96" s="27"/>
      <x:c r="K96" s="27"/>
      <x:c r="L96" s="27"/>
      <x:c r="M96" s="27"/>
      <x:c r="N96" s="27"/>
      <x:c r="O96" s="27"/>
      <x:c r="P96" s="27"/>
      <x:c r="Q96" s="27"/>
      <x:c r="R96" s="27"/>
      <x:c r="S96" s="27"/>
      <x:c r="T96" s="27"/>
      <x:c r="U96" s="27"/>
      <x:c r="V96" s="27"/>
      <x:c r="W96" s="27"/>
      <x:c r="X96" s="27"/>
      <x:c r="Y96" s="27"/>
      <x:c r="Z96" s="27"/>
      <x:c r="AA96" s="27"/>
      <x:c r="AB96" s="27"/>
      <x:c r="AC96" s="27"/>
      <x:c r="AD96" s="27"/>
      <x:c r="AE96" s="27"/>
      <x:c r="AF96" s="27"/>
      <x:c r="AG96" s="27"/>
      <x:c r="AH96" s="27"/>
      <x:c r="AI96" s="27"/>
      <x:c r="AJ96" s="27"/>
      <x:c r="AK96" s="27"/>
      <x:c r="AL96" s="27"/>
      <x:c r="AM96" s="27"/>
      <x:c r="AN96" s="27"/>
      <x:c r="AO96" s="27"/>
      <x:c r="AP96" s="27"/>
      <x:c r="AQ96" s="27"/>
      <x:c r="AR96" s="27"/>
      <x:c r="AS96" s="27"/>
      <x:c r="AT96" s="27"/>
      <x:c r="AU96" s="27"/>
      <x:c r="AV96" s="27"/>
      <x:c r="AW96" s="27"/>
      <x:c r="AX96" s="27"/>
      <x:c r="AY96" s="27"/>
      <x:c r="AZ96" s="27"/>
    </x:row>
    <x:row r="97">
      <x:c r="A97" s="27"/>
      <x:c r="B97" s="27"/>
      <x:c r="C97" s="27"/>
      <x:c r="D97" s="27"/>
      <x:c r="E97" s="27"/>
      <x:c r="F97" s="27"/>
      <x:c r="G97" s="27"/>
      <x:c r="H97" s="27"/>
      <x:c r="I97" s="27"/>
      <x:c r="J97" s="27"/>
      <x:c r="K97" s="27"/>
      <x:c r="L97" s="27"/>
      <x:c r="M97" s="27"/>
      <x:c r="N97" s="27"/>
      <x:c r="O97" s="27"/>
      <x:c r="P97" s="27"/>
      <x:c r="Q97" s="27"/>
      <x:c r="R97" s="27"/>
      <x:c r="S97" s="27"/>
      <x:c r="T97" s="27"/>
      <x:c r="U97" s="27"/>
      <x:c r="V97" s="27"/>
      <x:c r="W97" s="27"/>
      <x:c r="X97" s="27"/>
      <x:c r="Y97" s="27"/>
      <x:c r="Z97" s="27"/>
      <x:c r="AA97" s="27"/>
      <x:c r="AB97" s="27"/>
      <x:c r="AC97" s="27"/>
      <x:c r="AD97" s="27"/>
      <x:c r="AE97" s="27"/>
      <x:c r="AF97" s="27"/>
      <x:c r="AG97" s="27"/>
      <x:c r="AH97" s="27"/>
      <x:c r="AI97" s="27"/>
      <x:c r="AJ97" s="27"/>
      <x:c r="AK97" s="27"/>
      <x:c r="AL97" s="27"/>
      <x:c r="AM97" s="27"/>
      <x:c r="AN97" s="27"/>
      <x:c r="AO97" s="27"/>
      <x:c r="AP97" s="27"/>
      <x:c r="AQ97" s="27"/>
      <x:c r="AR97" s="27"/>
      <x:c r="AS97" s="27"/>
      <x:c r="AT97" s="27"/>
      <x:c r="AU97" s="27"/>
      <x:c r="AV97" s="27"/>
      <x:c r="AW97" s="27"/>
      <x:c r="AX97" s="27"/>
      <x:c r="AY97" s="27"/>
      <x:c r="AZ97" s="27"/>
    </x:row>
    <x:row r="98">
      <x:c r="A98" s="27"/>
      <x:c r="B98" s="27"/>
      <x:c r="C98" s="27"/>
      <x:c r="D98" s="27"/>
      <x:c r="E98" s="27"/>
      <x:c r="F98" s="27"/>
      <x:c r="G98" s="27"/>
      <x:c r="H98" s="27"/>
      <x:c r="I98" s="27"/>
      <x:c r="J98" s="27"/>
      <x:c r="K98" s="27"/>
      <x:c r="L98" s="27"/>
      <x:c r="M98" s="27"/>
      <x:c r="N98" s="27"/>
      <x:c r="O98" s="27"/>
      <x:c r="P98" s="27"/>
      <x:c r="Q98" s="27"/>
      <x:c r="R98" s="27"/>
      <x:c r="S98" s="27"/>
      <x:c r="T98" s="27"/>
      <x:c r="U98" s="27"/>
      <x:c r="V98" s="27"/>
      <x:c r="W98" s="27"/>
      <x:c r="X98" s="27"/>
      <x:c r="Y98" s="27"/>
      <x:c r="Z98" s="27"/>
      <x:c r="AA98" s="27"/>
      <x:c r="AB98" s="27"/>
      <x:c r="AC98" s="27"/>
      <x:c r="AD98" s="27"/>
      <x:c r="AE98" s="27"/>
      <x:c r="AF98" s="27"/>
      <x:c r="AG98" s="27"/>
      <x:c r="AH98" s="27"/>
      <x:c r="AI98" s="27"/>
      <x:c r="AJ98" s="27"/>
      <x:c r="AK98" s="27"/>
      <x:c r="AL98" s="27"/>
      <x:c r="AM98" s="27"/>
      <x:c r="AN98" s="27"/>
      <x:c r="AO98" s="27"/>
      <x:c r="AP98" s="27"/>
      <x:c r="AQ98" s="27"/>
      <x:c r="AR98" s="27"/>
      <x:c r="AS98" s="27"/>
      <x:c r="AT98" s="27"/>
      <x:c r="AU98" s="27"/>
      <x:c r="AV98" s="27"/>
      <x:c r="AW98" s="27"/>
      <x:c r="AX98" s="27"/>
      <x:c r="AY98" s="27"/>
      <x:c r="AZ98" s="27"/>
    </x:row>
    <x:row r="99">
      <x:c r="A99" s="27"/>
      <x:c r="B99" s="27"/>
      <x:c r="C99" s="27"/>
      <x:c r="D99" s="27"/>
      <x:c r="E99" s="27"/>
      <x:c r="F99" s="27"/>
      <x:c r="G99" s="27"/>
      <x:c r="H99" s="27"/>
      <x:c r="I99" s="27"/>
      <x:c r="J99" s="27"/>
      <x:c r="K99" s="27"/>
      <x:c r="L99" s="27"/>
      <x:c r="M99" s="27"/>
      <x:c r="N99" s="27"/>
      <x:c r="O99" s="27"/>
      <x:c r="P99" s="27"/>
      <x:c r="Q99" s="27"/>
      <x:c r="R99" s="27"/>
      <x:c r="S99" s="27"/>
      <x:c r="T99" s="27"/>
      <x:c r="U99" s="27"/>
      <x:c r="V99" s="27"/>
      <x:c r="W99" s="27"/>
      <x:c r="X99" s="27"/>
      <x:c r="Y99" s="27"/>
      <x:c r="Z99" s="27"/>
      <x:c r="AA99" s="27"/>
      <x:c r="AB99" s="27"/>
      <x:c r="AC99" s="27"/>
      <x:c r="AD99" s="27"/>
      <x:c r="AE99" s="27"/>
      <x:c r="AF99" s="27"/>
      <x:c r="AG99" s="27"/>
      <x:c r="AH99" s="27"/>
      <x:c r="AI99" s="27"/>
      <x:c r="AJ99" s="27"/>
      <x:c r="AK99" s="27"/>
      <x:c r="AL99" s="27"/>
      <x:c r="AM99" s="27"/>
      <x:c r="AN99" s="27"/>
      <x:c r="AO99" s="27"/>
      <x:c r="AP99" s="27"/>
      <x:c r="AQ99" s="27"/>
      <x:c r="AR99" s="27"/>
      <x:c r="AS99" s="27"/>
      <x:c r="AT99" s="27"/>
      <x:c r="AU99" s="27"/>
      <x:c r="AV99" s="27"/>
      <x:c r="AW99" s="27"/>
      <x:c r="AX99" s="27"/>
      <x:c r="AY99" s="27"/>
      <x:c r="AZ99" s="27"/>
    </x:row>
    <x:row r="100">
      <x:c r="A100" s="27"/>
      <x:c r="B100" s="27"/>
      <x:c r="C100" s="27"/>
      <x:c r="D100" s="27"/>
      <x:c r="E100" s="27"/>
      <x:c r="F100" s="27"/>
      <x:c r="G100" s="27"/>
      <x:c r="H100" s="27"/>
      <x:c r="I100" s="27"/>
      <x:c r="J100" s="27"/>
      <x:c r="K100" s="27"/>
      <x:c r="L100" s="27"/>
      <x:c r="M100" s="27"/>
      <x:c r="N100" s="27"/>
      <x:c r="O100" s="27"/>
      <x:c r="P100" s="27"/>
      <x:c r="Q100" s="27"/>
      <x:c r="R100" s="27"/>
      <x:c r="S100" s="27"/>
      <x:c r="T100" s="27"/>
      <x:c r="U100" s="27"/>
      <x:c r="V100" s="27"/>
      <x:c r="W100" s="27"/>
      <x:c r="X100" s="27"/>
      <x:c r="Y100" s="27"/>
      <x:c r="Z100" s="27"/>
      <x:c r="AA100" s="27"/>
      <x:c r="AB100" s="27"/>
      <x:c r="AC100" s="27"/>
      <x:c r="AD100" s="27"/>
      <x:c r="AE100" s="27"/>
      <x:c r="AF100" s="27"/>
      <x:c r="AG100" s="27"/>
      <x:c r="AH100" s="27"/>
      <x:c r="AI100" s="27"/>
      <x:c r="AJ100" s="27"/>
      <x:c r="AK100" s="27"/>
      <x:c r="AL100" s="27"/>
      <x:c r="AM100" s="27"/>
      <x:c r="AN100" s="27"/>
      <x:c r="AO100" s="27"/>
      <x:c r="AP100" s="27"/>
      <x:c r="AQ100" s="27"/>
      <x:c r="AR100" s="27"/>
      <x:c r="AS100" s="27"/>
      <x:c r="AT100" s="27"/>
      <x:c r="AU100" s="27"/>
      <x:c r="AV100" s="27"/>
      <x:c r="AW100" s="27"/>
      <x:c r="AX100" s="27"/>
      <x:c r="AY100" s="27"/>
      <x:c r="AZ100" s="27"/>
    </x:row>
    <x:row r="101">
      <x:c r="A101" s="27"/>
      <x:c r="B101" s="27"/>
      <x:c r="C101" s="27"/>
      <x:c r="D101" s="27"/>
      <x:c r="E101" s="27"/>
      <x:c r="F101" s="27"/>
      <x:c r="G101" s="27"/>
      <x:c r="H101" s="27"/>
      <x:c r="I101" s="27"/>
      <x:c r="J101" s="27"/>
      <x:c r="K101" s="27"/>
      <x:c r="L101" s="27"/>
      <x:c r="M101" s="27"/>
      <x:c r="N101" s="27"/>
      <x:c r="O101" s="27"/>
      <x:c r="P101" s="27"/>
      <x:c r="Q101" s="27"/>
      <x:c r="R101" s="27"/>
      <x:c r="S101" s="27"/>
      <x:c r="T101" s="27"/>
      <x:c r="U101" s="27"/>
      <x:c r="V101" s="27"/>
      <x:c r="W101" s="27"/>
      <x:c r="X101" s="27"/>
      <x:c r="Y101" s="27"/>
      <x:c r="Z101" s="27"/>
      <x:c r="AA101" s="27"/>
      <x:c r="AB101" s="27"/>
      <x:c r="AC101" s="27"/>
      <x:c r="AD101" s="27"/>
      <x:c r="AE101" s="27"/>
      <x:c r="AF101" s="27"/>
      <x:c r="AG101" s="27"/>
      <x:c r="AH101" s="27"/>
      <x:c r="AI101" s="27"/>
      <x:c r="AJ101" s="27"/>
      <x:c r="AK101" s="27"/>
      <x:c r="AL101" s="27"/>
      <x:c r="AM101" s="27"/>
      <x:c r="AN101" s="27"/>
      <x:c r="AO101" s="27"/>
      <x:c r="AP101" s="27"/>
      <x:c r="AQ101" s="27"/>
      <x:c r="AR101" s="27"/>
      <x:c r="AS101" s="27"/>
      <x:c r="AT101" s="27"/>
      <x:c r="AU101" s="27"/>
      <x:c r="AV101" s="27"/>
      <x:c r="AW101" s="27"/>
      <x:c r="AX101" s="27"/>
      <x:c r="AY101" s="27"/>
      <x:c r="AZ101" s="27"/>
    </x:row>
    <x:row r="102">
      <x:c r="A102" s="27"/>
      <x:c r="B102" s="27"/>
      <x:c r="C102" s="27"/>
      <x:c r="D102" s="27"/>
      <x:c r="E102" s="27"/>
      <x:c r="F102" s="27"/>
      <x:c r="G102" s="27"/>
      <x:c r="H102" s="27"/>
      <x:c r="I102" s="27"/>
      <x:c r="J102" s="27"/>
      <x:c r="K102" s="27"/>
      <x:c r="L102" s="27"/>
      <x:c r="M102" s="27"/>
      <x:c r="N102" s="27"/>
      <x:c r="O102" s="27"/>
      <x:c r="P102" s="27"/>
      <x:c r="Q102" s="27"/>
      <x:c r="R102" s="27"/>
      <x:c r="S102" s="27"/>
      <x:c r="T102" s="27"/>
      <x:c r="U102" s="27"/>
      <x:c r="V102" s="27"/>
      <x:c r="W102" s="27"/>
      <x:c r="X102" s="27"/>
      <x:c r="Y102" s="27"/>
      <x:c r="Z102" s="27"/>
      <x:c r="AA102" s="27"/>
      <x:c r="AB102" s="27"/>
      <x:c r="AC102" s="27"/>
      <x:c r="AD102" s="27"/>
      <x:c r="AE102" s="27"/>
      <x:c r="AF102" s="27"/>
      <x:c r="AG102" s="27"/>
      <x:c r="AH102" s="27"/>
      <x:c r="AI102" s="27"/>
      <x:c r="AJ102" s="27"/>
      <x:c r="AK102" s="27"/>
      <x:c r="AL102" s="27"/>
      <x:c r="AM102" s="27"/>
      <x:c r="AN102" s="27"/>
      <x:c r="AO102" s="27"/>
      <x:c r="AP102" s="27"/>
      <x:c r="AQ102" s="27"/>
      <x:c r="AR102" s="27"/>
      <x:c r="AS102" s="27"/>
      <x:c r="AT102" s="27"/>
      <x:c r="AU102" s="27"/>
      <x:c r="AV102" s="27"/>
      <x:c r="AW102" s="27"/>
      <x:c r="AX102" s="27"/>
      <x:c r="AY102" s="27"/>
      <x:c r="AZ102" s="27"/>
    </x:row>
    <x:row r="103">
      <x:c r="A103" s="27"/>
      <x:c r="B103" s="27"/>
      <x:c r="C103" s="27"/>
      <x:c r="D103" s="27"/>
      <x:c r="E103" s="27"/>
      <x:c r="F103" s="27"/>
      <x:c r="G103" s="27"/>
      <x:c r="H103" s="27"/>
      <x:c r="I103" s="27"/>
      <x:c r="J103" s="27"/>
      <x:c r="K103" s="27"/>
      <x:c r="L103" s="27"/>
      <x:c r="M103" s="27"/>
      <x:c r="N103" s="27"/>
      <x:c r="O103" s="27"/>
      <x:c r="P103" s="27"/>
      <x:c r="Q103" s="27"/>
      <x:c r="R103" s="27"/>
      <x:c r="S103" s="27"/>
      <x:c r="T103" s="27"/>
      <x:c r="U103" s="27"/>
      <x:c r="V103" s="27"/>
      <x:c r="W103" s="27"/>
      <x:c r="X103" s="27"/>
      <x:c r="Y103" s="27"/>
      <x:c r="Z103" s="27"/>
      <x:c r="AA103" s="27"/>
      <x:c r="AB103" s="27"/>
      <x:c r="AC103" s="27"/>
      <x:c r="AD103" s="27"/>
      <x:c r="AE103" s="27"/>
      <x:c r="AF103" s="27"/>
      <x:c r="AG103" s="27"/>
      <x:c r="AH103" s="27"/>
      <x:c r="AI103" s="27"/>
      <x:c r="AJ103" s="27"/>
      <x:c r="AK103" s="27"/>
      <x:c r="AL103" s="27"/>
      <x:c r="AM103" s="27"/>
      <x:c r="AN103" s="27"/>
      <x:c r="AO103" s="27"/>
      <x:c r="AP103" s="27"/>
      <x:c r="AQ103" s="27"/>
      <x:c r="AR103" s="27"/>
      <x:c r="AS103" s="27"/>
      <x:c r="AT103" s="27"/>
      <x:c r="AU103" s="27"/>
      <x:c r="AV103" s="27"/>
      <x:c r="AW103" s="27"/>
      <x:c r="AX103" s="27"/>
      <x:c r="AY103" s="27"/>
      <x:c r="AZ103" s="27"/>
    </x:row>
    <x:row r="104">
      <x:c r="A104" s="27"/>
      <x:c r="B104" s="27"/>
      <x:c r="C104" s="27"/>
      <x:c r="D104" s="27"/>
      <x:c r="E104" s="27"/>
      <x:c r="F104" s="27"/>
      <x:c r="G104" s="27"/>
      <x:c r="H104" s="27"/>
      <x:c r="I104" s="27"/>
      <x:c r="J104" s="27"/>
      <x:c r="K104" s="27"/>
      <x:c r="L104" s="27"/>
      <x:c r="M104" s="27"/>
      <x:c r="N104" s="27"/>
      <x:c r="O104" s="27"/>
      <x:c r="P104" s="27"/>
      <x:c r="Q104" s="27"/>
      <x:c r="R104" s="27"/>
      <x:c r="S104" s="27"/>
      <x:c r="T104" s="27"/>
      <x:c r="U104" s="27"/>
      <x:c r="V104" s="27"/>
      <x:c r="W104" s="27"/>
      <x:c r="X104" s="27"/>
      <x:c r="Y104" s="27"/>
      <x:c r="Z104" s="27"/>
      <x:c r="AA104" s="27"/>
      <x:c r="AB104" s="27"/>
      <x:c r="AC104" s="27"/>
      <x:c r="AD104" s="27"/>
      <x:c r="AE104" s="27"/>
      <x:c r="AF104" s="27"/>
      <x:c r="AG104" s="27"/>
      <x:c r="AH104" s="27"/>
      <x:c r="AI104" s="27"/>
      <x:c r="AJ104" s="27"/>
      <x:c r="AK104" s="27"/>
      <x:c r="AL104" s="27"/>
      <x:c r="AM104" s="27"/>
      <x:c r="AN104" s="27"/>
      <x:c r="AO104" s="27"/>
      <x:c r="AP104" s="27"/>
      <x:c r="AQ104" s="27"/>
      <x:c r="AR104" s="27"/>
      <x:c r="AS104" s="27"/>
      <x:c r="AT104" s="27"/>
      <x:c r="AU104" s="27"/>
      <x:c r="AV104" s="27"/>
      <x:c r="AW104" s="27"/>
      <x:c r="AX104" s="27"/>
      <x:c r="AY104" s="27"/>
      <x:c r="AZ104" s="27"/>
    </x:row>
    <x:row r="105">
      <x:c r="A105" s="27"/>
      <x:c r="B105" s="27"/>
      <x:c r="C105" s="27"/>
      <x:c r="D105" s="27"/>
      <x:c r="E105" s="27"/>
      <x:c r="F105" s="27"/>
      <x:c r="G105" s="27"/>
      <x:c r="H105" s="27"/>
      <x:c r="I105" s="27"/>
      <x:c r="J105" s="27"/>
      <x:c r="K105" s="27"/>
      <x:c r="L105" s="27"/>
      <x:c r="M105" s="27"/>
      <x:c r="N105" s="27"/>
      <x:c r="O105" s="27"/>
      <x:c r="P105" s="27"/>
      <x:c r="Q105" s="27"/>
      <x:c r="R105" s="27"/>
      <x:c r="S105" s="27"/>
      <x:c r="T105" s="27"/>
      <x:c r="U105" s="27"/>
      <x:c r="V105" s="27"/>
      <x:c r="W105" s="27"/>
      <x:c r="X105" s="27"/>
      <x:c r="Y105" s="27"/>
      <x:c r="Z105" s="27"/>
      <x:c r="AA105" s="27"/>
      <x:c r="AB105" s="27"/>
      <x:c r="AC105" s="27"/>
      <x:c r="AD105" s="27"/>
      <x:c r="AE105" s="27"/>
      <x:c r="AF105" s="27"/>
      <x:c r="AG105" s="27"/>
      <x:c r="AH105" s="27"/>
      <x:c r="AI105" s="27"/>
      <x:c r="AJ105" s="27"/>
      <x:c r="AK105" s="27"/>
      <x:c r="AL105" s="27"/>
      <x:c r="AM105" s="27"/>
      <x:c r="AN105" s="27"/>
      <x:c r="AO105" s="27"/>
      <x:c r="AP105" s="27"/>
      <x:c r="AQ105" s="27"/>
      <x:c r="AR105" s="27"/>
      <x:c r="AS105" s="27"/>
      <x:c r="AT105" s="27"/>
      <x:c r="AU105" s="27"/>
      <x:c r="AV105" s="27"/>
      <x:c r="AW105" s="27"/>
      <x:c r="AX105" s="27"/>
      <x:c r="AY105" s="27"/>
      <x:c r="AZ105" s="27"/>
    </x:row>
    <x:row r="106">
      <x:c r="A106" s="27"/>
      <x:c r="B106" s="27"/>
      <x:c r="C106" s="27"/>
      <x:c r="D106" s="27"/>
      <x:c r="E106" s="27"/>
      <x:c r="F106" s="27"/>
      <x:c r="G106" s="27"/>
      <x:c r="H106" s="27"/>
      <x:c r="I106" s="27"/>
      <x:c r="J106" s="27"/>
      <x:c r="K106" s="27"/>
      <x:c r="L106" s="27"/>
      <x:c r="M106" s="27"/>
      <x:c r="N106" s="27"/>
      <x:c r="O106" s="27"/>
      <x:c r="P106" s="27"/>
      <x:c r="Q106" s="27"/>
      <x:c r="R106" s="27"/>
      <x:c r="S106" s="27"/>
      <x:c r="T106" s="27"/>
      <x:c r="U106" s="27"/>
      <x:c r="V106" s="27"/>
      <x:c r="W106" s="27"/>
      <x:c r="X106" s="27"/>
      <x:c r="Y106" s="27"/>
      <x:c r="Z106" s="27"/>
      <x:c r="AA106" s="27"/>
      <x:c r="AB106" s="27"/>
      <x:c r="AC106" s="27"/>
      <x:c r="AD106" s="27"/>
      <x:c r="AE106" s="27"/>
      <x:c r="AF106" s="27"/>
      <x:c r="AG106" s="27"/>
      <x:c r="AH106" s="27"/>
      <x:c r="AI106" s="27"/>
      <x:c r="AJ106" s="27"/>
      <x:c r="AK106" s="27"/>
      <x:c r="AL106" s="27"/>
      <x:c r="AM106" s="27"/>
      <x:c r="AN106" s="27"/>
      <x:c r="AO106" s="27"/>
      <x:c r="AP106" s="27"/>
      <x:c r="AQ106" s="27"/>
      <x:c r="AR106" s="27"/>
      <x:c r="AS106" s="27"/>
      <x:c r="AT106" s="27"/>
      <x:c r="AU106" s="27"/>
      <x:c r="AV106" s="27"/>
      <x:c r="AW106" s="27"/>
      <x:c r="AX106" s="27"/>
      <x:c r="AY106" s="27"/>
      <x:c r="AZ106" s="27"/>
    </x:row>
    <x:row r="107">
      <x:c r="A107" s="27"/>
      <x:c r="B107" s="27"/>
      <x:c r="C107" s="27"/>
      <x:c r="D107" s="27"/>
      <x:c r="E107" s="27"/>
      <x:c r="F107" s="27"/>
      <x:c r="G107" s="27"/>
      <x:c r="H107" s="27"/>
      <x:c r="I107" s="27"/>
      <x:c r="J107" s="27"/>
      <x:c r="K107" s="27"/>
      <x:c r="L107" s="27"/>
      <x:c r="M107" s="27"/>
      <x:c r="N107" s="27"/>
      <x:c r="O107" s="27"/>
      <x:c r="P107" s="27"/>
      <x:c r="Q107" s="27"/>
      <x:c r="R107" s="27"/>
      <x:c r="S107" s="27"/>
      <x:c r="T107" s="27"/>
      <x:c r="U107" s="27"/>
      <x:c r="V107" s="27"/>
      <x:c r="W107" s="27"/>
      <x:c r="X107" s="27"/>
      <x:c r="Y107" s="27"/>
      <x:c r="Z107" s="27"/>
      <x:c r="AA107" s="27"/>
      <x:c r="AB107" s="27"/>
      <x:c r="AC107" s="27"/>
      <x:c r="AD107" s="27"/>
      <x:c r="AE107" s="27"/>
      <x:c r="AF107" s="27"/>
      <x:c r="AG107" s="27"/>
      <x:c r="AH107" s="27"/>
      <x:c r="AI107" s="27"/>
      <x:c r="AJ107" s="27"/>
      <x:c r="AK107" s="27"/>
      <x:c r="AL107" s="27"/>
      <x:c r="AM107" s="27"/>
      <x:c r="AN107" s="27"/>
      <x:c r="AO107" s="27"/>
      <x:c r="AP107" s="27"/>
      <x:c r="AQ107" s="27"/>
      <x:c r="AR107" s="27"/>
      <x:c r="AS107" s="27"/>
      <x:c r="AT107" s="27"/>
      <x:c r="AU107" s="27"/>
      <x:c r="AV107" s="27"/>
      <x:c r="AW107" s="27"/>
      <x:c r="AX107" s="27"/>
      <x:c r="AY107" s="27"/>
      <x:c r="AZ107" s="27"/>
    </x:row>
    <x:row r="108">
      <x:c r="A108" s="27"/>
      <x:c r="B108" s="27"/>
      <x:c r="C108" s="27"/>
      <x:c r="D108" s="27"/>
      <x:c r="E108" s="27"/>
      <x:c r="F108" s="27"/>
      <x:c r="G108" s="27"/>
      <x:c r="H108" s="27"/>
      <x:c r="I108" s="27"/>
      <x:c r="J108" s="27"/>
      <x:c r="K108" s="27"/>
      <x:c r="L108" s="27"/>
      <x:c r="M108" s="27"/>
      <x:c r="N108" s="27"/>
      <x:c r="O108" s="27"/>
      <x:c r="P108" s="27"/>
      <x:c r="Q108" s="27"/>
      <x:c r="R108" s="27"/>
      <x:c r="S108" s="27"/>
      <x:c r="T108" s="27"/>
      <x:c r="U108" s="27"/>
      <x:c r="V108" s="27"/>
      <x:c r="W108" s="27"/>
      <x:c r="X108" s="27"/>
      <x:c r="Y108" s="27"/>
      <x:c r="Z108" s="27"/>
      <x:c r="AA108" s="27"/>
      <x:c r="AB108" s="27"/>
      <x:c r="AC108" s="27"/>
      <x:c r="AD108" s="27"/>
      <x:c r="AE108" s="27"/>
      <x:c r="AF108" s="27"/>
      <x:c r="AG108" s="27"/>
      <x:c r="AH108" s="27"/>
      <x:c r="AI108" s="27"/>
      <x:c r="AJ108" s="27"/>
      <x:c r="AK108" s="27"/>
      <x:c r="AL108" s="27"/>
      <x:c r="AM108" s="27"/>
      <x:c r="AN108" s="27"/>
      <x:c r="AO108" s="27"/>
      <x:c r="AP108" s="27"/>
      <x:c r="AQ108" s="27"/>
      <x:c r="AR108" s="27"/>
      <x:c r="AS108" s="27"/>
      <x:c r="AT108" s="27"/>
      <x:c r="AU108" s="27"/>
      <x:c r="AV108" s="27"/>
      <x:c r="AW108" s="27"/>
      <x:c r="AX108" s="27"/>
      <x:c r="AY108" s="27"/>
      <x:c r="AZ108" s="27"/>
    </x:row>
    <x:row r="109">
      <x:c r="A109" s="27"/>
      <x:c r="B109" s="27"/>
      <x:c r="C109" s="27"/>
      <x:c r="D109" s="27"/>
      <x:c r="E109" s="27"/>
      <x:c r="F109" s="27"/>
      <x:c r="G109" s="27"/>
      <x:c r="H109" s="27"/>
      <x:c r="I109" s="27"/>
      <x:c r="J109" s="27"/>
      <x:c r="K109" s="27"/>
      <x:c r="L109" s="27"/>
      <x:c r="M109" s="27"/>
      <x:c r="N109" s="27"/>
      <x:c r="O109" s="27"/>
      <x:c r="P109" s="27"/>
      <x:c r="Q109" s="27"/>
      <x:c r="R109" s="27"/>
      <x:c r="S109" s="27"/>
      <x:c r="T109" s="27"/>
      <x:c r="U109" s="27"/>
      <x:c r="V109" s="27"/>
      <x:c r="W109" s="27"/>
      <x:c r="X109" s="27"/>
      <x:c r="Y109" s="27"/>
      <x:c r="Z109" s="27"/>
      <x:c r="AA109" s="27"/>
      <x:c r="AB109" s="27"/>
      <x:c r="AC109" s="27"/>
      <x:c r="AD109" s="27"/>
      <x:c r="AE109" s="27"/>
      <x:c r="AF109" s="27"/>
      <x:c r="AG109" s="27"/>
      <x:c r="AH109" s="27"/>
      <x:c r="AI109" s="27"/>
      <x:c r="AJ109" s="27"/>
      <x:c r="AK109" s="27"/>
      <x:c r="AL109" s="27"/>
      <x:c r="AM109" s="27"/>
      <x:c r="AN109" s="27"/>
      <x:c r="AO109" s="27"/>
      <x:c r="AP109" s="27"/>
      <x:c r="AQ109" s="27"/>
      <x:c r="AR109" s="27"/>
      <x:c r="AS109" s="27"/>
      <x:c r="AT109" s="27"/>
      <x:c r="AU109" s="27"/>
      <x:c r="AV109" s="27"/>
      <x:c r="AW109" s="27"/>
      <x:c r="AX109" s="27"/>
      <x:c r="AY109" s="27"/>
      <x:c r="AZ109" s="27"/>
    </x:row>
    <x:row r="110">
      <x:c r="A110" s="27"/>
      <x:c r="B110" s="27"/>
      <x:c r="C110" s="27"/>
      <x:c r="D110" s="27"/>
      <x:c r="E110" s="27"/>
      <x:c r="F110" s="27"/>
      <x:c r="G110" s="27"/>
      <x:c r="H110" s="27"/>
      <x:c r="I110" s="27"/>
      <x:c r="J110" s="27"/>
      <x:c r="K110" s="27"/>
      <x:c r="L110" s="27"/>
      <x:c r="M110" s="27"/>
      <x:c r="N110" s="27"/>
      <x:c r="O110" s="27"/>
      <x:c r="P110" s="27"/>
      <x:c r="Q110" s="27"/>
      <x:c r="R110" s="27"/>
      <x:c r="S110" s="27"/>
      <x:c r="T110" s="27"/>
      <x:c r="U110" s="27"/>
      <x:c r="V110" s="27"/>
      <x:c r="W110" s="27"/>
      <x:c r="X110" s="27"/>
      <x:c r="Y110" s="27"/>
      <x:c r="Z110" s="27"/>
      <x:c r="AA110" s="27"/>
      <x:c r="AB110" s="27"/>
      <x:c r="AC110" s="27"/>
      <x:c r="AD110" s="27"/>
      <x:c r="AE110" s="27"/>
      <x:c r="AF110" s="27"/>
      <x:c r="AG110" s="27"/>
      <x:c r="AH110" s="27"/>
      <x:c r="AI110" s="27"/>
      <x:c r="AJ110" s="27"/>
      <x:c r="AK110" s="27"/>
      <x:c r="AL110" s="27"/>
      <x:c r="AM110" s="27"/>
      <x:c r="AN110" s="27"/>
      <x:c r="AO110" s="27"/>
      <x:c r="AP110" s="27"/>
      <x:c r="AQ110" s="27"/>
      <x:c r="AR110" s="27"/>
      <x:c r="AS110" s="27"/>
      <x:c r="AT110" s="27"/>
      <x:c r="AU110" s="27"/>
      <x:c r="AV110" s="27"/>
      <x:c r="AW110" s="27"/>
      <x:c r="AX110" s="27"/>
      <x:c r="AY110" s="27"/>
      <x:c r="AZ110" s="27"/>
    </x:row>
    <x:row r="111">
      <x:c r="A111" s="27"/>
      <x:c r="B111" s="27"/>
      <x:c r="C111" s="27"/>
      <x:c r="D111" s="27"/>
      <x:c r="E111" s="27"/>
      <x:c r="F111" s="27"/>
      <x:c r="G111" s="27"/>
      <x:c r="H111" s="27"/>
      <x:c r="I111" s="27"/>
      <x:c r="J111" s="27"/>
      <x:c r="K111" s="27"/>
      <x:c r="L111" s="27"/>
      <x:c r="M111" s="27"/>
      <x:c r="N111" s="27"/>
      <x:c r="O111" s="27"/>
      <x:c r="P111" s="27"/>
      <x:c r="Q111" s="27"/>
      <x:c r="R111" s="27"/>
      <x:c r="S111" s="27"/>
      <x:c r="T111" s="27"/>
      <x:c r="U111" s="27"/>
      <x:c r="V111" s="27"/>
      <x:c r="W111" s="27"/>
      <x:c r="X111" s="27"/>
      <x:c r="Y111" s="27"/>
      <x:c r="Z111" s="27"/>
      <x:c r="AA111" s="27"/>
      <x:c r="AB111" s="27"/>
      <x:c r="AC111" s="27"/>
      <x:c r="AD111" s="27"/>
      <x:c r="AE111" s="27"/>
      <x:c r="AF111" s="27"/>
      <x:c r="AG111" s="27"/>
      <x:c r="AH111" s="27"/>
      <x:c r="AI111" s="27"/>
      <x:c r="AJ111" s="27"/>
      <x:c r="AK111" s="27"/>
      <x:c r="AL111" s="27"/>
      <x:c r="AM111" s="27"/>
      <x:c r="AN111" s="27"/>
      <x:c r="AO111" s="27"/>
      <x:c r="AP111" s="27"/>
      <x:c r="AQ111" s="27"/>
      <x:c r="AR111" s="27"/>
      <x:c r="AS111" s="27"/>
      <x:c r="AT111" s="27"/>
      <x:c r="AU111" s="27"/>
      <x:c r="AV111" s="27"/>
      <x:c r="AW111" s="27"/>
      <x:c r="AX111" s="27"/>
      <x:c r="AY111" s="27"/>
      <x:c r="AZ111" s="27"/>
    </x:row>
    <x:row r="112">
      <x:c r="A112" s="27"/>
      <x:c r="B112" s="27"/>
      <x:c r="C112" s="27"/>
      <x:c r="D112" s="27"/>
      <x:c r="E112" s="27"/>
      <x:c r="F112" s="27"/>
      <x:c r="G112" s="27"/>
      <x:c r="H112" s="27"/>
      <x:c r="I112" s="27"/>
      <x:c r="J112" s="27"/>
      <x:c r="K112" s="27"/>
      <x:c r="L112" s="27"/>
      <x:c r="M112" s="27"/>
      <x:c r="N112" s="27"/>
      <x:c r="O112" s="27"/>
      <x:c r="P112" s="27"/>
      <x:c r="Q112" s="27"/>
      <x:c r="R112" s="27"/>
      <x:c r="S112" s="27"/>
      <x:c r="T112" s="27"/>
      <x:c r="U112" s="27"/>
      <x:c r="V112" s="27"/>
      <x:c r="W112" s="27"/>
      <x:c r="X112" s="27"/>
      <x:c r="Y112" s="27"/>
      <x:c r="Z112" s="27"/>
      <x:c r="AA112" s="27"/>
      <x:c r="AB112" s="27"/>
      <x:c r="AC112" s="27"/>
      <x:c r="AD112" s="27"/>
      <x:c r="AE112" s="27"/>
      <x:c r="AF112" s="27"/>
      <x:c r="AG112" s="27"/>
      <x:c r="AH112" s="27"/>
      <x:c r="AI112" s="27"/>
      <x:c r="AJ112" s="27"/>
      <x:c r="AK112" s="27"/>
      <x:c r="AL112" s="27"/>
      <x:c r="AM112" s="27"/>
      <x:c r="AN112" s="27"/>
      <x:c r="AO112" s="27"/>
      <x:c r="AP112" s="27"/>
      <x:c r="AQ112" s="27"/>
      <x:c r="AR112" s="27"/>
      <x:c r="AS112" s="27"/>
      <x:c r="AT112" s="27"/>
      <x:c r="AU112" s="27"/>
      <x:c r="AV112" s="27"/>
      <x:c r="AW112" s="27"/>
      <x:c r="AX112" s="27"/>
      <x:c r="AY112" s="27"/>
      <x:c r="AZ112" s="27"/>
    </x:row>
    <x:row r="113">
      <x:c r="A113" s="27"/>
      <x:c r="B113" s="27"/>
      <x:c r="C113" s="27"/>
      <x:c r="D113" s="27"/>
      <x:c r="E113" s="27"/>
      <x:c r="F113" s="27"/>
      <x:c r="G113" s="27"/>
      <x:c r="H113" s="27"/>
      <x:c r="I113" s="27"/>
      <x:c r="J113" s="27"/>
      <x:c r="K113" s="27"/>
      <x:c r="L113" s="27"/>
      <x:c r="M113" s="27"/>
      <x:c r="N113" s="27"/>
      <x:c r="O113" s="27"/>
      <x:c r="P113" s="27"/>
      <x:c r="Q113" s="27"/>
      <x:c r="R113" s="27"/>
      <x:c r="S113" s="27"/>
      <x:c r="T113" s="27"/>
      <x:c r="U113" s="27"/>
      <x:c r="V113" s="27"/>
      <x:c r="W113" s="27"/>
      <x:c r="X113" s="27"/>
      <x:c r="Y113" s="27"/>
      <x:c r="Z113" s="27"/>
      <x:c r="AA113" s="27"/>
      <x:c r="AB113" s="27"/>
      <x:c r="AC113" s="27"/>
      <x:c r="AD113" s="27"/>
      <x:c r="AE113" s="27"/>
      <x:c r="AF113" s="27"/>
      <x:c r="AG113" s="27"/>
      <x:c r="AH113" s="27"/>
      <x:c r="AI113" s="27"/>
      <x:c r="AJ113" s="27"/>
      <x:c r="AK113" s="27"/>
      <x:c r="AL113" s="27"/>
      <x:c r="AM113" s="27"/>
      <x:c r="AN113" s="27"/>
      <x:c r="AO113" s="27"/>
      <x:c r="AP113" s="27"/>
      <x:c r="AQ113" s="27"/>
      <x:c r="AR113" s="27"/>
      <x:c r="AS113" s="27"/>
      <x:c r="AT113" s="27"/>
      <x:c r="AU113" s="27"/>
      <x:c r="AV113" s="27"/>
      <x:c r="AW113" s="27"/>
      <x:c r="AX113" s="27"/>
      <x:c r="AY113" s="27"/>
      <x:c r="AZ113" s="27"/>
    </x:row>
    <x:row r="114">
      <x:c r="A114" s="27"/>
      <x:c r="B114" s="27"/>
      <x:c r="C114" s="27"/>
      <x:c r="D114" s="27"/>
      <x:c r="E114" s="27"/>
      <x:c r="F114" s="27"/>
      <x:c r="G114" s="27"/>
      <x:c r="H114" s="27"/>
      <x:c r="I114" s="27"/>
      <x:c r="J114" s="27"/>
      <x:c r="K114" s="27"/>
      <x:c r="L114" s="27"/>
      <x:c r="M114" s="27"/>
      <x:c r="N114" s="27"/>
      <x:c r="O114" s="27"/>
      <x:c r="P114" s="27"/>
      <x:c r="Q114" s="27"/>
      <x:c r="R114" s="27"/>
      <x:c r="S114" s="27"/>
      <x:c r="T114" s="27"/>
      <x:c r="U114" s="27"/>
      <x:c r="V114" s="27"/>
      <x:c r="W114" s="27"/>
      <x:c r="X114" s="27"/>
      <x:c r="Y114" s="27"/>
      <x:c r="Z114" s="27"/>
      <x:c r="AA114" s="27"/>
      <x:c r="AB114" s="27"/>
      <x:c r="AC114" s="27"/>
      <x:c r="AD114" s="27"/>
      <x:c r="AE114" s="27"/>
      <x:c r="AF114" s="27"/>
      <x:c r="AG114" s="27"/>
      <x:c r="AH114" s="27"/>
      <x:c r="AI114" s="27"/>
      <x:c r="AJ114" s="27"/>
      <x:c r="AK114" s="27"/>
      <x:c r="AL114" s="27"/>
      <x:c r="AM114" s="27"/>
      <x:c r="AN114" s="27"/>
      <x:c r="AO114" s="27"/>
      <x:c r="AP114" s="27"/>
      <x:c r="AQ114" s="27"/>
      <x:c r="AR114" s="27"/>
      <x:c r="AS114" s="27"/>
      <x:c r="AT114" s="27"/>
      <x:c r="AU114" s="27"/>
      <x:c r="AV114" s="27"/>
      <x:c r="AW114" s="27"/>
      <x:c r="AX114" s="27"/>
      <x:c r="AY114" s="27"/>
      <x:c r="AZ114" s="27"/>
    </x:row>
    <x:row r="115">
      <x:c r="A115" s="27"/>
      <x:c r="B115" s="27"/>
      <x:c r="C115" s="27"/>
      <x:c r="D115" s="27"/>
      <x:c r="E115" s="27"/>
      <x:c r="F115" s="27"/>
      <x:c r="G115" s="27"/>
      <x:c r="H115" s="27"/>
      <x:c r="I115" s="27"/>
      <x:c r="J115" s="27"/>
      <x:c r="K115" s="27"/>
      <x:c r="L115" s="27"/>
      <x:c r="M115" s="27"/>
      <x:c r="N115" s="27"/>
      <x:c r="O115" s="27"/>
      <x:c r="P115" s="27"/>
      <x:c r="Q115" s="27"/>
      <x:c r="R115" s="27"/>
      <x:c r="S115" s="27"/>
      <x:c r="T115" s="27"/>
      <x:c r="U115" s="27"/>
      <x:c r="V115" s="27"/>
      <x:c r="W115" s="27"/>
      <x:c r="X115" s="27"/>
      <x:c r="Y115" s="27"/>
      <x:c r="Z115" s="27"/>
      <x:c r="AA115" s="27"/>
      <x:c r="AB115" s="27"/>
      <x:c r="AC115" s="27"/>
      <x:c r="AD115" s="27"/>
      <x:c r="AE115" s="27"/>
      <x:c r="AF115" s="27"/>
      <x:c r="AG115" s="27"/>
      <x:c r="AH115" s="27"/>
      <x:c r="AI115" s="27"/>
      <x:c r="AJ115" s="27"/>
      <x:c r="AK115" s="27"/>
      <x:c r="AL115" s="27"/>
      <x:c r="AM115" s="27"/>
      <x:c r="AN115" s="27"/>
      <x:c r="AO115" s="27"/>
      <x:c r="AP115" s="27"/>
      <x:c r="AQ115" s="27"/>
      <x:c r="AR115" s="27"/>
      <x:c r="AS115" s="27"/>
      <x:c r="AT115" s="27"/>
      <x:c r="AU115" s="27"/>
      <x:c r="AV115" s="27"/>
      <x:c r="AW115" s="27"/>
      <x:c r="AX115" s="27"/>
      <x:c r="AY115" s="27"/>
      <x:c r="AZ115" s="27"/>
    </x:row>
    <x:row r="116">
      <x:c r="A116" s="27"/>
      <x:c r="B116" s="27"/>
      <x:c r="C116" s="27"/>
      <x:c r="D116" s="27"/>
      <x:c r="E116" s="27"/>
      <x:c r="F116" s="27"/>
      <x:c r="G116" s="27"/>
      <x:c r="H116" s="27"/>
      <x:c r="I116" s="27"/>
      <x:c r="J116" s="27"/>
      <x:c r="K116" s="27"/>
      <x:c r="L116" s="27"/>
      <x:c r="M116" s="27"/>
      <x:c r="N116" s="27"/>
      <x:c r="O116" s="27"/>
      <x:c r="P116" s="27"/>
      <x:c r="Q116" s="27"/>
      <x:c r="R116" s="27"/>
      <x:c r="S116" s="27"/>
      <x:c r="T116" s="27"/>
      <x:c r="U116" s="27"/>
      <x:c r="V116" s="27"/>
      <x:c r="W116" s="27"/>
      <x:c r="X116" s="27"/>
      <x:c r="Y116" s="27"/>
      <x:c r="Z116" s="27"/>
      <x:c r="AA116" s="27"/>
      <x:c r="AB116" s="27"/>
      <x:c r="AC116" s="27"/>
      <x:c r="AD116" s="27"/>
      <x:c r="AE116" s="27"/>
      <x:c r="AF116" s="27"/>
      <x:c r="AG116" s="27"/>
      <x:c r="AH116" s="27"/>
      <x:c r="AI116" s="27"/>
      <x:c r="AJ116" s="27"/>
      <x:c r="AK116" s="27"/>
      <x:c r="AL116" s="27"/>
      <x:c r="AM116" s="27"/>
      <x:c r="AN116" s="27"/>
      <x:c r="AO116" s="27"/>
      <x:c r="AP116" s="27"/>
      <x:c r="AQ116" s="27"/>
      <x:c r="AR116" s="27"/>
      <x:c r="AS116" s="27"/>
      <x:c r="AT116" s="27"/>
      <x:c r="AU116" s="27"/>
      <x:c r="AV116" s="27"/>
      <x:c r="AW116" s="27"/>
      <x:c r="AX116" s="27"/>
      <x:c r="AY116" s="27"/>
      <x:c r="AZ116" s="27"/>
    </x:row>
    <x:row r="117">
      <x:c r="A117" s="27"/>
      <x:c r="B117" s="27"/>
      <x:c r="C117" s="27"/>
      <x:c r="D117" s="27"/>
      <x:c r="E117" s="27"/>
      <x:c r="F117" s="27"/>
      <x:c r="G117" s="27"/>
      <x:c r="H117" s="27"/>
      <x:c r="I117" s="27"/>
      <x:c r="J117" s="27"/>
      <x:c r="K117" s="27"/>
      <x:c r="L117" s="27"/>
      <x:c r="M117" s="27"/>
      <x:c r="N117" s="27"/>
      <x:c r="O117" s="27"/>
      <x:c r="P117" s="27"/>
      <x:c r="Q117" s="27"/>
      <x:c r="R117" s="27"/>
      <x:c r="S117" s="27"/>
      <x:c r="T117" s="27"/>
      <x:c r="U117" s="27"/>
      <x:c r="V117" s="27"/>
      <x:c r="W117" s="27"/>
      <x:c r="X117" s="27"/>
      <x:c r="Y117" s="27"/>
      <x:c r="Z117" s="27"/>
      <x:c r="AA117" s="27"/>
      <x:c r="AB117" s="27"/>
      <x:c r="AC117" s="27"/>
      <x:c r="AD117" s="27"/>
      <x:c r="AE117" s="27"/>
      <x:c r="AF117" s="27"/>
      <x:c r="AG117" s="27"/>
      <x:c r="AH117" s="27"/>
      <x:c r="AI117" s="27"/>
      <x:c r="AJ117" s="27"/>
      <x:c r="AK117" s="27"/>
      <x:c r="AL117" s="27"/>
      <x:c r="AM117" s="27"/>
      <x:c r="AN117" s="27"/>
      <x:c r="AO117" s="27"/>
      <x:c r="AP117" s="27"/>
      <x:c r="AQ117" s="27"/>
      <x:c r="AR117" s="27"/>
      <x:c r="AS117" s="27"/>
      <x:c r="AT117" s="27"/>
      <x:c r="AU117" s="27"/>
      <x:c r="AV117" s="27"/>
      <x:c r="AW117" s="27"/>
      <x:c r="AX117" s="27"/>
      <x:c r="AY117" s="27"/>
      <x:c r="AZ117" s="27"/>
    </x:row>
    <x:row r="118">
      <x:c r="A118" s="27"/>
      <x:c r="B118" s="27"/>
      <x:c r="C118" s="27"/>
      <x:c r="D118" s="27"/>
      <x:c r="E118" s="27"/>
      <x:c r="F118" s="27"/>
      <x:c r="G118" s="27"/>
      <x:c r="H118" s="27"/>
      <x:c r="I118" s="27"/>
      <x:c r="J118" s="27"/>
      <x:c r="K118" s="27"/>
      <x:c r="L118" s="27"/>
      <x:c r="M118" s="27"/>
      <x:c r="N118" s="27"/>
      <x:c r="O118" s="27"/>
      <x:c r="P118" s="27"/>
      <x:c r="Q118" s="27"/>
      <x:c r="R118" s="27"/>
      <x:c r="S118" s="27"/>
      <x:c r="T118" s="27"/>
      <x:c r="U118" s="27"/>
      <x:c r="V118" s="27"/>
      <x:c r="W118" s="27"/>
      <x:c r="X118" s="27"/>
      <x:c r="Y118" s="27"/>
      <x:c r="Z118" s="27"/>
      <x:c r="AA118" s="27"/>
      <x:c r="AB118" s="27"/>
      <x:c r="AC118" s="27"/>
      <x:c r="AD118" s="27"/>
      <x:c r="AE118" s="27"/>
      <x:c r="AF118" s="27"/>
      <x:c r="AG118" s="27"/>
      <x:c r="AH118" s="27"/>
      <x:c r="AI118" s="27"/>
      <x:c r="AJ118" s="27"/>
      <x:c r="AK118" s="27"/>
      <x:c r="AL118" s="27"/>
      <x:c r="AM118" s="27"/>
      <x:c r="AN118" s="27"/>
      <x:c r="AO118" s="27"/>
      <x:c r="AP118" s="27"/>
      <x:c r="AQ118" s="27"/>
      <x:c r="AR118" s="27"/>
      <x:c r="AS118" s="27"/>
      <x:c r="AT118" s="27"/>
      <x:c r="AU118" s="27"/>
      <x:c r="AV118" s="27"/>
      <x:c r="AW118" s="27"/>
      <x:c r="AX118" s="27"/>
      <x:c r="AY118" s="27"/>
      <x:c r="AZ118" s="27"/>
    </x:row>
    <x:row r="119">
      <x:c r="A119" s="27"/>
      <x:c r="B119" s="27"/>
      <x:c r="C119" s="27"/>
      <x:c r="D119" s="27"/>
      <x:c r="E119" s="27"/>
      <x:c r="F119" s="27"/>
      <x:c r="G119" s="27"/>
      <x:c r="H119" s="27"/>
      <x:c r="I119" s="27"/>
      <x:c r="J119" s="27"/>
      <x:c r="K119" s="27"/>
      <x:c r="L119" s="27"/>
      <x:c r="M119" s="27"/>
      <x:c r="N119" s="27"/>
      <x:c r="O119" s="27"/>
      <x:c r="P119" s="27"/>
      <x:c r="Q119" s="27"/>
      <x:c r="R119" s="27"/>
      <x:c r="S119" s="27"/>
      <x:c r="T119" s="27"/>
      <x:c r="U119" s="27"/>
      <x:c r="V119" s="27"/>
      <x:c r="W119" s="27"/>
      <x:c r="X119" s="27"/>
      <x:c r="Y119" s="27"/>
      <x:c r="Z119" s="27"/>
      <x:c r="AA119" s="27"/>
      <x:c r="AB119" s="27"/>
      <x:c r="AC119" s="27"/>
      <x:c r="AD119" s="27"/>
      <x:c r="AE119" s="27"/>
      <x:c r="AF119" s="27"/>
      <x:c r="AG119" s="27"/>
      <x:c r="AH119" s="27"/>
      <x:c r="AI119" s="27"/>
      <x:c r="AJ119" s="27"/>
      <x:c r="AK119" s="27"/>
      <x:c r="AL119" s="27"/>
      <x:c r="AM119" s="27"/>
      <x:c r="AN119" s="27"/>
      <x:c r="AO119" s="27"/>
      <x:c r="AP119" s="27"/>
      <x:c r="AQ119" s="27"/>
      <x:c r="AR119" s="27"/>
      <x:c r="AS119" s="27"/>
      <x:c r="AT119" s="27"/>
      <x:c r="AU119" s="27"/>
      <x:c r="AV119" s="27"/>
      <x:c r="AW119" s="27"/>
      <x:c r="AX119" s="27"/>
      <x:c r="AY119" s="27"/>
      <x:c r="AZ119" s="27"/>
    </x:row>
    <x:row r="120">
      <x:c r="A120" s="27"/>
      <x:c r="B120" s="27"/>
      <x:c r="C120" s="27"/>
      <x:c r="D120" s="27"/>
      <x:c r="E120" s="27"/>
      <x:c r="F120" s="27"/>
      <x:c r="G120" s="27"/>
      <x:c r="H120" s="27"/>
      <x:c r="I120" s="27"/>
      <x:c r="J120" s="27"/>
      <x:c r="K120" s="27"/>
      <x:c r="L120" s="27"/>
      <x:c r="M120" s="27"/>
      <x:c r="N120" s="27"/>
      <x:c r="O120" s="27"/>
      <x:c r="P120" s="27"/>
      <x:c r="Q120" s="27"/>
      <x:c r="R120" s="27"/>
      <x:c r="S120" s="27"/>
      <x:c r="T120" s="27"/>
      <x:c r="U120" s="27"/>
      <x:c r="V120" s="27"/>
      <x:c r="W120" s="27"/>
      <x:c r="X120" s="27"/>
      <x:c r="Y120" s="27"/>
      <x:c r="Z120" s="27"/>
      <x:c r="AA120" s="27"/>
      <x:c r="AB120" s="27"/>
      <x:c r="AC120" s="27"/>
      <x:c r="AD120" s="27"/>
      <x:c r="AE120" s="27"/>
      <x:c r="AF120" s="27"/>
      <x:c r="AG120" s="27"/>
      <x:c r="AH120" s="27"/>
      <x:c r="AI120" s="27"/>
      <x:c r="AJ120" s="27"/>
      <x:c r="AK120" s="27"/>
      <x:c r="AL120" s="27"/>
      <x:c r="AM120" s="27"/>
      <x:c r="AN120" s="27"/>
      <x:c r="AO120" s="27"/>
      <x:c r="AP120" s="27"/>
      <x:c r="AQ120" s="27"/>
      <x:c r="AR120" s="27"/>
      <x:c r="AS120" s="27"/>
      <x:c r="AT120" s="27"/>
      <x:c r="AU120" s="27"/>
      <x:c r="AV120" s="27"/>
      <x:c r="AW120" s="27"/>
      <x:c r="AX120" s="27"/>
      <x:c r="AY120" s="27"/>
      <x:c r="AZ120" s="27"/>
    </x:row>
    <x:row r="121">
      <x:c r="A121" s="27"/>
      <x:c r="B121" s="27"/>
      <x:c r="C121" s="27"/>
      <x:c r="D121" s="27"/>
      <x:c r="E121" s="27"/>
      <x:c r="F121" s="27"/>
      <x:c r="G121" s="27"/>
      <x:c r="H121" s="27"/>
      <x:c r="I121" s="27"/>
      <x:c r="J121" s="27"/>
      <x:c r="K121" s="27"/>
      <x:c r="L121" s="27"/>
      <x:c r="M121" s="27"/>
      <x:c r="N121" s="27"/>
      <x:c r="O121" s="27"/>
      <x:c r="P121" s="27"/>
      <x:c r="Q121" s="27"/>
      <x:c r="R121" s="27"/>
      <x:c r="S121" s="27"/>
      <x:c r="T121" s="27"/>
      <x:c r="U121" s="27"/>
      <x:c r="V121" s="27"/>
      <x:c r="W121" s="27"/>
      <x:c r="X121" s="27"/>
      <x:c r="Y121" s="27"/>
      <x:c r="Z121" s="27"/>
      <x:c r="AA121" s="27"/>
      <x:c r="AB121" s="27"/>
      <x:c r="AC121" s="27"/>
      <x:c r="AD121" s="27"/>
      <x:c r="AE121" s="27"/>
      <x:c r="AF121" s="27"/>
      <x:c r="AG121" s="27"/>
      <x:c r="AH121" s="27"/>
      <x:c r="AI121" s="27"/>
      <x:c r="AJ121" s="27"/>
      <x:c r="AK121" s="27"/>
      <x:c r="AL121" s="27"/>
      <x:c r="AM121" s="27"/>
      <x:c r="AN121" s="27"/>
      <x:c r="AO121" s="27"/>
      <x:c r="AP121" s="27"/>
      <x:c r="AQ121" s="27"/>
      <x:c r="AR121" s="27"/>
      <x:c r="AS121" s="27"/>
      <x:c r="AT121" s="27"/>
      <x:c r="AU121" s="27"/>
      <x:c r="AV121" s="27"/>
      <x:c r="AW121" s="27"/>
      <x:c r="AX121" s="27"/>
      <x:c r="AY121" s="27"/>
      <x:c r="AZ121" s="27"/>
    </x:row>
    <x:row r="122">
      <x:c r="A122" s="27"/>
      <x:c r="B122" s="27"/>
      <x:c r="C122" s="27"/>
      <x:c r="D122" s="27"/>
      <x:c r="E122" s="27"/>
      <x:c r="F122" s="27"/>
      <x:c r="G122" s="27"/>
      <x:c r="H122" s="27"/>
      <x:c r="I122" s="27"/>
      <x:c r="J122" s="27"/>
      <x:c r="K122" s="27"/>
      <x:c r="L122" s="27"/>
      <x:c r="M122" s="27"/>
      <x:c r="N122" s="27"/>
      <x:c r="O122" s="27"/>
      <x:c r="P122" s="27"/>
      <x:c r="Q122" s="27"/>
      <x:c r="R122" s="27"/>
      <x:c r="S122" s="27"/>
      <x:c r="T122" s="27"/>
      <x:c r="U122" s="27"/>
      <x:c r="V122" s="27"/>
      <x:c r="W122" s="27"/>
      <x:c r="X122" s="27"/>
      <x:c r="Y122" s="27"/>
      <x:c r="Z122" s="27"/>
      <x:c r="AA122" s="27"/>
      <x:c r="AB122" s="27"/>
      <x:c r="AC122" s="27"/>
      <x:c r="AD122" s="27"/>
      <x:c r="AE122" s="27"/>
      <x:c r="AF122" s="27"/>
      <x:c r="AG122" s="27"/>
      <x:c r="AH122" s="27"/>
      <x:c r="AI122" s="27"/>
      <x:c r="AJ122" s="27"/>
      <x:c r="AK122" s="27"/>
      <x:c r="AL122" s="27"/>
      <x:c r="AM122" s="27"/>
      <x:c r="AN122" s="27"/>
      <x:c r="AO122" s="27"/>
      <x:c r="AP122" s="27"/>
      <x:c r="AQ122" s="27"/>
      <x:c r="AR122" s="27"/>
      <x:c r="AS122" s="27"/>
      <x:c r="AT122" s="27"/>
      <x:c r="AU122" s="27"/>
      <x:c r="AV122" s="27"/>
      <x:c r="AW122" s="27"/>
      <x:c r="AX122" s="27"/>
      <x:c r="AY122" s="27"/>
      <x:c r="AZ122" s="27"/>
    </x:row>
    <x:row r="123">
      <x:c r="A123" s="27"/>
      <x:c r="B123" s="27"/>
      <x:c r="C123" s="27"/>
      <x:c r="D123" s="27"/>
      <x:c r="E123" s="27"/>
      <x:c r="F123" s="27"/>
      <x:c r="G123" s="27"/>
      <x:c r="H123" s="27"/>
      <x:c r="I123" s="27"/>
      <x:c r="J123" s="27"/>
      <x:c r="K123" s="27"/>
      <x:c r="L123" s="27"/>
      <x:c r="M123" s="27"/>
      <x:c r="N123" s="27"/>
      <x:c r="O123" s="27"/>
      <x:c r="P123" s="27"/>
      <x:c r="Q123" s="27"/>
      <x:c r="R123" s="27"/>
      <x:c r="S123" s="27"/>
      <x:c r="T123" s="27"/>
      <x:c r="U123" s="27"/>
      <x:c r="V123" s="27"/>
      <x:c r="W123" s="27"/>
      <x:c r="X123" s="27"/>
      <x:c r="Y123" s="27"/>
      <x:c r="Z123" s="27"/>
      <x:c r="AA123" s="27"/>
      <x:c r="AB123" s="27"/>
      <x:c r="AC123" s="27"/>
      <x:c r="AD123" s="27"/>
      <x:c r="AE123" s="27"/>
      <x:c r="AF123" s="27"/>
      <x:c r="AG123" s="27"/>
      <x:c r="AH123" s="27"/>
      <x:c r="AI123" s="27"/>
      <x:c r="AJ123" s="27"/>
      <x:c r="AK123" s="27"/>
      <x:c r="AL123" s="27"/>
      <x:c r="AM123" s="27"/>
      <x:c r="AN123" s="27"/>
      <x:c r="AO123" s="27"/>
      <x:c r="AP123" s="27"/>
      <x:c r="AQ123" s="27"/>
      <x:c r="AR123" s="27"/>
      <x:c r="AS123" s="27"/>
      <x:c r="AT123" s="27"/>
      <x:c r="AU123" s="27"/>
      <x:c r="AV123" s="27"/>
      <x:c r="AW123" s="27"/>
      <x:c r="AX123" s="27"/>
      <x:c r="AY123" s="27"/>
      <x:c r="AZ123" s="27"/>
    </x:row>
    <x:row r="124">
      <x:c r="A124" s="27"/>
      <x:c r="B124" s="27"/>
      <x:c r="C124" s="27"/>
      <x:c r="D124" s="27"/>
      <x:c r="E124" s="27"/>
      <x:c r="F124" s="27"/>
      <x:c r="G124" s="27"/>
      <x:c r="H124" s="27"/>
      <x:c r="I124" s="27"/>
      <x:c r="J124" s="27"/>
      <x:c r="K124" s="27"/>
      <x:c r="L124" s="27"/>
      <x:c r="M124" s="27"/>
      <x:c r="N124" s="27"/>
      <x:c r="O124" s="27"/>
      <x:c r="P124" s="27"/>
      <x:c r="Q124" s="27"/>
      <x:c r="R124" s="27"/>
      <x:c r="S124" s="27"/>
      <x:c r="T124" s="27"/>
      <x:c r="U124" s="27"/>
      <x:c r="V124" s="27"/>
      <x:c r="W124" s="27"/>
      <x:c r="X124" s="27"/>
      <x:c r="Y124" s="27"/>
      <x:c r="Z124" s="27"/>
      <x:c r="AA124" s="27"/>
      <x:c r="AB124" s="27"/>
      <x:c r="AC124" s="27"/>
      <x:c r="AD124" s="27"/>
      <x:c r="AE124" s="27"/>
      <x:c r="AF124" s="27"/>
      <x:c r="AG124" s="27"/>
      <x:c r="AH124" s="27"/>
      <x:c r="AI124" s="27"/>
      <x:c r="AJ124" s="27"/>
      <x:c r="AK124" s="27"/>
      <x:c r="AL124" s="27"/>
      <x:c r="AM124" s="27"/>
      <x:c r="AN124" s="27"/>
      <x:c r="AO124" s="27"/>
      <x:c r="AP124" s="27"/>
      <x:c r="AQ124" s="27"/>
      <x:c r="AR124" s="27"/>
      <x:c r="AS124" s="27"/>
      <x:c r="AT124" s="27"/>
      <x:c r="AU124" s="27"/>
      <x:c r="AV124" s="27"/>
      <x:c r="AW124" s="27"/>
      <x:c r="AX124" s="27"/>
      <x:c r="AY124" s="27"/>
      <x:c r="AZ124" s="27"/>
    </x:row>
    <x:row r="125">
      <x:c r="A125" s="27"/>
      <x:c r="B125" s="27"/>
      <x:c r="C125" s="27"/>
      <x:c r="D125" s="27"/>
      <x:c r="E125" s="27"/>
      <x:c r="F125" s="27"/>
      <x:c r="G125" s="27"/>
      <x:c r="H125" s="27"/>
      <x:c r="I125" s="27"/>
      <x:c r="J125" s="27"/>
      <x:c r="K125" s="27"/>
      <x:c r="L125" s="27"/>
      <x:c r="M125" s="27"/>
      <x:c r="N125" s="27"/>
      <x:c r="O125" s="27"/>
      <x:c r="P125" s="27"/>
      <x:c r="Q125" s="27"/>
      <x:c r="R125" s="27"/>
      <x:c r="S125" s="27"/>
      <x:c r="T125" s="27"/>
      <x:c r="U125" s="27"/>
      <x:c r="V125" s="27"/>
      <x:c r="W125" s="27"/>
      <x:c r="X125" s="27"/>
      <x:c r="Y125" s="27"/>
      <x:c r="Z125" s="27"/>
      <x:c r="AA125" s="27"/>
      <x:c r="AB125" s="27"/>
      <x:c r="AC125" s="27"/>
      <x:c r="AD125" s="27"/>
      <x:c r="AE125" s="27"/>
      <x:c r="AF125" s="27"/>
      <x:c r="AG125" s="27"/>
      <x:c r="AH125" s="27"/>
      <x:c r="AI125" s="27"/>
      <x:c r="AJ125" s="27"/>
      <x:c r="AK125" s="27"/>
      <x:c r="AL125" s="27"/>
      <x:c r="AM125" s="27"/>
      <x:c r="AN125" s="27"/>
      <x:c r="AO125" s="27"/>
      <x:c r="AP125" s="27"/>
      <x:c r="AQ125" s="27"/>
      <x:c r="AR125" s="27"/>
      <x:c r="AS125" s="27"/>
      <x:c r="AT125" s="27"/>
      <x:c r="AU125" s="27"/>
      <x:c r="AV125" s="27"/>
      <x:c r="AW125" s="27"/>
      <x:c r="AX125" s="27"/>
      <x:c r="AY125" s="27"/>
      <x:c r="AZ125" s="27"/>
    </x:row>
    <x:row r="126">
      <x:c r="A126" s="27"/>
      <x:c r="B126" s="27"/>
      <x:c r="C126" s="27"/>
      <x:c r="D126" s="27"/>
      <x:c r="E126" s="27"/>
      <x:c r="F126" s="27"/>
      <x:c r="G126" s="27"/>
      <x:c r="H126" s="27"/>
      <x:c r="I126" s="27"/>
      <x:c r="J126" s="27"/>
      <x:c r="K126" s="27"/>
      <x:c r="L126" s="27"/>
      <x:c r="M126" s="27"/>
      <x:c r="N126" s="27"/>
      <x:c r="O126" s="27"/>
      <x:c r="P126" s="27"/>
      <x:c r="Q126" s="27"/>
      <x:c r="R126" s="27"/>
      <x:c r="S126" s="27"/>
      <x:c r="T126" s="27"/>
      <x:c r="U126" s="27"/>
      <x:c r="V126" s="27"/>
      <x:c r="W126" s="27"/>
      <x:c r="X126" s="27"/>
      <x:c r="Y126" s="27"/>
      <x:c r="Z126" s="27"/>
      <x:c r="AA126" s="27"/>
      <x:c r="AB126" s="27"/>
      <x:c r="AC126" s="27"/>
      <x:c r="AD126" s="27"/>
      <x:c r="AE126" s="27"/>
      <x:c r="AF126" s="27"/>
      <x:c r="AG126" s="27"/>
      <x:c r="AH126" s="27"/>
      <x:c r="AI126" s="27"/>
      <x:c r="AJ126" s="27"/>
      <x:c r="AK126" s="27"/>
      <x:c r="AL126" s="27"/>
      <x:c r="AM126" s="27"/>
      <x:c r="AN126" s="27"/>
      <x:c r="AO126" s="27"/>
      <x:c r="AP126" s="27"/>
      <x:c r="AQ126" s="27"/>
      <x:c r="AR126" s="27"/>
      <x:c r="AS126" s="27"/>
      <x:c r="AT126" s="27"/>
      <x:c r="AU126" s="27"/>
      <x:c r="AV126" s="27"/>
      <x:c r="AW126" s="27"/>
      <x:c r="AX126" s="27"/>
      <x:c r="AY126" s="27"/>
      <x:c r="AZ126" s="27"/>
    </x:row>
    <x:row r="127">
      <x:c r="A127" s="27"/>
      <x:c r="B127" s="27"/>
      <x:c r="C127" s="27"/>
      <x:c r="D127" s="27"/>
      <x:c r="E127" s="27"/>
      <x:c r="F127" s="27"/>
      <x:c r="G127" s="27"/>
      <x:c r="H127" s="27"/>
      <x:c r="I127" s="27"/>
      <x:c r="J127" s="27"/>
      <x:c r="K127" s="27"/>
      <x:c r="L127" s="27"/>
      <x:c r="M127" s="27"/>
      <x:c r="N127" s="27"/>
      <x:c r="O127" s="27"/>
      <x:c r="P127" s="27"/>
      <x:c r="Q127" s="27"/>
      <x:c r="R127" s="27"/>
      <x:c r="S127" s="27"/>
      <x:c r="T127" s="27"/>
      <x:c r="U127" s="27"/>
      <x:c r="V127" s="27"/>
      <x:c r="W127" s="27"/>
      <x:c r="X127" s="27"/>
      <x:c r="Y127" s="27"/>
      <x:c r="Z127" s="27"/>
      <x:c r="AA127" s="27"/>
      <x:c r="AB127" s="27"/>
      <x:c r="AC127" s="27"/>
      <x:c r="AD127" s="27"/>
      <x:c r="AE127" s="27"/>
      <x:c r="AF127" s="27"/>
      <x:c r="AG127" s="27"/>
      <x:c r="AH127" s="27"/>
      <x:c r="AI127" s="27"/>
      <x:c r="AJ127" s="27"/>
      <x:c r="AK127" s="27"/>
      <x:c r="AL127" s="27"/>
      <x:c r="AM127" s="27"/>
      <x:c r="AN127" s="27"/>
      <x:c r="AO127" s="27"/>
      <x:c r="AP127" s="27"/>
      <x:c r="AQ127" s="27"/>
      <x:c r="AR127" s="27"/>
      <x:c r="AS127" s="27"/>
      <x:c r="AT127" s="27"/>
      <x:c r="AU127" s="27"/>
      <x:c r="AV127" s="27"/>
      <x:c r="AW127" s="27"/>
      <x:c r="AX127" s="27"/>
      <x:c r="AY127" s="27"/>
      <x:c r="AZ127" s="27"/>
    </x:row>
    <x:row r="128">
      <x:c r="A128" s="27"/>
      <x:c r="B128" s="27"/>
      <x:c r="C128" s="27"/>
      <x:c r="D128" s="27"/>
      <x:c r="E128" s="27"/>
      <x:c r="F128" s="27"/>
      <x:c r="G128" s="27"/>
      <x:c r="H128" s="27"/>
      <x:c r="I128" s="27"/>
      <x:c r="J128" s="27"/>
      <x:c r="K128" s="27"/>
      <x:c r="L128" s="27"/>
      <x:c r="M128" s="27"/>
      <x:c r="N128" s="27"/>
      <x:c r="O128" s="27"/>
      <x:c r="P128" s="27"/>
      <x:c r="Q128" s="27"/>
      <x:c r="R128" s="27"/>
      <x:c r="S128" s="27"/>
      <x:c r="T128" s="27"/>
      <x:c r="U128" s="27"/>
      <x:c r="V128" s="27"/>
      <x:c r="W128" s="27"/>
      <x:c r="X128" s="27"/>
      <x:c r="Y128" s="27"/>
      <x:c r="Z128" s="27"/>
      <x:c r="AA128" s="27"/>
      <x:c r="AB128" s="27"/>
      <x:c r="AC128" s="27"/>
      <x:c r="AD128" s="27"/>
      <x:c r="AE128" s="27"/>
      <x:c r="AF128" s="27"/>
      <x:c r="AG128" s="27"/>
      <x:c r="AH128" s="27"/>
      <x:c r="AI128" s="27"/>
      <x:c r="AJ128" s="27"/>
      <x:c r="AK128" s="27"/>
      <x:c r="AL128" s="27"/>
      <x:c r="AM128" s="27"/>
      <x:c r="AN128" s="27"/>
      <x:c r="AO128" s="27"/>
      <x:c r="AP128" s="27"/>
      <x:c r="AQ128" s="27"/>
      <x:c r="AR128" s="27"/>
      <x:c r="AS128" s="27"/>
      <x:c r="AT128" s="27"/>
      <x:c r="AU128" s="27"/>
      <x:c r="AV128" s="27"/>
      <x:c r="AW128" s="27"/>
      <x:c r="AX128" s="27"/>
      <x:c r="AY128" s="27"/>
      <x:c r="AZ128" s="27"/>
    </x:row>
    <x:row r="129">
      <x:c r="A129" s="27"/>
      <x:c r="B129" s="27"/>
      <x:c r="C129" s="27"/>
      <x:c r="D129" s="27"/>
      <x:c r="E129" s="27"/>
      <x:c r="F129" s="27"/>
      <x:c r="G129" s="27"/>
      <x:c r="H129" s="27"/>
      <x:c r="I129" s="27"/>
      <x:c r="J129" s="27"/>
      <x:c r="K129" s="27"/>
      <x:c r="L129" s="27"/>
      <x:c r="M129" s="27"/>
      <x:c r="N129" s="27"/>
      <x:c r="O129" s="27"/>
      <x:c r="P129" s="27"/>
      <x:c r="Q129" s="27"/>
      <x:c r="R129" s="27"/>
      <x:c r="S129" s="27"/>
      <x:c r="T129" s="27"/>
      <x:c r="U129" s="27"/>
      <x:c r="V129" s="27"/>
      <x:c r="W129" s="27"/>
      <x:c r="X129" s="27"/>
      <x:c r="Y129" s="27"/>
      <x:c r="Z129" s="27"/>
      <x:c r="AA129" s="27"/>
      <x:c r="AB129" s="27"/>
      <x:c r="AC129" s="27"/>
      <x:c r="AD129" s="27"/>
      <x:c r="AE129" s="27"/>
      <x:c r="AF129" s="27"/>
      <x:c r="AG129" s="27"/>
      <x:c r="AH129" s="27"/>
      <x:c r="AI129" s="27"/>
      <x:c r="AJ129" s="27"/>
      <x:c r="AK129" s="27"/>
      <x:c r="AL129" s="27"/>
      <x:c r="AM129" s="27"/>
      <x:c r="AN129" s="27"/>
      <x:c r="AO129" s="27"/>
      <x:c r="AP129" s="27"/>
      <x:c r="AQ129" s="27"/>
      <x:c r="AR129" s="27"/>
      <x:c r="AS129" s="27"/>
      <x:c r="AT129" s="27"/>
      <x:c r="AU129" s="27"/>
      <x:c r="AV129" s="27"/>
      <x:c r="AW129" s="27"/>
      <x:c r="AX129" s="27"/>
      <x:c r="AY129" s="27"/>
      <x:c r="AZ129" s="27"/>
    </x:row>
    <x:row r="130">
      <x:c r="A130" s="27"/>
      <x:c r="B130" s="27"/>
      <x:c r="C130" s="27"/>
      <x:c r="D130" s="27"/>
      <x:c r="E130" s="27"/>
      <x:c r="F130" s="27"/>
      <x:c r="G130" s="27"/>
      <x:c r="H130" s="27"/>
      <x:c r="I130" s="27"/>
      <x:c r="J130" s="27"/>
      <x:c r="K130" s="27"/>
      <x:c r="L130" s="27"/>
      <x:c r="M130" s="27"/>
      <x:c r="N130" s="27"/>
      <x:c r="O130" s="27"/>
      <x:c r="P130" s="27"/>
      <x:c r="Q130" s="27"/>
      <x:c r="R130" s="27"/>
      <x:c r="S130" s="27"/>
      <x:c r="T130" s="27"/>
      <x:c r="U130" s="27"/>
      <x:c r="V130" s="27"/>
      <x:c r="W130" s="27"/>
      <x:c r="X130" s="27"/>
      <x:c r="Y130" s="27"/>
      <x:c r="Z130" s="27"/>
      <x:c r="AA130" s="27"/>
      <x:c r="AB130" s="27"/>
      <x:c r="AC130" s="27"/>
      <x:c r="AD130" s="27"/>
      <x:c r="AE130" s="27"/>
      <x:c r="AF130" s="27"/>
      <x:c r="AG130" s="27"/>
      <x:c r="AH130" s="27"/>
      <x:c r="AI130" s="27"/>
      <x:c r="AJ130" s="27"/>
      <x:c r="AK130" s="27"/>
      <x:c r="AL130" s="27"/>
      <x:c r="AM130" s="27"/>
      <x:c r="AN130" s="27"/>
      <x:c r="AO130" s="27"/>
      <x:c r="AP130" s="27"/>
      <x:c r="AQ130" s="27"/>
      <x:c r="AR130" s="27"/>
      <x:c r="AS130" s="27"/>
      <x:c r="AT130" s="27"/>
      <x:c r="AU130" s="27"/>
      <x:c r="AV130" s="27"/>
      <x:c r="AW130" s="27"/>
      <x:c r="AX130" s="27"/>
      <x:c r="AY130" s="27"/>
      <x:c r="AZ130" s="27"/>
    </x:row>
    <x:row r="131">
      <x:c r="A131" s="27"/>
      <x:c r="B131" s="27"/>
      <x:c r="C131" s="27"/>
      <x:c r="D131" s="27"/>
      <x:c r="E131" s="27"/>
      <x:c r="F131" s="27"/>
      <x:c r="G131" s="27"/>
      <x:c r="H131" s="27"/>
      <x:c r="I131" s="27"/>
      <x:c r="J131" s="27"/>
      <x:c r="K131" s="27"/>
      <x:c r="L131" s="27"/>
      <x:c r="M131" s="27"/>
      <x:c r="N131" s="27"/>
      <x:c r="O131" s="27"/>
      <x:c r="P131" s="27"/>
      <x:c r="Q131" s="27"/>
      <x:c r="R131" s="27"/>
      <x:c r="S131" s="27"/>
      <x:c r="T131" s="27"/>
      <x:c r="U131" s="27"/>
      <x:c r="V131" s="27"/>
      <x:c r="W131" s="27"/>
      <x:c r="X131" s="27"/>
      <x:c r="Y131" s="27"/>
      <x:c r="Z131" s="27"/>
      <x:c r="AA131" s="27"/>
      <x:c r="AB131" s="27"/>
      <x:c r="AC131" s="27"/>
      <x:c r="AD131" s="27"/>
      <x:c r="AE131" s="27"/>
      <x:c r="AF131" s="27"/>
      <x:c r="AG131" s="27"/>
      <x:c r="AH131" s="27"/>
      <x:c r="AI131" s="27"/>
      <x:c r="AJ131" s="27"/>
      <x:c r="AK131" s="27"/>
      <x:c r="AL131" s="27"/>
      <x:c r="AM131" s="27"/>
      <x:c r="AN131" s="27"/>
      <x:c r="AO131" s="27"/>
      <x:c r="AP131" s="27"/>
      <x:c r="AQ131" s="27"/>
      <x:c r="AR131" s="27"/>
      <x:c r="AS131" s="27"/>
      <x:c r="AT131" s="27"/>
      <x:c r="AU131" s="27"/>
      <x:c r="AV131" s="27"/>
      <x:c r="AW131" s="27"/>
      <x:c r="AX131" s="27"/>
      <x:c r="AY131" s="27"/>
      <x:c r="AZ131" s="27"/>
    </x:row>
    <x:row r="132">
      <x:c r="A132" s="27"/>
      <x:c r="B132" s="27"/>
      <x:c r="C132" s="27"/>
      <x:c r="D132" s="27"/>
      <x:c r="E132" s="27"/>
      <x:c r="F132" s="27"/>
      <x:c r="G132" s="27"/>
      <x:c r="H132" s="27"/>
      <x:c r="I132" s="27"/>
      <x:c r="J132" s="27"/>
      <x:c r="K132" s="27"/>
      <x:c r="L132" s="27"/>
      <x:c r="M132" s="27"/>
      <x:c r="N132" s="27"/>
      <x:c r="O132" s="27"/>
      <x:c r="P132" s="27"/>
      <x:c r="Q132" s="27"/>
      <x:c r="R132" s="27"/>
      <x:c r="S132" s="27"/>
      <x:c r="T132" s="27"/>
      <x:c r="U132" s="27"/>
      <x:c r="V132" s="27"/>
      <x:c r="W132" s="27"/>
      <x:c r="X132" s="27"/>
      <x:c r="Y132" s="27"/>
      <x:c r="Z132" s="27"/>
      <x:c r="AA132" s="27"/>
      <x:c r="AB132" s="27"/>
      <x:c r="AC132" s="27"/>
      <x:c r="AD132" s="27"/>
      <x:c r="AE132" s="27"/>
      <x:c r="AF132" s="27"/>
      <x:c r="AG132" s="27"/>
      <x:c r="AH132" s="27"/>
      <x:c r="AI132" s="27"/>
      <x:c r="AJ132" s="27"/>
      <x:c r="AK132" s="27"/>
      <x:c r="AL132" s="27"/>
      <x:c r="AM132" s="27"/>
      <x:c r="AN132" s="27"/>
      <x:c r="AO132" s="27"/>
      <x:c r="AP132" s="27"/>
      <x:c r="AQ132" s="27"/>
      <x:c r="AR132" s="27"/>
      <x:c r="AS132" s="27"/>
      <x:c r="AT132" s="27"/>
      <x:c r="AU132" s="27"/>
      <x:c r="AV132" s="27"/>
      <x:c r="AW132" s="27"/>
      <x:c r="AX132" s="27"/>
      <x:c r="AY132" s="27"/>
      <x:c r="AZ132" s="27"/>
    </x:row>
    <x:row r="133">
      <x:c r="A133" s="27"/>
      <x:c r="B133" s="27"/>
      <x:c r="C133" s="27"/>
      <x:c r="D133" s="27"/>
      <x:c r="E133" s="27"/>
      <x:c r="F133" s="27"/>
      <x:c r="G133" s="27"/>
      <x:c r="H133" s="27"/>
      <x:c r="I133" s="27"/>
      <x:c r="J133" s="27"/>
      <x:c r="K133" s="27"/>
      <x:c r="L133" s="27"/>
      <x:c r="M133" s="27"/>
      <x:c r="N133" s="27"/>
      <x:c r="O133" s="27"/>
      <x:c r="P133" s="27"/>
      <x:c r="Q133" s="27"/>
      <x:c r="R133" s="27"/>
      <x:c r="S133" s="27"/>
      <x:c r="T133" s="27"/>
      <x:c r="U133" s="27"/>
      <x:c r="V133" s="27"/>
      <x:c r="W133" s="27"/>
      <x:c r="X133" s="27"/>
      <x:c r="Y133" s="27"/>
      <x:c r="Z133" s="27"/>
      <x:c r="AA133" s="27"/>
      <x:c r="AB133" s="27"/>
      <x:c r="AC133" s="27"/>
      <x:c r="AD133" s="27"/>
      <x:c r="AE133" s="27"/>
      <x:c r="AF133" s="27"/>
      <x:c r="AG133" s="27"/>
      <x:c r="AH133" s="27"/>
      <x:c r="AI133" s="27"/>
      <x:c r="AJ133" s="27"/>
      <x:c r="AK133" s="27"/>
      <x:c r="AL133" s="27"/>
      <x:c r="AM133" s="27"/>
      <x:c r="AN133" s="27"/>
      <x:c r="AO133" s="27"/>
      <x:c r="AP133" s="27"/>
      <x:c r="AQ133" s="27"/>
      <x:c r="AR133" s="27"/>
      <x:c r="AS133" s="27"/>
      <x:c r="AT133" s="27"/>
      <x:c r="AU133" s="27"/>
      <x:c r="AV133" s="27"/>
      <x:c r="AW133" s="27"/>
      <x:c r="AX133" s="27"/>
      <x:c r="AY133" s="27"/>
      <x:c r="AZ133" s="27"/>
    </x:row>
    <x:row r="134">
      <x:c r="A134" s="27"/>
      <x:c r="B134" s="27"/>
      <x:c r="C134" s="27"/>
      <x:c r="D134" s="27"/>
      <x:c r="E134" s="27"/>
      <x:c r="F134" s="27"/>
      <x:c r="G134" s="27"/>
      <x:c r="H134" s="27"/>
      <x:c r="I134" s="27"/>
      <x:c r="J134" s="27"/>
      <x:c r="K134" s="27"/>
      <x:c r="L134" s="27"/>
      <x:c r="M134" s="27"/>
      <x:c r="N134" s="27"/>
      <x:c r="O134" s="27"/>
      <x:c r="P134" s="27"/>
      <x:c r="Q134" s="27"/>
      <x:c r="R134" s="27"/>
      <x:c r="S134" s="27"/>
      <x:c r="T134" s="27"/>
      <x:c r="U134" s="27"/>
      <x:c r="V134" s="27"/>
      <x:c r="W134" s="27"/>
      <x:c r="X134" s="27"/>
      <x:c r="Y134" s="27"/>
      <x:c r="Z134" s="27"/>
      <x:c r="AA134" s="27"/>
      <x:c r="AB134" s="27"/>
      <x:c r="AC134" s="27"/>
      <x:c r="AD134" s="27"/>
      <x:c r="AE134" s="27"/>
      <x:c r="AF134" s="27"/>
      <x:c r="AG134" s="27"/>
      <x:c r="AH134" s="27"/>
      <x:c r="AI134" s="27"/>
      <x:c r="AJ134" s="27"/>
      <x:c r="AK134" s="27"/>
      <x:c r="AL134" s="27"/>
      <x:c r="AM134" s="27"/>
      <x:c r="AN134" s="27"/>
      <x:c r="AO134" s="27"/>
      <x:c r="AP134" s="27"/>
      <x:c r="AQ134" s="27"/>
      <x:c r="AR134" s="27"/>
      <x:c r="AS134" s="27"/>
      <x:c r="AT134" s="27"/>
      <x:c r="AU134" s="27"/>
      <x:c r="AV134" s="27"/>
      <x:c r="AW134" s="27"/>
      <x:c r="AX134" s="27"/>
      <x:c r="AY134" s="27"/>
      <x:c r="AZ134" s="27"/>
    </x:row>
    <x:row r="135">
      <x:c r="A135" s="27"/>
      <x:c r="B135" s="27"/>
      <x:c r="C135" s="27"/>
      <x:c r="D135" s="27"/>
      <x:c r="E135" s="27"/>
      <x:c r="F135" s="27"/>
      <x:c r="G135" s="27"/>
      <x:c r="H135" s="27"/>
      <x:c r="I135" s="27"/>
      <x:c r="J135" s="27"/>
      <x:c r="K135" s="27"/>
      <x:c r="L135" s="27"/>
      <x:c r="M135" s="27"/>
      <x:c r="N135" s="27"/>
      <x:c r="O135" s="27"/>
      <x:c r="P135" s="27"/>
      <x:c r="Q135" s="27"/>
      <x:c r="R135" s="27"/>
      <x:c r="S135" s="27"/>
      <x:c r="T135" s="27"/>
      <x:c r="U135" s="27"/>
      <x:c r="V135" s="27"/>
      <x:c r="W135" s="27"/>
      <x:c r="X135" s="27"/>
      <x:c r="Y135" s="27"/>
      <x:c r="Z135" s="27"/>
      <x:c r="AA135" s="27"/>
      <x:c r="AB135" s="27"/>
      <x:c r="AC135" s="27"/>
      <x:c r="AD135" s="27"/>
      <x:c r="AE135" s="27"/>
      <x:c r="AF135" s="27"/>
      <x:c r="AG135" s="27"/>
      <x:c r="AH135" s="27"/>
      <x:c r="AI135" s="27"/>
      <x:c r="AJ135" s="27"/>
      <x:c r="AK135" s="27"/>
      <x:c r="AL135" s="27"/>
      <x:c r="AM135" s="27"/>
      <x:c r="AN135" s="27"/>
      <x:c r="AO135" s="27"/>
      <x:c r="AP135" s="27"/>
      <x:c r="AQ135" s="27"/>
      <x:c r="AR135" s="27"/>
      <x:c r="AS135" s="27"/>
      <x:c r="AT135" s="27"/>
      <x:c r="AU135" s="27"/>
      <x:c r="AV135" s="27"/>
      <x:c r="AW135" s="27"/>
      <x:c r="AX135" s="27"/>
      <x:c r="AY135" s="27"/>
      <x:c r="AZ135" s="27"/>
    </x:row>
    <x:row r="136">
      <x:c r="A136" s="27"/>
      <x:c r="B136" s="27"/>
      <x:c r="C136" s="27"/>
      <x:c r="D136" s="27"/>
      <x:c r="E136" s="27"/>
      <x:c r="F136" s="27"/>
      <x:c r="G136" s="27"/>
      <x:c r="H136" s="27"/>
      <x:c r="I136" s="27"/>
      <x:c r="J136" s="27"/>
      <x:c r="K136" s="27"/>
      <x:c r="L136" s="27"/>
      <x:c r="M136" s="27"/>
      <x:c r="N136" s="27"/>
      <x:c r="O136" s="27"/>
      <x:c r="P136" s="27"/>
      <x:c r="Q136" s="27"/>
      <x:c r="R136" s="27"/>
      <x:c r="S136" s="27"/>
      <x:c r="T136" s="27"/>
      <x:c r="U136" s="27"/>
      <x:c r="V136" s="27"/>
      <x:c r="W136" s="27"/>
      <x:c r="X136" s="27"/>
      <x:c r="Y136" s="27"/>
      <x:c r="Z136" s="27"/>
      <x:c r="AA136" s="27"/>
      <x:c r="AB136" s="27"/>
      <x:c r="AC136" s="27"/>
      <x:c r="AD136" s="27"/>
      <x:c r="AE136" s="27"/>
      <x:c r="AF136" s="27"/>
      <x:c r="AG136" s="27"/>
      <x:c r="AH136" s="27"/>
      <x:c r="AI136" s="27"/>
      <x:c r="AJ136" s="27"/>
      <x:c r="AK136" s="27"/>
      <x:c r="AL136" s="27"/>
      <x:c r="AM136" s="27"/>
      <x:c r="AN136" s="27"/>
      <x:c r="AO136" s="27"/>
      <x:c r="AP136" s="27"/>
      <x:c r="AQ136" s="27"/>
      <x:c r="AR136" s="27"/>
      <x:c r="AS136" s="27"/>
      <x:c r="AT136" s="27"/>
      <x:c r="AU136" s="27"/>
      <x:c r="AV136" s="27"/>
      <x:c r="AW136" s="27"/>
      <x:c r="AX136" s="27"/>
      <x:c r="AY136" s="27"/>
      <x:c r="AZ136" s="27"/>
    </x:row>
    <x:row r="137">
      <x:c r="A137" s="27"/>
      <x:c r="B137" s="27"/>
      <x:c r="C137" s="27"/>
      <x:c r="D137" s="27"/>
      <x:c r="E137" s="27"/>
      <x:c r="F137" s="27"/>
      <x:c r="G137" s="27"/>
      <x:c r="H137" s="27"/>
      <x:c r="I137" s="27"/>
      <x:c r="J137" s="27"/>
      <x:c r="K137" s="27"/>
      <x:c r="L137" s="27"/>
      <x:c r="M137" s="27"/>
      <x:c r="N137" s="27"/>
      <x:c r="O137" s="27"/>
      <x:c r="P137" s="27"/>
      <x:c r="Q137" s="27"/>
      <x:c r="R137" s="27"/>
      <x:c r="S137" s="27"/>
      <x:c r="T137" s="27"/>
      <x:c r="U137" s="27"/>
      <x:c r="V137" s="27"/>
      <x:c r="W137" s="27"/>
      <x:c r="X137" s="27"/>
      <x:c r="Y137" s="27"/>
      <x:c r="Z137" s="27"/>
      <x:c r="AA137" s="27"/>
      <x:c r="AB137" s="27"/>
      <x:c r="AC137" s="27"/>
      <x:c r="AD137" s="27"/>
      <x:c r="AE137" s="27"/>
      <x:c r="AF137" s="27"/>
      <x:c r="AG137" s="27"/>
      <x:c r="AH137" s="27"/>
      <x:c r="AI137" s="27"/>
      <x:c r="AJ137" s="27"/>
      <x:c r="AK137" s="27"/>
      <x:c r="AL137" s="27"/>
      <x:c r="AM137" s="27"/>
      <x:c r="AN137" s="27"/>
      <x:c r="AO137" s="27"/>
      <x:c r="AP137" s="27"/>
      <x:c r="AQ137" s="27"/>
      <x:c r="AR137" s="27"/>
      <x:c r="AS137" s="27"/>
      <x:c r="AT137" s="27"/>
      <x:c r="AU137" s="27"/>
      <x:c r="AV137" s="27"/>
      <x:c r="AW137" s="27"/>
      <x:c r="AX137" s="27"/>
      <x:c r="AY137" s="27"/>
      <x:c r="AZ137" s="27"/>
    </x:row>
    <x:row r="138">
      <x:c r="A138" s="27"/>
      <x:c r="B138" s="27"/>
      <x:c r="C138" s="27"/>
      <x:c r="D138" s="27"/>
      <x:c r="E138" s="27"/>
      <x:c r="F138" s="27"/>
      <x:c r="G138" s="27"/>
      <x:c r="H138" s="27"/>
      <x:c r="I138" s="27"/>
      <x:c r="J138" s="27"/>
      <x:c r="K138" s="27"/>
      <x:c r="L138" s="27"/>
      <x:c r="M138" s="27"/>
      <x:c r="N138" s="27"/>
      <x:c r="O138" s="27"/>
      <x:c r="P138" s="27"/>
      <x:c r="Q138" s="27"/>
      <x:c r="R138" s="27"/>
      <x:c r="S138" s="27"/>
      <x:c r="T138" s="27"/>
      <x:c r="U138" s="27"/>
      <x:c r="V138" s="27"/>
      <x:c r="W138" s="27"/>
      <x:c r="X138" s="27"/>
      <x:c r="Y138" s="27"/>
      <x:c r="Z138" s="27"/>
      <x:c r="AA138" s="27"/>
      <x:c r="AB138" s="27"/>
      <x:c r="AC138" s="27"/>
      <x:c r="AD138" s="27"/>
      <x:c r="AE138" s="27"/>
      <x:c r="AF138" s="27"/>
      <x:c r="AG138" s="27"/>
      <x:c r="AH138" s="27"/>
      <x:c r="AI138" s="27"/>
      <x:c r="AJ138" s="27"/>
      <x:c r="AK138" s="27"/>
      <x:c r="AL138" s="27"/>
      <x:c r="AM138" s="27"/>
      <x:c r="AN138" s="27"/>
      <x:c r="AO138" s="27"/>
      <x:c r="AP138" s="27"/>
      <x:c r="AQ138" s="27"/>
      <x:c r="AR138" s="27"/>
      <x:c r="AS138" s="27"/>
      <x:c r="AT138" s="27"/>
      <x:c r="AU138" s="27"/>
      <x:c r="AV138" s="27"/>
      <x:c r="AW138" s="27"/>
      <x:c r="AX138" s="27"/>
      <x:c r="AY138" s="27"/>
      <x:c r="AZ138" s="27"/>
    </x:row>
    <x:row r="139">
      <x:c r="A139" s="27"/>
      <x:c r="B139" s="27"/>
      <x:c r="C139" s="27"/>
      <x:c r="D139" s="27"/>
      <x:c r="E139" s="27"/>
      <x:c r="F139" s="27"/>
      <x:c r="G139" s="27"/>
      <x:c r="H139" s="27"/>
      <x:c r="I139" s="27"/>
      <x:c r="J139" s="27"/>
      <x:c r="K139" s="27"/>
      <x:c r="L139" s="27"/>
      <x:c r="M139" s="27"/>
      <x:c r="N139" s="27"/>
      <x:c r="O139" s="27"/>
      <x:c r="P139" s="27"/>
      <x:c r="Q139" s="27"/>
      <x:c r="R139" s="27"/>
      <x:c r="S139" s="27"/>
      <x:c r="T139" s="27"/>
      <x:c r="U139" s="27"/>
      <x:c r="V139" s="27"/>
      <x:c r="W139" s="27"/>
      <x:c r="X139" s="27"/>
      <x:c r="Y139" s="27"/>
      <x:c r="Z139" s="27"/>
      <x:c r="AA139" s="27"/>
      <x:c r="AB139" s="27"/>
      <x:c r="AC139" s="27"/>
      <x:c r="AD139" s="27"/>
      <x:c r="AE139" s="27"/>
      <x:c r="AF139" s="27"/>
      <x:c r="AG139" s="27"/>
      <x:c r="AH139" s="27"/>
      <x:c r="AI139" s="27"/>
      <x:c r="AJ139" s="27"/>
      <x:c r="AK139" s="27"/>
      <x:c r="AL139" s="27"/>
      <x:c r="AM139" s="27"/>
      <x:c r="AN139" s="27"/>
      <x:c r="AO139" s="27"/>
      <x:c r="AP139" s="27"/>
      <x:c r="AQ139" s="27"/>
      <x:c r="AR139" s="27"/>
      <x:c r="AS139" s="27"/>
      <x:c r="AT139" s="27"/>
      <x:c r="AU139" s="27"/>
      <x:c r="AV139" s="27"/>
      <x:c r="AW139" s="27"/>
      <x:c r="AX139" s="27"/>
      <x:c r="AY139" s="27"/>
      <x:c r="AZ139" s="27"/>
    </x:row>
    <x:row r="140">
      <x:c r="A140" s="27"/>
      <x:c r="B140" s="27"/>
      <x:c r="C140" s="27"/>
      <x:c r="D140" s="27"/>
      <x:c r="E140" s="27"/>
      <x:c r="F140" s="27"/>
      <x:c r="G140" s="27"/>
      <x:c r="H140" s="27"/>
      <x:c r="I140" s="27"/>
      <x:c r="J140" s="27"/>
      <x:c r="K140" s="27"/>
      <x:c r="L140" s="27"/>
      <x:c r="M140" s="27"/>
      <x:c r="N140" s="27"/>
      <x:c r="O140" s="27"/>
      <x:c r="P140" s="27"/>
      <x:c r="Q140" s="27"/>
      <x:c r="R140" s="27"/>
      <x:c r="S140" s="27"/>
      <x:c r="T140" s="27"/>
      <x:c r="U140" s="27"/>
      <x:c r="V140" s="27"/>
      <x:c r="W140" s="27"/>
      <x:c r="X140" s="27"/>
      <x:c r="Y140" s="27"/>
      <x:c r="Z140" s="27"/>
      <x:c r="AA140" s="27"/>
      <x:c r="AB140" s="27"/>
      <x:c r="AC140" s="27"/>
      <x:c r="AD140" s="27"/>
      <x:c r="AE140" s="27"/>
      <x:c r="AF140" s="27"/>
      <x:c r="AG140" s="27"/>
      <x:c r="AH140" s="27"/>
      <x:c r="AI140" s="27"/>
      <x:c r="AJ140" s="27"/>
      <x:c r="AK140" s="27"/>
      <x:c r="AL140" s="27"/>
      <x:c r="AM140" s="27"/>
      <x:c r="AN140" s="27"/>
      <x:c r="AO140" s="27"/>
      <x:c r="AP140" s="27"/>
      <x:c r="AQ140" s="27"/>
      <x:c r="AR140" s="27"/>
      <x:c r="AS140" s="27"/>
      <x:c r="AT140" s="27"/>
      <x:c r="AU140" s="27"/>
      <x:c r="AV140" s="27"/>
      <x:c r="AW140" s="27"/>
      <x:c r="AX140" s="27"/>
      <x:c r="AY140" s="27"/>
      <x:c r="AZ140" s="27"/>
    </x:row>
    <x:row r="141">
      <x:c r="A141" s="27"/>
      <x:c r="B141" s="27"/>
      <x:c r="C141" s="27"/>
      <x:c r="D141" s="27"/>
      <x:c r="E141" s="27"/>
      <x:c r="F141" s="27"/>
      <x:c r="G141" s="27"/>
      <x:c r="H141" s="27"/>
      <x:c r="I141" s="27"/>
      <x:c r="J141" s="27"/>
      <x:c r="K141" s="27"/>
      <x:c r="L141" s="27"/>
      <x:c r="M141" s="27"/>
      <x:c r="N141" s="27"/>
      <x:c r="O141" s="27"/>
      <x:c r="P141" s="27"/>
      <x:c r="Q141" s="27"/>
      <x:c r="R141" s="27"/>
      <x:c r="S141" s="27"/>
      <x:c r="T141" s="27"/>
      <x:c r="U141" s="27"/>
      <x:c r="V141" s="27"/>
      <x:c r="W141" s="27"/>
      <x:c r="X141" s="27"/>
      <x:c r="Y141" s="27"/>
      <x:c r="Z141" s="27"/>
      <x:c r="AA141" s="27"/>
      <x:c r="AB141" s="27"/>
      <x:c r="AC141" s="27"/>
      <x:c r="AD141" s="27"/>
      <x:c r="AE141" s="27"/>
      <x:c r="AF141" s="27"/>
      <x:c r="AG141" s="27"/>
      <x:c r="AH141" s="27"/>
      <x:c r="AI141" s="27"/>
      <x:c r="AJ141" s="27"/>
      <x:c r="AK141" s="27"/>
      <x:c r="AL141" s="27"/>
      <x:c r="AM141" s="27"/>
      <x:c r="AN141" s="27"/>
      <x:c r="AO141" s="27"/>
      <x:c r="AP141" s="27"/>
      <x:c r="AQ141" s="27"/>
      <x:c r="AR141" s="27"/>
      <x:c r="AS141" s="27"/>
      <x:c r="AT141" s="27"/>
      <x:c r="AU141" s="27"/>
      <x:c r="AV141" s="27"/>
      <x:c r="AW141" s="27"/>
      <x:c r="AX141" s="27"/>
      <x:c r="AY141" s="27"/>
      <x:c r="AZ141" s="27"/>
    </x:row>
    <x:row r="142">
      <x:c r="A142" s="27"/>
      <x:c r="B142" s="27"/>
      <x:c r="C142" s="27"/>
      <x:c r="D142" s="27"/>
      <x:c r="E142" s="27"/>
      <x:c r="F142" s="27"/>
      <x:c r="G142" s="27"/>
      <x:c r="H142" s="27"/>
      <x:c r="I142" s="27"/>
      <x:c r="J142" s="27"/>
      <x:c r="K142" s="27"/>
      <x:c r="L142" s="27"/>
      <x:c r="M142" s="27"/>
      <x:c r="N142" s="27"/>
      <x:c r="O142" s="27"/>
      <x:c r="P142" s="27"/>
      <x:c r="Q142" s="27"/>
      <x:c r="R142" s="27"/>
      <x:c r="S142" s="27"/>
      <x:c r="T142" s="27"/>
      <x:c r="U142" s="27"/>
      <x:c r="V142" s="27"/>
      <x:c r="W142" s="27"/>
      <x:c r="X142" s="27"/>
      <x:c r="Y142" s="27"/>
      <x:c r="Z142" s="27"/>
      <x:c r="AA142" s="27"/>
      <x:c r="AB142" s="27"/>
      <x:c r="AC142" s="27"/>
      <x:c r="AD142" s="27"/>
      <x:c r="AE142" s="27"/>
      <x:c r="AF142" s="27"/>
      <x:c r="AG142" s="27"/>
      <x:c r="AH142" s="27"/>
      <x:c r="AI142" s="27"/>
      <x:c r="AJ142" s="27"/>
      <x:c r="AK142" s="27"/>
      <x:c r="AL142" s="27"/>
      <x:c r="AM142" s="27"/>
      <x:c r="AN142" s="27"/>
      <x:c r="AO142" s="27"/>
      <x:c r="AP142" s="27"/>
      <x:c r="AQ142" s="27"/>
      <x:c r="AR142" s="27"/>
      <x:c r="AS142" s="27"/>
      <x:c r="AT142" s="27"/>
      <x:c r="AU142" s="27"/>
      <x:c r="AV142" s="27"/>
      <x:c r="AW142" s="27"/>
      <x:c r="AX142" s="27"/>
      <x:c r="AY142" s="27"/>
      <x:c r="AZ142" s="27"/>
    </x:row>
    <x:row r="143">
      <x:c r="A143" s="27"/>
      <x:c r="B143" s="27"/>
      <x:c r="C143" s="27"/>
      <x:c r="D143" s="27"/>
      <x:c r="E143" s="27"/>
      <x:c r="F143" s="27"/>
      <x:c r="G143" s="27"/>
      <x:c r="H143" s="27"/>
      <x:c r="I143" s="27"/>
      <x:c r="J143" s="27"/>
      <x:c r="K143" s="27"/>
      <x:c r="L143" s="27"/>
      <x:c r="M143" s="27"/>
      <x:c r="N143" s="27"/>
      <x:c r="O143" s="27"/>
      <x:c r="P143" s="27"/>
      <x:c r="Q143" s="27"/>
      <x:c r="R143" s="27"/>
      <x:c r="S143" s="27"/>
      <x:c r="T143" s="27"/>
      <x:c r="U143" s="27"/>
      <x:c r="V143" s="27"/>
      <x:c r="W143" s="27"/>
      <x:c r="X143" s="27"/>
      <x:c r="Y143" s="27"/>
      <x:c r="Z143" s="27"/>
      <x:c r="AA143" s="27"/>
      <x:c r="AB143" s="27"/>
      <x:c r="AC143" s="27"/>
      <x:c r="AD143" s="27"/>
      <x:c r="AE143" s="27"/>
      <x:c r="AF143" s="27"/>
      <x:c r="AG143" s="27"/>
      <x:c r="AH143" s="27"/>
      <x:c r="AI143" s="27"/>
      <x:c r="AJ143" s="27"/>
      <x:c r="AK143" s="27"/>
      <x:c r="AL143" s="27"/>
      <x:c r="AM143" s="27"/>
      <x:c r="AN143" s="27"/>
      <x:c r="AO143" s="27"/>
      <x:c r="AP143" s="27"/>
      <x:c r="AQ143" s="27"/>
      <x:c r="AR143" s="27"/>
      <x:c r="AS143" s="27"/>
      <x:c r="AT143" s="27"/>
      <x:c r="AU143" s="27"/>
      <x:c r="AV143" s="27"/>
      <x:c r="AW143" s="27"/>
      <x:c r="AX143" s="27"/>
      <x:c r="AY143" s="27"/>
      <x:c r="AZ143" s="27"/>
    </x:row>
    <x:row r="144">
      <x:c r="A144" s="27"/>
      <x:c r="B144" s="27"/>
      <x:c r="C144" s="27"/>
      <x:c r="D144" s="27"/>
      <x:c r="E144" s="27"/>
      <x:c r="F144" s="27"/>
      <x:c r="G144" s="27"/>
      <x:c r="H144" s="27"/>
      <x:c r="I144" s="27"/>
      <x:c r="J144" s="27"/>
      <x:c r="K144" s="27"/>
      <x:c r="L144" s="27"/>
      <x:c r="M144" s="27"/>
      <x:c r="N144" s="27"/>
      <x:c r="O144" s="27"/>
      <x:c r="P144" s="27"/>
      <x:c r="Q144" s="27"/>
      <x:c r="R144" s="27"/>
      <x:c r="S144" s="27"/>
      <x:c r="T144" s="27"/>
      <x:c r="U144" s="27"/>
      <x:c r="V144" s="27"/>
      <x:c r="W144" s="27"/>
      <x:c r="X144" s="27"/>
      <x:c r="Y144" s="27"/>
      <x:c r="Z144" s="27"/>
      <x:c r="AA144" s="27"/>
      <x:c r="AB144" s="27"/>
      <x:c r="AC144" s="27"/>
      <x:c r="AD144" s="27"/>
      <x:c r="AE144" s="27"/>
      <x:c r="AF144" s="27"/>
      <x:c r="AG144" s="27"/>
      <x:c r="AH144" s="27"/>
      <x:c r="AI144" s="27"/>
      <x:c r="AJ144" s="27"/>
      <x:c r="AK144" s="27"/>
      <x:c r="AL144" s="27"/>
      <x:c r="AM144" s="27"/>
      <x:c r="AN144" s="27"/>
      <x:c r="AO144" s="27"/>
      <x:c r="AP144" s="27"/>
      <x:c r="AQ144" s="27"/>
      <x:c r="AR144" s="27"/>
      <x:c r="AS144" s="27"/>
      <x:c r="AT144" s="27"/>
      <x:c r="AU144" s="27"/>
      <x:c r="AV144" s="27"/>
      <x:c r="AW144" s="27"/>
      <x:c r="AX144" s="27"/>
      <x:c r="AY144" s="27"/>
      <x:c r="AZ144" s="27"/>
    </x:row>
    <x:row r="145">
      <x:c r="A145" s="27"/>
      <x:c r="B145" s="27"/>
      <x:c r="C145" s="27"/>
      <x:c r="D145" s="27"/>
      <x:c r="E145" s="27"/>
      <x:c r="F145" s="27"/>
      <x:c r="G145" s="27"/>
      <x:c r="H145" s="27"/>
      <x:c r="I145" s="27"/>
      <x:c r="J145" s="27"/>
      <x:c r="K145" s="27"/>
      <x:c r="L145" s="27"/>
      <x:c r="M145" s="27"/>
      <x:c r="N145" s="27"/>
      <x:c r="O145" s="27"/>
      <x:c r="P145" s="27"/>
      <x:c r="Q145" s="27"/>
      <x:c r="R145" s="27"/>
      <x:c r="S145" s="27"/>
      <x:c r="T145" s="27"/>
      <x:c r="U145" s="27"/>
      <x:c r="V145" s="27"/>
      <x:c r="W145" s="27"/>
      <x:c r="X145" s="27"/>
      <x:c r="Y145" s="27"/>
      <x:c r="Z145" s="27"/>
      <x:c r="AA145" s="27"/>
      <x:c r="AB145" s="27"/>
      <x:c r="AC145" s="27"/>
      <x:c r="AD145" s="27"/>
      <x:c r="AE145" s="27"/>
      <x:c r="AF145" s="27"/>
      <x:c r="AG145" s="27"/>
      <x:c r="AH145" s="27"/>
      <x:c r="AI145" s="27"/>
      <x:c r="AJ145" s="27"/>
      <x:c r="AK145" s="27"/>
      <x:c r="AL145" s="27"/>
      <x:c r="AM145" s="27"/>
      <x:c r="AN145" s="27"/>
      <x:c r="AO145" s="27"/>
      <x:c r="AP145" s="27"/>
      <x:c r="AQ145" s="27"/>
      <x:c r="AR145" s="27"/>
      <x:c r="AS145" s="27"/>
      <x:c r="AT145" s="27"/>
      <x:c r="AU145" s="27"/>
      <x:c r="AV145" s="27"/>
      <x:c r="AW145" s="27"/>
      <x:c r="AX145" s="27"/>
      <x:c r="AY145" s="27"/>
      <x:c r="AZ145" s="27"/>
    </x:row>
    <x:row r="146">
      <x:c r="A146" s="27"/>
      <x:c r="B146" s="27"/>
      <x:c r="C146" s="27"/>
      <x:c r="D146" s="27"/>
      <x:c r="E146" s="27"/>
      <x:c r="F146" s="27"/>
      <x:c r="G146" s="27"/>
      <x:c r="H146" s="27"/>
      <x:c r="I146" s="27"/>
      <x:c r="J146" s="27"/>
      <x:c r="K146" s="27"/>
      <x:c r="L146" s="27"/>
      <x:c r="M146" s="27"/>
      <x:c r="N146" s="27"/>
      <x:c r="O146" s="27"/>
      <x:c r="P146" s="27"/>
      <x:c r="Q146" s="27"/>
      <x:c r="R146" s="27"/>
      <x:c r="S146" s="27"/>
      <x:c r="T146" s="27"/>
      <x:c r="U146" s="27"/>
      <x:c r="V146" s="27"/>
      <x:c r="W146" s="27"/>
      <x:c r="X146" s="27"/>
      <x:c r="Y146" s="27"/>
      <x:c r="Z146" s="27"/>
      <x:c r="AA146" s="27"/>
      <x:c r="AB146" s="27"/>
      <x:c r="AC146" s="27"/>
      <x:c r="AD146" s="27"/>
      <x:c r="AE146" s="27"/>
      <x:c r="AF146" s="27"/>
      <x:c r="AG146" s="27"/>
      <x:c r="AH146" s="27"/>
      <x:c r="AI146" s="27"/>
      <x:c r="AJ146" s="27"/>
      <x:c r="AK146" s="27"/>
      <x:c r="AL146" s="27"/>
      <x:c r="AM146" s="27"/>
      <x:c r="AN146" s="27"/>
      <x:c r="AO146" s="27"/>
      <x:c r="AP146" s="27"/>
      <x:c r="AQ146" s="27"/>
      <x:c r="AR146" s="27"/>
      <x:c r="AS146" s="27"/>
      <x:c r="AT146" s="27"/>
      <x:c r="AU146" s="27"/>
      <x:c r="AV146" s="27"/>
      <x:c r="AW146" s="27"/>
      <x:c r="AX146" s="27"/>
      <x:c r="AY146" s="27"/>
      <x:c r="AZ146" s="27"/>
    </x:row>
    <x:row r="147">
      <x:c r="A147" s="27"/>
      <x:c r="B147" s="27"/>
      <x:c r="C147" s="27"/>
      <x:c r="D147" s="27"/>
      <x:c r="E147" s="27"/>
      <x:c r="F147" s="27"/>
      <x:c r="G147" s="27"/>
      <x:c r="H147" s="27"/>
      <x:c r="I147" s="27"/>
      <x:c r="J147" s="27"/>
      <x:c r="K147" s="27"/>
      <x:c r="L147" s="27"/>
      <x:c r="M147" s="27"/>
      <x:c r="N147" s="27"/>
      <x:c r="O147" s="27"/>
      <x:c r="P147" s="27"/>
      <x:c r="Q147" s="27"/>
      <x:c r="R147" s="27"/>
      <x:c r="S147" s="27"/>
      <x:c r="T147" s="27"/>
      <x:c r="U147" s="27"/>
      <x:c r="V147" s="27"/>
      <x:c r="W147" s="27"/>
      <x:c r="X147" s="27"/>
      <x:c r="Y147" s="27"/>
      <x:c r="Z147" s="27"/>
      <x:c r="AA147" s="27"/>
      <x:c r="AB147" s="27"/>
      <x:c r="AC147" s="27"/>
      <x:c r="AD147" s="27"/>
      <x:c r="AE147" s="27"/>
      <x:c r="AF147" s="27"/>
      <x:c r="AG147" s="27"/>
      <x:c r="AH147" s="27"/>
      <x:c r="AI147" s="27"/>
      <x:c r="AJ147" s="27"/>
      <x:c r="AK147" s="27"/>
      <x:c r="AL147" s="27"/>
      <x:c r="AM147" s="27"/>
      <x:c r="AN147" s="27"/>
      <x:c r="AO147" s="27"/>
      <x:c r="AP147" s="27"/>
      <x:c r="AQ147" s="27"/>
      <x:c r="AR147" s="27"/>
      <x:c r="AS147" s="27"/>
      <x:c r="AT147" s="27"/>
      <x:c r="AU147" s="27"/>
      <x:c r="AV147" s="27"/>
      <x:c r="AW147" s="27"/>
      <x:c r="AX147" s="27"/>
      <x:c r="AY147" s="27"/>
      <x:c r="AZ147" s="27"/>
    </x:row>
    <x:row r="148">
      <x:c r="A148" s="27"/>
      <x:c r="B148" s="27"/>
      <x:c r="C148" s="27"/>
      <x:c r="D148" s="27"/>
      <x:c r="E148" s="27"/>
      <x:c r="F148" s="27"/>
      <x:c r="G148" s="27"/>
      <x:c r="H148" s="27"/>
      <x:c r="I148" s="27"/>
      <x:c r="J148" s="27"/>
      <x:c r="K148" s="27"/>
      <x:c r="L148" s="27"/>
      <x:c r="M148" s="27"/>
      <x:c r="N148" s="27"/>
      <x:c r="O148" s="27"/>
      <x:c r="P148" s="27"/>
      <x:c r="Q148" s="27"/>
      <x:c r="R148" s="27"/>
      <x:c r="S148" s="27"/>
      <x:c r="T148" s="27"/>
      <x:c r="U148" s="27"/>
      <x:c r="V148" s="27"/>
      <x:c r="W148" s="27"/>
      <x:c r="X148" s="27"/>
      <x:c r="Y148" s="27"/>
      <x:c r="Z148" s="27"/>
      <x:c r="AA148" s="27"/>
      <x:c r="AB148" s="27"/>
      <x:c r="AC148" s="27"/>
      <x:c r="AD148" s="27"/>
      <x:c r="AE148" s="27"/>
      <x:c r="AF148" s="27"/>
      <x:c r="AG148" s="27"/>
      <x:c r="AH148" s="27"/>
      <x:c r="AI148" s="27"/>
      <x:c r="AJ148" s="27"/>
      <x:c r="AK148" s="27"/>
      <x:c r="AL148" s="27"/>
      <x:c r="AM148" s="27"/>
      <x:c r="AN148" s="27"/>
      <x:c r="AO148" s="27"/>
      <x:c r="AP148" s="27"/>
      <x:c r="AQ148" s="27"/>
      <x:c r="AR148" s="27"/>
      <x:c r="AS148" s="27"/>
      <x:c r="AT148" s="27"/>
      <x:c r="AU148" s="27"/>
      <x:c r="AV148" s="27"/>
      <x:c r="AW148" s="27"/>
      <x:c r="AX148" s="27"/>
      <x:c r="AY148" s="27"/>
      <x:c r="AZ148" s="27"/>
    </x:row>
    <x:row r="149">
      <x:c r="A149" s="27"/>
      <x:c r="B149" s="27"/>
      <x:c r="C149" s="27"/>
      <x:c r="D149" s="27"/>
      <x:c r="E149" s="27"/>
      <x:c r="F149" s="27"/>
      <x:c r="G149" s="27"/>
      <x:c r="H149" s="27"/>
      <x:c r="I149" s="27"/>
      <x:c r="J149" s="27"/>
      <x:c r="K149" s="27"/>
      <x:c r="L149" s="27"/>
      <x:c r="M149" s="27"/>
      <x:c r="N149" s="27"/>
      <x:c r="O149" s="27"/>
      <x:c r="P149" s="27"/>
      <x:c r="Q149" s="27"/>
      <x:c r="R149" s="27"/>
      <x:c r="S149" s="27"/>
      <x:c r="T149" s="27"/>
      <x:c r="U149" s="27"/>
      <x:c r="V149" s="27"/>
      <x:c r="W149" s="27"/>
      <x:c r="X149" s="27"/>
      <x:c r="Y149" s="27"/>
      <x:c r="Z149" s="27"/>
      <x:c r="AA149" s="27"/>
      <x:c r="AB149" s="27"/>
      <x:c r="AC149" s="27"/>
      <x:c r="AD149" s="27"/>
      <x:c r="AE149" s="27"/>
      <x:c r="AF149" s="27"/>
      <x:c r="AG149" s="27"/>
      <x:c r="AH149" s="27"/>
      <x:c r="AI149" s="27"/>
      <x:c r="AJ149" s="27"/>
      <x:c r="AK149" s="27"/>
      <x:c r="AL149" s="27"/>
      <x:c r="AM149" s="27"/>
      <x:c r="AN149" s="27"/>
      <x:c r="AO149" s="27"/>
      <x:c r="AP149" s="27"/>
      <x:c r="AQ149" s="27"/>
      <x:c r="AR149" s="27"/>
      <x:c r="AS149" s="27"/>
      <x:c r="AT149" s="27"/>
      <x:c r="AU149" s="27"/>
      <x:c r="AV149" s="27"/>
      <x:c r="AW149" s="27"/>
      <x:c r="AX149" s="27"/>
      <x:c r="AY149" s="27"/>
      <x:c r="AZ149" s="27"/>
    </x:row>
    <x:row r="150">
      <x:c r="A150" s="27"/>
      <x:c r="B150" s="27"/>
      <x:c r="C150" s="27"/>
      <x:c r="D150" s="27"/>
      <x:c r="E150" s="27"/>
      <x:c r="F150" s="27"/>
      <x:c r="G150" s="27"/>
      <x:c r="H150" s="27"/>
      <x:c r="I150" s="27"/>
      <x:c r="J150" s="27"/>
      <x:c r="K150" s="27"/>
      <x:c r="L150" s="27"/>
      <x:c r="M150" s="27"/>
      <x:c r="N150" s="27"/>
      <x:c r="O150" s="27"/>
      <x:c r="P150" s="27"/>
      <x:c r="Q150" s="27"/>
      <x:c r="R150" s="27"/>
      <x:c r="S150" s="27"/>
      <x:c r="T150" s="27"/>
      <x:c r="U150" s="27"/>
      <x:c r="V150" s="27"/>
      <x:c r="W150" s="27"/>
      <x:c r="X150" s="27"/>
      <x:c r="Y150" s="27"/>
      <x:c r="Z150" s="27"/>
      <x:c r="AA150" s="27"/>
      <x:c r="AB150" s="27"/>
      <x:c r="AC150" s="27"/>
      <x:c r="AD150" s="27"/>
      <x:c r="AE150" s="27"/>
      <x:c r="AF150" s="27"/>
      <x:c r="AG150" s="27"/>
      <x:c r="AH150" s="27"/>
      <x:c r="AI150" s="27"/>
      <x:c r="AJ150" s="27"/>
      <x:c r="AK150" s="27"/>
      <x:c r="AL150" s="27"/>
      <x:c r="AM150" s="27"/>
      <x:c r="AN150" s="27"/>
      <x:c r="AO150" s="27"/>
      <x:c r="AP150" s="27"/>
      <x:c r="AQ150" s="27"/>
      <x:c r="AR150" s="27"/>
      <x:c r="AS150" s="27"/>
      <x:c r="AT150" s="27"/>
      <x:c r="AU150" s="27"/>
      <x:c r="AV150" s="27"/>
      <x:c r="AW150" s="27"/>
      <x:c r="AX150" s="27"/>
      <x:c r="AY150" s="27"/>
      <x:c r="AZ150" s="27"/>
    </x:row>
    <x:row r="151">
      <x:c r="A151" s="27"/>
      <x:c r="B151" s="27"/>
      <x:c r="C151" s="27"/>
      <x:c r="D151" s="27"/>
      <x:c r="E151" s="27"/>
      <x:c r="F151" s="27"/>
      <x:c r="G151" s="27"/>
      <x:c r="H151" s="27"/>
      <x:c r="I151" s="27"/>
      <x:c r="J151" s="27"/>
      <x:c r="K151" s="27"/>
      <x:c r="L151" s="27"/>
      <x:c r="M151" s="27"/>
      <x:c r="N151" s="27"/>
      <x:c r="O151" s="27"/>
      <x:c r="P151" s="27"/>
      <x:c r="Q151" s="27"/>
      <x:c r="R151" s="27"/>
      <x:c r="S151" s="27"/>
      <x:c r="T151" s="27"/>
      <x:c r="U151" s="27"/>
      <x:c r="V151" s="27"/>
      <x:c r="W151" s="27"/>
      <x:c r="X151" s="27"/>
      <x:c r="Y151" s="27"/>
      <x:c r="Z151" s="27"/>
      <x:c r="AA151" s="27"/>
      <x:c r="AB151" s="27"/>
      <x:c r="AC151" s="27"/>
      <x:c r="AD151" s="27"/>
      <x:c r="AE151" s="27"/>
      <x:c r="AF151" s="27"/>
      <x:c r="AG151" s="27"/>
      <x:c r="AH151" s="27"/>
      <x:c r="AI151" s="27"/>
      <x:c r="AJ151" s="27"/>
      <x:c r="AK151" s="27"/>
      <x:c r="AL151" s="27"/>
      <x:c r="AM151" s="27"/>
      <x:c r="AN151" s="27"/>
      <x:c r="AO151" s="27"/>
      <x:c r="AP151" s="27"/>
      <x:c r="AQ151" s="27"/>
      <x:c r="AR151" s="27"/>
      <x:c r="AS151" s="27"/>
      <x:c r="AT151" s="27"/>
      <x:c r="AU151" s="27"/>
      <x:c r="AV151" s="27"/>
      <x:c r="AW151" s="27"/>
      <x:c r="AX151" s="27"/>
      <x:c r="AY151" s="27"/>
      <x:c r="AZ151" s="27"/>
    </x:row>
    <x:row r="152">
      <x:c r="A152" s="27"/>
      <x:c r="B152" s="27"/>
      <x:c r="C152" s="27"/>
      <x:c r="D152" s="27"/>
      <x:c r="E152" s="27"/>
      <x:c r="F152" s="27"/>
      <x:c r="G152" s="27"/>
      <x:c r="H152" s="27"/>
      <x:c r="I152" s="27"/>
      <x:c r="J152" s="27"/>
      <x:c r="K152" s="27"/>
      <x:c r="L152" s="27"/>
      <x:c r="M152" s="27"/>
      <x:c r="N152" s="27"/>
      <x:c r="O152" s="27"/>
      <x:c r="P152" s="27"/>
      <x:c r="Q152" s="27"/>
      <x:c r="R152" s="27"/>
      <x:c r="S152" s="27"/>
      <x:c r="T152" s="27"/>
      <x:c r="U152" s="27"/>
      <x:c r="V152" s="27"/>
      <x:c r="W152" s="27"/>
      <x:c r="X152" s="27"/>
      <x:c r="Y152" s="27"/>
      <x:c r="Z152" s="27"/>
      <x:c r="AA152" s="27"/>
      <x:c r="AB152" s="27"/>
      <x:c r="AC152" s="27"/>
      <x:c r="AD152" s="27"/>
      <x:c r="AE152" s="27"/>
      <x:c r="AF152" s="27"/>
      <x:c r="AG152" s="27"/>
      <x:c r="AH152" s="27"/>
      <x:c r="AI152" s="27"/>
      <x:c r="AJ152" s="27"/>
      <x:c r="AK152" s="27"/>
      <x:c r="AL152" s="27"/>
      <x:c r="AM152" s="27"/>
      <x:c r="AN152" s="27"/>
      <x:c r="AO152" s="27"/>
      <x:c r="AP152" s="27"/>
      <x:c r="AQ152" s="27"/>
      <x:c r="AR152" s="27"/>
      <x:c r="AS152" s="27"/>
      <x:c r="AT152" s="27"/>
      <x:c r="AU152" s="27"/>
      <x:c r="AV152" s="27"/>
      <x:c r="AW152" s="27"/>
      <x:c r="AX152" s="27"/>
      <x:c r="AY152" s="27"/>
      <x:c r="AZ152" s="27"/>
    </x:row>
    <x:row r="153">
      <x:c r="A153" s="27"/>
      <x:c r="B153" s="27"/>
      <x:c r="C153" s="27"/>
      <x:c r="D153" s="27"/>
      <x:c r="E153" s="27"/>
      <x:c r="F153" s="27"/>
      <x:c r="G153" s="27"/>
      <x:c r="H153" s="27"/>
      <x:c r="I153" s="27"/>
      <x:c r="J153" s="27"/>
      <x:c r="K153" s="27"/>
      <x:c r="L153" s="27"/>
      <x:c r="M153" s="27"/>
      <x:c r="N153" s="27"/>
      <x:c r="O153" s="27"/>
      <x:c r="P153" s="27"/>
      <x:c r="Q153" s="27"/>
      <x:c r="R153" s="27"/>
      <x:c r="S153" s="27"/>
      <x:c r="T153" s="27"/>
      <x:c r="U153" s="27"/>
      <x:c r="V153" s="27"/>
      <x:c r="W153" s="27"/>
      <x:c r="X153" s="27"/>
      <x:c r="Y153" s="27"/>
      <x:c r="Z153" s="27"/>
      <x:c r="AA153" s="27"/>
      <x:c r="AB153" s="27"/>
      <x:c r="AC153" s="27"/>
      <x:c r="AD153" s="27"/>
      <x:c r="AE153" s="27"/>
      <x:c r="AF153" s="27"/>
      <x:c r="AG153" s="27"/>
      <x:c r="AH153" s="27"/>
      <x:c r="AI153" s="27"/>
      <x:c r="AJ153" s="27"/>
      <x:c r="AK153" s="27"/>
      <x:c r="AL153" s="27"/>
      <x:c r="AM153" s="27"/>
      <x:c r="AN153" s="27"/>
      <x:c r="AO153" s="27"/>
      <x:c r="AP153" s="27"/>
      <x:c r="AQ153" s="27"/>
      <x:c r="AR153" s="27"/>
      <x:c r="AS153" s="27"/>
      <x:c r="AT153" s="27"/>
      <x:c r="AU153" s="27"/>
      <x:c r="AV153" s="27"/>
      <x:c r="AW153" s="27"/>
      <x:c r="AX153" s="27"/>
      <x:c r="AY153" s="27"/>
      <x:c r="AZ153" s="27"/>
    </x:row>
    <x:row r="154">
      <x:c r="A154" s="27"/>
      <x:c r="B154" s="27"/>
      <x:c r="C154" s="27"/>
      <x:c r="D154" s="27"/>
      <x:c r="E154" s="27"/>
      <x:c r="F154" s="27"/>
      <x:c r="G154" s="27"/>
      <x:c r="H154" s="27"/>
      <x:c r="I154" s="27"/>
      <x:c r="J154" s="27"/>
      <x:c r="K154" s="27"/>
      <x:c r="L154" s="27"/>
      <x:c r="M154" s="27"/>
      <x:c r="N154" s="27"/>
      <x:c r="O154" s="27"/>
      <x:c r="P154" s="27"/>
      <x:c r="Q154" s="27"/>
      <x:c r="R154" s="27"/>
      <x:c r="S154" s="27"/>
      <x:c r="T154" s="27"/>
      <x:c r="U154" s="27"/>
      <x:c r="V154" s="27"/>
      <x:c r="W154" s="27"/>
      <x:c r="X154" s="27"/>
      <x:c r="Y154" s="27"/>
      <x:c r="Z154" s="27"/>
      <x:c r="AA154" s="27"/>
      <x:c r="AB154" s="27"/>
      <x:c r="AC154" s="27"/>
      <x:c r="AD154" s="27"/>
      <x:c r="AE154" s="27"/>
      <x:c r="AF154" s="27"/>
      <x:c r="AG154" s="27"/>
      <x:c r="AH154" s="27"/>
      <x:c r="AI154" s="27"/>
      <x:c r="AJ154" s="27"/>
      <x:c r="AK154" s="27"/>
      <x:c r="AL154" s="27"/>
      <x:c r="AM154" s="27"/>
      <x:c r="AN154" s="27"/>
      <x:c r="AO154" s="27"/>
      <x:c r="AP154" s="27"/>
      <x:c r="AQ154" s="27"/>
      <x:c r="AR154" s="27"/>
      <x:c r="AS154" s="27"/>
      <x:c r="AT154" s="27"/>
      <x:c r="AU154" s="27"/>
      <x:c r="AV154" s="27"/>
      <x:c r="AW154" s="27"/>
      <x:c r="AX154" s="27"/>
      <x:c r="AY154" s="27"/>
      <x:c r="AZ154" s="27"/>
    </x:row>
    <x:row r="155">
      <x:c r="A155" s="27"/>
      <x:c r="B155" s="27"/>
      <x:c r="C155" s="27"/>
      <x:c r="D155" s="27"/>
      <x:c r="E155" s="27"/>
      <x:c r="F155" s="27"/>
      <x:c r="G155" s="27"/>
      <x:c r="H155" s="27"/>
      <x:c r="I155" s="27"/>
      <x:c r="J155" s="27"/>
      <x:c r="K155" s="27"/>
      <x:c r="L155" s="27"/>
      <x:c r="M155" s="27"/>
      <x:c r="N155" s="27"/>
      <x:c r="O155" s="27"/>
      <x:c r="P155" s="27"/>
      <x:c r="Q155" s="27"/>
      <x:c r="R155" s="27"/>
      <x:c r="S155" s="27"/>
      <x:c r="T155" s="27"/>
      <x:c r="U155" s="27"/>
      <x:c r="V155" s="27"/>
      <x:c r="W155" s="27"/>
      <x:c r="X155" s="27"/>
      <x:c r="Y155" s="27"/>
      <x:c r="Z155" s="27"/>
      <x:c r="AA155" s="27"/>
      <x:c r="AB155" s="27"/>
      <x:c r="AC155" s="27"/>
      <x:c r="AD155" s="27"/>
      <x:c r="AE155" s="27"/>
      <x:c r="AF155" s="27"/>
      <x:c r="AG155" s="27"/>
      <x:c r="AH155" s="27"/>
      <x:c r="AI155" s="27"/>
      <x:c r="AJ155" s="27"/>
      <x:c r="AK155" s="27"/>
      <x:c r="AL155" s="27"/>
      <x:c r="AM155" s="27"/>
      <x:c r="AN155" s="27"/>
      <x:c r="AO155" s="27"/>
      <x:c r="AP155" s="27"/>
      <x:c r="AQ155" s="27"/>
      <x:c r="AR155" s="27"/>
      <x:c r="AS155" s="27"/>
      <x:c r="AT155" s="27"/>
      <x:c r="AU155" s="27"/>
      <x:c r="AV155" s="27"/>
      <x:c r="AW155" s="27"/>
      <x:c r="AX155" s="27"/>
      <x:c r="AY155" s="27"/>
      <x:c r="AZ155" s="27"/>
    </x:row>
    <x:row r="156">
      <x:c r="A156" s="27"/>
      <x:c r="B156" s="27"/>
      <x:c r="C156" s="27"/>
      <x:c r="D156" s="27"/>
      <x:c r="E156" s="27"/>
      <x:c r="F156" s="27"/>
      <x:c r="G156" s="27"/>
      <x:c r="H156" s="27"/>
      <x:c r="I156" s="27"/>
      <x:c r="J156" s="27"/>
      <x:c r="K156" s="27"/>
      <x:c r="L156" s="27"/>
      <x:c r="M156" s="27"/>
      <x:c r="N156" s="27"/>
      <x:c r="O156" s="27"/>
      <x:c r="P156" s="27"/>
      <x:c r="Q156" s="27"/>
      <x:c r="R156" s="27"/>
      <x:c r="S156" s="27"/>
      <x:c r="T156" s="27"/>
      <x:c r="U156" s="27"/>
      <x:c r="V156" s="27"/>
      <x:c r="W156" s="27"/>
      <x:c r="X156" s="27"/>
      <x:c r="Y156" s="27"/>
      <x:c r="Z156" s="27"/>
      <x:c r="AA156" s="27"/>
      <x:c r="AB156" s="27"/>
      <x:c r="AC156" s="27"/>
      <x:c r="AD156" s="27"/>
      <x:c r="AE156" s="27"/>
      <x:c r="AF156" s="27"/>
      <x:c r="AG156" s="27"/>
      <x:c r="AH156" s="27"/>
      <x:c r="AI156" s="27"/>
      <x:c r="AJ156" s="27"/>
      <x:c r="AK156" s="27"/>
      <x:c r="AL156" s="27"/>
      <x:c r="AM156" s="27"/>
      <x:c r="AN156" s="27"/>
      <x:c r="AO156" s="27"/>
      <x:c r="AP156" s="27"/>
      <x:c r="AQ156" s="27"/>
      <x:c r="AR156" s="27"/>
      <x:c r="AS156" s="27"/>
      <x:c r="AT156" s="27"/>
      <x:c r="AU156" s="27"/>
      <x:c r="AV156" s="27"/>
      <x:c r="AW156" s="27"/>
      <x:c r="AX156" s="27"/>
      <x:c r="AY156" s="27"/>
      <x:c r="AZ156" s="27"/>
    </x:row>
    <x:row r="157">
      <x:c r="A157" s="27"/>
      <x:c r="B157" s="27"/>
      <x:c r="C157" s="27"/>
      <x:c r="D157" s="27"/>
      <x:c r="E157" s="27"/>
      <x:c r="F157" s="27"/>
      <x:c r="G157" s="27"/>
      <x:c r="H157" s="27"/>
      <x:c r="I157" s="27"/>
      <x:c r="J157" s="27"/>
      <x:c r="K157" s="27"/>
      <x:c r="L157" s="27"/>
      <x:c r="M157" s="27"/>
      <x:c r="N157" s="27"/>
      <x:c r="O157" s="27"/>
      <x:c r="P157" s="27"/>
      <x:c r="Q157" s="27"/>
      <x:c r="R157" s="27"/>
      <x:c r="S157" s="27"/>
      <x:c r="T157" s="27"/>
      <x:c r="U157" s="27"/>
      <x:c r="V157" s="27"/>
      <x:c r="W157" s="27"/>
      <x:c r="X157" s="27"/>
      <x:c r="Y157" s="27"/>
      <x:c r="Z157" s="27"/>
      <x:c r="AA157" s="27"/>
      <x:c r="AB157" s="27"/>
      <x:c r="AC157" s="27"/>
      <x:c r="AD157" s="27"/>
      <x:c r="AE157" s="27"/>
      <x:c r="AF157" s="27"/>
      <x:c r="AG157" s="27"/>
      <x:c r="AH157" s="27"/>
      <x:c r="AI157" s="27"/>
      <x:c r="AJ157" s="27"/>
      <x:c r="AK157" s="27"/>
      <x:c r="AL157" s="27"/>
      <x:c r="AM157" s="27"/>
      <x:c r="AN157" s="27"/>
      <x:c r="AO157" s="27"/>
      <x:c r="AP157" s="27"/>
      <x:c r="AQ157" s="27"/>
      <x:c r="AR157" s="27"/>
      <x:c r="AS157" s="27"/>
      <x:c r="AT157" s="27"/>
      <x:c r="AU157" s="27"/>
      <x:c r="AV157" s="27"/>
      <x:c r="AW157" s="27"/>
      <x:c r="AX157" s="27"/>
      <x:c r="AY157" s="27"/>
      <x:c r="AZ157" s="27"/>
    </x:row>
    <x:row r="158">
      <x:c r="A158" s="27"/>
      <x:c r="B158" s="27"/>
      <x:c r="C158" s="27"/>
      <x:c r="D158" s="27"/>
      <x:c r="E158" s="27"/>
      <x:c r="F158" s="27"/>
      <x:c r="G158" s="27"/>
      <x:c r="H158" s="27"/>
      <x:c r="I158" s="27"/>
      <x:c r="J158" s="27"/>
      <x:c r="K158" s="27"/>
      <x:c r="L158" s="27"/>
      <x:c r="M158" s="27"/>
      <x:c r="N158" s="27"/>
      <x:c r="O158" s="27"/>
      <x:c r="P158" s="27"/>
      <x:c r="Q158" s="27"/>
      <x:c r="R158" s="27"/>
      <x:c r="S158" s="27"/>
      <x:c r="T158" s="27"/>
      <x:c r="U158" s="27"/>
      <x:c r="V158" s="27"/>
      <x:c r="W158" s="27"/>
      <x:c r="X158" s="27"/>
      <x:c r="Y158" s="27"/>
      <x:c r="Z158" s="27"/>
      <x:c r="AA158" s="27"/>
      <x:c r="AB158" s="27"/>
      <x:c r="AC158" s="27"/>
      <x:c r="AD158" s="27"/>
      <x:c r="AE158" s="27"/>
      <x:c r="AF158" s="27"/>
      <x:c r="AG158" s="27"/>
      <x:c r="AH158" s="27"/>
      <x:c r="AI158" s="27"/>
      <x:c r="AJ158" s="27"/>
      <x:c r="AK158" s="27"/>
      <x:c r="AL158" s="27"/>
      <x:c r="AM158" s="27"/>
      <x:c r="AN158" s="27"/>
      <x:c r="AO158" s="27"/>
      <x:c r="AP158" s="27"/>
      <x:c r="AQ158" s="27"/>
      <x:c r="AR158" s="27"/>
      <x:c r="AS158" s="27"/>
      <x:c r="AT158" s="27"/>
      <x:c r="AU158" s="27"/>
      <x:c r="AV158" s="27"/>
      <x:c r="AW158" s="27"/>
      <x:c r="AX158" s="27"/>
      <x:c r="AY158" s="27"/>
      <x:c r="AZ158" s="27"/>
    </x:row>
    <x:row r="159">
      <x:c r="A159" s="27"/>
      <x:c r="B159" s="27"/>
      <x:c r="C159" s="27"/>
      <x:c r="D159" s="27"/>
      <x:c r="E159" s="27"/>
      <x:c r="F159" s="27"/>
      <x:c r="G159" s="27"/>
      <x:c r="H159" s="27"/>
      <x:c r="I159" s="27"/>
      <x:c r="J159" s="27"/>
      <x:c r="K159" s="27"/>
      <x:c r="L159" s="27"/>
      <x:c r="M159" s="27"/>
      <x:c r="N159" s="27"/>
      <x:c r="O159" s="27"/>
      <x:c r="P159" s="27"/>
      <x:c r="Q159" s="27"/>
      <x:c r="R159" s="27"/>
      <x:c r="S159" s="27"/>
      <x:c r="T159" s="27"/>
      <x:c r="U159" s="27"/>
      <x:c r="V159" s="27"/>
      <x:c r="W159" s="27"/>
      <x:c r="X159" s="27"/>
      <x:c r="Y159" s="27"/>
      <x:c r="Z159" s="27"/>
      <x:c r="AA159" s="27"/>
      <x:c r="AB159" s="27"/>
      <x:c r="AC159" s="27"/>
      <x:c r="AD159" s="27"/>
      <x:c r="AE159" s="27"/>
      <x:c r="AF159" s="27"/>
      <x:c r="AG159" s="27"/>
      <x:c r="AH159" s="27"/>
      <x:c r="AI159" s="27"/>
      <x:c r="AJ159" s="27"/>
      <x:c r="AK159" s="27"/>
      <x:c r="AL159" s="27"/>
      <x:c r="AM159" s="27"/>
      <x:c r="AN159" s="27"/>
      <x:c r="AO159" s="27"/>
      <x:c r="AP159" s="27"/>
      <x:c r="AQ159" s="27"/>
      <x:c r="AR159" s="27"/>
      <x:c r="AS159" s="27"/>
      <x:c r="AT159" s="27"/>
      <x:c r="AU159" s="27"/>
      <x:c r="AV159" s="27"/>
      <x:c r="AW159" s="27"/>
      <x:c r="AX159" s="27"/>
      <x:c r="AY159" s="27"/>
      <x:c r="AZ159" s="27"/>
    </x:row>
    <x:row r="160">
      <x:c r="A160" s="27"/>
      <x:c r="B160" s="27"/>
      <x:c r="C160" s="27"/>
      <x:c r="D160" s="27"/>
      <x:c r="E160" s="27"/>
      <x:c r="F160" s="27"/>
      <x:c r="G160" s="27"/>
      <x:c r="H160" s="27"/>
      <x:c r="I160" s="27"/>
      <x:c r="J160" s="27"/>
      <x:c r="K160" s="27"/>
      <x:c r="L160" s="27"/>
      <x:c r="M160" s="27"/>
      <x:c r="N160" s="27"/>
      <x:c r="O160" s="27"/>
      <x:c r="P160" s="27"/>
      <x:c r="Q160" s="27"/>
      <x:c r="R160" s="27"/>
      <x:c r="S160" s="27"/>
      <x:c r="T160" s="27"/>
      <x:c r="U160" s="27"/>
      <x:c r="V160" s="27"/>
      <x:c r="W160" s="27"/>
      <x:c r="X160" s="27"/>
      <x:c r="Y160" s="27"/>
      <x:c r="Z160" s="27"/>
      <x:c r="AA160" s="27"/>
      <x:c r="AB160" s="27"/>
      <x:c r="AC160" s="27"/>
      <x:c r="AD160" s="27"/>
      <x:c r="AE160" s="27"/>
      <x:c r="AF160" s="27"/>
      <x:c r="AG160" s="27"/>
      <x:c r="AH160" s="27"/>
      <x:c r="AI160" s="27"/>
      <x:c r="AJ160" s="27"/>
      <x:c r="AK160" s="27"/>
      <x:c r="AL160" s="27"/>
      <x:c r="AM160" s="27"/>
      <x:c r="AN160" s="27"/>
      <x:c r="AO160" s="27"/>
      <x:c r="AP160" s="27"/>
      <x:c r="AQ160" s="27"/>
      <x:c r="AR160" s="27"/>
      <x:c r="AS160" s="27"/>
      <x:c r="AT160" s="27"/>
      <x:c r="AU160" s="27"/>
      <x:c r="AV160" s="27"/>
      <x:c r="AW160" s="27"/>
      <x:c r="AX160" s="27"/>
      <x:c r="AY160" s="27"/>
      <x:c r="AZ160" s="27"/>
    </x:row>
    <x:row r="161">
      <x:c r="A161" s="27"/>
      <x:c r="B161" s="27"/>
      <x:c r="C161" s="27"/>
      <x:c r="D161" s="27"/>
      <x:c r="E161" s="27"/>
      <x:c r="F161" s="27"/>
      <x:c r="G161" s="27"/>
      <x:c r="H161" s="27"/>
      <x:c r="I161" s="27"/>
      <x:c r="J161" s="27"/>
      <x:c r="K161" s="27"/>
      <x:c r="L161" s="27"/>
      <x:c r="M161" s="27"/>
      <x:c r="N161" s="27"/>
      <x:c r="O161" s="27"/>
      <x:c r="P161" s="27"/>
      <x:c r="Q161" s="27"/>
      <x:c r="R161" s="27"/>
      <x:c r="S161" s="27"/>
      <x:c r="T161" s="27"/>
      <x:c r="U161" s="27"/>
      <x:c r="V161" s="27"/>
      <x:c r="W161" s="27"/>
      <x:c r="X161" s="27"/>
      <x:c r="Y161" s="27"/>
      <x:c r="Z161" s="27"/>
      <x:c r="AA161" s="27"/>
      <x:c r="AB161" s="27"/>
      <x:c r="AC161" s="27"/>
      <x:c r="AD161" s="27"/>
      <x:c r="AE161" s="27"/>
      <x:c r="AF161" s="27"/>
      <x:c r="AG161" s="27"/>
      <x:c r="AH161" s="27"/>
      <x:c r="AI161" s="27"/>
      <x:c r="AJ161" s="27"/>
      <x:c r="AK161" s="27"/>
      <x:c r="AL161" s="27"/>
      <x:c r="AM161" s="27"/>
      <x:c r="AN161" s="27"/>
      <x:c r="AO161" s="27"/>
      <x:c r="AP161" s="27"/>
      <x:c r="AQ161" s="27"/>
      <x:c r="AR161" s="27"/>
      <x:c r="AS161" s="27"/>
      <x:c r="AT161" s="27"/>
      <x:c r="AU161" s="27"/>
      <x:c r="AV161" s="27"/>
      <x:c r="AW161" s="27"/>
      <x:c r="AX161" s="27"/>
      <x:c r="AY161" s="27"/>
      <x:c r="AZ161" s="27"/>
    </x:row>
    <x:row r="162">
      <x:c r="A162" s="27"/>
      <x:c r="B162" s="27"/>
      <x:c r="C162" s="27"/>
      <x:c r="D162" s="27"/>
      <x:c r="E162" s="27"/>
      <x:c r="F162" s="27"/>
      <x:c r="G162" s="27"/>
      <x:c r="H162" s="27"/>
      <x:c r="I162" s="27"/>
      <x:c r="J162" s="27"/>
      <x:c r="K162" s="27"/>
      <x:c r="L162" s="27"/>
      <x:c r="M162" s="27"/>
      <x:c r="N162" s="27"/>
      <x:c r="O162" s="27"/>
      <x:c r="P162" s="27"/>
      <x:c r="Q162" s="27"/>
      <x:c r="R162" s="27"/>
      <x:c r="S162" s="27"/>
      <x:c r="T162" s="27"/>
      <x:c r="U162" s="27"/>
      <x:c r="V162" s="27"/>
      <x:c r="W162" s="27"/>
      <x:c r="X162" s="27"/>
      <x:c r="Y162" s="27"/>
      <x:c r="Z162" s="27"/>
      <x:c r="AA162" s="27"/>
      <x:c r="AB162" s="27"/>
      <x:c r="AC162" s="27"/>
      <x:c r="AD162" s="27"/>
      <x:c r="AE162" s="27"/>
      <x:c r="AF162" s="27"/>
      <x:c r="AG162" s="27"/>
      <x:c r="AH162" s="27"/>
      <x:c r="AI162" s="27"/>
      <x:c r="AJ162" s="27"/>
      <x:c r="AK162" s="27"/>
      <x:c r="AL162" s="27"/>
      <x:c r="AM162" s="27"/>
      <x:c r="AN162" s="27"/>
      <x:c r="AO162" s="27"/>
      <x:c r="AP162" s="27"/>
      <x:c r="AQ162" s="27"/>
      <x:c r="AR162" s="27"/>
      <x:c r="AS162" s="27"/>
      <x:c r="AT162" s="27"/>
      <x:c r="AU162" s="27"/>
      <x:c r="AV162" s="27"/>
      <x:c r="AW162" s="27"/>
      <x:c r="AX162" s="27"/>
      <x:c r="AY162" s="27"/>
      <x:c r="AZ162" s="27"/>
    </x:row>
    <x:row r="163">
      <x:c r="A163" s="27"/>
      <x:c r="B163" s="27"/>
      <x:c r="C163" s="27"/>
      <x:c r="D163" s="27"/>
      <x:c r="E163" s="27"/>
      <x:c r="F163" s="27"/>
      <x:c r="G163" s="27"/>
      <x:c r="H163" s="27"/>
      <x:c r="I163" s="27"/>
      <x:c r="J163" s="27"/>
      <x:c r="K163" s="27"/>
      <x:c r="L163" s="27"/>
      <x:c r="M163" s="27"/>
      <x:c r="N163" s="27"/>
      <x:c r="O163" s="27"/>
      <x:c r="P163" s="27"/>
      <x:c r="Q163" s="27"/>
      <x:c r="R163" s="27"/>
      <x:c r="S163" s="27"/>
      <x:c r="T163" s="27"/>
      <x:c r="U163" s="27"/>
      <x:c r="V163" s="27"/>
      <x:c r="W163" s="27"/>
      <x:c r="X163" s="27"/>
      <x:c r="Y163" s="27"/>
      <x:c r="Z163" s="27"/>
      <x:c r="AA163" s="27"/>
      <x:c r="AB163" s="27"/>
      <x:c r="AC163" s="27"/>
      <x:c r="AD163" s="27"/>
      <x:c r="AE163" s="27"/>
      <x:c r="AF163" s="27"/>
      <x:c r="AG163" s="27"/>
      <x:c r="AH163" s="27"/>
      <x:c r="AI163" s="27"/>
      <x:c r="AJ163" s="27"/>
      <x:c r="AK163" s="27"/>
      <x:c r="AL163" s="27"/>
      <x:c r="AM163" s="27"/>
      <x:c r="AN163" s="27"/>
      <x:c r="AO163" s="27"/>
      <x:c r="AP163" s="27"/>
      <x:c r="AQ163" s="27"/>
      <x:c r="AR163" s="27"/>
      <x:c r="AS163" s="27"/>
      <x:c r="AT163" s="27"/>
      <x:c r="AU163" s="27"/>
      <x:c r="AV163" s="27"/>
      <x:c r="AW163" s="27"/>
      <x:c r="AX163" s="27"/>
      <x:c r="AY163" s="27"/>
      <x:c r="AZ163" s="27"/>
    </x:row>
    <x:row r="164">
      <x:c r="A164" s="27"/>
      <x:c r="B164" s="27"/>
      <x:c r="C164" s="27"/>
      <x:c r="D164" s="27"/>
      <x:c r="E164" s="27"/>
      <x:c r="F164" s="27"/>
      <x:c r="G164" s="27"/>
      <x:c r="H164" s="27"/>
      <x:c r="I164" s="27"/>
      <x:c r="J164" s="27"/>
      <x:c r="K164" s="27"/>
      <x:c r="L164" s="27"/>
      <x:c r="M164" s="27"/>
      <x:c r="N164" s="27"/>
      <x:c r="O164" s="27"/>
      <x:c r="P164" s="27"/>
      <x:c r="Q164" s="27"/>
      <x:c r="R164" s="27"/>
      <x:c r="S164" s="27"/>
      <x:c r="T164" s="27"/>
      <x:c r="U164" s="27"/>
      <x:c r="V164" s="27"/>
      <x:c r="W164" s="27"/>
      <x:c r="X164" s="27"/>
      <x:c r="Y164" s="27"/>
      <x:c r="Z164" s="27"/>
      <x:c r="AA164" s="27"/>
      <x:c r="AB164" s="27"/>
      <x:c r="AC164" s="27"/>
      <x:c r="AD164" s="27"/>
      <x:c r="AE164" s="27"/>
      <x:c r="AF164" s="27"/>
      <x:c r="AG164" s="27"/>
      <x:c r="AH164" s="27"/>
      <x:c r="AI164" s="27"/>
      <x:c r="AJ164" s="27"/>
      <x:c r="AK164" s="27"/>
      <x:c r="AL164" s="27"/>
      <x:c r="AM164" s="27"/>
      <x:c r="AN164" s="27"/>
      <x:c r="AO164" s="27"/>
      <x:c r="AP164" s="27"/>
      <x:c r="AQ164" s="27"/>
      <x:c r="AR164" s="27"/>
      <x:c r="AS164" s="27"/>
      <x:c r="AT164" s="27"/>
      <x:c r="AU164" s="27"/>
      <x:c r="AV164" s="27"/>
      <x:c r="AW164" s="27"/>
      <x:c r="AX164" s="27"/>
      <x:c r="AY164" s="27"/>
      <x:c r="AZ164" s="27"/>
    </x:row>
    <x:row r="165">
      <x:c r="A165" s="27"/>
      <x:c r="B165" s="27"/>
      <x:c r="C165" s="27"/>
      <x:c r="D165" s="27"/>
      <x:c r="E165" s="27"/>
      <x:c r="F165" s="27"/>
      <x:c r="G165" s="27"/>
      <x:c r="H165" s="27"/>
      <x:c r="I165" s="27"/>
      <x:c r="J165" s="27"/>
      <x:c r="K165" s="27"/>
      <x:c r="L165" s="27"/>
      <x:c r="M165" s="27"/>
      <x:c r="N165" s="27"/>
      <x:c r="O165" s="27"/>
      <x:c r="P165" s="27"/>
      <x:c r="Q165" s="27"/>
      <x:c r="R165" s="27"/>
      <x:c r="S165" s="27"/>
      <x:c r="T165" s="27"/>
      <x:c r="U165" s="27"/>
      <x:c r="V165" s="27"/>
      <x:c r="W165" s="27"/>
      <x:c r="X165" s="27"/>
      <x:c r="Y165" s="27"/>
      <x:c r="Z165" s="27"/>
      <x:c r="AA165" s="27"/>
      <x:c r="AB165" s="27"/>
      <x:c r="AC165" s="27"/>
      <x:c r="AD165" s="27"/>
      <x:c r="AE165" s="27"/>
      <x:c r="AF165" s="27"/>
      <x:c r="AG165" s="27"/>
      <x:c r="AH165" s="27"/>
      <x:c r="AI165" s="27"/>
      <x:c r="AJ165" s="27"/>
      <x:c r="AK165" s="27"/>
      <x:c r="AL165" s="27"/>
      <x:c r="AM165" s="27"/>
      <x:c r="AN165" s="27"/>
      <x:c r="AO165" s="27"/>
      <x:c r="AP165" s="27"/>
      <x:c r="AQ165" s="27"/>
      <x:c r="AR165" s="27"/>
      <x:c r="AS165" s="27"/>
      <x:c r="AT165" s="27"/>
      <x:c r="AU165" s="27"/>
      <x:c r="AV165" s="27"/>
      <x:c r="AW165" s="27"/>
      <x:c r="AX165" s="27"/>
      <x:c r="AY165" s="27"/>
      <x:c r="AZ165" s="27"/>
    </x:row>
    <x:row r="166">
      <x:c r="A166" s="27"/>
      <x:c r="B166" s="27"/>
      <x:c r="C166" s="27"/>
      <x:c r="D166" s="27"/>
      <x:c r="E166" s="27"/>
      <x:c r="F166" s="27"/>
      <x:c r="G166" s="27"/>
      <x:c r="H166" s="27"/>
      <x:c r="I166" s="27"/>
      <x:c r="J166" s="27"/>
      <x:c r="K166" s="27"/>
      <x:c r="L166" s="27"/>
      <x:c r="M166" s="27"/>
      <x:c r="N166" s="27"/>
      <x:c r="O166" s="27"/>
      <x:c r="P166" s="27"/>
      <x:c r="Q166" s="27"/>
      <x:c r="R166" s="27"/>
      <x:c r="S166" s="27"/>
      <x:c r="T166" s="27"/>
      <x:c r="U166" s="27"/>
      <x:c r="V166" s="27"/>
      <x:c r="W166" s="27"/>
      <x:c r="X166" s="27"/>
      <x:c r="Y166" s="27"/>
      <x:c r="Z166" s="27"/>
      <x:c r="AA166" s="27"/>
      <x:c r="AB166" s="27"/>
      <x:c r="AC166" s="27"/>
      <x:c r="AD166" s="27"/>
      <x:c r="AE166" s="27"/>
      <x:c r="AF166" s="27"/>
      <x:c r="AG166" s="27"/>
      <x:c r="AH166" s="27"/>
      <x:c r="AI166" s="27"/>
      <x:c r="AJ166" s="27"/>
      <x:c r="AK166" s="27"/>
      <x:c r="AL166" s="27"/>
      <x:c r="AM166" s="27"/>
      <x:c r="AN166" s="27"/>
      <x:c r="AO166" s="27"/>
      <x:c r="AP166" s="27"/>
      <x:c r="AQ166" s="27"/>
      <x:c r="AR166" s="27"/>
      <x:c r="AS166" s="27"/>
      <x:c r="AT166" s="27"/>
      <x:c r="AU166" s="27"/>
      <x:c r="AV166" s="27"/>
      <x:c r="AW166" s="27"/>
      <x:c r="AX166" s="27"/>
      <x:c r="AY166" s="27"/>
      <x:c r="AZ166" s="27"/>
    </x:row>
    <x:row r="167">
      <x:c r="A167" s="27"/>
      <x:c r="B167" s="27"/>
      <x:c r="C167" s="27"/>
      <x:c r="D167" s="27"/>
      <x:c r="E167" s="27"/>
      <x:c r="F167" s="27"/>
      <x:c r="G167" s="27"/>
      <x:c r="H167" s="27"/>
      <x:c r="I167" s="27"/>
      <x:c r="J167" s="27"/>
      <x:c r="K167" s="27"/>
      <x:c r="L167" s="27"/>
      <x:c r="M167" s="27"/>
      <x:c r="N167" s="27"/>
      <x:c r="O167" s="27"/>
      <x:c r="P167" s="27"/>
      <x:c r="Q167" s="27"/>
      <x:c r="R167" s="27"/>
      <x:c r="S167" s="27"/>
      <x:c r="T167" s="27"/>
      <x:c r="U167" s="27"/>
      <x:c r="V167" s="27"/>
      <x:c r="W167" s="27"/>
      <x:c r="X167" s="27"/>
      <x:c r="Y167" s="27"/>
      <x:c r="Z167" s="27"/>
      <x:c r="AA167" s="27"/>
      <x:c r="AB167" s="27"/>
      <x:c r="AC167" s="27"/>
      <x:c r="AD167" s="27"/>
      <x:c r="AE167" s="27"/>
      <x:c r="AF167" s="27"/>
      <x:c r="AG167" s="27"/>
      <x:c r="AH167" s="27"/>
      <x:c r="AI167" s="27"/>
      <x:c r="AJ167" s="27"/>
      <x:c r="AK167" s="27"/>
      <x:c r="AL167" s="27"/>
      <x:c r="AM167" s="27"/>
      <x:c r="AN167" s="27"/>
      <x:c r="AO167" s="27"/>
      <x:c r="AP167" s="27"/>
      <x:c r="AQ167" s="27"/>
      <x:c r="AR167" s="27"/>
      <x:c r="AS167" s="27"/>
      <x:c r="AT167" s="27"/>
      <x:c r="AU167" s="27"/>
      <x:c r="AV167" s="27"/>
      <x:c r="AW167" s="27"/>
      <x:c r="AX167" s="27"/>
      <x:c r="AY167" s="27"/>
      <x:c r="AZ167" s="27"/>
    </x:row>
    <x:row r="168">
      <x:c r="A168" s="27"/>
      <x:c r="B168" s="27"/>
      <x:c r="C168" s="27"/>
      <x:c r="D168" s="27"/>
      <x:c r="E168" s="27"/>
      <x:c r="F168" s="27"/>
      <x:c r="G168" s="27"/>
      <x:c r="H168" s="27"/>
      <x:c r="I168" s="27"/>
      <x:c r="J168" s="27"/>
      <x:c r="K168" s="27"/>
      <x:c r="L168" s="27"/>
      <x:c r="M168" s="27"/>
      <x:c r="N168" s="27"/>
      <x:c r="O168" s="27"/>
      <x:c r="P168" s="27"/>
      <x:c r="Q168" s="27"/>
      <x:c r="R168" s="27"/>
      <x:c r="S168" s="27"/>
      <x:c r="T168" s="27"/>
      <x:c r="U168" s="27"/>
      <x:c r="V168" s="27"/>
      <x:c r="W168" s="27"/>
      <x:c r="X168" s="27"/>
      <x:c r="Y168" s="27"/>
      <x:c r="Z168" s="27"/>
      <x:c r="AA168" s="27"/>
      <x:c r="AB168" s="27"/>
      <x:c r="AC168" s="27"/>
      <x:c r="AD168" s="27"/>
      <x:c r="AE168" s="27"/>
      <x:c r="AF168" s="27"/>
      <x:c r="AG168" s="27"/>
      <x:c r="AH168" s="27"/>
      <x:c r="AI168" s="27"/>
      <x:c r="AJ168" s="27"/>
      <x:c r="AK168" s="27"/>
      <x:c r="AL168" s="27"/>
      <x:c r="AM168" s="27"/>
      <x:c r="AN168" s="27"/>
      <x:c r="AO168" s="27"/>
      <x:c r="AP168" s="27"/>
      <x:c r="AQ168" s="27"/>
      <x:c r="AR168" s="27"/>
      <x:c r="AS168" s="27"/>
      <x:c r="AT168" s="27"/>
      <x:c r="AU168" s="27"/>
      <x:c r="AV168" s="27"/>
      <x:c r="AW168" s="27"/>
      <x:c r="AX168" s="27"/>
      <x:c r="AY168" s="27"/>
      <x:c r="AZ168" s="27"/>
    </x:row>
    <x:row r="169">
      <x:c r="A169" s="27"/>
      <x:c r="B169" s="27"/>
      <x:c r="C169" s="27"/>
      <x:c r="D169" s="27"/>
      <x:c r="E169" s="27"/>
      <x:c r="F169" s="27"/>
      <x:c r="G169" s="27"/>
      <x:c r="H169" s="27"/>
      <x:c r="I169" s="27"/>
      <x:c r="J169" s="27"/>
      <x:c r="K169" s="27"/>
      <x:c r="L169" s="27"/>
      <x:c r="M169" s="27"/>
      <x:c r="N169" s="27"/>
      <x:c r="O169" s="27"/>
      <x:c r="P169" s="27"/>
      <x:c r="Q169" s="27"/>
      <x:c r="R169" s="27"/>
      <x:c r="S169" s="27"/>
      <x:c r="T169" s="27"/>
      <x:c r="U169" s="27"/>
      <x:c r="V169" s="27"/>
      <x:c r="W169" s="27"/>
      <x:c r="X169" s="27"/>
      <x:c r="Y169" s="27"/>
      <x:c r="Z169" s="27"/>
      <x:c r="AA169" s="27"/>
      <x:c r="AB169" s="27"/>
      <x:c r="AC169" s="27"/>
      <x:c r="AD169" s="27"/>
      <x:c r="AE169" s="27"/>
      <x:c r="AF169" s="27"/>
      <x:c r="AG169" s="27"/>
      <x:c r="AH169" s="27"/>
      <x:c r="AI169" s="27"/>
      <x:c r="AJ169" s="27"/>
      <x:c r="AK169" s="27"/>
      <x:c r="AL169" s="27"/>
      <x:c r="AM169" s="27"/>
      <x:c r="AN169" s="27"/>
      <x:c r="AO169" s="27"/>
      <x:c r="AP169" s="27"/>
      <x:c r="AQ169" s="27"/>
      <x:c r="AR169" s="27"/>
      <x:c r="AS169" s="27"/>
      <x:c r="AT169" s="27"/>
      <x:c r="AU169" s="27"/>
      <x:c r="AV169" s="27"/>
      <x:c r="AW169" s="27"/>
      <x:c r="AX169" s="27"/>
      <x:c r="AY169" s="27"/>
      <x:c r="AZ169" s="27"/>
    </x:row>
    <x:row r="170">
      <x:c r="A170" s="27"/>
      <x:c r="B170" s="27"/>
      <x:c r="C170" s="27"/>
      <x:c r="D170" s="27"/>
      <x:c r="E170" s="27"/>
      <x:c r="F170" s="27"/>
      <x:c r="G170" s="27"/>
      <x:c r="H170" s="27"/>
      <x:c r="I170" s="27"/>
      <x:c r="J170" s="27"/>
      <x:c r="K170" s="27"/>
      <x:c r="L170" s="27"/>
      <x:c r="M170" s="27"/>
      <x:c r="N170" s="27"/>
      <x:c r="O170" s="27"/>
      <x:c r="P170" s="27"/>
      <x:c r="Q170" s="27"/>
      <x:c r="R170" s="27"/>
      <x:c r="S170" s="27"/>
      <x:c r="T170" s="27"/>
      <x:c r="U170" s="27"/>
      <x:c r="V170" s="27"/>
      <x:c r="W170" s="27"/>
      <x:c r="X170" s="27"/>
      <x:c r="Y170" s="27"/>
      <x:c r="Z170" s="27"/>
      <x:c r="AA170" s="27"/>
      <x:c r="AB170" s="27"/>
      <x:c r="AC170" s="27"/>
      <x:c r="AD170" s="27"/>
      <x:c r="AE170" s="27"/>
      <x:c r="AF170" s="27"/>
      <x:c r="AG170" s="27"/>
      <x:c r="AH170" s="27"/>
      <x:c r="AI170" s="27"/>
      <x:c r="AJ170" s="27"/>
      <x:c r="AK170" s="27"/>
      <x:c r="AL170" s="27"/>
      <x:c r="AM170" s="27"/>
      <x:c r="AN170" s="27"/>
      <x:c r="AO170" s="27"/>
      <x:c r="AP170" s="27"/>
      <x:c r="AQ170" s="27"/>
      <x:c r="AR170" s="27"/>
      <x:c r="AS170" s="27"/>
      <x:c r="AT170" s="27"/>
      <x:c r="AU170" s="27"/>
      <x:c r="AV170" s="27"/>
      <x:c r="AW170" s="27"/>
      <x:c r="AX170" s="27"/>
      <x:c r="AY170" s="27"/>
      <x:c r="AZ170" s="27"/>
    </x:row>
    <x:row r="171">
      <x:c r="A171" s="27"/>
      <x:c r="B171" s="27"/>
      <x:c r="C171" s="27"/>
      <x:c r="D171" s="27"/>
      <x:c r="E171" s="27"/>
      <x:c r="F171" s="27"/>
      <x:c r="G171" s="27"/>
      <x:c r="H171" s="27"/>
      <x:c r="I171" s="27"/>
      <x:c r="J171" s="27"/>
      <x:c r="K171" s="27"/>
      <x:c r="L171" s="27"/>
      <x:c r="M171" s="27"/>
      <x:c r="N171" s="27"/>
      <x:c r="O171" s="27"/>
      <x:c r="P171" s="27"/>
      <x:c r="Q171" s="27"/>
      <x:c r="R171" s="27"/>
      <x:c r="S171" s="27"/>
      <x:c r="T171" s="27"/>
      <x:c r="U171" s="27"/>
      <x:c r="V171" s="27"/>
      <x:c r="W171" s="27"/>
      <x:c r="X171" s="27"/>
      <x:c r="Y171" s="27"/>
      <x:c r="Z171" s="27"/>
      <x:c r="AA171" s="27"/>
      <x:c r="AB171" s="27"/>
      <x:c r="AC171" s="27"/>
      <x:c r="AD171" s="27"/>
      <x:c r="AE171" s="27"/>
      <x:c r="AF171" s="27"/>
      <x:c r="AG171" s="27"/>
      <x:c r="AH171" s="27"/>
      <x:c r="AI171" s="27"/>
      <x:c r="AJ171" s="27"/>
      <x:c r="AK171" s="27"/>
      <x:c r="AL171" s="27"/>
      <x:c r="AM171" s="27"/>
      <x:c r="AN171" s="27"/>
      <x:c r="AO171" s="27"/>
      <x:c r="AP171" s="27"/>
      <x:c r="AQ171" s="27"/>
      <x:c r="AR171" s="27"/>
      <x:c r="AS171" s="27"/>
      <x:c r="AT171" s="27"/>
      <x:c r="AU171" s="27"/>
      <x:c r="AV171" s="27"/>
      <x:c r="AW171" s="27"/>
      <x:c r="AX171" s="27"/>
      <x:c r="AY171" s="27"/>
      <x:c r="AZ171" s="27"/>
    </x:row>
    <x:row r="172">
      <x:c r="A172" s="27"/>
      <x:c r="B172" s="27"/>
      <x:c r="C172" s="27"/>
      <x:c r="D172" s="27"/>
      <x:c r="E172" s="27"/>
      <x:c r="F172" s="27"/>
      <x:c r="G172" s="27"/>
      <x:c r="H172" s="27"/>
      <x:c r="I172" s="27"/>
      <x:c r="J172" s="27"/>
      <x:c r="K172" s="27"/>
      <x:c r="L172" s="27"/>
      <x:c r="M172" s="27"/>
      <x:c r="N172" s="27"/>
      <x:c r="O172" s="27"/>
      <x:c r="P172" s="27"/>
      <x:c r="Q172" s="27"/>
      <x:c r="R172" s="27"/>
      <x:c r="S172" s="27"/>
      <x:c r="T172" s="27"/>
      <x:c r="U172" s="27"/>
      <x:c r="V172" s="27"/>
      <x:c r="W172" s="27"/>
      <x:c r="X172" s="27"/>
      <x:c r="Y172" s="27"/>
      <x:c r="Z172" s="27"/>
      <x:c r="AA172" s="27"/>
      <x:c r="AB172" s="27"/>
      <x:c r="AC172" s="27"/>
      <x:c r="AD172" s="27"/>
      <x:c r="AE172" s="27"/>
      <x:c r="AF172" s="27"/>
      <x:c r="AG172" s="27"/>
      <x:c r="AH172" s="27"/>
      <x:c r="AI172" s="27"/>
      <x:c r="AJ172" s="27"/>
      <x:c r="AK172" s="27"/>
      <x:c r="AL172" s="27"/>
      <x:c r="AM172" s="27"/>
      <x:c r="AN172" s="27"/>
      <x:c r="AO172" s="27"/>
      <x:c r="AP172" s="27"/>
      <x:c r="AQ172" s="27"/>
      <x:c r="AR172" s="27"/>
      <x:c r="AS172" s="27"/>
      <x:c r="AT172" s="27"/>
      <x:c r="AU172" s="27"/>
      <x:c r="AV172" s="27"/>
      <x:c r="AW172" s="27"/>
      <x:c r="AX172" s="27"/>
      <x:c r="AY172" s="27"/>
      <x:c r="AZ172" s="27"/>
    </x:row>
    <x:row r="173">
      <x:c r="A173" s="27"/>
      <x:c r="B173" s="27"/>
      <x:c r="C173" s="27"/>
      <x:c r="D173" s="27"/>
      <x:c r="E173" s="27"/>
      <x:c r="F173" s="27"/>
      <x:c r="G173" s="27"/>
      <x:c r="H173" s="27"/>
      <x:c r="I173" s="27"/>
      <x:c r="J173" s="27"/>
      <x:c r="K173" s="27"/>
      <x:c r="L173" s="27"/>
      <x:c r="M173" s="27"/>
      <x:c r="N173" s="27"/>
      <x:c r="O173" s="27"/>
      <x:c r="P173" s="27"/>
      <x:c r="Q173" s="27"/>
      <x:c r="R173" s="27"/>
      <x:c r="S173" s="27"/>
      <x:c r="T173" s="27"/>
      <x:c r="U173" s="27"/>
      <x:c r="V173" s="27"/>
      <x:c r="W173" s="27"/>
      <x:c r="X173" s="27"/>
      <x:c r="Y173" s="27"/>
      <x:c r="Z173" s="27"/>
      <x:c r="AA173" s="27"/>
      <x:c r="AB173" s="27"/>
      <x:c r="AC173" s="27"/>
      <x:c r="AD173" s="27"/>
      <x:c r="AE173" s="27"/>
      <x:c r="AF173" s="27"/>
      <x:c r="AG173" s="27"/>
      <x:c r="AH173" s="27"/>
      <x:c r="AI173" s="27"/>
      <x:c r="AJ173" s="27"/>
      <x:c r="AK173" s="27"/>
      <x:c r="AL173" s="27"/>
      <x:c r="AM173" s="27"/>
      <x:c r="AN173" s="27"/>
      <x:c r="AO173" s="27"/>
      <x:c r="AP173" s="27"/>
      <x:c r="AQ173" s="27"/>
      <x:c r="AR173" s="27"/>
      <x:c r="AS173" s="27"/>
      <x:c r="AT173" s="27"/>
      <x:c r="AU173" s="27"/>
      <x:c r="AV173" s="27"/>
      <x:c r="AW173" s="27"/>
      <x:c r="AX173" s="27"/>
      <x:c r="AY173" s="27"/>
      <x:c r="AZ173" s="27"/>
    </x:row>
    <x:row r="174">
      <x:c r="A174" s="27"/>
      <x:c r="B174" s="27"/>
      <x:c r="C174" s="27"/>
      <x:c r="D174" s="27"/>
      <x:c r="E174" s="27"/>
      <x:c r="F174" s="27"/>
      <x:c r="G174" s="27"/>
      <x:c r="H174" s="27"/>
      <x:c r="I174" s="27"/>
      <x:c r="J174" s="27"/>
      <x:c r="K174" s="27"/>
      <x:c r="L174" s="27"/>
      <x:c r="M174" s="27"/>
      <x:c r="N174" s="27"/>
      <x:c r="O174" s="27"/>
      <x:c r="P174" s="27"/>
      <x:c r="Q174" s="27"/>
      <x:c r="R174" s="27"/>
      <x:c r="S174" s="27"/>
      <x:c r="T174" s="27"/>
      <x:c r="U174" s="27"/>
      <x:c r="V174" s="27"/>
      <x:c r="W174" s="27"/>
      <x:c r="X174" s="27"/>
      <x:c r="Y174" s="27"/>
      <x:c r="Z174" s="27"/>
      <x:c r="AA174" s="27"/>
      <x:c r="AB174" s="27"/>
      <x:c r="AC174" s="27"/>
      <x:c r="AD174" s="27"/>
      <x:c r="AE174" s="27"/>
      <x:c r="AF174" s="27"/>
      <x:c r="AG174" s="27"/>
      <x:c r="AH174" s="27"/>
      <x:c r="AI174" s="27"/>
      <x:c r="AJ174" s="27"/>
      <x:c r="AK174" s="27"/>
      <x:c r="AL174" s="27"/>
      <x:c r="AM174" s="27"/>
      <x:c r="AN174" s="27"/>
      <x:c r="AO174" s="27"/>
      <x:c r="AP174" s="27"/>
      <x:c r="AQ174" s="27"/>
      <x:c r="AR174" s="27"/>
      <x:c r="AS174" s="27"/>
      <x:c r="AT174" s="27"/>
      <x:c r="AU174" s="27"/>
      <x:c r="AV174" s="27"/>
      <x:c r="AW174" s="27"/>
      <x:c r="AX174" s="27"/>
      <x:c r="AY174" s="27"/>
      <x:c r="AZ174" s="27"/>
    </x:row>
    <x:row r="175">
      <x:c r="A175" s="27"/>
      <x:c r="B175" s="27"/>
      <x:c r="C175" s="27"/>
      <x:c r="D175" s="27"/>
      <x:c r="E175" s="27"/>
      <x:c r="F175" s="27"/>
      <x:c r="G175" s="27"/>
      <x:c r="H175" s="27"/>
      <x:c r="I175" s="27"/>
      <x:c r="J175" s="27"/>
      <x:c r="K175" s="27"/>
      <x:c r="L175" s="27"/>
      <x:c r="M175" s="27"/>
      <x:c r="N175" s="27"/>
      <x:c r="O175" s="27"/>
      <x:c r="P175" s="27"/>
      <x:c r="Q175" s="27"/>
      <x:c r="R175" s="27"/>
      <x:c r="S175" s="27"/>
      <x:c r="T175" s="27"/>
      <x:c r="U175" s="27"/>
      <x:c r="V175" s="27"/>
      <x:c r="W175" s="27"/>
      <x:c r="X175" s="27"/>
      <x:c r="Y175" s="27"/>
      <x:c r="Z175" s="27"/>
      <x:c r="AA175" s="27"/>
      <x:c r="AB175" s="27"/>
      <x:c r="AC175" s="27"/>
      <x:c r="AD175" s="27"/>
      <x:c r="AE175" s="27"/>
      <x:c r="AF175" s="27"/>
      <x:c r="AG175" s="27"/>
      <x:c r="AH175" s="27"/>
      <x:c r="AI175" s="27"/>
      <x:c r="AJ175" s="27"/>
      <x:c r="AK175" s="27"/>
      <x:c r="AL175" s="27"/>
      <x:c r="AM175" s="27"/>
      <x:c r="AN175" s="27"/>
      <x:c r="AO175" s="27"/>
      <x:c r="AP175" s="27"/>
      <x:c r="AQ175" s="27"/>
      <x:c r="AR175" s="27"/>
      <x:c r="AS175" s="27"/>
      <x:c r="AT175" s="27"/>
      <x:c r="AU175" s="27"/>
      <x:c r="AV175" s="27"/>
      <x:c r="AW175" s="27"/>
      <x:c r="AX175" s="27"/>
      <x:c r="AY175" s="27"/>
      <x:c r="AZ175" s="27"/>
    </x:row>
    <x:row r="176">
      <x:c r="A176" s="27"/>
      <x:c r="B176" s="27"/>
      <x:c r="C176" s="27"/>
      <x:c r="D176" s="27"/>
      <x:c r="E176" s="27"/>
      <x:c r="F176" s="27"/>
      <x:c r="G176" s="27"/>
      <x:c r="H176" s="27"/>
      <x:c r="I176" s="27"/>
      <x:c r="J176" s="27"/>
      <x:c r="K176" s="27"/>
      <x:c r="L176" s="27"/>
      <x:c r="M176" s="27"/>
      <x:c r="N176" s="27"/>
      <x:c r="O176" s="27"/>
      <x:c r="P176" s="27"/>
      <x:c r="Q176" s="27"/>
      <x:c r="R176" s="27"/>
      <x:c r="S176" s="27"/>
      <x:c r="T176" s="27"/>
      <x:c r="U176" s="27"/>
      <x:c r="V176" s="27"/>
      <x:c r="W176" s="27"/>
      <x:c r="X176" s="27"/>
      <x:c r="Y176" s="27"/>
      <x:c r="Z176" s="27"/>
      <x:c r="AA176" s="27"/>
      <x:c r="AB176" s="27"/>
      <x:c r="AC176" s="27"/>
      <x:c r="AD176" s="27"/>
      <x:c r="AE176" s="27"/>
      <x:c r="AF176" s="27"/>
      <x:c r="AG176" s="27"/>
      <x:c r="AH176" s="27"/>
      <x:c r="AI176" s="27"/>
      <x:c r="AJ176" s="27"/>
      <x:c r="AK176" s="27"/>
      <x:c r="AL176" s="27"/>
      <x:c r="AM176" s="27"/>
      <x:c r="AN176" s="27"/>
      <x:c r="AO176" s="27"/>
      <x:c r="AP176" s="27"/>
      <x:c r="AQ176" s="27"/>
      <x:c r="AR176" s="27"/>
      <x:c r="AS176" s="27"/>
      <x:c r="AT176" s="27"/>
      <x:c r="AU176" s="27"/>
      <x:c r="AV176" s="27"/>
      <x:c r="AW176" s="27"/>
      <x:c r="AX176" s="27"/>
      <x:c r="AY176" s="27"/>
      <x:c r="AZ176" s="27"/>
    </x:row>
    <x:row r="177">
      <x:c r="A177" s="27"/>
      <x:c r="B177" s="27"/>
      <x:c r="C177" s="27"/>
      <x:c r="D177" s="27"/>
      <x:c r="E177" s="27"/>
      <x:c r="F177" s="27"/>
      <x:c r="G177" s="27"/>
      <x:c r="H177" s="27"/>
      <x:c r="I177" s="27"/>
      <x:c r="J177" s="27"/>
      <x:c r="K177" s="27"/>
      <x:c r="L177" s="27"/>
      <x:c r="M177" s="27"/>
      <x:c r="N177" s="27"/>
      <x:c r="O177" s="27"/>
      <x:c r="P177" s="27"/>
      <x:c r="Q177" s="27"/>
      <x:c r="R177" s="27"/>
      <x:c r="S177" s="27"/>
      <x:c r="T177" s="27"/>
      <x:c r="U177" s="27"/>
      <x:c r="V177" s="27"/>
      <x:c r="W177" s="27"/>
      <x:c r="X177" s="27"/>
      <x:c r="Y177" s="27"/>
      <x:c r="Z177" s="27"/>
      <x:c r="AA177" s="27"/>
      <x:c r="AB177" s="27"/>
      <x:c r="AC177" s="27"/>
      <x:c r="AD177" s="27"/>
      <x:c r="AE177" s="27"/>
      <x:c r="AF177" s="27"/>
      <x:c r="AG177" s="27"/>
      <x:c r="AH177" s="27"/>
      <x:c r="AI177" s="27"/>
      <x:c r="AJ177" s="27"/>
      <x:c r="AK177" s="27"/>
      <x:c r="AL177" s="27"/>
      <x:c r="AM177" s="27"/>
      <x:c r="AN177" s="27"/>
      <x:c r="AO177" s="27"/>
      <x:c r="AP177" s="27"/>
      <x:c r="AQ177" s="27"/>
      <x:c r="AR177" s="27"/>
      <x:c r="AS177" s="27"/>
      <x:c r="AT177" s="27"/>
      <x:c r="AU177" s="27"/>
      <x:c r="AV177" s="27"/>
      <x:c r="AW177" s="27"/>
      <x:c r="AX177" s="27"/>
      <x:c r="AY177" s="27"/>
      <x:c r="AZ177" s="27"/>
    </x:row>
    <x:row r="178">
      <x:c r="A178" s="27"/>
      <x:c r="B178" s="27"/>
      <x:c r="C178" s="27"/>
      <x:c r="D178" s="27"/>
      <x:c r="E178" s="27"/>
      <x:c r="F178" s="27"/>
      <x:c r="G178" s="27"/>
      <x:c r="H178" s="27"/>
      <x:c r="I178" s="27"/>
      <x:c r="J178" s="27"/>
      <x:c r="K178" s="27"/>
      <x:c r="L178" s="27"/>
      <x:c r="M178" s="27"/>
      <x:c r="N178" s="27"/>
      <x:c r="O178" s="27"/>
      <x:c r="P178" s="27"/>
      <x:c r="Q178" s="27"/>
      <x:c r="R178" s="27"/>
      <x:c r="S178" s="27"/>
      <x:c r="T178" s="27"/>
      <x:c r="U178" s="27"/>
      <x:c r="V178" s="27"/>
      <x:c r="W178" s="27"/>
      <x:c r="X178" s="27"/>
      <x:c r="Y178" s="27"/>
      <x:c r="Z178" s="27"/>
      <x:c r="AA178" s="27"/>
      <x:c r="AB178" s="27"/>
      <x:c r="AC178" s="27"/>
      <x:c r="AD178" s="27"/>
      <x:c r="AE178" s="27"/>
      <x:c r="AF178" s="27"/>
      <x:c r="AG178" s="27"/>
      <x:c r="AH178" s="27"/>
      <x:c r="AI178" s="27"/>
      <x:c r="AJ178" s="27"/>
      <x:c r="AK178" s="27"/>
      <x:c r="AL178" s="27"/>
      <x:c r="AM178" s="27"/>
      <x:c r="AN178" s="27"/>
      <x:c r="AO178" s="27"/>
      <x:c r="AP178" s="27"/>
      <x:c r="AQ178" s="27"/>
      <x:c r="AR178" s="27"/>
      <x:c r="AS178" s="27"/>
      <x:c r="AT178" s="27"/>
      <x:c r="AU178" s="27"/>
      <x:c r="AV178" s="27"/>
      <x:c r="AW178" s="27"/>
      <x:c r="AX178" s="27"/>
      <x:c r="AY178" s="27"/>
      <x:c r="AZ178" s="27"/>
    </x:row>
    <x:row r="179">
      <x:c r="A179" s="27"/>
      <x:c r="B179" s="27"/>
      <x:c r="C179" s="27"/>
      <x:c r="D179" s="27"/>
      <x:c r="E179" s="27"/>
      <x:c r="F179" s="27"/>
      <x:c r="G179" s="27"/>
      <x:c r="H179" s="27"/>
      <x:c r="I179" s="27"/>
      <x:c r="J179" s="27"/>
      <x:c r="K179" s="27"/>
      <x:c r="L179" s="27"/>
      <x:c r="M179" s="27"/>
      <x:c r="N179" s="27"/>
      <x:c r="O179" s="27"/>
      <x:c r="P179" s="27"/>
      <x:c r="Q179" s="27"/>
      <x:c r="R179" s="27"/>
      <x:c r="S179" s="27"/>
      <x:c r="T179" s="27"/>
      <x:c r="U179" s="27"/>
      <x:c r="V179" s="27"/>
      <x:c r="W179" s="27"/>
      <x:c r="X179" s="27"/>
      <x:c r="Y179" s="27"/>
      <x:c r="Z179" s="27"/>
      <x:c r="AA179" s="27"/>
      <x:c r="AB179" s="27"/>
      <x:c r="AC179" s="27"/>
      <x:c r="AD179" s="27"/>
      <x:c r="AE179" s="27"/>
      <x:c r="AF179" s="27"/>
      <x:c r="AG179" s="27"/>
      <x:c r="AH179" s="27"/>
      <x:c r="AI179" s="27"/>
      <x:c r="AJ179" s="27"/>
      <x:c r="AK179" s="27"/>
      <x:c r="AL179" s="27"/>
      <x:c r="AM179" s="27"/>
      <x:c r="AN179" s="27"/>
      <x:c r="AO179" s="27"/>
      <x:c r="AP179" s="27"/>
      <x:c r="AQ179" s="27"/>
      <x:c r="AR179" s="27"/>
      <x:c r="AS179" s="27"/>
      <x:c r="AT179" s="27"/>
      <x:c r="AU179" s="27"/>
      <x:c r="AV179" s="27"/>
      <x:c r="AW179" s="27"/>
      <x:c r="AX179" s="27"/>
      <x:c r="AY179" s="27"/>
      <x:c r="AZ179" s="27"/>
    </x:row>
    <x:row r="180">
      <x:c r="A180" s="27"/>
      <x:c r="B180" s="27"/>
      <x:c r="C180" s="27"/>
      <x:c r="D180" s="27"/>
      <x:c r="E180" s="27"/>
      <x:c r="F180" s="27"/>
      <x:c r="G180" s="27"/>
      <x:c r="H180" s="27"/>
      <x:c r="I180" s="27"/>
      <x:c r="J180" s="27"/>
      <x:c r="K180" s="27"/>
      <x:c r="L180" s="27"/>
      <x:c r="M180" s="27"/>
      <x:c r="N180" s="27"/>
      <x:c r="O180" s="27"/>
      <x:c r="P180" s="27"/>
      <x:c r="Q180" s="27"/>
      <x:c r="R180" s="27"/>
      <x:c r="S180" s="27"/>
      <x:c r="T180" s="27"/>
      <x:c r="U180" s="27"/>
      <x:c r="V180" s="27"/>
      <x:c r="W180" s="27"/>
      <x:c r="X180" s="27"/>
      <x:c r="Y180" s="27"/>
      <x:c r="Z180" s="27"/>
      <x:c r="AA180" s="27"/>
      <x:c r="AB180" s="27"/>
      <x:c r="AC180" s="27"/>
      <x:c r="AD180" s="27"/>
      <x:c r="AE180" s="27"/>
      <x:c r="AF180" s="27"/>
      <x:c r="AG180" s="27"/>
      <x:c r="AH180" s="27"/>
      <x:c r="AI180" s="27"/>
      <x:c r="AJ180" s="27"/>
      <x:c r="AK180" s="27"/>
      <x:c r="AL180" s="27"/>
      <x:c r="AM180" s="27"/>
      <x:c r="AN180" s="27"/>
      <x:c r="AO180" s="27"/>
      <x:c r="AP180" s="27"/>
      <x:c r="AQ180" s="27"/>
      <x:c r="AR180" s="27"/>
      <x:c r="AS180" s="27"/>
      <x:c r="AT180" s="27"/>
      <x:c r="AU180" s="27"/>
      <x:c r="AV180" s="27"/>
      <x:c r="AW180" s="27"/>
      <x:c r="AX180" s="27"/>
      <x:c r="AY180" s="27"/>
      <x:c r="AZ180" s="27"/>
    </x:row>
    <x:row r="181">
      <x:c r="A181" s="27"/>
      <x:c r="B181" s="27"/>
      <x:c r="C181" s="27"/>
      <x:c r="D181" s="27"/>
      <x:c r="E181" s="27"/>
      <x:c r="F181" s="27"/>
      <x:c r="G181" s="27"/>
      <x:c r="H181" s="27"/>
      <x:c r="I181" s="27"/>
      <x:c r="J181" s="27"/>
      <x:c r="K181" s="27"/>
      <x:c r="L181" s="27"/>
      <x:c r="M181" s="27"/>
      <x:c r="N181" s="27"/>
      <x:c r="O181" s="27"/>
      <x:c r="P181" s="27"/>
      <x:c r="Q181" s="27"/>
      <x:c r="R181" s="27"/>
      <x:c r="S181" s="27"/>
      <x:c r="T181" s="27"/>
      <x:c r="U181" s="27"/>
      <x:c r="V181" s="27"/>
      <x:c r="W181" s="27"/>
      <x:c r="X181" s="27"/>
      <x:c r="Y181" s="27"/>
      <x:c r="Z181" s="27"/>
      <x:c r="AA181" s="27"/>
      <x:c r="AB181" s="27"/>
      <x:c r="AC181" s="27"/>
      <x:c r="AD181" s="27"/>
      <x:c r="AE181" s="27"/>
      <x:c r="AF181" s="27"/>
      <x:c r="AG181" s="27"/>
      <x:c r="AH181" s="27"/>
      <x:c r="AI181" s="27"/>
      <x:c r="AJ181" s="27"/>
      <x:c r="AK181" s="27"/>
      <x:c r="AL181" s="27"/>
      <x:c r="AM181" s="27"/>
      <x:c r="AN181" s="27"/>
      <x:c r="AO181" s="27"/>
      <x:c r="AP181" s="27"/>
      <x:c r="AQ181" s="27"/>
      <x:c r="AR181" s="27"/>
      <x:c r="AS181" s="27"/>
      <x:c r="AT181" s="27"/>
      <x:c r="AU181" s="27"/>
      <x:c r="AV181" s="27"/>
      <x:c r="AW181" s="27"/>
      <x:c r="AX181" s="27"/>
      <x:c r="AY181" s="27"/>
      <x:c r="AZ181" s="27"/>
    </x:row>
    <x:row r="182">
      <x:c r="A182" s="27"/>
      <x:c r="B182" s="27"/>
      <x:c r="C182" s="27"/>
      <x:c r="D182" s="27"/>
      <x:c r="E182" s="27"/>
      <x:c r="F182" s="27"/>
      <x:c r="G182" s="27"/>
      <x:c r="H182" s="27"/>
      <x:c r="I182" s="27"/>
      <x:c r="J182" s="27"/>
      <x:c r="K182" s="27"/>
      <x:c r="L182" s="27"/>
      <x:c r="M182" s="27"/>
      <x:c r="N182" s="27"/>
      <x:c r="O182" s="27"/>
      <x:c r="P182" s="27"/>
      <x:c r="Q182" s="27"/>
      <x:c r="R182" s="27"/>
      <x:c r="S182" s="27"/>
      <x:c r="T182" s="27"/>
      <x:c r="U182" s="27"/>
      <x:c r="V182" s="27"/>
      <x:c r="W182" s="27"/>
      <x:c r="X182" s="27"/>
      <x:c r="Y182" s="27"/>
      <x:c r="Z182" s="27"/>
      <x:c r="AA182" s="27"/>
      <x:c r="AB182" s="27"/>
      <x:c r="AC182" s="27"/>
      <x:c r="AD182" s="27"/>
      <x:c r="AE182" s="27"/>
      <x:c r="AF182" s="27"/>
      <x:c r="AG182" s="27"/>
      <x:c r="AH182" s="27"/>
      <x:c r="AI182" s="27"/>
      <x:c r="AJ182" s="27"/>
      <x:c r="AK182" s="27"/>
      <x:c r="AL182" s="27"/>
      <x:c r="AM182" s="27"/>
      <x:c r="AN182" s="27"/>
      <x:c r="AO182" s="27"/>
      <x:c r="AP182" s="27"/>
      <x:c r="AQ182" s="27"/>
      <x:c r="AR182" s="27"/>
      <x:c r="AS182" s="27"/>
      <x:c r="AT182" s="27"/>
      <x:c r="AU182" s="27"/>
      <x:c r="AV182" s="27"/>
      <x:c r="AW182" s="27"/>
      <x:c r="AX182" s="27"/>
      <x:c r="AY182" s="27"/>
      <x:c r="AZ182" s="27"/>
    </x:row>
    <x:row r="183">
      <x:c r="A183" s="27"/>
      <x:c r="B183" s="27"/>
      <x:c r="C183" s="27"/>
      <x:c r="D183" s="27"/>
      <x:c r="E183" s="27"/>
      <x:c r="F183" s="27"/>
      <x:c r="G183" s="27"/>
      <x:c r="H183" s="27"/>
      <x:c r="I183" s="27"/>
      <x:c r="J183" s="27"/>
      <x:c r="K183" s="27"/>
      <x:c r="L183" s="27"/>
      <x:c r="M183" s="27"/>
      <x:c r="N183" s="27"/>
      <x:c r="O183" s="27"/>
      <x:c r="P183" s="27"/>
      <x:c r="Q183" s="27"/>
      <x:c r="R183" s="27"/>
      <x:c r="S183" s="27"/>
      <x:c r="T183" s="27"/>
      <x:c r="U183" s="27"/>
      <x:c r="V183" s="27"/>
      <x:c r="W183" s="27"/>
      <x:c r="X183" s="27"/>
      <x:c r="Y183" s="27"/>
      <x:c r="Z183" s="27"/>
      <x:c r="AA183" s="27"/>
      <x:c r="AB183" s="27"/>
      <x:c r="AC183" s="27"/>
      <x:c r="AD183" s="27"/>
      <x:c r="AE183" s="27"/>
      <x:c r="AF183" s="27"/>
      <x:c r="AG183" s="27"/>
      <x:c r="AH183" s="27"/>
      <x:c r="AI183" s="27"/>
      <x:c r="AJ183" s="27"/>
      <x:c r="AK183" s="27"/>
      <x:c r="AL183" s="27"/>
      <x:c r="AM183" s="27"/>
      <x:c r="AN183" s="27"/>
      <x:c r="AO183" s="27"/>
      <x:c r="AP183" s="27"/>
      <x:c r="AQ183" s="27"/>
      <x:c r="AR183" s="27"/>
      <x:c r="AS183" s="27"/>
      <x:c r="AT183" s="27"/>
      <x:c r="AU183" s="27"/>
      <x:c r="AV183" s="27"/>
      <x:c r="AW183" s="27"/>
      <x:c r="AX183" s="27"/>
      <x:c r="AY183" s="27"/>
      <x:c r="AZ183" s="27"/>
    </x:row>
    <x:row r="184">
      <x:c r="A184" s="27"/>
      <x:c r="B184" s="27"/>
      <x:c r="C184" s="27"/>
      <x:c r="D184" s="27"/>
      <x:c r="E184" s="27"/>
      <x:c r="F184" s="27"/>
      <x:c r="G184" s="27"/>
      <x:c r="H184" s="27"/>
      <x:c r="I184" s="27"/>
      <x:c r="J184" s="27"/>
      <x:c r="K184" s="27"/>
      <x:c r="L184" s="27"/>
      <x:c r="M184" s="27"/>
      <x:c r="N184" s="27"/>
      <x:c r="O184" s="27"/>
      <x:c r="P184" s="27"/>
      <x:c r="Q184" s="27"/>
      <x:c r="R184" s="27"/>
      <x:c r="S184" s="27"/>
      <x:c r="T184" s="27"/>
      <x:c r="U184" s="27"/>
      <x:c r="V184" s="27"/>
      <x:c r="W184" s="27"/>
      <x:c r="X184" s="27"/>
      <x:c r="Y184" s="27"/>
      <x:c r="Z184" s="27"/>
      <x:c r="AA184" s="27"/>
      <x:c r="AB184" s="27"/>
      <x:c r="AC184" s="27"/>
      <x:c r="AD184" s="27"/>
      <x:c r="AE184" s="27"/>
      <x:c r="AF184" s="27"/>
      <x:c r="AG184" s="27"/>
      <x:c r="AH184" s="27"/>
      <x:c r="AI184" s="27"/>
      <x:c r="AJ184" s="27"/>
      <x:c r="AK184" s="27"/>
      <x:c r="AL184" s="27"/>
      <x:c r="AM184" s="27"/>
      <x:c r="AN184" s="27"/>
      <x:c r="AO184" s="27"/>
      <x:c r="AP184" s="27"/>
      <x:c r="AQ184" s="27"/>
      <x:c r="AR184" s="27"/>
      <x:c r="AS184" s="27"/>
      <x:c r="AT184" s="27"/>
      <x:c r="AU184" s="27"/>
      <x:c r="AV184" s="27"/>
      <x:c r="AW184" s="27"/>
      <x:c r="AX184" s="27"/>
      <x:c r="AY184" s="27"/>
      <x:c r="AZ184" s="27"/>
    </x:row>
    <x:row r="185">
      <x:c r="A185" s="27"/>
      <x:c r="B185" s="27"/>
      <x:c r="C185" s="27"/>
      <x:c r="D185" s="27"/>
      <x:c r="E185" s="27"/>
      <x:c r="F185" s="27"/>
      <x:c r="G185" s="27"/>
      <x:c r="H185" s="27"/>
      <x:c r="I185" s="27"/>
      <x:c r="J185" s="27"/>
      <x:c r="K185" s="27"/>
      <x:c r="L185" s="27"/>
      <x:c r="M185" s="27"/>
      <x:c r="N185" s="27"/>
      <x:c r="O185" s="27"/>
      <x:c r="P185" s="27"/>
      <x:c r="Q185" s="27"/>
      <x:c r="R185" s="27"/>
      <x:c r="S185" s="27"/>
      <x:c r="T185" s="27"/>
      <x:c r="U185" s="27"/>
      <x:c r="V185" s="27"/>
      <x:c r="W185" s="27"/>
      <x:c r="X185" s="27"/>
      <x:c r="Y185" s="27"/>
      <x:c r="Z185" s="27"/>
      <x:c r="AA185" s="27"/>
      <x:c r="AB185" s="27"/>
      <x:c r="AC185" s="27"/>
      <x:c r="AD185" s="27"/>
      <x:c r="AE185" s="27"/>
      <x:c r="AF185" s="27"/>
      <x:c r="AG185" s="27"/>
      <x:c r="AH185" s="27"/>
      <x:c r="AI185" s="27"/>
      <x:c r="AJ185" s="27"/>
      <x:c r="AK185" s="27"/>
      <x:c r="AL185" s="27"/>
      <x:c r="AM185" s="27"/>
      <x:c r="AN185" s="27"/>
      <x:c r="AO185" s="27"/>
      <x:c r="AP185" s="27"/>
      <x:c r="AQ185" s="27"/>
      <x:c r="AR185" s="27"/>
      <x:c r="AS185" s="27"/>
      <x:c r="AT185" s="27"/>
      <x:c r="AU185" s="27"/>
      <x:c r="AV185" s="27"/>
      <x:c r="AW185" s="27"/>
      <x:c r="AX185" s="27"/>
      <x:c r="AY185" s="27"/>
      <x:c r="AZ185" s="27"/>
    </x:row>
    <x:row r="186">
      <x:c r="A186" s="27"/>
      <x:c r="B186" s="27"/>
      <x:c r="C186" s="27"/>
      <x:c r="D186" s="27"/>
      <x:c r="E186" s="27"/>
      <x:c r="F186" s="27"/>
      <x:c r="G186" s="27"/>
      <x:c r="H186" s="27"/>
      <x:c r="I186" s="27"/>
      <x:c r="J186" s="27"/>
      <x:c r="K186" s="27"/>
      <x:c r="L186" s="27"/>
      <x:c r="M186" s="27"/>
      <x:c r="N186" s="27"/>
      <x:c r="O186" s="27"/>
      <x:c r="P186" s="27"/>
      <x:c r="Q186" s="27"/>
      <x:c r="R186" s="27"/>
      <x:c r="S186" s="27"/>
      <x:c r="T186" s="27"/>
      <x:c r="U186" s="27"/>
      <x:c r="V186" s="27"/>
      <x:c r="W186" s="27"/>
      <x:c r="X186" s="27"/>
      <x:c r="Y186" s="27"/>
      <x:c r="Z186" s="27"/>
      <x:c r="AA186" s="27"/>
      <x:c r="AB186" s="27"/>
      <x:c r="AC186" s="27"/>
      <x:c r="AD186" s="27"/>
      <x:c r="AE186" s="27"/>
      <x:c r="AF186" s="27"/>
      <x:c r="AG186" s="27"/>
      <x:c r="AH186" s="27"/>
      <x:c r="AI186" s="27"/>
      <x:c r="AJ186" s="27"/>
      <x:c r="AK186" s="27"/>
      <x:c r="AL186" s="27"/>
      <x:c r="AM186" s="27"/>
      <x:c r="AN186" s="27"/>
      <x:c r="AO186" s="27"/>
      <x:c r="AP186" s="27"/>
      <x:c r="AQ186" s="27"/>
      <x:c r="AR186" s="27"/>
      <x:c r="AS186" s="27"/>
      <x:c r="AT186" s="27"/>
      <x:c r="AU186" s="27"/>
      <x:c r="AV186" s="27"/>
      <x:c r="AW186" s="27"/>
      <x:c r="AX186" s="27"/>
      <x:c r="AY186" s="27"/>
      <x:c r="AZ186" s="27"/>
    </x:row>
    <x:row r="187">
      <x:c r="A187" s="27"/>
      <x:c r="B187" s="27"/>
      <x:c r="C187" s="27"/>
      <x:c r="D187" s="27"/>
      <x:c r="E187" s="27"/>
      <x:c r="F187" s="27"/>
      <x:c r="G187" s="27"/>
      <x:c r="H187" s="27"/>
      <x:c r="I187" s="27"/>
      <x:c r="J187" s="27"/>
      <x:c r="K187" s="27"/>
      <x:c r="L187" s="27"/>
      <x:c r="M187" s="27"/>
      <x:c r="N187" s="27"/>
      <x:c r="O187" s="27"/>
      <x:c r="P187" s="27"/>
      <x:c r="Q187" s="27"/>
      <x:c r="R187" s="27"/>
      <x:c r="S187" s="27"/>
      <x:c r="T187" s="27"/>
      <x:c r="U187" s="27"/>
      <x:c r="V187" s="27"/>
      <x:c r="W187" s="27"/>
      <x:c r="X187" s="27"/>
      <x:c r="Y187" s="27"/>
      <x:c r="Z187" s="27"/>
      <x:c r="AA187" s="27"/>
      <x:c r="AB187" s="27"/>
      <x:c r="AC187" s="27"/>
      <x:c r="AD187" s="27"/>
      <x:c r="AE187" s="27"/>
      <x:c r="AF187" s="27"/>
      <x:c r="AG187" s="27"/>
      <x:c r="AH187" s="27"/>
      <x:c r="AI187" s="27"/>
      <x:c r="AJ187" s="27"/>
      <x:c r="AK187" s="27"/>
      <x:c r="AL187" s="27"/>
      <x:c r="AM187" s="27"/>
      <x:c r="AN187" s="27"/>
      <x:c r="AO187" s="27"/>
      <x:c r="AP187" s="27"/>
      <x:c r="AQ187" s="27"/>
      <x:c r="AR187" s="27"/>
      <x:c r="AS187" s="27"/>
      <x:c r="AT187" s="27"/>
      <x:c r="AU187" s="27"/>
      <x:c r="AV187" s="27"/>
      <x:c r="AW187" s="27"/>
      <x:c r="AX187" s="27"/>
      <x:c r="AY187" s="27"/>
      <x:c r="AZ187" s="27"/>
    </x:row>
    <x:row r="188">
      <x:c r="A188" s="27"/>
      <x:c r="B188" s="27"/>
      <x:c r="C188" s="27"/>
      <x:c r="D188" s="27"/>
      <x:c r="E188" s="27"/>
      <x:c r="F188" s="27"/>
      <x:c r="G188" s="27"/>
      <x:c r="H188" s="27"/>
      <x:c r="I188" s="27"/>
      <x:c r="J188" s="27"/>
      <x:c r="K188" s="27"/>
      <x:c r="L188" s="27"/>
      <x:c r="M188" s="27"/>
      <x:c r="N188" s="27"/>
      <x:c r="O188" s="27"/>
      <x:c r="P188" s="27"/>
      <x:c r="Q188" s="27"/>
      <x:c r="R188" s="27"/>
      <x:c r="S188" s="27"/>
      <x:c r="T188" s="27"/>
      <x:c r="U188" s="27"/>
      <x:c r="V188" s="27"/>
      <x:c r="W188" s="27"/>
      <x:c r="X188" s="27"/>
      <x:c r="Y188" s="27"/>
      <x:c r="Z188" s="27"/>
      <x:c r="AA188" s="27"/>
      <x:c r="AB188" s="27"/>
      <x:c r="AC188" s="27"/>
      <x:c r="AD188" s="27"/>
      <x:c r="AE188" s="27"/>
      <x:c r="AF188" s="27"/>
      <x:c r="AG188" s="27"/>
      <x:c r="AH188" s="27"/>
      <x:c r="AI188" s="27"/>
      <x:c r="AJ188" s="27"/>
      <x:c r="AK188" s="27"/>
      <x:c r="AL188" s="27"/>
      <x:c r="AM188" s="27"/>
      <x:c r="AN188" s="27"/>
      <x:c r="AO188" s="27"/>
      <x:c r="AP188" s="27"/>
      <x:c r="AQ188" s="27"/>
      <x:c r="AR188" s="27"/>
      <x:c r="AS188" s="27"/>
      <x:c r="AT188" s="27"/>
      <x:c r="AU188" s="27"/>
      <x:c r="AV188" s="27"/>
      <x:c r="AW188" s="27"/>
      <x:c r="AX188" s="27"/>
      <x:c r="AY188" s="27"/>
      <x:c r="AZ188" s="27"/>
    </x:row>
    <x:row r="189">
      <x:c r="A189" s="27"/>
      <x:c r="B189" s="27"/>
      <x:c r="C189" s="27"/>
      <x:c r="D189" s="27"/>
      <x:c r="E189" s="27"/>
      <x:c r="F189" s="27"/>
      <x:c r="G189" s="27"/>
      <x:c r="H189" s="27"/>
      <x:c r="I189" s="27"/>
      <x:c r="J189" s="27"/>
      <x:c r="K189" s="27"/>
      <x:c r="L189" s="27"/>
      <x:c r="M189" s="27"/>
      <x:c r="N189" s="27"/>
      <x:c r="O189" s="27"/>
      <x:c r="P189" s="27"/>
      <x:c r="Q189" s="27"/>
      <x:c r="R189" s="27"/>
      <x:c r="S189" s="27"/>
      <x:c r="T189" s="27"/>
      <x:c r="U189" s="27"/>
      <x:c r="V189" s="27"/>
      <x:c r="W189" s="27"/>
      <x:c r="X189" s="27"/>
      <x:c r="Y189" s="27"/>
      <x:c r="Z189" s="27"/>
      <x:c r="AA189" s="27"/>
      <x:c r="AB189" s="27"/>
      <x:c r="AC189" s="27"/>
      <x:c r="AD189" s="27"/>
      <x:c r="AE189" s="27"/>
      <x:c r="AF189" s="27"/>
      <x:c r="AG189" s="27"/>
      <x:c r="AH189" s="27"/>
      <x:c r="AI189" s="27"/>
      <x:c r="AJ189" s="27"/>
      <x:c r="AK189" s="27"/>
      <x:c r="AL189" s="27"/>
      <x:c r="AM189" s="27"/>
      <x:c r="AN189" s="27"/>
      <x:c r="AO189" s="27"/>
      <x:c r="AP189" s="27"/>
      <x:c r="AQ189" s="27"/>
      <x:c r="AR189" s="27"/>
      <x:c r="AS189" s="27"/>
      <x:c r="AT189" s="27"/>
      <x:c r="AU189" s="27"/>
      <x:c r="AV189" s="27"/>
      <x:c r="AW189" s="27"/>
      <x:c r="AX189" s="27"/>
      <x:c r="AY189" s="27"/>
      <x:c r="AZ189" s="27"/>
    </x:row>
    <x:row r="190">
      <x:c r="A190" s="27"/>
      <x:c r="B190" s="27"/>
      <x:c r="C190" s="27"/>
      <x:c r="D190" s="27"/>
      <x:c r="E190" s="27"/>
      <x:c r="F190" s="27"/>
      <x:c r="G190" s="27"/>
      <x:c r="H190" s="27"/>
      <x:c r="I190" s="27"/>
      <x:c r="J190" s="27"/>
      <x:c r="K190" s="27"/>
      <x:c r="L190" s="27"/>
      <x:c r="M190" s="27"/>
      <x:c r="N190" s="27"/>
      <x:c r="O190" s="27"/>
      <x:c r="P190" s="27"/>
      <x:c r="Q190" s="27"/>
      <x:c r="R190" s="27"/>
      <x:c r="S190" s="27"/>
      <x:c r="T190" s="27"/>
      <x:c r="U190" s="27"/>
      <x:c r="V190" s="27"/>
      <x:c r="W190" s="27"/>
      <x:c r="X190" s="27"/>
      <x:c r="Y190" s="27"/>
      <x:c r="Z190" s="27"/>
      <x:c r="AA190" s="27"/>
      <x:c r="AB190" s="27"/>
      <x:c r="AC190" s="27"/>
      <x:c r="AD190" s="27"/>
      <x:c r="AE190" s="27"/>
      <x:c r="AF190" s="27"/>
      <x:c r="AG190" s="27"/>
      <x:c r="AH190" s="27"/>
      <x:c r="AI190" s="27"/>
      <x:c r="AJ190" s="27"/>
      <x:c r="AK190" s="27"/>
      <x:c r="AL190" s="27"/>
      <x:c r="AM190" s="27"/>
      <x:c r="AN190" s="27"/>
      <x:c r="AO190" s="27"/>
      <x:c r="AP190" s="27"/>
      <x:c r="AQ190" s="27"/>
      <x:c r="AR190" s="27"/>
      <x:c r="AS190" s="27"/>
      <x:c r="AT190" s="27"/>
      <x:c r="AU190" s="27"/>
      <x:c r="AV190" s="27"/>
      <x:c r="AW190" s="27"/>
      <x:c r="AX190" s="27"/>
      <x:c r="AY190" s="27"/>
      <x:c r="AZ190" s="27"/>
    </x:row>
    <x:row r="191">
      <x:c r="A191" s="27"/>
      <x:c r="B191" s="27"/>
      <x:c r="C191" s="27"/>
      <x:c r="D191" s="27"/>
      <x:c r="E191" s="27"/>
      <x:c r="F191" s="27"/>
      <x:c r="G191" s="27"/>
      <x:c r="H191" s="27"/>
      <x:c r="I191" s="27"/>
      <x:c r="J191" s="27"/>
      <x:c r="K191" s="27"/>
      <x:c r="L191" s="27"/>
      <x:c r="M191" s="27"/>
      <x:c r="N191" s="27"/>
      <x:c r="O191" s="27"/>
      <x:c r="P191" s="27"/>
      <x:c r="Q191" s="27"/>
      <x:c r="R191" s="27"/>
      <x:c r="S191" s="27"/>
      <x:c r="T191" s="27"/>
      <x:c r="U191" s="27"/>
      <x:c r="V191" s="27"/>
      <x:c r="W191" s="27"/>
      <x:c r="X191" s="27"/>
      <x:c r="Y191" s="27"/>
      <x:c r="Z191" s="27"/>
      <x:c r="AA191" s="27"/>
      <x:c r="AB191" s="27"/>
      <x:c r="AC191" s="27"/>
      <x:c r="AD191" s="27"/>
      <x:c r="AE191" s="27"/>
      <x:c r="AF191" s="27"/>
      <x:c r="AG191" s="27"/>
      <x:c r="AH191" s="27"/>
      <x:c r="AI191" s="27"/>
      <x:c r="AJ191" s="27"/>
      <x:c r="AK191" s="27"/>
      <x:c r="AL191" s="27"/>
      <x:c r="AM191" s="27"/>
      <x:c r="AN191" s="27"/>
      <x:c r="AO191" s="27"/>
      <x:c r="AP191" s="27"/>
      <x:c r="AQ191" s="27"/>
      <x:c r="AR191" s="27"/>
      <x:c r="AS191" s="27"/>
      <x:c r="AT191" s="27"/>
      <x:c r="AU191" s="27"/>
      <x:c r="AV191" s="27"/>
      <x:c r="AW191" s="27"/>
      <x:c r="AX191" s="27"/>
      <x:c r="AY191" s="27"/>
      <x:c r="AZ191" s="27"/>
    </x:row>
    <x:row r="192">
      <x:c r="A192" s="27"/>
      <x:c r="B192" s="27"/>
      <x:c r="C192" s="27"/>
      <x:c r="D192" s="27"/>
      <x:c r="E192" s="27"/>
      <x:c r="F192" s="27"/>
      <x:c r="G192" s="27"/>
      <x:c r="H192" s="27"/>
      <x:c r="I192" s="27"/>
      <x:c r="J192" s="27"/>
      <x:c r="K192" s="27"/>
      <x:c r="L192" s="27"/>
      <x:c r="M192" s="27"/>
      <x:c r="N192" s="27"/>
      <x:c r="O192" s="27"/>
      <x:c r="P192" s="27"/>
      <x:c r="Q192" s="27"/>
      <x:c r="R192" s="27"/>
      <x:c r="S192" s="27"/>
      <x:c r="T192" s="27"/>
      <x:c r="U192" s="27"/>
      <x:c r="V192" s="27"/>
      <x:c r="W192" s="27"/>
      <x:c r="X192" s="27"/>
      <x:c r="Y192" s="27"/>
      <x:c r="Z192" s="27"/>
      <x:c r="AA192" s="27"/>
      <x:c r="AB192" s="27"/>
      <x:c r="AC192" s="27"/>
      <x:c r="AD192" s="27"/>
      <x:c r="AE192" s="27"/>
      <x:c r="AF192" s="27"/>
      <x:c r="AG192" s="27"/>
      <x:c r="AH192" s="27"/>
      <x:c r="AI192" s="27"/>
      <x:c r="AJ192" s="27"/>
      <x:c r="AK192" s="27"/>
      <x:c r="AL192" s="27"/>
      <x:c r="AM192" s="27"/>
      <x:c r="AN192" s="27"/>
      <x:c r="AO192" s="27"/>
      <x:c r="AP192" s="27"/>
      <x:c r="AQ192" s="27"/>
      <x:c r="AR192" s="27"/>
      <x:c r="AS192" s="27"/>
      <x:c r="AT192" s="27"/>
      <x:c r="AU192" s="27"/>
      <x:c r="AV192" s="27"/>
      <x:c r="AW192" s="27"/>
      <x:c r="AX192" s="27"/>
      <x:c r="AY192" s="27"/>
      <x:c r="AZ192" s="27"/>
    </x:row>
    <x:row r="193">
      <x:c r="A193" s="27"/>
      <x:c r="B193" s="27"/>
      <x:c r="C193" s="27"/>
      <x:c r="D193" s="27"/>
      <x:c r="E193" s="27"/>
      <x:c r="F193" s="27"/>
      <x:c r="G193" s="27"/>
      <x:c r="H193" s="27"/>
      <x:c r="I193" s="27"/>
      <x:c r="J193" s="27"/>
      <x:c r="K193" s="27"/>
      <x:c r="L193" s="27"/>
      <x:c r="M193" s="27"/>
      <x:c r="N193" s="27"/>
      <x:c r="O193" s="27"/>
      <x:c r="P193" s="27"/>
      <x:c r="Q193" s="27"/>
      <x:c r="R193" s="27"/>
      <x:c r="S193" s="27"/>
      <x:c r="T193" s="27"/>
      <x:c r="U193" s="27"/>
      <x:c r="V193" s="27"/>
      <x:c r="W193" s="27"/>
      <x:c r="X193" s="27"/>
      <x:c r="Y193" s="27"/>
      <x:c r="Z193" s="27"/>
      <x:c r="AA193" s="27"/>
      <x:c r="AB193" s="27"/>
      <x:c r="AC193" s="27"/>
      <x:c r="AD193" s="27"/>
      <x:c r="AE193" s="27"/>
      <x:c r="AF193" s="27"/>
      <x:c r="AG193" s="27"/>
      <x:c r="AH193" s="27"/>
      <x:c r="AI193" s="27"/>
      <x:c r="AJ193" s="27"/>
      <x:c r="AK193" s="27"/>
      <x:c r="AL193" s="27"/>
      <x:c r="AM193" s="27"/>
      <x:c r="AN193" s="27"/>
      <x:c r="AO193" s="27"/>
      <x:c r="AP193" s="27"/>
      <x:c r="AQ193" s="27"/>
      <x:c r="AR193" s="27"/>
      <x:c r="AS193" s="27"/>
      <x:c r="AT193" s="27"/>
      <x:c r="AU193" s="27"/>
      <x:c r="AV193" s="27"/>
      <x:c r="AW193" s="27"/>
      <x:c r="AX193" s="27"/>
      <x:c r="AY193" s="27"/>
      <x:c r="AZ193" s="27"/>
    </x:row>
    <x:row r="194">
      <x:c r="A194" s="27"/>
      <x:c r="B194" s="27"/>
      <x:c r="C194" s="27"/>
      <x:c r="D194" s="27"/>
      <x:c r="E194" s="27"/>
      <x:c r="F194" s="27"/>
      <x:c r="G194" s="27"/>
      <x:c r="H194" s="27"/>
      <x:c r="I194" s="27"/>
      <x:c r="J194" s="27"/>
      <x:c r="K194" s="27"/>
      <x:c r="L194" s="27"/>
      <x:c r="M194" s="27"/>
      <x:c r="N194" s="27"/>
      <x:c r="O194" s="27"/>
      <x:c r="P194" s="27"/>
      <x:c r="Q194" s="27"/>
      <x:c r="R194" s="27"/>
      <x:c r="S194" s="27"/>
      <x:c r="T194" s="27"/>
      <x:c r="U194" s="27"/>
      <x:c r="V194" s="27"/>
      <x:c r="W194" s="27"/>
      <x:c r="X194" s="27"/>
      <x:c r="Y194" s="27"/>
      <x:c r="Z194" s="27"/>
      <x:c r="AA194" s="27"/>
      <x:c r="AB194" s="27"/>
      <x:c r="AC194" s="27"/>
      <x:c r="AD194" s="27"/>
      <x:c r="AE194" s="27"/>
      <x:c r="AF194" s="27"/>
      <x:c r="AG194" s="27"/>
      <x:c r="AH194" s="27"/>
      <x:c r="AI194" s="27"/>
      <x:c r="AJ194" s="27"/>
      <x:c r="AK194" s="27"/>
      <x:c r="AL194" s="27"/>
      <x:c r="AM194" s="27"/>
      <x:c r="AN194" s="27"/>
      <x:c r="AO194" s="27"/>
      <x:c r="AP194" s="27"/>
      <x:c r="AQ194" s="27"/>
      <x:c r="AR194" s="27"/>
      <x:c r="AS194" s="27"/>
      <x:c r="AT194" s="27"/>
      <x:c r="AU194" s="27"/>
      <x:c r="AV194" s="27"/>
      <x:c r="AW194" s="27"/>
      <x:c r="AX194" s="27"/>
      <x:c r="AY194" s="27"/>
      <x:c r="AZ194" s="27"/>
    </x:row>
    <x:row r="195">
      <x:c r="A195" s="27"/>
      <x:c r="B195" s="27"/>
      <x:c r="C195" s="27"/>
      <x:c r="D195" s="27"/>
      <x:c r="E195" s="27"/>
      <x:c r="F195" s="27"/>
      <x:c r="G195" s="27"/>
      <x:c r="H195" s="27"/>
      <x:c r="I195" s="27"/>
      <x:c r="J195" s="27"/>
      <x:c r="K195" s="27"/>
      <x:c r="L195" s="27"/>
      <x:c r="M195" s="27"/>
      <x:c r="N195" s="27"/>
      <x:c r="O195" s="27"/>
      <x:c r="P195" s="27"/>
      <x:c r="Q195" s="27"/>
      <x:c r="R195" s="27"/>
      <x:c r="S195" s="27"/>
      <x:c r="T195" s="27"/>
      <x:c r="U195" s="27"/>
      <x:c r="V195" s="27"/>
      <x:c r="W195" s="27"/>
      <x:c r="X195" s="27"/>
      <x:c r="Y195" s="27"/>
      <x:c r="Z195" s="27"/>
      <x:c r="AA195" s="27"/>
      <x:c r="AB195" s="27"/>
      <x:c r="AC195" s="27"/>
      <x:c r="AD195" s="27"/>
      <x:c r="AE195" s="27"/>
      <x:c r="AF195" s="27"/>
      <x:c r="AG195" s="27"/>
      <x:c r="AH195" s="27"/>
      <x:c r="AI195" s="27"/>
      <x:c r="AJ195" s="27"/>
      <x:c r="AK195" s="27"/>
      <x:c r="AL195" s="27"/>
      <x:c r="AM195" s="27"/>
      <x:c r="AN195" s="27"/>
      <x:c r="AO195" s="27"/>
      <x:c r="AP195" s="27"/>
      <x:c r="AQ195" s="27"/>
      <x:c r="AR195" s="27"/>
      <x:c r="AS195" s="27"/>
      <x:c r="AT195" s="27"/>
      <x:c r="AU195" s="27"/>
      <x:c r="AV195" s="27"/>
      <x:c r="AW195" s="27"/>
      <x:c r="AX195" s="27"/>
      <x:c r="AY195" s="27"/>
      <x:c r="AZ195" s="27"/>
    </x:row>
    <x:row r="196">
      <x:c r="A196" s="27"/>
      <x:c r="B196" s="27"/>
      <x:c r="C196" s="27"/>
      <x:c r="D196" s="27"/>
      <x:c r="E196" s="27"/>
      <x:c r="F196" s="27"/>
      <x:c r="G196" s="27"/>
      <x:c r="H196" s="27"/>
      <x:c r="I196" s="27"/>
      <x:c r="J196" s="27"/>
      <x:c r="K196" s="27"/>
      <x:c r="L196" s="27"/>
      <x:c r="M196" s="27"/>
      <x:c r="N196" s="27"/>
      <x:c r="O196" s="27"/>
      <x:c r="P196" s="27"/>
      <x:c r="Q196" s="27"/>
      <x:c r="R196" s="27"/>
      <x:c r="S196" s="27"/>
      <x:c r="T196" s="27"/>
      <x:c r="U196" s="27"/>
      <x:c r="V196" s="27"/>
      <x:c r="W196" s="27"/>
      <x:c r="X196" s="27"/>
      <x:c r="Y196" s="27"/>
      <x:c r="Z196" s="27"/>
      <x:c r="AA196" s="27"/>
      <x:c r="AB196" s="27"/>
      <x:c r="AC196" s="27"/>
      <x:c r="AD196" s="27"/>
      <x:c r="AE196" s="27"/>
      <x:c r="AF196" s="27"/>
      <x:c r="AG196" s="27"/>
      <x:c r="AH196" s="27"/>
      <x:c r="AI196" s="27"/>
      <x:c r="AJ196" s="27"/>
      <x:c r="AK196" s="27"/>
      <x:c r="AL196" s="27"/>
      <x:c r="AM196" s="27"/>
      <x:c r="AN196" s="27"/>
      <x:c r="AO196" s="27"/>
      <x:c r="AP196" s="27"/>
      <x:c r="AQ196" s="27"/>
      <x:c r="AR196" s="27"/>
      <x:c r="AS196" s="27"/>
      <x:c r="AT196" s="27"/>
      <x:c r="AU196" s="27"/>
      <x:c r="AV196" s="27"/>
      <x:c r="AW196" s="27"/>
      <x:c r="AX196" s="27"/>
      <x:c r="AY196" s="27"/>
      <x:c r="AZ196" s="27"/>
    </x:row>
    <x:row r="197">
      <x:c r="A197" s="27"/>
      <x:c r="B197" s="27"/>
      <x:c r="C197" s="27"/>
      <x:c r="D197" s="27"/>
      <x:c r="E197" s="27"/>
      <x:c r="F197" s="27"/>
      <x:c r="G197" s="27"/>
      <x:c r="H197" s="27"/>
      <x:c r="I197" s="27"/>
      <x:c r="J197" s="27"/>
      <x:c r="K197" s="27"/>
      <x:c r="L197" s="27"/>
      <x:c r="M197" s="27"/>
      <x:c r="N197" s="27"/>
      <x:c r="O197" s="27"/>
      <x:c r="P197" s="27"/>
      <x:c r="Q197" s="27"/>
      <x:c r="R197" s="27"/>
      <x:c r="S197" s="27"/>
      <x:c r="T197" s="27"/>
      <x:c r="U197" s="27"/>
      <x:c r="V197" s="27"/>
      <x:c r="W197" s="27"/>
      <x:c r="X197" s="27"/>
      <x:c r="Y197" s="27"/>
      <x:c r="Z197" s="27"/>
      <x:c r="AA197" s="27"/>
      <x:c r="AB197" s="27"/>
      <x:c r="AC197" s="27"/>
      <x:c r="AD197" s="27"/>
      <x:c r="AE197" s="27"/>
      <x:c r="AF197" s="27"/>
      <x:c r="AG197" s="27"/>
      <x:c r="AH197" s="27"/>
      <x:c r="AI197" s="27"/>
      <x:c r="AJ197" s="27"/>
      <x:c r="AK197" s="27"/>
      <x:c r="AL197" s="27"/>
      <x:c r="AM197" s="27"/>
      <x:c r="AN197" s="27"/>
      <x:c r="AO197" s="27"/>
      <x:c r="AP197" s="27"/>
      <x:c r="AQ197" s="27"/>
      <x:c r="AR197" s="27"/>
      <x:c r="AS197" s="27"/>
      <x:c r="AT197" s="27"/>
      <x:c r="AU197" s="27"/>
      <x:c r="AV197" s="27"/>
      <x:c r="AW197" s="27"/>
      <x:c r="AX197" s="27"/>
      <x:c r="AY197" s="27"/>
      <x:c r="AZ197" s="27"/>
    </x:row>
    <x:row r="198">
      <x:c r="A198" s="27"/>
      <x:c r="B198" s="27"/>
      <x:c r="C198" s="27"/>
      <x:c r="D198" s="27"/>
      <x:c r="E198" s="27"/>
      <x:c r="F198" s="27"/>
      <x:c r="G198" s="27"/>
      <x:c r="H198" s="27"/>
      <x:c r="I198" s="27"/>
      <x:c r="J198" s="27"/>
      <x:c r="K198" s="27"/>
      <x:c r="L198" s="27"/>
      <x:c r="M198" s="27"/>
      <x:c r="N198" s="27"/>
      <x:c r="O198" s="27"/>
      <x:c r="P198" s="27"/>
      <x:c r="Q198" s="27"/>
      <x:c r="R198" s="27"/>
      <x:c r="S198" s="27"/>
      <x:c r="T198" s="27"/>
      <x:c r="U198" s="27"/>
      <x:c r="V198" s="27"/>
      <x:c r="W198" s="27"/>
      <x:c r="X198" s="27"/>
      <x:c r="Y198" s="27"/>
      <x:c r="Z198" s="27"/>
      <x:c r="AA198" s="27"/>
      <x:c r="AB198" s="27"/>
      <x:c r="AC198" s="27"/>
      <x:c r="AD198" s="27"/>
      <x:c r="AE198" s="27"/>
      <x:c r="AF198" s="27"/>
      <x:c r="AG198" s="27"/>
      <x:c r="AH198" s="27"/>
      <x:c r="AI198" s="27"/>
      <x:c r="AJ198" s="27"/>
      <x:c r="AK198" s="27"/>
      <x:c r="AL198" s="27"/>
      <x:c r="AM198" s="27"/>
      <x:c r="AN198" s="27"/>
      <x:c r="AO198" s="27"/>
      <x:c r="AP198" s="27"/>
      <x:c r="AQ198" s="27"/>
      <x:c r="AR198" s="27"/>
      <x:c r="AS198" s="27"/>
      <x:c r="AT198" s="27"/>
      <x:c r="AU198" s="27"/>
      <x:c r="AV198" s="27"/>
      <x:c r="AW198" s="27"/>
      <x:c r="AX198" s="27"/>
      <x:c r="AY198" s="27"/>
      <x:c r="AZ198" s="27"/>
    </x:row>
    <x:row r="199">
      <x:c r="A199" s="27"/>
      <x:c r="B199" s="27"/>
      <x:c r="C199" s="27"/>
      <x:c r="D199" s="27"/>
      <x:c r="E199" s="27"/>
      <x:c r="F199" s="27"/>
      <x:c r="G199" s="27"/>
      <x:c r="H199" s="27"/>
      <x:c r="I199" s="27"/>
      <x:c r="J199" s="27"/>
      <x:c r="K199" s="27"/>
      <x:c r="L199" s="27"/>
      <x:c r="M199" s="27"/>
      <x:c r="N199" s="27"/>
      <x:c r="O199" s="27"/>
      <x:c r="P199" s="27"/>
      <x:c r="Q199" s="27"/>
      <x:c r="R199" s="27"/>
      <x:c r="S199" s="27"/>
      <x:c r="T199" s="27"/>
      <x:c r="U199" s="27"/>
      <x:c r="V199" s="27"/>
      <x:c r="W199" s="27"/>
      <x:c r="X199" s="27"/>
      <x:c r="Y199" s="27"/>
      <x:c r="Z199" s="27"/>
      <x:c r="AA199" s="27"/>
      <x:c r="AB199" s="27"/>
      <x:c r="AC199" s="27"/>
      <x:c r="AD199" s="27"/>
      <x:c r="AE199" s="27"/>
      <x:c r="AF199" s="27"/>
      <x:c r="AG199" s="27"/>
      <x:c r="AH199" s="27"/>
      <x:c r="AI199" s="27"/>
      <x:c r="AJ199" s="27"/>
      <x:c r="AK199" s="27"/>
      <x:c r="AL199" s="27"/>
      <x:c r="AM199" s="27"/>
      <x:c r="AN199" s="27"/>
      <x:c r="AO199" s="27"/>
      <x:c r="AP199" s="27"/>
      <x:c r="AQ199" s="27"/>
      <x:c r="AR199" s="27"/>
      <x:c r="AS199" s="27"/>
      <x:c r="AT199" s="27"/>
      <x:c r="AU199" s="27"/>
      <x:c r="AV199" s="27"/>
      <x:c r="AW199" s="27"/>
      <x:c r="AX199" s="27"/>
      <x:c r="AY199" s="27"/>
      <x:c r="AZ199" s="27"/>
    </x:row>
    <x:row r="200">
      <x:c r="A200" s="27"/>
      <x:c r="B200" s="27"/>
      <x:c r="C200" s="27"/>
      <x:c r="D200" s="27"/>
      <x:c r="E200" s="27"/>
      <x:c r="F200" s="27"/>
      <x:c r="G200" s="27"/>
      <x:c r="H200" s="27"/>
      <x:c r="I200" s="27"/>
      <x:c r="J200" s="27"/>
      <x:c r="K200" s="27"/>
      <x:c r="L200" s="27"/>
      <x:c r="M200" s="27"/>
      <x:c r="N200" s="27"/>
      <x:c r="O200" s="27"/>
      <x:c r="P200" s="27"/>
      <x:c r="Q200" s="27"/>
      <x:c r="R200" s="27"/>
      <x:c r="S200" s="27"/>
      <x:c r="T200" s="27"/>
      <x:c r="U200" s="27"/>
      <x:c r="V200" s="27"/>
      <x:c r="W200" s="27"/>
      <x:c r="X200" s="27"/>
      <x:c r="Y200" s="27"/>
      <x:c r="Z200" s="27"/>
      <x:c r="AA200" s="27"/>
      <x:c r="AB200" s="27"/>
      <x:c r="AC200" s="27"/>
      <x:c r="AD200" s="27"/>
      <x:c r="AE200" s="27"/>
      <x:c r="AF200" s="27"/>
      <x:c r="AG200" s="27"/>
      <x:c r="AH200" s="27"/>
      <x:c r="AI200" s="27"/>
      <x:c r="AJ200" s="27"/>
      <x:c r="AK200" s="27"/>
      <x:c r="AL200" s="27"/>
      <x:c r="AM200" s="27"/>
      <x:c r="AN200" s="27"/>
      <x:c r="AO200" s="27"/>
      <x:c r="AP200" s="27"/>
      <x:c r="AQ200" s="27"/>
      <x:c r="AR200" s="27"/>
      <x:c r="AS200" s="27"/>
      <x:c r="AT200" s="27"/>
      <x:c r="AU200" s="27"/>
      <x:c r="AV200" s="27"/>
      <x:c r="AW200" s="27"/>
      <x:c r="AX200" s="27"/>
      <x:c r="AY200" s="27"/>
      <x:c r="AZ200" s="27"/>
    </x:row>
  </x:sheetData>
  <x:mergeCells>
    <x:mergeCell ref="A1:H1"/>
    <x:mergeCell ref="A2:H2"/>
  </x:mergeCells>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24" hidden="0" customWidth="1"/>
    <x:col min="4" max="4" width="22" hidden="0" customWidth="1"/>
    <x:col min="5" max="5" width="22" hidden="0" customWidth="1"/>
    <x:col min="39" max="39" width="18" hidden="0" customWidth="1"/>
    <x:col min="40" max="40" width="18" hidden="0" customWidth="1"/>
    <x:col min="41" max="41" width="18" hidden="0" customWidth="1"/>
    <x:col min="42" max="42" width="18" hidden="0" customWidth="1"/>
    <x:col min="7" max="7" width="8" hidden="0" customWidth="1"/>
    <x:col min="8" max="8" width="8" hidden="0" customWidth="1"/>
    <x:col min="9" max="9" width="8" hidden="0" customWidth="1"/>
    <x:col min="10" max="10" width="8" hidden="0" customWidth="1"/>
    <x:col min="11" max="11" width="8" hidden="0" customWidth="1"/>
    <x:col min="12" max="12" width="8" hidden="0" customWidth="1"/>
    <x:col min="13" max="13" width="8" hidden="0" customWidth="1"/>
    <x:col min="14" max="14" width="8" hidden="0" customWidth="1"/>
    <x:col min="15" max="15" width="8" hidden="0" customWidth="1"/>
    <x:col min="16" max="16" width="8" hidden="0" customWidth="1"/>
    <x:col min="17" max="17" width="8" hidden="0" customWidth="1"/>
    <x:col min="18" max="18" width="8" hidden="0" customWidth="1"/>
    <x:col min="19" max="19" width="8" hidden="0" customWidth="1"/>
    <x:col min="20" max="20" width="8" hidden="0" customWidth="1"/>
    <x:col min="21" max="21" width="8" hidden="0" customWidth="1"/>
    <x:col min="22" max="22" width="8" hidden="0" customWidth="1"/>
    <x:col min="23" max="23" width="8" hidden="0" customWidth="1"/>
    <x:col min="24" max="24" width="8" hidden="0" customWidth="1"/>
    <x:col min="25" max="25" width="8" hidden="0" customWidth="1"/>
    <x:col min="26" max="26" width="8" hidden="0" customWidth="1"/>
  </x:cols>
  <x:sheetData>
    <x:row r="1" ht="28" customHeight="1">
      <x:c r="A1" s="26" t="str">
        <x:v>CFB27 Tight End Cards</x:v>
      </x:c>
      <x:c r="B1" s="26"/>
      <x:c r="C1" s="26"/>
      <x:c r="D1" s="26"/>
      <x:c r="E1" s="26"/>
      <x:c r="F1" s="26"/>
      <x:c r="G1" s="26"/>
      <x:c r="H1" s="26"/>
      <x:c r="I1" s="26"/>
      <x:c r="J1" s="26"/>
      <x:c r="K1" s="26"/>
      <x:c r="L1" s="26"/>
      <x:c r="M1" s="26"/>
      <x:c r="N1" s="26"/>
      <x:c r="O1" s="26"/>
      <x:c r="P1" s="26"/>
      <x:c r="Q1" s="26"/>
      <x:c r="R1" s="26"/>
      <x:c r="S1" s="26"/>
      <x:c r="T1" s="26"/>
      <x:c r="U1" s="26"/>
      <x:c r="V1" s="26"/>
      <x:c r="W1" s="26"/>
      <x:c r="X1" s="26"/>
      <x:c r="Y1" s="26"/>
      <x:c r="Z1" s="26"/>
      <x:c r="AA1" s="26"/>
      <x:c r="AB1" s="26"/>
      <x:c r="AC1" s="26"/>
      <x:c r="AD1" s="26"/>
      <x:c r="AE1" s="26"/>
      <x:c r="AF1" s="26"/>
      <x:c r="AG1" s="26"/>
      <x:c r="AH1" s="26"/>
      <x:c r="AI1" s="26"/>
      <x:c r="AJ1" s="27"/>
      <x:c r="AK1" s="27"/>
      <x:c r="AL1" s="27"/>
      <x:c r="AM1" s="27"/>
      <x:c r="AN1" s="27"/>
      <x:c r="AO1" s="27"/>
      <x:c r="AP1" s="27"/>
      <x:c r="AQ1" s="27"/>
      <x:c r="AR1" s="27"/>
      <x:c r="AS1" s="27"/>
      <x:c r="AT1" s="27"/>
      <x:c r="AU1" s="27"/>
      <x:c r="AV1" s="27"/>
      <x:c r="AW1" s="27"/>
      <x:c r="AX1" s="27"/>
      <x:c r="AY1" s="27"/>
      <x:c r="AZ1" s="27"/>
    </x:row>
    <x:row r="2" ht="34" customHeight="1">
      <x:c r="A2" s="28" t="str">
        <x:v>Observed card data only. One row = one specific card/version. Values are transcribed from source pages; blanks mean not observed, never assumed.</x:v>
      </x:c>
      <x:c r="B2" s="28"/>
      <x:c r="C2" s="28"/>
      <x:c r="D2" s="28"/>
      <x:c r="E2" s="28"/>
      <x:c r="F2" s="28"/>
      <x:c r="G2" s="28"/>
      <x:c r="H2" s="28"/>
      <x:c r="I2" s="28"/>
      <x:c r="J2" s="28"/>
      <x:c r="K2" s="28"/>
      <x:c r="L2" s="28"/>
      <x:c r="M2" s="28"/>
      <x:c r="N2" s="28"/>
      <x:c r="O2" s="28"/>
      <x:c r="P2" s="28"/>
      <x:c r="Q2" s="28"/>
      <x:c r="R2" s="28"/>
      <x:c r="S2" s="28"/>
      <x:c r="T2" s="28"/>
      <x:c r="U2" s="28"/>
      <x:c r="V2" s="28"/>
      <x:c r="W2" s="28"/>
      <x:c r="X2" s="28"/>
      <x:c r="Y2" s="28"/>
      <x:c r="Z2" s="28"/>
      <x:c r="AA2" s="28"/>
      <x:c r="AB2" s="28"/>
      <x:c r="AC2" s="28"/>
      <x:c r="AD2" s="28"/>
      <x:c r="AE2" s="28"/>
      <x:c r="AF2" s="28"/>
      <x:c r="AG2" s="28"/>
      <x:c r="AH2" s="28"/>
      <x:c r="AI2" s="28"/>
      <x:c r="AJ2" s="27"/>
      <x:c r="AK2" s="27"/>
      <x:c r="AL2" s="27"/>
      <x:c r="AM2" s="27"/>
      <x:c r="AN2" s="27"/>
      <x:c r="AO2" s="27"/>
      <x:c r="AP2" s="27"/>
      <x:c r="AQ2" s="27"/>
      <x:c r="AR2" s="27"/>
      <x:c r="AS2" s="27"/>
      <x:c r="AT2" s="27"/>
      <x:c r="AU2" s="27"/>
      <x:c r="AV2" s="27"/>
      <x:c r="AW2" s="27"/>
      <x:c r="AX2" s="27"/>
      <x:c r="AY2" s="27"/>
      <x:c r="AZ2" s="27"/>
    </x:row>
    <x:row r="3">
      <x:c r="A3" s="27"/>
      <x:c r="B3" s="27"/>
      <x:c r="C3" s="27"/>
      <x:c r="D3" s="27"/>
      <x:c r="E3" s="27"/>
      <x:c r="F3" s="27"/>
      <x:c r="G3" s="27"/>
      <x:c r="H3" s="27"/>
      <x:c r="I3" s="27"/>
      <x:c r="J3" s="27"/>
      <x:c r="K3" s="27"/>
      <x:c r="L3" s="27"/>
      <x:c r="M3" s="27"/>
      <x:c r="N3" s="27"/>
      <x:c r="O3" s="27"/>
      <x:c r="P3" s="27"/>
      <x:c r="Q3" s="27"/>
      <x:c r="R3" s="27"/>
      <x:c r="S3" s="27"/>
      <x:c r="T3" s="27"/>
      <x:c r="U3" s="27"/>
      <x:c r="V3" s="27"/>
      <x:c r="W3" s="27"/>
      <x:c r="X3" s="27"/>
      <x:c r="Y3" s="27"/>
      <x:c r="Z3" s="27"/>
      <x:c r="AA3" s="27"/>
      <x:c r="AB3" s="27"/>
      <x:c r="AC3" s="27"/>
      <x:c r="AD3" s="27"/>
      <x:c r="AE3" s="27"/>
      <x:c r="AF3" s="27"/>
      <x:c r="AG3" s="27"/>
      <x:c r="AH3" s="27"/>
      <x:c r="AI3" s="27"/>
      <x:c r="AJ3" s="27"/>
      <x:c r="AK3" s="27"/>
      <x:c r="AL3" s="27"/>
      <x:c r="AM3" s="27"/>
      <x:c r="AN3" s="27"/>
      <x:c r="AO3" s="27"/>
      <x:c r="AP3" s="27"/>
      <x:c r="AQ3" s="27"/>
      <x:c r="AR3" s="27"/>
      <x:c r="AS3" s="27"/>
      <x:c r="AT3" s="27"/>
      <x:c r="AU3" s="27"/>
      <x:c r="AV3" s="27"/>
      <x:c r="AW3" s="27"/>
      <x:c r="AX3" s="27"/>
      <x:c r="AY3" s="27"/>
      <x:c r="AZ3" s="27"/>
    </x:row>
    <x:row r="4" ht="30" customHeight="1">
      <x:c r="A4" s="29" t="str">
        <x:v>Card_ID</x:v>
      </x:c>
      <x:c r="B4" s="29" t="str">
        <x:v>Player</x:v>
      </x:c>
      <x:c r="C4" s="29" t="str">
        <x:v>OVR</x:v>
      </x:c>
      <x:c r="D4" s="29" t="str">
        <x:v>Program</x:v>
      </x:c>
      <x:c r="E4" s="29" t="str">
        <x:v>Archetype</x:v>
      </x:c>
      <x:c r="F4" s="29" t="str">
        <x:v>Jersey</x:v>
      </x:c>
      <x:c r="G4" s="29" t="str">
        <x:v>SPD</x:v>
      </x:c>
      <x:c r="H4" s="29" t="str">
        <x:v>ACC</x:v>
      </x:c>
      <x:c r="I4" s="29" t="str">
        <x:v>AGI</x:v>
      </x:c>
      <x:c r="J4" s="29" t="str">
        <x:v>AWR</x:v>
      </x:c>
      <x:c r="K4" s="29" t="str">
        <x:v>STR</x:v>
      </x:c>
      <x:c r="L4" s="29" t="str">
        <x:v>JMP</x:v>
      </x:c>
      <x:c r="M4" s="29" t="str">
        <x:v>TGH</x:v>
      </x:c>
      <x:c r="N4" s="29" t="str">
        <x:v>CTH</x:v>
      </x:c>
      <x:c r="O4" s="29" t="str">
        <x:v>CIT</x:v>
      </x:c>
      <x:c r="P4" s="29" t="str">
        <x:v>SRR</x:v>
      </x:c>
      <x:c r="Q4" s="29" t="str">
        <x:v>MRR</x:v>
      </x:c>
      <x:c r="R4" s="29" t="str">
        <x:v>DRR</x:v>
      </x:c>
      <x:c r="S4" s="29" t="str">
        <x:v>SPC</x:v>
      </x:c>
      <x:c r="T4" s="29" t="str">
        <x:v>RLS</x:v>
      </x:c>
      <x:c r="U4" s="29" t="str">
        <x:v>CAR</x:v>
      </x:c>
      <x:c r="V4" s="29" t="str">
        <x:v>BCV</x:v>
      </x:c>
      <x:c r="W4" s="29" t="str">
        <x:v>JKM</x:v>
      </x:c>
      <x:c r="X4" s="29" t="str">
        <x:v>SPM</x:v>
      </x:c>
      <x:c r="Y4" s="29" t="str">
        <x:v>TRK</x:v>
      </x:c>
      <x:c r="Z4" s="29" t="str">
        <x:v>SFA</x:v>
      </x:c>
      <x:c r="AA4" s="29" t="str">
        <x:v>COD</x:v>
      </x:c>
      <x:c r="AB4" s="29" t="str">
        <x:v>BTK</x:v>
      </x:c>
      <x:c r="AC4" s="29" t="str">
        <x:v>RBK</x:v>
      </x:c>
      <x:c r="AD4" s="29" t="str">
        <x:v>RBF</x:v>
      </x:c>
      <x:c r="AE4" s="29" t="str">
        <x:v>RBP</x:v>
      </x:c>
      <x:c r="AF4" s="29" t="str">
        <x:v>PBK</x:v>
      </x:c>
      <x:c r="AG4" s="29" t="str">
        <x:v>PBF</x:v>
      </x:c>
      <x:c r="AH4" s="29" t="str">
        <x:v>PBP</x:v>
      </x:c>
      <x:c r="AI4" s="29" t="str">
        <x:v>LBK</x:v>
      </x:c>
      <x:c r="AJ4" s="29" t="str">
        <x:v>IBL</x:v>
      </x:c>
      <x:c r="AK4" s="29" t="str">
        <x:v>FB_OOP</x:v>
      </x:c>
      <x:c r="AL4" s="29" t="str">
        <x:v>WR_OOP</x:v>
      </x:c>
      <x:c r="AM4" s="29" t="str">
        <x:v>Source_ID</x:v>
      </x:c>
      <x:c r="AN4" s="29" t="str">
        <x:v>Source_Page</x:v>
      </x:c>
      <x:c r="AO4" s="29" t="str">
        <x:v>Validation_Status</x:v>
      </x:c>
      <x:c r="AP4" s="29" t="str">
        <x:v>Notes</x:v>
      </x:c>
      <x:c r="AQ4" s="27"/>
      <x:c r="AR4" s="27"/>
      <x:c r="AS4" s="27"/>
      <x:c r="AT4" s="27"/>
      <x:c r="AU4" s="27"/>
      <x:c r="AV4" s="27"/>
      <x:c r="AW4" s="27"/>
      <x:c r="AX4" s="27"/>
      <x:c r="AY4" s="27"/>
      <x:c r="AZ4" s="27"/>
    </x:row>
    <x:row r="5">
      <x:c r="A5" s="30" t="str">
        <x:v>TE-0001</x:v>
      </x:c>
      <x:c r="B5" s="30" t="str">
        <x:v>River Helms</x:v>
      </x:c>
      <x:c r="C5" s="30" t="n">
        <x:v>85</x:v>
      </x:c>
      <x:c r="D5" s="30" t="str">
        <x:v>Phenoms</x:v>
      </x:c>
      <x:c r="E5" s="30" t="str">
        <x:v>Gritty Possession</x:v>
      </x:c>
      <x:c r="F5" s="30" t="n">
        <x:v>87</x:v>
      </x:c>
      <x:c r="G5" s="30" t="n">
        <x:v>84</x:v>
      </x:c>
      <x:c r="H5" s="30" t="n">
        <x:v>83</x:v>
      </x:c>
      <x:c r="I5" s="30" t="n">
        <x:v>82</x:v>
      </x:c>
      <x:c r="J5" s="30" t="n">
        <x:v>78</x:v>
      </x:c>
      <x:c r="K5" s="30" t="n">
        <x:v>85</x:v>
      </x:c>
      <x:c r="L5" s="30" t="n">
        <x:v>77</x:v>
      </x:c>
      <x:c r="M5" s="30" t="n">
        <x:v>85</x:v>
      </x:c>
      <x:c r="N5" s="30" t="n">
        <x:v>84</x:v>
      </x:c>
      <x:c r="O5" s="30" t="n">
        <x:v>87</x:v>
      </x:c>
      <x:c r="P5" s="30" t="n">
        <x:v>85</x:v>
      </x:c>
      <x:c r="Q5" s="30" t="n">
        <x:v>86</x:v>
      </x:c>
      <x:c r="R5" s="30" t="n">
        <x:v>81</x:v>
      </x:c>
      <x:c r="S5" s="30" t="n">
        <x:v>82</x:v>
      </x:c>
      <x:c r="T5" s="30" t="n">
        <x:v>80</x:v>
      </x:c>
      <x:c r="U5" s="30" t="n">
        <x:v>82</x:v>
      </x:c>
      <x:c r="V5" s="30" t="n">
        <x:v>84</x:v>
      </x:c>
      <x:c r="W5" s="30" t="n">
        <x:v>77</x:v>
      </x:c>
      <x:c r="X5" s="30" t="n">
        <x:v>75</x:v>
      </x:c>
      <x:c r="Y5" s="30" t="n">
        <x:v>81</x:v>
      </x:c>
      <x:c r="Z5" s="30" t="n">
        <x:v>85</x:v>
      </x:c>
      <x:c r="AA5" s="30" t="n">
        <x:v>77</x:v>
      </x:c>
      <x:c r="AB5" s="30" t="n">
        <x:v>84</x:v>
      </x:c>
      <x:c r="AC5" s="30" t="n">
        <x:v>77</x:v>
      </x:c>
      <x:c r="AD5" s="30" t="n">
        <x:v>79</x:v>
      </x:c>
      <x:c r="AE5" s="30" t="n">
        <x:v>79</x:v>
      </x:c>
      <x:c r="AF5" s="30" t="n">
        <x:v>78</x:v>
      </x:c>
      <x:c r="AG5" s="30" t="n">
        <x:v>79</x:v>
      </x:c>
      <x:c r="AH5" s="30" t="n">
        <x:v>83</x:v>
      </x:c>
      <x:c r="AI5" s="30" t="n">
        <x:v>60</x:v>
      </x:c>
      <x:c r="AJ5" s="30" t="n">
        <x:v>75</x:v>
      </x:c>
      <x:c r="AK5" s="30" t="n">
        <x:v>80</x:v>
      </x:c>
      <x:c r="AL5" s="30" t="n">
        <x:v>86</x:v>
      </x:c>
      <x:c r="AM5" s="30" t="str">
        <x:v>SRC-TE-001</x:v>
      </x:c>
      <x:c r="AN5" s="30" t="n">
        <x:v>1</x:v>
      </x:c>
      <x:c r="AO5" s="30" t="str">
        <x:v>VISUALLY VERIFIED</x:v>
      </x:c>
      <x:c r="AP5" s="30" t="str"/>
      <x:c r="AQ5" s="27"/>
      <x:c r="AR5" s="27"/>
      <x:c r="AS5" s="27"/>
      <x:c r="AT5" s="27"/>
      <x:c r="AU5" s="27"/>
      <x:c r="AV5" s="27"/>
      <x:c r="AW5" s="27"/>
      <x:c r="AX5" s="27"/>
      <x:c r="AY5" s="27"/>
      <x:c r="AZ5" s="27"/>
    </x:row>
    <x:row r="6">
      <x:c r="A6" s="30" t="str">
        <x:v>TE-0002</x:v>
      </x:c>
      <x:c r="B6" s="30" t="str">
        <x:v>Kaelan Chudzinski</x:v>
      </x:c>
      <x:c r="C6" s="30" t="n">
        <x:v>85</x:v>
      </x:c>
      <x:c r="D6" s="30" t="str">
        <x:v>Standouts</x:v>
      </x:c>
      <x:c r="E6" s="30" t="str">
        <x:v>Vertical Threat</x:v>
      </x:c>
      <x:c r="F6" s="30" t="n">
        <x:v>85</x:v>
      </x:c>
      <x:c r="G6" s="30" t="n">
        <x:v>84</x:v>
      </x:c>
      <x:c r="H6" s="30" t="n">
        <x:v>84</x:v>
      </x:c>
      <x:c r="I6" s="30" t="n">
        <x:v>83</x:v>
      </x:c>
      <x:c r="J6" s="30" t="n">
        <x:v>78</x:v>
      </x:c>
      <x:c r="K6" s="30" t="n">
        <x:v>78</x:v>
      </x:c>
      <x:c r="L6" s="30" t="n">
        <x:v>80</x:v>
      </x:c>
      <x:c r="M6" s="30" t="n">
        <x:v>90</x:v>
      </x:c>
      <x:c r="N6" s="30" t="n">
        <x:v>83</x:v>
      </x:c>
      <x:c r="O6" s="30" t="n">
        <x:v>83</x:v>
      </x:c>
      <x:c r="P6" s="30" t="n">
        <x:v>82</x:v>
      </x:c>
      <x:c r="Q6" s="30" t="n">
        <x:v>85</x:v>
      </x:c>
      <x:c r="R6" s="30" t="n">
        <x:v>84</x:v>
      </x:c>
      <x:c r="S6" s="30" t="n">
        <x:v>84</x:v>
      </x:c>
      <x:c r="T6" s="30" t="n">
        <x:v>78</x:v>
      </x:c>
      <x:c r="U6" s="30" t="n">
        <x:v>81</x:v>
      </x:c>
      <x:c r="V6" s="30" t="n">
        <x:v>79</x:v>
      </x:c>
      <x:c r="W6" s="30" t="n">
        <x:v>72</x:v>
      </x:c>
      <x:c r="X6" s="30" t="n">
        <x:v>72</x:v>
      </x:c>
      <x:c r="Y6" s="30" t="n">
        <x:v>81</x:v>
      </x:c>
      <x:c r="Z6" s="30" t="n">
        <x:v>81</x:v>
      </x:c>
      <x:c r="AA6" s="30" t="n">
        <x:v>84</x:v>
      </x:c>
      <x:c r="AB6" s="30" t="n">
        <x:v>81</x:v>
      </x:c>
      <x:c r="AC6" s="30" t="n">
        <x:v>75</x:v>
      </x:c>
      <x:c r="AD6" s="30" t="n">
        <x:v>73</x:v>
      </x:c>
      <x:c r="AE6" s="30" t="n">
        <x:v>73</x:v>
      </x:c>
      <x:c r="AF6" s="30" t="n">
        <x:v>58</x:v>
      </x:c>
      <x:c r="AG6" s="30" t="n">
        <x:v>62</x:v>
      </x:c>
      <x:c r="AH6" s="30" t="n">
        <x:v>62</x:v>
      </x:c>
      <x:c r="AI6" s="30" t="n">
        <x:v>78</x:v>
      </x:c>
      <x:c r="AJ6" s="30" t="n">
        <x:v>76</x:v>
      </x:c>
      <x:c r="AK6" s="30" t="n">
        <x:v>82</x:v>
      </x:c>
      <x:c r="AL6" s="30" t="n">
        <x:v>85</x:v>
      </x:c>
      <x:c r="AM6" s="30" t="str">
        <x:v>SRC-TE-001</x:v>
      </x:c>
      <x:c r="AN6" s="30" t="n">
        <x:v>2</x:v>
      </x:c>
      <x:c r="AO6" s="30" t="str">
        <x:v>VISUALLY VERIFIED</x:v>
      </x:c>
      <x:c r="AP6" s="30" t="str"/>
      <x:c r="AQ6" s="27"/>
      <x:c r="AR6" s="27"/>
      <x:c r="AS6" s="27"/>
      <x:c r="AT6" s="27"/>
      <x:c r="AU6" s="27"/>
      <x:c r="AV6" s="27"/>
      <x:c r="AW6" s="27"/>
      <x:c r="AX6" s="27"/>
      <x:c r="AY6" s="27"/>
      <x:c r="AZ6" s="27"/>
    </x:row>
    <x:row r="7">
      <x:c r="A7" s="30" t="str">
        <x:v>TE-0003</x:v>
      </x:c>
      <x:c r="B7" s="30" t="str">
        <x:v>Jake Johnson</x:v>
      </x:c>
      <x:c r="C7" s="30" t="n">
        <x:v>85</x:v>
      </x:c>
      <x:c r="D7" s="30" t="str">
        <x:v>Countdown</x:v>
      </x:c>
      <x:c r="E7" s="30" t="str">
        <x:v>Gritty Possession</x:v>
      </x:c>
      <x:c r="F7" s="30" t="n">
        <x:v>19</x:v>
      </x:c>
      <x:c r="G7" s="30" t="n">
        <x:v>85</x:v>
      </x:c>
      <x:c r="H7" s="30" t="n">
        <x:v>86</x:v>
      </x:c>
      <x:c r="I7" s="30" t="n">
        <x:v>84</x:v>
      </x:c>
      <x:c r="J7" s="30" t="n">
        <x:v>86</x:v>
      </x:c>
      <x:c r="K7" s="30" t="n">
        <x:v>78</x:v>
      </x:c>
      <x:c r="L7" s="30" t="n">
        <x:v>87</x:v>
      </x:c>
      <x:c r="M7" s="30" t="n">
        <x:v>85</x:v>
      </x:c>
      <x:c r="N7" s="30" t="n">
        <x:v>87</x:v>
      </x:c>
      <x:c r="O7" s="30" t="n">
        <x:v>81</x:v>
      </x:c>
      <x:c r="P7" s="30" t="n">
        <x:v>80</x:v>
      </x:c>
      <x:c r="Q7" s="30" t="n">
        <x:v>87</x:v>
      </x:c>
      <x:c r="R7" s="30" t="n">
        <x:v>86</x:v>
      </x:c>
      <x:c r="S7" s="30" t="n">
        <x:v>82</x:v>
      </x:c>
      <x:c r="T7" s="30" t="n">
        <x:v>78</x:v>
      </x:c>
      <x:c r="U7" s="30" t="n">
        <x:v>83</x:v>
      </x:c>
      <x:c r="V7" s="30" t="n">
        <x:v>84</x:v>
      </x:c>
      <x:c r="W7" s="30" t="n">
        <x:v>82</x:v>
      </x:c>
      <x:c r="X7" s="30" t="n">
        <x:v>84</x:v>
      </x:c>
      <x:c r="Y7" s="30" t="n">
        <x:v>83</x:v>
      </x:c>
      <x:c r="Z7" s="30" t="n">
        <x:v>85</x:v>
      </x:c>
      <x:c r="AA7" s="30" t="n">
        <x:v>87</x:v>
      </x:c>
      <x:c r="AB7" s="30" t="n">
        <x:v>78</x:v>
      </x:c>
      <x:c r="AC7" s="30" t="n">
        <x:v>72</x:v>
      </x:c>
      <x:c r="AD7" s="30" t="n">
        <x:v>77</x:v>
      </x:c>
      <x:c r="AE7" s="30" t="n">
        <x:v>76</x:v>
      </x:c>
      <x:c r="AF7" s="30" t="n">
        <x:v>77</x:v>
      </x:c>
      <x:c r="AG7" s="30" t="n">
        <x:v>84</x:v>
      </x:c>
      <x:c r="AH7" s="30" t="n">
        <x:v>74</x:v>
      </x:c>
      <x:c r="AI7" s="30" t="n">
        <x:v>73</x:v>
      </x:c>
      <x:c r="AJ7" s="30" t="n">
        <x:v>86</x:v>
      </x:c>
      <x:c r="AK7" s="30" t="n">
        <x:v>82</x:v>
      </x:c>
      <x:c r="AL7" s="30" t="n">
        <x:v>87</x:v>
      </x:c>
      <x:c r="AM7" s="30" t="str">
        <x:v>SRC-TE-001</x:v>
      </x:c>
      <x:c r="AN7" s="30" t="n">
        <x:v>3</x:v>
      </x:c>
      <x:c r="AO7" s="30" t="str">
        <x:v>VISUALLY VERIFIED</x:v>
      </x:c>
      <x:c r="AP7" s="30" t="str"/>
      <x:c r="AQ7" s="27"/>
      <x:c r="AR7" s="27"/>
      <x:c r="AS7" s="27"/>
      <x:c r="AT7" s="27"/>
      <x:c r="AU7" s="27"/>
      <x:c r="AV7" s="27"/>
      <x:c r="AW7" s="27"/>
      <x:c r="AX7" s="27"/>
      <x:c r="AY7" s="27"/>
      <x:c r="AZ7" s="27"/>
    </x:row>
    <x:row r="8">
      <x:c r="A8" s="30" t="str">
        <x:v>TE-0004</x:v>
      </x:c>
      <x:c r="B8" s="30" t="str">
        <x:v>Terrance Carter Jr.</x:v>
      </x:c>
      <x:c r="C8" s="30" t="n">
        <x:v>85</x:v>
      </x:c>
      <x:c r="D8" s="30" t="str">
        <x:v>Core Rare</x:v>
      </x:c>
      <x:c r="E8" s="30" t="str">
        <x:v>Physical Route Runner</x:v>
      </x:c>
      <x:c r="F8" s="30" t="n">
        <x:v>7</x:v>
      </x:c>
      <x:c r="G8" s="30" t="n">
        <x:v>82</x:v>
      </x:c>
      <x:c r="H8" s="30" t="n">
        <x:v>82</x:v>
      </x:c>
      <x:c r="I8" s="30" t="n">
        <x:v>82</x:v>
      </x:c>
      <x:c r="J8" s="30" t="n">
        <x:v>84</x:v>
      </x:c>
      <x:c r="K8" s="30" t="n">
        <x:v>80</x:v>
      </x:c>
      <x:c r="L8" s="30" t="n">
        <x:v>80</x:v>
      </x:c>
      <x:c r="M8" s="30" t="n">
        <x:v>85</x:v>
      </x:c>
      <x:c r="N8" s="30" t="n">
        <x:v>85</x:v>
      </x:c>
      <x:c r="O8" s="30" t="n">
        <x:v>81</x:v>
      </x:c>
      <x:c r="P8" s="30" t="n">
        <x:v>84</x:v>
      </x:c>
      <x:c r="Q8" s="30" t="n">
        <x:v>85</x:v>
      </x:c>
      <x:c r="R8" s="30" t="n">
        <x:v>84</x:v>
      </x:c>
      <x:c r="S8" s="30" t="n">
        <x:v>82</x:v>
      </x:c>
      <x:c r="T8" s="30" t="n">
        <x:v>81</x:v>
      </x:c>
      <x:c r="U8" s="30" t="n">
        <x:v>76</x:v>
      </x:c>
      <x:c r="V8" s="30" t="n">
        <x:v>76</x:v>
      </x:c>
      <x:c r="W8" s="30" t="n">
        <x:v>77</x:v>
      </x:c>
      <x:c r="X8" s="30" t="n">
        <x:v>78</x:v>
      </x:c>
      <x:c r="Y8" s="30" t="n">
        <x:v>80</x:v>
      </x:c>
      <x:c r="Z8" s="30" t="n">
        <x:v>80</x:v>
      </x:c>
      <x:c r="AA8" s="30" t="n">
        <x:v>79</x:v>
      </x:c>
      <x:c r="AB8" s="30" t="n">
        <x:v>83</x:v>
      </x:c>
      <x:c r="AC8" s="30" t="n">
        <x:v>73</x:v>
      </x:c>
      <x:c r="AD8" s="30" t="n">
        <x:v>74</x:v>
      </x:c>
      <x:c r="AE8" s="30" t="n">
        <x:v>71</x:v>
      </x:c>
      <x:c r="AF8" s="30" t="n">
        <x:v>67</x:v>
      </x:c>
      <x:c r="AG8" s="30" t="n">
        <x:v>68</x:v>
      </x:c>
      <x:c r="AH8" s="30" t="n">
        <x:v>68</x:v>
      </x:c>
      <x:c r="AI8" s="30" t="n">
        <x:v>76</x:v>
      </x:c>
      <x:c r="AJ8" s="30" t="n">
        <x:v>73</x:v>
      </x:c>
      <x:c r="AK8" s="30" t="n">
        <x:v>82</x:v>
      </x:c>
      <x:c r="AL8" s="30" t="n">
        <x:v>85</x:v>
      </x:c>
      <x:c r="AM8" s="30" t="str">
        <x:v>SRC-TE-001</x:v>
      </x:c>
      <x:c r="AN8" s="30" t="n">
        <x:v>4</x:v>
      </x:c>
      <x:c r="AO8" s="30" t="str">
        <x:v>VISUALLY VERIFIED</x:v>
      </x:c>
      <x:c r="AP8" s="30" t="str"/>
      <x:c r="AQ8" s="27"/>
      <x:c r="AR8" s="27"/>
      <x:c r="AS8" s="27"/>
      <x:c r="AT8" s="27"/>
      <x:c r="AU8" s="27"/>
      <x:c r="AV8" s="27"/>
      <x:c r="AW8" s="27"/>
      <x:c r="AX8" s="27"/>
      <x:c r="AY8" s="27"/>
      <x:c r="AZ8" s="27"/>
    </x:row>
    <x:row r="9">
      <x:c r="A9" s="30" t="str">
        <x:v>TE-0005</x:v>
      </x:c>
      <x:c r="B9" s="30" t="str">
        <x:v>Trey'Dez Green</x:v>
      </x:c>
      <x:c r="C9" s="30" t="n">
        <x:v>85</x:v>
      </x:c>
      <x:c r="D9" s="30" t="str">
        <x:v>Platinum Rare</x:v>
      </x:c>
      <x:c r="E9" s="30" t="str">
        <x:v>Physical Route Runner</x:v>
      </x:c>
      <x:c r="F9" s="30" t="n">
        <x:v>14</x:v>
      </x:c>
      <x:c r="G9" s="30" t="n">
        <x:v>84</x:v>
      </x:c>
      <x:c r="H9" s="30" t="n">
        <x:v>84</x:v>
      </x:c>
      <x:c r="I9" s="30" t="n">
        <x:v>84</x:v>
      </x:c>
      <x:c r="J9" s="30" t="n">
        <x:v>84</x:v>
      </x:c>
      <x:c r="K9" s="30" t="n">
        <x:v>78</x:v>
      </x:c>
      <x:c r="L9" s="30" t="n">
        <x:v>85</x:v>
      </x:c>
      <x:c r="M9" s="30" t="n">
        <x:v>85</x:v>
      </x:c>
      <x:c r="N9" s="30" t="n">
        <x:v>85</x:v>
      </x:c>
      <x:c r="O9" s="30" t="n">
        <x:v>85</x:v>
      </x:c>
      <x:c r="P9" s="30" t="n">
        <x:v>85</x:v>
      </x:c>
      <x:c r="Q9" s="30" t="n">
        <x:v>85</x:v>
      </x:c>
      <x:c r="R9" s="30" t="n">
        <x:v>83</x:v>
      </x:c>
      <x:c r="S9" s="30" t="n">
        <x:v>85</x:v>
      </x:c>
      <x:c r="T9" s="30" t="n">
        <x:v>85</x:v>
      </x:c>
      <x:c r="U9" s="30" t="n">
        <x:v>79</x:v>
      </x:c>
      <x:c r="V9" s="30" t="n">
        <x:v>77</x:v>
      </x:c>
      <x:c r="W9" s="30" t="n">
        <x:v>79</x:v>
      </x:c>
      <x:c r="X9" s="30" t="n">
        <x:v>77</x:v>
      </x:c>
      <x:c r="Y9" s="30" t="n">
        <x:v>83</x:v>
      </x:c>
      <x:c r="Z9" s="30" t="n">
        <x:v>84</x:v>
      </x:c>
      <x:c r="AA9" s="30" t="n">
        <x:v>82</x:v>
      </x:c>
      <x:c r="AB9" s="30" t="n">
        <x:v>82</x:v>
      </x:c>
      <x:c r="AC9" s="30" t="n">
        <x:v>66</x:v>
      </x:c>
      <x:c r="AD9" s="30" t="n">
        <x:v>67</x:v>
      </x:c>
      <x:c r="AE9" s="30" t="n">
        <x:v>67</x:v>
      </x:c>
      <x:c r="AF9" s="30" t="n">
        <x:v>61</x:v>
      </x:c>
      <x:c r="AG9" s="30" t="n">
        <x:v>65</x:v>
      </x:c>
      <x:c r="AH9" s="30" t="n">
        <x:v>64</x:v>
      </x:c>
      <x:c r="AI9" s="30" t="n">
        <x:v>60</x:v>
      </x:c>
      <x:c r="AJ9" s="30" t="n">
        <x:v>73</x:v>
      </x:c>
      <x:c r="AK9" s="30" t="n">
        <x:v>81</x:v>
      </x:c>
      <x:c r="AL9" s="30" t="n">
        <x:v>87</x:v>
      </x:c>
      <x:c r="AM9" s="30" t="str">
        <x:v>SRC-TE-001</x:v>
      </x:c>
      <x:c r="AN9" s="30" t="n">
        <x:v>5</x:v>
      </x:c>
      <x:c r="AO9" s="30" t="str">
        <x:v>VISUALLY VERIFIED</x:v>
      </x:c>
      <x:c r="AP9" s="30" t="str"/>
      <x:c r="AQ9" s="27"/>
      <x:c r="AR9" s="27"/>
      <x:c r="AS9" s="27"/>
      <x:c r="AT9" s="27"/>
      <x:c r="AU9" s="27"/>
      <x:c r="AV9" s="27"/>
      <x:c r="AW9" s="27"/>
      <x:c r="AX9" s="27"/>
      <x:c r="AY9" s="27"/>
      <x:c r="AZ9" s="27"/>
    </x:row>
    <x:row r="10">
      <x:c r="A10" s="30" t="str">
        <x:v>TE-0006</x:v>
      </x:c>
      <x:c r="B10" s="30" t="str">
        <x:v>Jamari Johnson</x:v>
      </x:c>
      <x:c r="C10" s="30" t="n">
        <x:v>85</x:v>
      </x:c>
      <x:c r="D10" s="30" t="str">
        <x:v>Platinum Rare</x:v>
      </x:c>
      <x:c r="E10" s="30" t="str">
        <x:v>Physical Route Runner</x:v>
      </x:c>
      <x:c r="F10" s="30" t="n">
        <x:v>9</x:v>
      </x:c>
      <x:c r="G10" s="30" t="n">
        <x:v>83</x:v>
      </x:c>
      <x:c r="H10" s="30" t="n">
        <x:v>83</x:v>
      </x:c>
      <x:c r="I10" s="30" t="n">
        <x:v>82</x:v>
      </x:c>
      <x:c r="J10" s="30" t="n">
        <x:v>80</x:v>
      </x:c>
      <x:c r="K10" s="30" t="n">
        <x:v>80</x:v>
      </x:c>
      <x:c r="L10" s="30" t="n">
        <x:v>83</x:v>
      </x:c>
      <x:c r="M10" s="30" t="n">
        <x:v>85</x:v>
      </x:c>
      <x:c r="N10" s="30" t="n">
        <x:v>84</x:v>
      </x:c>
      <x:c r="O10" s="30" t="n">
        <x:v>85</x:v>
      </x:c>
      <x:c r="P10" s="30" t="n">
        <x:v>82</x:v>
      </x:c>
      <x:c r="Q10" s="30" t="n">
        <x:v>85</x:v>
      </x:c>
      <x:c r="R10" s="30" t="n">
        <x:v>81</x:v>
      </x:c>
      <x:c r="S10" s="30" t="n">
        <x:v>82</x:v>
      </x:c>
      <x:c r="T10" s="30" t="n">
        <x:v>80</x:v>
      </x:c>
      <x:c r="U10" s="30" t="n">
        <x:v>80</x:v>
      </x:c>
      <x:c r="V10" s="30" t="n">
        <x:v>78</x:v>
      </x:c>
      <x:c r="W10" s="30" t="n">
        <x:v>79</x:v>
      </x:c>
      <x:c r="X10" s="30" t="n">
        <x:v>77</x:v>
      </x:c>
      <x:c r="Y10" s="30" t="n">
        <x:v>81</x:v>
      </x:c>
      <x:c r="Z10" s="30" t="n">
        <x:v>80</x:v>
      </x:c>
      <x:c r="AA10" s="30" t="n">
        <x:v>82</x:v>
      </x:c>
      <x:c r="AB10" s="30" t="n">
        <x:v>81</x:v>
      </x:c>
      <x:c r="AC10" s="30" t="n">
        <x:v>74</x:v>
      </x:c>
      <x:c r="AD10" s="30" t="n">
        <x:v>75</x:v>
      </x:c>
      <x:c r="AE10" s="30" t="n">
        <x:v>75</x:v>
      </x:c>
      <x:c r="AF10" s="30" t="n">
        <x:v>68</x:v>
      </x:c>
      <x:c r="AG10" s="30" t="n">
        <x:v>69</x:v>
      </x:c>
      <x:c r="AH10" s="30" t="n">
        <x:v>68</x:v>
      </x:c>
      <x:c r="AI10" s="30" t="n">
        <x:v>69</x:v>
      </x:c>
      <x:c r="AJ10" s="30" t="n">
        <x:v>78</x:v>
      </x:c>
      <x:c r="AK10" s="30" t="n">
        <x:v>82</x:v>
      </x:c>
      <x:c r="AL10" s="30" t="n">
        <x:v>85</x:v>
      </x:c>
      <x:c r="AM10" s="30" t="str">
        <x:v>SRC-TE-001</x:v>
      </x:c>
      <x:c r="AN10" s="30" t="n">
        <x:v>6</x:v>
      </x:c>
      <x:c r="AO10" s="30" t="str">
        <x:v>VISUALLY VERIFIED</x:v>
      </x:c>
      <x:c r="AP10" s="30" t="str"/>
      <x:c r="AQ10" s="27"/>
      <x:c r="AR10" s="27"/>
      <x:c r="AS10" s="27"/>
      <x:c r="AT10" s="27"/>
      <x:c r="AU10" s="27"/>
      <x:c r="AV10" s="27"/>
      <x:c r="AW10" s="27"/>
      <x:c r="AX10" s="27"/>
      <x:c r="AY10" s="27"/>
      <x:c r="AZ10" s="27"/>
    </x:row>
    <x:row r="11">
      <x:c r="A11" s="30" t="str">
        <x:v>TE-0007</x:v>
      </x:c>
      <x:c r="B11" s="30" t="str">
        <x:v>Jamari Johnson</x:v>
      </x:c>
      <x:c r="C11" s="30" t="n">
        <x:v>85</x:v>
      </x:c>
      <x:c r="D11" s="30" t="str">
        <x:v>Core Rare</x:v>
      </x:c>
      <x:c r="E11" s="30" t="str">
        <x:v>Physical Route Runner</x:v>
      </x:c>
      <x:c r="F11" s="30" t="n">
        <x:v>9</x:v>
      </x:c>
      <x:c r="G11" s="30" t="n">
        <x:v>83</x:v>
      </x:c>
      <x:c r="H11" s="30" t="n">
        <x:v>83</x:v>
      </x:c>
      <x:c r="I11" s="30" t="n">
        <x:v>82</x:v>
      </x:c>
      <x:c r="J11" s="30" t="n">
        <x:v>80</x:v>
      </x:c>
      <x:c r="K11" s="30" t="n">
        <x:v>80</x:v>
      </x:c>
      <x:c r="L11" s="30" t="n">
        <x:v>83</x:v>
      </x:c>
      <x:c r="M11" s="30" t="n">
        <x:v>85</x:v>
      </x:c>
      <x:c r="N11" s="30" t="n">
        <x:v>84</x:v>
      </x:c>
      <x:c r="O11" s="30" t="n">
        <x:v>85</x:v>
      </x:c>
      <x:c r="P11" s="30" t="n">
        <x:v>82</x:v>
      </x:c>
      <x:c r="Q11" s="30" t="n">
        <x:v>85</x:v>
      </x:c>
      <x:c r="R11" s="30" t="n">
        <x:v>81</x:v>
      </x:c>
      <x:c r="S11" s="30" t="n">
        <x:v>82</x:v>
      </x:c>
      <x:c r="T11" s="30" t="n">
        <x:v>80</x:v>
      </x:c>
      <x:c r="U11" s="30" t="n">
        <x:v>80</x:v>
      </x:c>
      <x:c r="V11" s="30" t="n">
        <x:v>78</x:v>
      </x:c>
      <x:c r="W11" s="30" t="n">
        <x:v>79</x:v>
      </x:c>
      <x:c r="X11" s="30" t="n">
        <x:v>77</x:v>
      </x:c>
      <x:c r="Y11" s="30" t="n">
        <x:v>81</x:v>
      </x:c>
      <x:c r="Z11" s="30" t="n">
        <x:v>80</x:v>
      </x:c>
      <x:c r="AA11" s="30" t="n">
        <x:v>82</x:v>
      </x:c>
      <x:c r="AB11" s="30" t="n">
        <x:v>81</x:v>
      </x:c>
      <x:c r="AC11" s="30" t="n">
        <x:v>74</x:v>
      </x:c>
      <x:c r="AD11" s="30" t="n">
        <x:v>75</x:v>
      </x:c>
      <x:c r="AE11" s="30" t="n">
        <x:v>75</x:v>
      </x:c>
      <x:c r="AF11" s="30" t="n">
        <x:v>68</x:v>
      </x:c>
      <x:c r="AG11" s="30" t="n">
        <x:v>69</x:v>
      </x:c>
      <x:c r="AH11" s="30" t="n">
        <x:v>68</x:v>
      </x:c>
      <x:c r="AI11" s="30" t="n">
        <x:v>69</x:v>
      </x:c>
      <x:c r="AJ11" s="30" t="n">
        <x:v>78</x:v>
      </x:c>
      <x:c r="AK11" s="30" t="n">
        <x:v>82</x:v>
      </x:c>
      <x:c r="AL11" s="30" t="n">
        <x:v>85</x:v>
      </x:c>
      <x:c r="AM11" s="30" t="str">
        <x:v>SRC-TE-001</x:v>
      </x:c>
      <x:c r="AN11" s="30" t="n">
        <x:v>7</x:v>
      </x:c>
      <x:c r="AO11" s="30" t="str">
        <x:v>VISUALLY VERIFIED</x:v>
      </x:c>
      <x:c r="AP11" s="30" t="str">
        <x:v>Same displayed ratings as Platinum Rare; retained as distinct version.</x:v>
      </x:c>
      <x:c r="AQ11" s="27"/>
      <x:c r="AR11" s="27"/>
      <x:c r="AS11" s="27"/>
      <x:c r="AT11" s="27"/>
      <x:c r="AU11" s="27"/>
      <x:c r="AV11" s="27"/>
      <x:c r="AW11" s="27"/>
      <x:c r="AX11" s="27"/>
      <x:c r="AY11" s="27"/>
      <x:c r="AZ11" s="27"/>
    </x:row>
    <x:row r="12">
      <x:c r="A12" s="30" t="str">
        <x:v>TE-0008</x:v>
      </x:c>
      <x:c r="B12" s="30" t="str">
        <x:v>Lawson Luckie</x:v>
      </x:c>
      <x:c r="C12" s="30" t="n">
        <x:v>85</x:v>
      </x:c>
      <x:c r="D12" s="30" t="str">
        <x:v>Season 1</x:v>
      </x:c>
      <x:c r="E12" s="30" t="str">
        <x:v>Gritty Possession</x:v>
      </x:c>
      <x:c r="F12" s="30" t="n">
        <x:v>7</x:v>
      </x:c>
      <x:c r="G12" s="30" t="n">
        <x:v>83</x:v>
      </x:c>
      <x:c r="H12" s="30" t="n">
        <x:v>85</x:v>
      </x:c>
      <x:c r="I12" s="30" t="n">
        <x:v>80</x:v>
      </x:c>
      <x:c r="J12" s="30" t="n">
        <x:v>83</x:v>
      </x:c>
      <x:c r="K12" s="30" t="n">
        <x:v>76</x:v>
      </x:c>
      <x:c r="L12" s="30" t="n">
        <x:v>83</x:v>
      </x:c>
      <x:c r="M12" s="30" t="n">
        <x:v>85</x:v>
      </x:c>
      <x:c r="N12" s="30" t="n">
        <x:v>85</x:v>
      </x:c>
      <x:c r="O12" s="30" t="n">
        <x:v>86</x:v>
      </x:c>
      <x:c r="P12" s="30" t="n">
        <x:v>85</x:v>
      </x:c>
      <x:c r="Q12" s="30" t="n">
        <x:v>84</x:v>
      </x:c>
      <x:c r="R12" s="30" t="n">
        <x:v>86</x:v>
      </x:c>
      <x:c r="S12" s="30" t="n">
        <x:v>85</x:v>
      </x:c>
      <x:c r="T12" s="30" t="n">
        <x:v>70</x:v>
      </x:c>
      <x:c r="U12" s="30" t="n">
        <x:v>71</x:v>
      </x:c>
      <x:c r="V12" s="30" t="n">
        <x:v>80</x:v>
      </x:c>
      <x:c r="W12" s="30" t="n">
        <x:v>80</x:v>
      </x:c>
      <x:c r="X12" s="30" t="n">
        <x:v>72</x:v>
      </x:c>
      <x:c r="Y12" s="30" t="n">
        <x:v>80</x:v>
      </x:c>
      <x:c r="Z12" s="30" t="n">
        <x:v>83</x:v>
      </x:c>
      <x:c r="AA12" s="30" t="n">
        <x:v>81</x:v>
      </x:c>
      <x:c r="AB12" s="30" t="n">
        <x:v>87</x:v>
      </x:c>
      <x:c r="AC12" s="30" t="n">
        <x:v>84</x:v>
      </x:c>
      <x:c r="AD12" s="30" t="n">
        <x:v>85</x:v>
      </x:c>
      <x:c r="AE12" s="30" t="n">
        <x:v>82</x:v>
      </x:c>
      <x:c r="AF12" s="30" t="n">
        <x:v>73</x:v>
      </x:c>
      <x:c r="AG12" s="30" t="n">
        <x:v>76</x:v>
      </x:c>
      <x:c r="AH12" s="30" t="n">
        <x:v>68</x:v>
      </x:c>
      <x:c r="AI12" s="30" t="n">
        <x:v>60</x:v>
      </x:c>
      <x:c r="AJ12" s="30" t="n">
        <x:v>74</x:v>
      </x:c>
      <x:c r="AK12" s="30" t="n">
        <x:v>79</x:v>
      </x:c>
      <x:c r="AL12" s="30" t="n">
        <x:v>85</x:v>
      </x:c>
      <x:c r="AM12" s="30" t="str">
        <x:v>SRC-TE-001</x:v>
      </x:c>
      <x:c r="AN12" s="30" t="n">
        <x:v>8</x:v>
      </x:c>
      <x:c r="AO12" s="30" t="str">
        <x:v>VISUALLY VERIFIED</x:v>
      </x:c>
      <x:c r="AP12" s="30" t="str"/>
      <x:c r="AQ12" s="27"/>
      <x:c r="AR12" s="27"/>
      <x:c r="AS12" s="27"/>
      <x:c r="AT12" s="27"/>
      <x:c r="AU12" s="27"/>
      <x:c r="AV12" s="27"/>
      <x:c r="AW12" s="27"/>
      <x:c r="AX12" s="27"/>
      <x:c r="AY12" s="27"/>
      <x:c r="AZ12" s="27"/>
    </x:row>
    <x:row r="13">
      <x:c r="A13" s="30" t="str">
        <x:v>TE-0009</x:v>
      </x:c>
      <x:c r="B13" s="30" t="str">
        <x:v>Dorian Thomas</x:v>
      </x:c>
      <x:c r="C13" s="30" t="n">
        <x:v>85</x:v>
      </x:c>
      <x:c r="D13" s="30" t="str">
        <x:v>Platinum Rare</x:v>
      </x:c>
      <x:c r="E13" s="30" t="str">
        <x:v>Physical Route Runner</x:v>
      </x:c>
      <x:c r="F13" s="30" t="n">
        <x:v>0</x:v>
      </x:c>
      <x:c r="G13" s="30" t="n">
        <x:v>81</x:v>
      </x:c>
      <x:c r="H13" s="30" t="n">
        <x:v>81</x:v>
      </x:c>
      <x:c r="I13" s="30" t="n">
        <x:v>80</x:v>
      </x:c>
      <x:c r="J13" s="30" t="n">
        <x:v>82</x:v>
      </x:c>
      <x:c r="K13" s="30" t="n">
        <x:v>82</x:v>
      </x:c>
      <x:c r="L13" s="30" t="n">
        <x:v>77</x:v>
      </x:c>
      <x:c r="M13" s="30" t="n">
        <x:v>85</x:v>
      </x:c>
      <x:c r="N13" s="30" t="n">
        <x:v>85</x:v>
      </x:c>
      <x:c r="O13" s="30" t="n">
        <x:v>85</x:v>
      </x:c>
      <x:c r="P13" s="30" t="n">
        <x:v>85</x:v>
      </x:c>
      <x:c r="Q13" s="30" t="n">
        <x:v>83</x:v>
      </x:c>
      <x:c r="R13" s="30" t="n">
        <x:v>79</x:v>
      </x:c>
      <x:c r="S13" s="30" t="n">
        <x:v>82</x:v>
      </x:c>
      <x:c r="T13" s="30" t="n">
        <x:v>74</x:v>
      </x:c>
      <x:c r="U13" s="30" t="n">
        <x:v>79</x:v>
      </x:c>
      <x:c r="V13" s="30" t="n">
        <x:v>71</x:v>
      </x:c>
      <x:c r="W13" s="30" t="n">
        <x:v>69</x:v>
      </x:c>
      <x:c r="X13" s="30" t="n">
        <x:v>68</x:v>
      </x:c>
      <x:c r="Y13" s="30" t="n">
        <x:v>75</x:v>
      </x:c>
      <x:c r="Z13" s="30" t="n">
        <x:v>78</x:v>
      </x:c>
      <x:c r="AA13" s="30" t="n">
        <x:v>79</x:v>
      </x:c>
      <x:c r="AB13" s="30" t="n">
        <x:v>76</x:v>
      </x:c>
      <x:c r="AC13" s="30" t="n">
        <x:v>77</x:v>
      </x:c>
      <x:c r="AD13" s="30" t="n">
        <x:v>79</x:v>
      </x:c>
      <x:c r="AE13" s="30" t="n">
        <x:v>78</x:v>
      </x:c>
      <x:c r="AF13" s="30" t="n">
        <x:v>76</x:v>
      </x:c>
      <x:c r="AG13" s="30" t="n">
        <x:v>75</x:v>
      </x:c>
      <x:c r="AH13" s="30" t="n">
        <x:v>74</x:v>
      </x:c>
      <x:c r="AI13" s="30" t="n">
        <x:v>72</x:v>
      </x:c>
      <x:c r="AJ13" s="30" t="n">
        <x:v>80</x:v>
      </x:c>
      <x:c r="AK13" s="30" t="n">
        <x:v>82</x:v>
      </x:c>
      <x:c r="AL13" s="30" t="n">
        <x:v>84</x:v>
      </x:c>
      <x:c r="AM13" s="30" t="str">
        <x:v>SRC-TE-001</x:v>
      </x:c>
      <x:c r="AN13" s="30" t="n">
        <x:v>9</x:v>
      </x:c>
      <x:c r="AO13" s="30" t="str">
        <x:v>VISUALLY VERIFIED</x:v>
      </x:c>
      <x:c r="AP13" s="30" t="str"/>
      <x:c r="AQ13" s="27"/>
      <x:c r="AR13" s="27"/>
      <x:c r="AS13" s="27"/>
      <x:c r="AT13" s="27"/>
      <x:c r="AU13" s="27"/>
      <x:c r="AV13" s="27"/>
      <x:c r="AW13" s="27"/>
      <x:c r="AX13" s="27"/>
      <x:c r="AY13" s="27"/>
      <x:c r="AZ13" s="27"/>
    </x:row>
    <x:row r="14">
      <x:c r="A14" s="30" t="str">
        <x:v>TE-0010</x:v>
      </x:c>
      <x:c r="B14" s="30" t="str">
        <x:v>Pierce Walsh</x:v>
      </x:c>
      <x:c r="C14" s="30" t="n">
        <x:v>84</x:v>
      </x:c>
      <x:c r="D14" s="30" t="str">
        <x:v>Cornerstones</x:v>
      </x:c>
      <x:c r="E14" s="30" t="str">
        <x:v>Gritty Possession</x:v>
      </x:c>
      <x:c r="F14" s="30" t="n">
        <x:v>19</x:v>
      </x:c>
      <x:c r="G14" s="30" t="n">
        <x:v>81</x:v>
      </x:c>
      <x:c r="H14" s="30" t="n">
        <x:v>79</x:v>
      </x:c>
      <x:c r="I14" s="30" t="n">
        <x:v>77</x:v>
      </x:c>
      <x:c r="J14" s="30" t="n">
        <x:v>80</x:v>
      </x:c>
      <x:c r="K14" s="30" t="n">
        <x:v>81</x:v>
      </x:c>
      <x:c r="L14" s="30" t="n">
        <x:v>83</x:v>
      </x:c>
      <x:c r="M14" s="30" t="n">
        <x:v>90</x:v>
      </x:c>
      <x:c r="N14" s="30" t="n">
        <x:v>84</x:v>
      </x:c>
      <x:c r="O14" s="30" t="n">
        <x:v>84</x:v>
      </x:c>
      <x:c r="P14" s="30" t="n">
        <x:v>81</x:v>
      </x:c>
      <x:c r="Q14" s="30" t="n">
        <x:v>83</x:v>
      </x:c>
      <x:c r="R14" s="30" t="n">
        <x:v>77</x:v>
      </x:c>
      <x:c r="S14" s="30" t="n">
        <x:v>71</x:v>
      </x:c>
      <x:c r="T14" s="30" t="n">
        <x:v>76</x:v>
      </x:c>
      <x:c r="U14" s="30" t="n">
        <x:v>82</x:v>
      </x:c>
      <x:c r="V14" s="30" t="n">
        <x:v>77</x:v>
      </x:c>
      <x:c r="W14" s="30" t="n">
        <x:v>74</x:v>
      </x:c>
      <x:c r="X14" s="30" t="n">
        <x:v>76</x:v>
      </x:c>
      <x:c r="Y14" s="30" t="n">
        <x:v>83</x:v>
      </x:c>
      <x:c r="Z14" s="30" t="n">
        <x:v>80</x:v>
      </x:c>
      <x:c r="AA14" s="30" t="n">
        <x:v>75</x:v>
      </x:c>
      <x:c r="AB14" s="30" t="n">
        <x:v>82</x:v>
      </x:c>
      <x:c r="AC14" s="30" t="n">
        <x:v>80</x:v>
      </x:c>
      <x:c r="AD14" s="30" t="n">
        <x:v>82</x:v>
      </x:c>
      <x:c r="AE14" s="30" t="n">
        <x:v>81</x:v>
      </x:c>
      <x:c r="AF14" s="30" t="n">
        <x:v>69</x:v>
      </x:c>
      <x:c r="AG14" s="30" t="n">
        <x:v>65</x:v>
      </x:c>
      <x:c r="AH14" s="30" t="n">
        <x:v>68</x:v>
      </x:c>
      <x:c r="AI14" s="30" t="n">
        <x:v>79</x:v>
      </x:c>
      <x:c r="AJ14" s="30" t="n">
        <x:v>77</x:v>
      </x:c>
      <x:c r="AK14" s="30" t="n">
        <x:v>82</x:v>
      </x:c>
      <x:c r="AL14" s="30" t="n">
        <x:v>83</x:v>
      </x:c>
      <x:c r="AM14" s="30" t="str">
        <x:v>SRC-TE-001</x:v>
      </x:c>
      <x:c r="AN14" s="30" t="n">
        <x:v>10</x:v>
      </x:c>
      <x:c r="AO14" s="30" t="str">
        <x:v>VISUALLY VERIFIED</x:v>
      </x:c>
      <x:c r="AP14" s="30" t="str"/>
      <x:c r="AQ14" s="27"/>
      <x:c r="AR14" s="27"/>
      <x:c r="AS14" s="27"/>
      <x:c r="AT14" s="27"/>
      <x:c r="AU14" s="27"/>
      <x:c r="AV14" s="27"/>
      <x:c r="AW14" s="27"/>
      <x:c r="AX14" s="27"/>
      <x:c r="AY14" s="27"/>
      <x:c r="AZ14" s="27"/>
    </x:row>
    <x:row r="15">
      <x:c r="A15" s="30" t="str">
        <x:v>TE-0011</x:v>
      </x:c>
      <x:c r="B15" s="30" t="str">
        <x:v>Eli Finley</x:v>
      </x:c>
      <x:c r="C15" s="30" t="n">
        <x:v>84</x:v>
      </x:c>
      <x:c r="D15" s="30" t="str">
        <x:v>Standouts</x:v>
      </x:c>
      <x:c r="E15" s="30" t="str">
        <x:v>Gritty Possession</x:v>
      </x:c>
      <x:c r="F15" s="30" t="n">
        <x:v>84</x:v>
      </x:c>
      <x:c r="G15" s="30" t="n">
        <x:v>81</x:v>
      </x:c>
      <x:c r="H15" s="30" t="n">
        <x:v>80</x:v>
      </x:c>
      <x:c r="I15" s="30" t="n">
        <x:v>80</x:v>
      </x:c>
      <x:c r="J15" s="30" t="n">
        <x:v>80</x:v>
      </x:c>
      <x:c r="K15" s="30" t="n">
        <x:v>83</x:v>
      </x:c>
      <x:c r="L15" s="30" t="n">
        <x:v>82</x:v>
      </x:c>
      <x:c r="M15" s="30" t="n">
        <x:v>84</x:v>
      </x:c>
      <x:c r="N15" s="30" t="n">
        <x:v>86</x:v>
      </x:c>
      <x:c r="O15" s="30" t="n">
        <x:v>86</x:v>
      </x:c>
      <x:c r="P15" s="30" t="n">
        <x:v>83</x:v>
      </x:c>
      <x:c r="Q15" s="30" t="n">
        <x:v>86</x:v>
      </x:c>
      <x:c r="R15" s="30" t="n">
        <x:v>81</x:v>
      </x:c>
      <x:c r="S15" s="30" t="n">
        <x:v>84</x:v>
      </x:c>
      <x:c r="T15" s="30" t="n">
        <x:v>82</x:v>
      </x:c>
      <x:c r="U15" s="30" t="n">
        <x:v>84</x:v>
      </x:c>
      <x:c r="V15" s="30" t="n">
        <x:v>75</x:v>
      </x:c>
      <x:c r="W15" s="30" t="n">
        <x:v>75</x:v>
      </x:c>
      <x:c r="X15" s="30" t="n">
        <x:v>71</x:v>
      </x:c>
      <x:c r="Y15" s="30" t="n">
        <x:v>80</x:v>
      </x:c>
      <x:c r="Z15" s="30" t="n">
        <x:v>81</x:v>
      </x:c>
      <x:c r="AA15" s="30" t="n">
        <x:v>80</x:v>
      </x:c>
      <x:c r="AB15" s="30" t="n">
        <x:v>82</x:v>
      </x:c>
      <x:c r="AC15" s="30" t="n">
        <x:v>74</x:v>
      </x:c>
      <x:c r="AD15" s="30" t="n">
        <x:v>80</x:v>
      </x:c>
      <x:c r="AE15" s="30" t="n">
        <x:v>76</x:v>
      </x:c>
      <x:c r="AF15" s="30" t="n">
        <x:v>66</x:v>
      </x:c>
      <x:c r="AG15" s="30" t="n">
        <x:v>71</x:v>
      </x:c>
      <x:c r="AH15" s="30" t="n">
        <x:v>73</x:v>
      </x:c>
      <x:c r="AI15" s="30" t="n">
        <x:v>72</x:v>
      </x:c>
      <x:c r="AJ15" s="30" t="n">
        <x:v>78</x:v>
      </x:c>
      <x:c r="AK15" s="30" t="n">
        <x:v>80</x:v>
      </x:c>
      <x:c r="AL15" s="30" t="n">
        <x:v>86</x:v>
      </x:c>
      <x:c r="AM15" s="30" t="str">
        <x:v>SRC-TE-001</x:v>
      </x:c>
      <x:c r="AN15" s="30" t="n">
        <x:v>11</x:v>
      </x:c>
      <x:c r="AO15" s="30" t="str">
        <x:v>VISUALLY VERIFIED</x:v>
      </x:c>
      <x:c r="AP15" s="30" t="str"/>
      <x:c r="AQ15" s="27"/>
      <x:c r="AR15" s="27"/>
      <x:c r="AS15" s="27"/>
      <x:c r="AT15" s="27"/>
      <x:c r="AU15" s="27"/>
      <x:c r="AV15" s="27"/>
      <x:c r="AW15" s="27"/>
      <x:c r="AX15" s="27"/>
      <x:c r="AY15" s="27"/>
      <x:c r="AZ15" s="27"/>
    </x:row>
    <x:row r="16">
      <x:c r="A16" s="30" t="str">
        <x:v>TE-0012</x:v>
      </x:c>
      <x:c r="B16" s="30" t="str">
        <x:v>Ethan Malafa</x:v>
      </x:c>
      <x:c r="C16" s="30" t="n">
        <x:v>84</x:v>
      </x:c>
      <x:c r="D16" s="30" t="str">
        <x:v>Cornerstones</x:v>
      </x:c>
      <x:c r="E16" s="30" t="str">
        <x:v>Pure Blocker</x:v>
      </x:c>
      <x:c r="F16" s="30" t="n">
        <x:v>81</x:v>
      </x:c>
      <x:c r="G16" s="30" t="n">
        <x:v>80</x:v>
      </x:c>
      <x:c r="H16" s="30" t="n">
        <x:v>78</x:v>
      </x:c>
      <x:c r="I16" s="30" t="n">
        <x:v>76</x:v>
      </x:c>
      <x:c r="J16" s="30" t="n">
        <x:v>80</x:v>
      </x:c>
      <x:c r="K16" s="30" t="n">
        <x:v>82</x:v>
      </x:c>
      <x:c r="L16" s="30" t="n">
        <x:v>80</x:v>
      </x:c>
      <x:c r="M16" s="30" t="n">
        <x:v>90</x:v>
      </x:c>
      <x:c r="N16" s="30" t="n">
        <x:v>82</x:v>
      </x:c>
      <x:c r="O16" s="30" t="n">
        <x:v>80</x:v>
      </x:c>
      <x:c r="P16" s="30" t="n">
        <x:v>80</x:v>
      </x:c>
      <x:c r="Q16" s="30" t="n">
        <x:v>81</x:v>
      </x:c>
      <x:c r="R16" s="30" t="n">
        <x:v>75</x:v>
      </x:c>
      <x:c r="S16" s="30" t="n">
        <x:v>70</x:v>
      </x:c>
      <x:c r="T16" s="30" t="n">
        <x:v>76</x:v>
      </x:c>
      <x:c r="U16" s="30" t="n">
        <x:v>82</x:v>
      </x:c>
      <x:c r="V16" s="30" t="n">
        <x:v>75</x:v>
      </x:c>
      <x:c r="W16" s="30" t="n">
        <x:v>69</x:v>
      </x:c>
      <x:c r="X16" s="30" t="n">
        <x:v>68</x:v>
      </x:c>
      <x:c r="Y16" s="30" t="n">
        <x:v>77</x:v>
      </x:c>
      <x:c r="Z16" s="30" t="n">
        <x:v>78</x:v>
      </x:c>
      <x:c r="AA16" s="30" t="n">
        <x:v>77</x:v>
      </x:c>
      <x:c r="AB16" s="30" t="n">
        <x:v>78</x:v>
      </x:c>
      <x:c r="AC16" s="30" t="n">
        <x:v>84</x:v>
      </x:c>
      <x:c r="AD16" s="30" t="n">
        <x:v>84</x:v>
      </x:c>
      <x:c r="AE16" s="30" t="n">
        <x:v>82</x:v>
      </x:c>
      <x:c r="AF16" s="30" t="n">
        <x:v>74</x:v>
      </x:c>
      <x:c r="AG16" s="30" t="n">
        <x:v>70</x:v>
      </x:c>
      <x:c r="AH16" s="30" t="n">
        <x:v>70</x:v>
      </x:c>
      <x:c r="AI16" s="30" t="n">
        <x:v>76</x:v>
      </x:c>
      <x:c r="AJ16" s="30" t="n">
        <x:v>79</x:v>
      </x:c>
      <x:c r="AK16" s="30" t="n">
        <x:v>82</x:v>
      </x:c>
      <x:c r="AL16" s="30" t="n">
        <x:v>81</x:v>
      </x:c>
      <x:c r="AM16" s="30" t="str">
        <x:v>SRC-TE-001</x:v>
      </x:c>
      <x:c r="AN16" s="30" t="n">
        <x:v>12</x:v>
      </x:c>
      <x:c r="AO16" s="30" t="str">
        <x:v>VISUALLY VERIFIED</x:v>
      </x:c>
      <x:c r="AP16" s="30" t="str"/>
      <x:c r="AQ16" s="27"/>
      <x:c r="AR16" s="27"/>
      <x:c r="AS16" s="27"/>
      <x:c r="AT16" s="27"/>
      <x:c r="AU16" s="27"/>
      <x:c r="AV16" s="27"/>
      <x:c r="AW16" s="27"/>
      <x:c r="AX16" s="27"/>
      <x:c r="AY16" s="27"/>
      <x:c r="AZ16" s="27"/>
    </x:row>
    <x:row r="17">
      <x:c r="A17" s="30" t="str">
        <x:v>TE-0013</x:v>
      </x:c>
      <x:c r="B17" s="30" t="str">
        <x:v>Ozzie Newsome</x:v>
      </x:c>
      <x:c r="C17" s="30" t="n">
        <x:v>84</x:v>
      </x:c>
      <x:c r="D17" s="30" t="str">
        <x:v>S1 Legends - Classic</x:v>
      </x:c>
      <x:c r="E17" s="30" t="str">
        <x:v>Gritty Possession</x:v>
      </x:c>
      <x:c r="F17" s="30" t="n">
        <x:v>82</x:v>
      </x:c>
      <x:c r="G17" s="30" t="n">
        <x:v>81</x:v>
      </x:c>
      <x:c r="H17" s="30" t="n">
        <x:v>80</x:v>
      </x:c>
      <x:c r="I17" s="30" t="n">
        <x:v>79</x:v>
      </x:c>
      <x:c r="J17" s="30" t="n">
        <x:v>80</x:v>
      </x:c>
      <x:c r="K17" s="30" t="n">
        <x:v>82</x:v>
      </x:c>
      <x:c r="L17" s="30" t="n">
        <x:v>83</x:v>
      </x:c>
      <x:c r="M17" s="30" t="n">
        <x:v>90</x:v>
      </x:c>
      <x:c r="N17" s="30" t="n">
        <x:v>84</x:v>
      </x:c>
      <x:c r="O17" s="30" t="n">
        <x:v>83</x:v>
      </x:c>
      <x:c r="P17" s="30" t="n">
        <x:v>81</x:v>
      </x:c>
      <x:c r="Q17" s="30" t="n">
        <x:v>79</x:v>
      </x:c>
      <x:c r="R17" s="30" t="n">
        <x:v>78</x:v>
      </x:c>
      <x:c r="S17" s="30" t="n">
        <x:v>76</x:v>
      </x:c>
      <x:c r="T17" s="30" t="n">
        <x:v>81</x:v>
      </x:c>
      <x:c r="U17" s="30" t="n">
        <x:v>82</x:v>
      </x:c>
      <x:c r="V17" s="30" t="n">
        <x:v>78</x:v>
      </x:c>
      <x:c r="W17" s="30" t="n">
        <x:v>76</x:v>
      </x:c>
      <x:c r="X17" s="30" t="n">
        <x:v>76</x:v>
      </x:c>
      <x:c r="Y17" s="30" t="n">
        <x:v>81</x:v>
      </x:c>
      <x:c r="Z17" s="30" t="n">
        <x:v>79</x:v>
      </x:c>
      <x:c r="AA17" s="30" t="n">
        <x:v>78</x:v>
      </x:c>
      <x:c r="AB17" s="30" t="n">
        <x:v>78</x:v>
      </x:c>
      <x:c r="AC17" s="30" t="n">
        <x:v>79</x:v>
      </x:c>
      <x:c r="AD17" s="30" t="n">
        <x:v>78</x:v>
      </x:c>
      <x:c r="AE17" s="30" t="n">
        <x:v>77</x:v>
      </x:c>
      <x:c r="AF17" s="30" t="n">
        <x:v>76</x:v>
      </x:c>
      <x:c r="AG17" s="30" t="n">
        <x:v>75</x:v>
      </x:c>
      <x:c r="AH17" s="30" t="n">
        <x:v>74</x:v>
      </x:c>
      <x:c r="AI17" s="30" t="n">
        <x:v>80</x:v>
      </x:c>
      <x:c r="AJ17" s="30" t="n">
        <x:v>81</x:v>
      </x:c>
      <x:c r="AK17" s="30" t="n">
        <x:v>83</x:v>
      </x:c>
      <x:c r="AL17" s="30" t="n">
        <x:v>84</x:v>
      </x:c>
      <x:c r="AM17" s="30" t="str">
        <x:v>SRC-TE-001</x:v>
      </x:c>
      <x:c r="AN17" s="30" t="n">
        <x:v>13</x:v>
      </x:c>
      <x:c r="AO17" s="30" t="str">
        <x:v>VISUALLY VERIFIED</x:v>
      </x:c>
      <x:c r="AP17" s="30" t="str"/>
      <x:c r="AQ17" s="27"/>
      <x:c r="AR17" s="27"/>
      <x:c r="AS17" s="27"/>
      <x:c r="AT17" s="27"/>
      <x:c r="AU17" s="27"/>
      <x:c r="AV17" s="27"/>
      <x:c r="AW17" s="27"/>
      <x:c r="AX17" s="27"/>
      <x:c r="AY17" s="27"/>
      <x:c r="AZ17" s="27"/>
    </x:row>
    <x:row r="18">
      <x:c r="A18" s="30" t="str">
        <x:v>TE-0014</x:v>
      </x:c>
      <x:c r="B18" s="30" t="str">
        <x:v>Benjamin Brahmer</x:v>
      </x:c>
      <x:c r="C18" s="30" t="n">
        <x:v>84</x:v>
      </x:c>
      <x:c r="D18" s="30" t="str">
        <x:v>Platinum Rare</x:v>
      </x:c>
      <x:c r="E18" s="30" t="str">
        <x:v>Vertical Threat</x:v>
      </x:c>
      <x:c r="F18" s="30" t="n">
        <x:v>18</x:v>
      </x:c>
      <x:c r="G18" s="30" t="n">
        <x:v>80</x:v>
      </x:c>
      <x:c r="H18" s="30" t="n">
        <x:v>79</x:v>
      </x:c>
      <x:c r="I18" s="30" t="n">
        <x:v>71</x:v>
      </x:c>
      <x:c r="J18" s="30" t="n">
        <x:v>83</x:v>
      </x:c>
      <x:c r="K18" s="30" t="n">
        <x:v>80</x:v>
      </x:c>
      <x:c r="L18" s="30" t="n">
        <x:v>81</x:v>
      </x:c>
      <x:c r="M18" s="30" t="n">
        <x:v>80</x:v>
      </x:c>
      <x:c r="N18" s="30" t="n">
        <x:v>84</x:v>
      </x:c>
      <x:c r="O18" s="30" t="n">
        <x:v>82</x:v>
      </x:c>
      <x:c r="P18" s="30" t="n">
        <x:v>81</x:v>
      </x:c>
      <x:c r="Q18" s="30" t="n">
        <x:v>82</x:v>
      </x:c>
      <x:c r="R18" s="30" t="n">
        <x:v>81</x:v>
      </x:c>
      <x:c r="S18" s="30" t="n">
        <x:v>84</x:v>
      </x:c>
      <x:c r="T18" s="30" t="n">
        <x:v>80</x:v>
      </x:c>
      <x:c r="U18" s="30" t="n">
        <x:v>79</x:v>
      </x:c>
      <x:c r="V18" s="30" t="n">
        <x:v>73</x:v>
      </x:c>
      <x:c r="W18" s="30" t="n">
        <x:v>68</x:v>
      </x:c>
      <x:c r="X18" s="30" t="n">
        <x:v>70</x:v>
      </x:c>
      <x:c r="Y18" s="30" t="n">
        <x:v>71</x:v>
      </x:c>
      <x:c r="Z18" s="30" t="n">
        <x:v>84</x:v>
      </x:c>
      <x:c r="AA18" s="30" t="n">
        <x:v>77</x:v>
      </x:c>
      <x:c r="AB18" s="30" t="n">
        <x:v>70</x:v>
      </x:c>
      <x:c r="AC18" s="30" t="n">
        <x:v>77</x:v>
      </x:c>
      <x:c r="AD18" s="30" t="n">
        <x:v>82</x:v>
      </x:c>
      <x:c r="AE18" s="30" t="n">
        <x:v>73</x:v>
      </x:c>
      <x:c r="AF18" s="30" t="n">
        <x:v>59</x:v>
      </x:c>
      <x:c r="AG18" s="30" t="n">
        <x:v>66</x:v>
      </x:c>
      <x:c r="AH18" s="30" t="n">
        <x:v>73</x:v>
      </x:c>
      <x:c r="AI18" s="30" t="n">
        <x:v>78</x:v>
      </x:c>
      <x:c r="AJ18" s="30" t="n">
        <x:v>76</x:v>
      </x:c>
      <x:c r="AK18" s="30" t="n">
        <x:v>80</x:v>
      </x:c>
      <x:c r="AL18" s="30" t="n">
        <x:v>83</x:v>
      </x:c>
      <x:c r="AM18" s="30" t="str">
        <x:v>SRC-TE-001</x:v>
      </x:c>
      <x:c r="AN18" s="30" t="n">
        <x:v>14</x:v>
      </x:c>
      <x:c r="AO18" s="30" t="str">
        <x:v>VISUALLY VERIFIED</x:v>
      </x:c>
      <x:c r="AP18" s="30" t="str"/>
      <x:c r="AQ18" s="27"/>
      <x:c r="AR18" s="27"/>
      <x:c r="AS18" s="27"/>
      <x:c r="AT18" s="27"/>
      <x:c r="AU18" s="27"/>
      <x:c r="AV18" s="27"/>
      <x:c r="AW18" s="27"/>
      <x:c r="AX18" s="27"/>
      <x:c r="AY18" s="27"/>
      <x:c r="AZ18" s="27"/>
    </x:row>
    <x:row r="19">
      <x:c r="A19" s="30" t="str">
        <x:v>TE-0015</x:v>
      </x:c>
      <x:c r="B19" s="30" t="str">
        <x:v>Peter Clarke</x:v>
      </x:c>
      <x:c r="C19" s="30" t="n">
        <x:v>84</x:v>
      </x:c>
      <x:c r="D19" s="30" t="str">
        <x:v>Core Rare</x:v>
      </x:c>
      <x:c r="E19" s="30" t="str">
        <x:v>Physical Route Runner</x:v>
      </x:c>
      <x:c r="F19" s="30" t="n">
        <x:v>88</x:v>
      </x:c>
      <x:c r="G19" s="30" t="n">
        <x:v>79</x:v>
      </x:c>
      <x:c r="H19" s="30" t="n">
        <x:v>76</x:v>
      </x:c>
      <x:c r="I19" s="30" t="n">
        <x:v>72</x:v>
      </x:c>
      <x:c r="J19" s="30" t="n">
        <x:v>84</x:v>
      </x:c>
      <x:c r="K19" s="30" t="n">
        <x:v>83</x:v>
      </x:c>
      <x:c r="L19" s="30" t="n">
        <x:v>80</x:v>
      </x:c>
      <x:c r="M19" s="30" t="n">
        <x:v>84</x:v>
      </x:c>
      <x:c r="N19" s="30" t="n">
        <x:v>84</x:v>
      </x:c>
      <x:c r="O19" s="30" t="n">
        <x:v>84</x:v>
      </x:c>
      <x:c r="P19" s="30" t="n">
        <x:v>80</x:v>
      </x:c>
      <x:c r="Q19" s="30" t="n">
        <x:v>82</x:v>
      </x:c>
      <x:c r="R19" s="30" t="n">
        <x:v>78</x:v>
      </x:c>
      <x:c r="S19" s="30" t="n">
        <x:v>81</x:v>
      </x:c>
      <x:c r="T19" s="30" t="n">
        <x:v>83</x:v>
      </x:c>
      <x:c r="U19" s="30" t="n">
        <x:v>84</x:v>
      </x:c>
      <x:c r="V19" s="30" t="n">
        <x:v>60</x:v>
      </x:c>
      <x:c r="W19" s="30" t="n">
        <x:v>59</x:v>
      </x:c>
      <x:c r="X19" s="30" t="n">
        <x:v>64</x:v>
      </x:c>
      <x:c r="Y19" s="30" t="n">
        <x:v>81</x:v>
      </x:c>
      <x:c r="Z19" s="30" t="n">
        <x:v>83</x:v>
      </x:c>
      <x:c r="AA19" s="30" t="n">
        <x:v>69</x:v>
      </x:c>
      <x:c r="AB19" s="30" t="n">
        <x:v>63</x:v>
      </x:c>
      <x:c r="AC19" s="30" t="n">
        <x:v>80</x:v>
      </x:c>
      <x:c r="AD19" s="30" t="n">
        <x:v>81</x:v>
      </x:c>
      <x:c r="AE19" s="30" t="n">
        <x:v>80</x:v>
      </x:c>
      <x:c r="AF19" s="30" t="n">
        <x:v>77</x:v>
      </x:c>
      <x:c r="AG19" s="30" t="n">
        <x:v>81</x:v>
      </x:c>
      <x:c r="AH19" s="30" t="n">
        <x:v>80</x:v>
      </x:c>
      <x:c r="AI19" s="30" t="n">
        <x:v>79</x:v>
      </x:c>
      <x:c r="AJ19" s="30" t="n">
        <x:v>81</x:v>
      </x:c>
      <x:c r="AK19" s="30" t="n">
        <x:v>81</x:v>
      </x:c>
      <x:c r="AL19" s="30" t="n">
        <x:v>83</x:v>
      </x:c>
      <x:c r="AM19" s="30" t="str">
        <x:v>SRC-TE-001</x:v>
      </x:c>
      <x:c r="AN19" s="30" t="n">
        <x:v>15</x:v>
      </x:c>
      <x:c r="AO19" s="30" t="str">
        <x:v>VISUALLY VERIFIED</x:v>
      </x:c>
      <x:c r="AP19" s="30" t="str"/>
      <x:c r="AQ19" s="27"/>
      <x:c r="AR19" s="27"/>
      <x:c r="AS19" s="27"/>
      <x:c r="AT19" s="27"/>
      <x:c r="AU19" s="27"/>
      <x:c r="AV19" s="27"/>
      <x:c r="AW19" s="27"/>
      <x:c r="AX19" s="27"/>
      <x:c r="AY19" s="27"/>
      <x:c r="AZ19" s="27"/>
    </x:row>
    <x:row r="20">
      <x:c r="A20" s="30" t="str">
        <x:v>TE-0016</x:v>
      </x:c>
      <x:c r="B20" s="30" t="str">
        <x:v>Dorian Fleming</x:v>
      </x:c>
      <x:c r="C20" s="30" t="n">
        <x:v>84</x:v>
      </x:c>
      <x:c r="D20" s="30" t="str">
        <x:v>Platinum Rare</x:v>
      </x:c>
      <x:c r="E20" s="30" t="str">
        <x:v>Physical Route Runner</x:v>
      </x:c>
      <x:c r="F20" s="30" t="n">
        <x:v>9</x:v>
      </x:c>
      <x:c r="G20" s="30" t="n">
        <x:v>81</x:v>
      </x:c>
      <x:c r="H20" s="30" t="n">
        <x:v>80</x:v>
      </x:c>
      <x:c r="I20" s="30" t="n">
        <x:v>77</x:v>
      </x:c>
      <x:c r="J20" s="30" t="n">
        <x:v>84</x:v>
      </x:c>
      <x:c r="K20" s="30" t="n">
        <x:v>78</x:v>
      </x:c>
      <x:c r="L20" s="30" t="n">
        <x:v>80</x:v>
      </x:c>
      <x:c r="M20" s="30" t="n">
        <x:v>81</x:v>
      </x:c>
      <x:c r="N20" s="30" t="n">
        <x:v>84</x:v>
      </x:c>
      <x:c r="O20" s="30" t="n">
        <x:v>80</x:v>
      </x:c>
      <x:c r="P20" s="30" t="n">
        <x:v>84</x:v>
      </x:c>
      <x:c r="Q20" s="30" t="n">
        <x:v>84</x:v>
      </x:c>
      <x:c r="R20" s="30" t="n">
        <x:v>83</x:v>
      </x:c>
      <x:c r="S20" s="30" t="n">
        <x:v>84</x:v>
      </x:c>
      <x:c r="T20" s="30" t="n">
        <x:v>78</x:v>
      </x:c>
      <x:c r="U20" s="30" t="n">
        <x:v>81</x:v>
      </x:c>
      <x:c r="V20" s="30" t="n">
        <x:v>84</x:v>
      </x:c>
      <x:c r="W20" s="30" t="n">
        <x:v>77</x:v>
      </x:c>
      <x:c r="X20" s="30" t="n">
        <x:v>78</x:v>
      </x:c>
      <x:c r="Y20" s="30" t="n">
        <x:v>83</x:v>
      </x:c>
      <x:c r="Z20" s="30" t="n">
        <x:v>74</x:v>
      </x:c>
      <x:c r="AA20" s="30" t="n">
        <x:v>83</x:v>
      </x:c>
      <x:c r="AB20" s="30" t="n">
        <x:v>84</x:v>
      </x:c>
      <x:c r="AC20" s="30" t="n">
        <x:v>70</x:v>
      </x:c>
      <x:c r="AD20" s="30" t="n">
        <x:v>72</x:v>
      </x:c>
      <x:c r="AE20" s="30" t="n">
        <x:v>69</x:v>
      </x:c>
      <x:c r="AF20" s="30" t="n">
        <x:v>68</x:v>
      </x:c>
      <x:c r="AG20" s="30" t="n">
        <x:v>72</x:v>
      </x:c>
      <x:c r="AH20" s="30" t="n">
        <x:v>70</x:v>
      </x:c>
      <x:c r="AI20" s="30" t="n">
        <x:v>69</x:v>
      </x:c>
      <x:c r="AJ20" s="30" t="n">
        <x:v>75</x:v>
      </x:c>
      <x:c r="AK20" s="30" t="n">
        <x:v>81</x:v>
      </x:c>
      <x:c r="AL20" s="30" t="n">
        <x:v>84</x:v>
      </x:c>
      <x:c r="AM20" s="30" t="str">
        <x:v>SRC-TE-001</x:v>
      </x:c>
      <x:c r="AN20" s="30" t="n">
        <x:v>16</x:v>
      </x:c>
      <x:c r="AO20" s="30" t="str">
        <x:v>VISUALLY VERIFIED</x:v>
      </x:c>
      <x:c r="AP20" s="30" t="str"/>
      <x:c r="AQ20" s="27"/>
      <x:c r="AR20" s="27"/>
      <x:c r="AS20" s="27"/>
      <x:c r="AT20" s="27"/>
      <x:c r="AU20" s="27"/>
      <x:c r="AV20" s="27"/>
      <x:c r="AW20" s="27"/>
      <x:c r="AX20" s="27"/>
      <x:c r="AY20" s="27"/>
      <x:c r="AZ20" s="27"/>
    </x:row>
    <x:row r="21">
      <x:c r="A21" s="30" t="str">
        <x:v>TE-0017</x:v>
      </x:c>
      <x:c r="B21" s="30" t="str">
        <x:v>Luke Hasz</x:v>
      </x:c>
      <x:c r="C21" s="30" t="n">
        <x:v>84</x:v>
      </x:c>
      <x:c r="D21" s="30" t="str">
        <x:v>Core Rare</x:v>
      </x:c>
      <x:c r="E21" s="30" t="str">
        <x:v>Vertical Threat</x:v>
      </x:c>
      <x:c r="F21" s="30" t="n">
        <x:v>9</x:v>
      </x:c>
      <x:c r="G21" s="30" t="n">
        <x:v>83</x:v>
      </x:c>
      <x:c r="H21" s="30" t="n">
        <x:v>81</x:v>
      </x:c>
      <x:c r="I21" s="30" t="n">
        <x:v>77</x:v>
      </x:c>
      <x:c r="J21" s="30" t="n">
        <x:v>83</x:v>
      </x:c>
      <x:c r="K21" s="30" t="n">
        <x:v>77</x:v>
      </x:c>
      <x:c r="L21" s="30" t="n">
        <x:v>82</x:v>
      </x:c>
      <x:c r="M21" s="30" t="n">
        <x:v>80</x:v>
      </x:c>
      <x:c r="N21" s="30" t="n">
        <x:v>84</x:v>
      </x:c>
      <x:c r="O21" s="30" t="n">
        <x:v>80</x:v>
      </x:c>
      <x:c r="P21" s="30" t="n">
        <x:v>83</x:v>
      </x:c>
      <x:c r="Q21" s="30" t="n">
        <x:v>83</x:v>
      </x:c>
      <x:c r="R21" s="30" t="n">
        <x:v>83</x:v>
      </x:c>
      <x:c r="S21" s="30" t="n">
        <x:v>83</x:v>
      </x:c>
      <x:c r="T21" s="30" t="n">
        <x:v>82</x:v>
      </x:c>
      <x:c r="U21" s="30" t="n">
        <x:v>79</x:v>
      </x:c>
      <x:c r="V21" s="30" t="n">
        <x:v>75</x:v>
      </x:c>
      <x:c r="W21" s="30" t="n">
        <x:v>75</x:v>
      </x:c>
      <x:c r="X21" s="30" t="n">
        <x:v>75</x:v>
      </x:c>
      <x:c r="Y21" s="30" t="n">
        <x:v>61</x:v>
      </x:c>
      <x:c r="Z21" s="30" t="n">
        <x:v>69</x:v>
      </x:c>
      <x:c r="AA21" s="30" t="n">
        <x:v>79</x:v>
      </x:c>
      <x:c r="AB21" s="30" t="n">
        <x:v>76</x:v>
      </x:c>
      <x:c r="AC21" s="30" t="n">
        <x:v>63</x:v>
      </x:c>
      <x:c r="AD21" s="30" t="n">
        <x:v>76</x:v>
      </x:c>
      <x:c r="AE21" s="30" t="n">
        <x:v>67</x:v>
      </x:c>
      <x:c r="AF21" s="30" t="n">
        <x:v>73</x:v>
      </x:c>
      <x:c r="AG21" s="30" t="n">
        <x:v>80</x:v>
      </x:c>
      <x:c r="AH21" s="30" t="n">
        <x:v>77</x:v>
      </x:c>
      <x:c r="AI21" s="30" t="n">
        <x:v>63</x:v>
      </x:c>
      <x:c r="AJ21" s="30" t="n">
        <x:v>74</x:v>
      </x:c>
      <x:c r="AK21" s="30" t="n">
        <x:v>78</x:v>
      </x:c>
      <x:c r="AL21" s="30" t="n">
        <x:v>84</x:v>
      </x:c>
      <x:c r="AM21" s="30" t="str">
        <x:v>SRC-TE-001</x:v>
      </x:c>
      <x:c r="AN21" s="30" t="n">
        <x:v>17</x:v>
      </x:c>
      <x:c r="AO21" s="30" t="str">
        <x:v>VISUALLY VERIFIED</x:v>
      </x:c>
      <x:c r="AP21" s="30" t="str"/>
      <x:c r="AQ21" s="27"/>
      <x:c r="AR21" s="27"/>
      <x:c r="AS21" s="27"/>
      <x:c r="AT21" s="27"/>
      <x:c r="AU21" s="27"/>
      <x:c r="AV21" s="27"/>
      <x:c r="AW21" s="27"/>
      <x:c r="AX21" s="27"/>
      <x:c r="AY21" s="27"/>
      <x:c r="AZ21" s="27"/>
    </x:row>
    <x:row r="22">
      <x:c r="A22" s="30" t="str">
        <x:v>TE-0018</x:v>
      </x:c>
      <x:c r="B22" s="30" t="str">
        <x:v>Garrett Oakley</x:v>
      </x:c>
      <x:c r="C22" s="30" t="n">
        <x:v>84</x:v>
      </x:c>
      <x:c r="D22" s="30" t="str">
        <x:v>Core Rare</x:v>
      </x:c>
      <x:c r="E22" s="30" t="str">
        <x:v>Physical Route Runner</x:v>
      </x:c>
      <x:c r="F22" s="30" t="n">
        <x:v>86</x:v>
      </x:c>
      <x:c r="G22" s="30" t="n">
        <x:v>82</x:v>
      </x:c>
      <x:c r="H22" s="30" t="n">
        <x:v>83</x:v>
      </x:c>
      <x:c r="I22" s="30" t="n">
        <x:v>76</x:v>
      </x:c>
      <x:c r="J22" s="30" t="n">
        <x:v>82</x:v>
      </x:c>
      <x:c r="K22" s="30" t="n">
        <x:v>78</x:v>
      </x:c>
      <x:c r="L22" s="30" t="n">
        <x:v>85</x:v>
      </x:c>
      <x:c r="M22" s="30" t="n">
        <x:v>85</x:v>
      </x:c>
      <x:c r="N22" s="30" t="n">
        <x:v>85</x:v>
      </x:c>
      <x:c r="O22" s="30" t="n">
        <x:v>84</x:v>
      </x:c>
      <x:c r="P22" s="30" t="n">
        <x:v>86</x:v>
      </x:c>
      <x:c r="Q22" s="30" t="n">
        <x:v>82</x:v>
      </x:c>
      <x:c r="R22" s="30" t="n">
        <x:v>79</x:v>
      </x:c>
      <x:c r="S22" s="30" t="n">
        <x:v>83</x:v>
      </x:c>
      <x:c r="T22" s="30" t="n">
        <x:v>80</x:v>
      </x:c>
      <x:c r="U22" s="30" t="n">
        <x:v>78</x:v>
      </x:c>
      <x:c r="V22" s="30" t="n">
        <x:v>76</x:v>
      </x:c>
      <x:c r="W22" s="30" t="n">
        <x:v>75</x:v>
      </x:c>
      <x:c r="X22" s="30" t="n">
        <x:v>77</x:v>
      </x:c>
      <x:c r="Y22" s="30" t="n">
        <x:v>62</x:v>
      </x:c>
      <x:c r="Z22" s="30" t="n">
        <x:v>74</x:v>
      </x:c>
      <x:c r="AA22" s="30" t="n">
        <x:v>81</x:v>
      </x:c>
      <x:c r="AB22" s="30" t="n">
        <x:v>77</x:v>
      </x:c>
      <x:c r="AC22" s="30" t="n">
        <x:v>78</x:v>
      </x:c>
      <x:c r="AD22" s="30" t="n">
        <x:v>81</x:v>
      </x:c>
      <x:c r="AE22" s="30" t="n">
        <x:v>76</x:v>
      </x:c>
      <x:c r="AF22" s="30" t="n">
        <x:v>59</x:v>
      </x:c>
      <x:c r="AG22" s="30" t="n">
        <x:v>72</x:v>
      </x:c>
      <x:c r="AH22" s="30" t="n">
        <x:v>64</x:v>
      </x:c>
      <x:c r="AI22" s="30" t="n">
        <x:v>72</x:v>
      </x:c>
      <x:c r="AJ22" s="30" t="n">
        <x:v>79</x:v>
      </x:c>
      <x:c r="AK22" s="30" t="n">
        <x:v>80</x:v>
      </x:c>
      <x:c r="AL22" s="30" t="n">
        <x:v>85</x:v>
      </x:c>
      <x:c r="AM22" s="30" t="str">
        <x:v>SRC-TE-001</x:v>
      </x:c>
      <x:c r="AN22" s="30" t="n">
        <x:v>18</x:v>
      </x:c>
      <x:c r="AO22" s="30" t="str">
        <x:v>VISUALLY VERIFIED</x:v>
      </x:c>
      <x:c r="AP22" s="30" t="str"/>
      <x:c r="AQ22" s="27"/>
      <x:c r="AR22" s="27"/>
      <x:c r="AS22" s="27"/>
      <x:c r="AT22" s="27"/>
      <x:c r="AU22" s="27"/>
      <x:c r="AV22" s="27"/>
      <x:c r="AW22" s="27"/>
      <x:c r="AX22" s="27"/>
      <x:c r="AY22" s="27"/>
      <x:c r="AZ22" s="27"/>
    </x:row>
    <x:row r="23">
      <x:c r="A23" s="30" t="str">
        <x:v>TE-0019</x:v>
      </x:c>
      <x:c r="B23" s="30" t="str">
        <x:v>Dylan Wade</x:v>
      </x:c>
      <x:c r="C23" s="30" t="n">
        <x:v>84</x:v>
      </x:c>
      <x:c r="D23" s="30" t="str">
        <x:v>Platinum Rare</x:v>
      </x:c>
      <x:c r="E23" s="30" t="str">
        <x:v>Vertical Threat</x:v>
      </x:c>
      <x:c r="F23" s="30" t="n">
        <x:v>0</x:v>
      </x:c>
      <x:c r="G23" s="30" t="n">
        <x:v>83</x:v>
      </x:c>
      <x:c r="H23" s="30" t="n">
        <x:v>83</x:v>
      </x:c>
      <x:c r="I23" s="30" t="n">
        <x:v>78</x:v>
      </x:c>
      <x:c r="J23" s="30" t="n">
        <x:v>79</x:v>
      </x:c>
      <x:c r="K23" s="30" t="n">
        <x:v>75</x:v>
      </x:c>
      <x:c r="L23" s="30" t="n">
        <x:v>84</x:v>
      </x:c>
      <x:c r="M23" s="30" t="n">
        <x:v>80</x:v>
      </x:c>
      <x:c r="N23" s="30" t="n">
        <x:v>83</x:v>
      </x:c>
      <x:c r="O23" s="30" t="n">
        <x:v>81</x:v>
      </x:c>
      <x:c r="P23" s="30" t="n">
        <x:v>82</x:v>
      </x:c>
      <x:c r="Q23" s="30" t="n">
        <x:v>84</x:v>
      </x:c>
      <x:c r="R23" s="30" t="n">
        <x:v>84</x:v>
      </x:c>
      <x:c r="S23" s="30" t="n">
        <x:v>84</x:v>
      </x:c>
      <x:c r="T23" s="30" t="n">
        <x:v>77</x:v>
      </x:c>
      <x:c r="U23" s="30" t="n">
        <x:v>79</x:v>
      </x:c>
      <x:c r="V23" s="30" t="n">
        <x:v>83</x:v>
      </x:c>
      <x:c r="W23" s="30" t="n">
        <x:v>77</x:v>
      </x:c>
      <x:c r="X23" s="30" t="n">
        <x:v>78</x:v>
      </x:c>
      <x:c r="Y23" s="30" t="n">
        <x:v>69</x:v>
      </x:c>
      <x:c r="Z23" s="30" t="n">
        <x:v>83</x:v>
      </x:c>
      <x:c r="AA23" s="30" t="n">
        <x:v>84</x:v>
      </x:c>
      <x:c r="AB23" s="30" t="n">
        <x:v>83</x:v>
      </x:c>
      <x:c r="AC23" s="30" t="n">
        <x:v>61</x:v>
      </x:c>
      <x:c r="AD23" s="30" t="n">
        <x:v>68</x:v>
      </x:c>
      <x:c r="AE23" s="30" t="n">
        <x:v>67</x:v>
      </x:c>
      <x:c r="AF23" s="30" t="n">
        <x:v>59</x:v>
      </x:c>
      <x:c r="AG23" s="30" t="n">
        <x:v>65</x:v>
      </x:c>
      <x:c r="AH23" s="30" t="n">
        <x:v>63</x:v>
      </x:c>
      <x:c r="AI23" s="30" t="n">
        <x:v>61</x:v>
      </x:c>
      <x:c r="AJ23" s="30" t="n">
        <x:v>72</x:v>
      </x:c>
      <x:c r="AK23" s="30" t="n">
        <x:v>78</x:v>
      </x:c>
      <x:c r="AL23" s="30" t="n">
        <x:v>84</x:v>
      </x:c>
      <x:c r="AM23" s="30" t="str">
        <x:v>SRC-TE-001</x:v>
      </x:c>
      <x:c r="AN23" s="30" t="n">
        <x:v>19</x:v>
      </x:c>
      <x:c r="AO23" s="30" t="str">
        <x:v>VISUALLY VERIFIED</x:v>
      </x:c>
      <x:c r="AP23" s="30" t="str"/>
      <x:c r="AQ23" s="27"/>
      <x:c r="AR23" s="27"/>
      <x:c r="AS23" s="27"/>
      <x:c r="AT23" s="27"/>
      <x:c r="AU23" s="27"/>
      <x:c r="AV23" s="27"/>
      <x:c r="AW23" s="27"/>
      <x:c r="AX23" s="27"/>
      <x:c r="AY23" s="27"/>
      <x:c r="AZ23" s="27"/>
    </x:row>
    <x:row r="24">
      <x:c r="A24" s="30" t="str">
        <x:v>TE-0020</x:v>
      </x:c>
      <x:c r="B24" s="30" t="str">
        <x:v>Eli Finley</x:v>
      </x:c>
      <x:c r="C24" s="30" t="n">
        <x:v>83</x:v>
      </x:c>
      <x:c r="D24" s="30" t="str">
        <x:v>Standouts</x:v>
      </x:c>
      <x:c r="E24" s="30" t="str">
        <x:v>Gritty Possession</x:v>
      </x:c>
      <x:c r="F24" s="30" t="n">
        <x:v>84</x:v>
      </x:c>
      <x:c r="G24" s="30" t="n">
        <x:v>80</x:v>
      </x:c>
      <x:c r="H24" s="30" t="n">
        <x:v>80</x:v>
      </x:c>
      <x:c r="I24" s="30" t="n">
        <x:v>79</x:v>
      </x:c>
      <x:c r="J24" s="30" t="n">
        <x:v>79</x:v>
      </x:c>
      <x:c r="K24" s="30" t="n">
        <x:v>82</x:v>
      </x:c>
      <x:c r="L24" s="30" t="n">
        <x:v>81</x:v>
      </x:c>
      <x:c r="M24" s="30" t="n">
        <x:v>85</x:v>
      </x:c>
      <x:c r="N24" s="30" t="n">
        <x:v>85</x:v>
      </x:c>
      <x:c r="O24" s="30" t="n">
        <x:v>85</x:v>
      </x:c>
      <x:c r="P24" s="30" t="n">
        <x:v>82</x:v>
      </x:c>
      <x:c r="Q24" s="30" t="n">
        <x:v>85</x:v>
      </x:c>
      <x:c r="R24" s="30" t="n">
        <x:v>80</x:v>
      </x:c>
      <x:c r="S24" s="30" t="n">
        <x:v>83</x:v>
      </x:c>
      <x:c r="T24" s="30" t="n">
        <x:v>81</x:v>
      </x:c>
      <x:c r="U24" s="30" t="n">
        <x:v>83</x:v>
      </x:c>
      <x:c r="V24" s="30" t="n">
        <x:v>75</x:v>
      </x:c>
      <x:c r="W24" s="30" t="n">
        <x:v>74</x:v>
      </x:c>
      <x:c r="X24" s="30" t="n">
        <x:v>70</x:v>
      </x:c>
      <x:c r="Y24" s="30" t="n">
        <x:v>79</x:v>
      </x:c>
      <x:c r="Z24" s="30" t="n">
        <x:v>80</x:v>
      </x:c>
      <x:c r="AA24" s="30" t="n">
        <x:v>79</x:v>
      </x:c>
      <x:c r="AB24" s="30" t="n">
        <x:v>81</x:v>
      </x:c>
      <x:c r="AC24" s="30" t="n">
        <x:v>73</x:v>
      </x:c>
      <x:c r="AD24" s="30" t="n">
        <x:v>79</x:v>
      </x:c>
      <x:c r="AE24" s="30" t="n">
        <x:v>75</x:v>
      </x:c>
      <x:c r="AF24" s="30" t="n">
        <x:v>65</x:v>
      </x:c>
      <x:c r="AG24" s="30" t="n">
        <x:v>70</x:v>
      </x:c>
      <x:c r="AH24" s="30" t="n">
        <x:v>72</x:v>
      </x:c>
      <x:c r="AI24" s="30" t="n">
        <x:v>71</x:v>
      </x:c>
      <x:c r="AJ24" s="30" t="n">
        <x:v>77</x:v>
      </x:c>
      <x:c r="AK24" s="30" t="n">
        <x:v>79</x:v>
      </x:c>
      <x:c r="AL24" s="30" t="n">
        <x:v>85</x:v>
      </x:c>
      <x:c r="AM24" s="30" t="str">
        <x:v>SRC-TE-001</x:v>
      </x:c>
      <x:c r="AN24" s="30" t="n">
        <x:v>20</x:v>
      </x:c>
      <x:c r="AO24" s="30" t="str">
        <x:v>VISUALLY VERIFIED</x:v>
      </x:c>
      <x:c r="AP24" s="30" t="str"/>
      <x:c r="AQ24" s="27"/>
      <x:c r="AR24" s="27"/>
      <x:c r="AS24" s="27"/>
      <x:c r="AT24" s="27"/>
      <x:c r="AU24" s="27"/>
      <x:c r="AV24" s="27"/>
      <x:c r="AW24" s="27"/>
      <x:c r="AX24" s="27"/>
      <x:c r="AY24" s="27"/>
      <x:c r="AZ24" s="27"/>
    </x:row>
    <x:row r="25">
      <x:c r="A25" s="30" t="str">
        <x:v>TE-0021</x:v>
      </x:c>
      <x:c r="B25" s="30" t="str">
        <x:v>Rocky Beers</x:v>
      </x:c>
      <x:c r="C25" s="30" t="n">
        <x:v>83</x:v>
      </x:c>
      <x:c r="D25" s="30" t="str">
        <x:v>Core Rare</x:v>
      </x:c>
      <x:c r="E25" s="30" t="str">
        <x:v>Physical Route Runner</x:v>
      </x:c>
      <x:c r="F25" s="30" t="n">
        <x:v>81</x:v>
      </x:c>
      <x:c r="G25" s="30" t="n">
        <x:v>78</x:v>
      </x:c>
      <x:c r="H25" s="30" t="n">
        <x:v>76</x:v>
      </x:c>
      <x:c r="I25" s="30" t="n">
        <x:v>75</x:v>
      </x:c>
      <x:c r="J25" s="30" t="n">
        <x:v>84</x:v>
      </x:c>
      <x:c r="K25" s="30" t="n">
        <x:v>82</x:v>
      </x:c>
      <x:c r="L25" s="30" t="n">
        <x:v>71</x:v>
      </x:c>
      <x:c r="M25" s="30" t="n">
        <x:v>84</x:v>
      </x:c>
      <x:c r="N25" s="30" t="n">
        <x:v>83</x:v>
      </x:c>
      <x:c r="O25" s="30" t="n">
        <x:v>83</x:v>
      </x:c>
      <x:c r="P25" s="30" t="n">
        <x:v>83</x:v>
      </x:c>
      <x:c r="Q25" s="30" t="n">
        <x:v>82</x:v>
      </x:c>
      <x:c r="R25" s="30" t="n">
        <x:v>77</x:v>
      </x:c>
      <x:c r="S25" s="30" t="n">
        <x:v>84</x:v>
      </x:c>
      <x:c r="T25" s="30" t="n">
        <x:v>77</x:v>
      </x:c>
      <x:c r="U25" s="30" t="n">
        <x:v>76</x:v>
      </x:c>
      <x:c r="V25" s="30" t="n">
        <x:v>68</x:v>
      </x:c>
      <x:c r="W25" s="30" t="n">
        <x:v>77</x:v>
      </x:c>
      <x:c r="X25" s="30" t="n">
        <x:v>68</x:v>
      </x:c>
      <x:c r="Y25" s="30" t="n">
        <x:v>82</x:v>
      </x:c>
      <x:c r="Z25" s="30" t="n">
        <x:v>81</x:v>
      </x:c>
      <x:c r="AA25" s="30" t="n">
        <x:v>71</x:v>
      </x:c>
      <x:c r="AB25" s="30" t="n">
        <x:v>78</x:v>
      </x:c>
      <x:c r="AC25" s="30" t="n">
        <x:v>73</x:v>
      </x:c>
      <x:c r="AD25" s="30" t="n">
        <x:v>62</x:v>
      </x:c>
      <x:c r="AE25" s="30" t="n">
        <x:v>71</x:v>
      </x:c>
      <x:c r="AF25" s="30" t="n">
        <x:v>73</x:v>
      </x:c>
      <x:c r="AG25" s="30" t="n">
        <x:v>81</x:v>
      </x:c>
      <x:c r="AH25" s="30" t="n">
        <x:v>81</x:v>
      </x:c>
      <x:c r="AI25" s="30" t="n">
        <x:v>71</x:v>
      </x:c>
      <x:c r="AJ25" s="30" t="n">
        <x:v>75</x:v>
      </x:c>
      <x:c r="AK25" s="30" t="n">
        <x:v>80</x:v>
      </x:c>
      <x:c r="AL25" s="30" t="n">
        <x:v>82</x:v>
      </x:c>
      <x:c r="AM25" s="30" t="str">
        <x:v>SRC-TE-001</x:v>
      </x:c>
      <x:c r="AN25" s="30" t="n">
        <x:v>21</x:v>
      </x:c>
      <x:c r="AO25" s="30" t="str">
        <x:v>VISUALLY VERIFIED</x:v>
      </x:c>
      <x:c r="AP25" s="30" t="str"/>
      <x:c r="AQ25" s="27"/>
      <x:c r="AR25" s="27"/>
      <x:c r="AS25" s="27"/>
      <x:c r="AT25" s="27"/>
      <x:c r="AU25" s="27"/>
      <x:c r="AV25" s="27"/>
      <x:c r="AW25" s="27"/>
      <x:c r="AX25" s="27"/>
      <x:c r="AY25" s="27"/>
      <x:c r="AZ25" s="27"/>
    </x:row>
    <x:row r="26">
      <x:c r="A26" s="30" t="str">
        <x:v>TE-0022</x:v>
      </x:c>
      <x:c r="B26" s="30" t="str">
        <x:v>Kaelan Chudzinski</x:v>
      </x:c>
      <x:c r="C26" s="30" t="n">
        <x:v>83</x:v>
      </x:c>
      <x:c r="D26" s="30" t="str">
        <x:v>Platinum Rare</x:v>
      </x:c>
      <x:c r="E26" s="30" t="str">
        <x:v>Vertical Threat</x:v>
      </x:c>
      <x:c r="F26" s="30" t="n">
        <x:v>85</x:v>
      </x:c>
      <x:c r="G26" s="30" t="n">
        <x:v>81</x:v>
      </x:c>
      <x:c r="H26" s="30" t="n">
        <x:v>81</x:v>
      </x:c>
      <x:c r="I26" s="30" t="n">
        <x:v>75</x:v>
      </x:c>
      <x:c r="J26" s="30" t="n">
        <x:v>73</x:v>
      </x:c>
      <x:c r="K26" s="30" t="n">
        <x:v>80</x:v>
      </x:c>
      <x:c r="L26" s="30" t="n">
        <x:v>83</x:v>
      </x:c>
      <x:c r="M26" s="30" t="n">
        <x:v>83</x:v>
      </x:c>
      <x:c r="N26" s="30" t="n">
        <x:v>81</x:v>
      </x:c>
      <x:c r="O26" s="30" t="n">
        <x:v>86</x:v>
      </x:c>
      <x:c r="P26" s="30" t="n">
        <x:v>84</x:v>
      </x:c>
      <x:c r="Q26" s="30" t="n">
        <x:v>80</x:v>
      </x:c>
      <x:c r="R26" s="30" t="n">
        <x:v>84</x:v>
      </x:c>
      <x:c r="S26" s="30" t="n">
        <x:v>84</x:v>
      </x:c>
      <x:c r="T26" s="30" t="n">
        <x:v>76</x:v>
      </x:c>
      <x:c r="U26" s="30" t="n">
        <x:v>78</x:v>
      </x:c>
      <x:c r="V26" s="30" t="n">
        <x:v>73</x:v>
      </x:c>
      <x:c r="W26" s="30" t="n">
        <x:v>77</x:v>
      </x:c>
      <x:c r="X26" s="30" t="n">
        <x:v>72</x:v>
      </x:c>
      <x:c r="Y26" s="30" t="n">
        <x:v>81</x:v>
      </x:c>
      <x:c r="Z26" s="30" t="n">
        <x:v>81</x:v>
      </x:c>
      <x:c r="AA26" s="30" t="n">
        <x:v>77</x:v>
      </x:c>
      <x:c r="AB26" s="30" t="n">
        <x:v>78</x:v>
      </x:c>
      <x:c r="AC26" s="30" t="n">
        <x:v>72</x:v>
      </x:c>
      <x:c r="AD26" s="30" t="n">
        <x:v>68</x:v>
      </x:c>
      <x:c r="AE26" s="30" t="n">
        <x:v>67</x:v>
      </x:c>
      <x:c r="AF26" s="30" t="n">
        <x:v>68</x:v>
      </x:c>
      <x:c r="AG26" s="30" t="n">
        <x:v>66</x:v>
      </x:c>
      <x:c r="AH26" s="30" t="n">
        <x:v>69</x:v>
      </x:c>
      <x:c r="AI26" s="30" t="n">
        <x:v>66</x:v>
      </x:c>
      <x:c r="AJ26" s="30" t="n">
        <x:v>66</x:v>
      </x:c>
      <x:c r="AK26" s="30" t="n">
        <x:v>79</x:v>
      </x:c>
      <x:c r="AL26" s="30" t="n">
        <x:v>83</x:v>
      </x:c>
      <x:c r="AM26" s="30" t="str">
        <x:v>SRC-TE-001</x:v>
      </x:c>
      <x:c r="AN26" s="30" t="n">
        <x:v>22</x:v>
      </x:c>
      <x:c r="AO26" s="30" t="str">
        <x:v>VISUALLY VERIFIED</x:v>
      </x:c>
      <x:c r="AP26" s="30" t="str"/>
      <x:c r="AQ26" s="27"/>
      <x:c r="AR26" s="27"/>
      <x:c r="AS26" s="27"/>
      <x:c r="AT26" s="27"/>
      <x:c r="AU26" s="27"/>
      <x:c r="AV26" s="27"/>
      <x:c r="AW26" s="27"/>
      <x:c r="AX26" s="27"/>
      <x:c r="AY26" s="27"/>
      <x:c r="AZ26" s="27"/>
    </x:row>
    <x:row r="27">
      <x:c r="A27" s="30" t="str">
        <x:v>TE-0023</x:v>
      </x:c>
      <x:c r="B27" s="30" t="str">
        <x:v>Decker DeGraaf</x:v>
      </x:c>
      <x:c r="C27" s="30" t="n">
        <x:v>83</x:v>
      </x:c>
      <x:c r="D27" s="30" t="str">
        <x:v>Platinum Rare</x:v>
      </x:c>
      <x:c r="E27" s="30" t="str">
        <x:v>Physical Route Runner</x:v>
      </x:c>
      <x:c r="F27" s="30" t="n">
        <x:v>86</x:v>
      </x:c>
      <x:c r="G27" s="30" t="n">
        <x:v>80</x:v>
      </x:c>
      <x:c r="H27" s="30" t="n">
        <x:v>80</x:v>
      </x:c>
      <x:c r="I27" s="30" t="n">
        <x:v>78</x:v>
      </x:c>
      <x:c r="J27" s="30" t="n">
        <x:v>83</x:v>
      </x:c>
      <x:c r="K27" s="30" t="n">
        <x:v>71</x:v>
      </x:c>
      <x:c r="L27" s="30" t="n">
        <x:v>83</x:v>
      </x:c>
      <x:c r="M27" s="30" t="n">
        <x:v>80</x:v>
      </x:c>
      <x:c r="N27" s="30" t="n">
        <x:v>84</x:v>
      </x:c>
      <x:c r="O27" s="30" t="n">
        <x:v>81</x:v>
      </x:c>
      <x:c r="P27" s="30" t="n">
        <x:v>84</x:v>
      </x:c>
      <x:c r="Q27" s="30" t="n">
        <x:v>85</x:v>
      </x:c>
      <x:c r="R27" s="30" t="n">
        <x:v>83</x:v>
      </x:c>
      <x:c r="S27" s="30" t="n">
        <x:v>83</x:v>
      </x:c>
      <x:c r="T27" s="30" t="n">
        <x:v>78</x:v>
      </x:c>
      <x:c r="U27" s="30" t="n">
        <x:v>72</x:v>
      </x:c>
      <x:c r="V27" s="30" t="n">
        <x:v>72</x:v>
      </x:c>
      <x:c r="W27" s="30" t="n">
        <x:v>74</x:v>
      </x:c>
      <x:c r="X27" s="30" t="n">
        <x:v>76</x:v>
      </x:c>
      <x:c r="Y27" s="30" t="n">
        <x:v>78</x:v>
      </x:c>
      <x:c r="Z27" s="30" t="n">
        <x:v>68</x:v>
      </x:c>
      <x:c r="AA27" s="30" t="n">
        <x:v>85</x:v>
      </x:c>
      <x:c r="AB27" s="30" t="n">
        <x:v>79</x:v>
      </x:c>
      <x:c r="AC27" s="30" t="n">
        <x:v>68</x:v>
      </x:c>
      <x:c r="AD27" s="30" t="n">
        <x:v>72</x:v>
      </x:c>
      <x:c r="AE27" s="30" t="n">
        <x:v>74</x:v>
      </x:c>
      <x:c r="AF27" s="30" t="n">
        <x:v>66</x:v>
      </x:c>
      <x:c r="AG27" s="30" t="n">
        <x:v>68</x:v>
      </x:c>
      <x:c r="AH27" s="30" t="n">
        <x:v>61</x:v>
      </x:c>
      <x:c r="AI27" s="30" t="n">
        <x:v>57</x:v>
      </x:c>
      <x:c r="AJ27" s="30" t="n">
        <x:v>75</x:v>
      </x:c>
      <x:c r="AK27" s="30" t="n">
        <x:v>78</x:v>
      </x:c>
      <x:c r="AL27" s="30" t="n">
        <x:v>84</x:v>
      </x:c>
      <x:c r="AM27" s="30" t="str">
        <x:v>SRC-TE-001</x:v>
      </x:c>
      <x:c r="AN27" s="30" t="n">
        <x:v>23</x:v>
      </x:c>
      <x:c r="AO27" s="30" t="str">
        <x:v>VISUALLY VERIFIED</x:v>
      </x:c>
      <x:c r="AP27" s="30" t="str"/>
      <x:c r="AQ27" s="27"/>
      <x:c r="AR27" s="27"/>
      <x:c r="AS27" s="27"/>
      <x:c r="AT27" s="27"/>
      <x:c r="AU27" s="27"/>
      <x:c r="AV27" s="27"/>
      <x:c r="AW27" s="27"/>
      <x:c r="AX27" s="27"/>
      <x:c r="AY27" s="27"/>
      <x:c r="AZ27" s="27"/>
    </x:row>
    <x:row r="28">
      <x:c r="A28" s="30" t="str">
        <x:v>TE-0024</x:v>
      </x:c>
      <x:c r="B28" s="30" t="str">
        <x:v>Brody Foley</x:v>
      </x:c>
      <x:c r="C28" s="30" t="n">
        <x:v>83</x:v>
      </x:c>
      <x:c r="D28" s="30" t="str">
        <x:v>Platinum Rare</x:v>
      </x:c>
      <x:c r="E28" s="30" t="str">
        <x:v>Physical Route Runner</x:v>
      </x:c>
      <x:c r="F28" s="30" t="n">
        <x:v>80</x:v>
      </x:c>
      <x:c r="G28" s="30" t="n">
        <x:v>79</x:v>
      </x:c>
      <x:c r="H28" s="30" t="n">
        <x:v>75</x:v>
      </x:c>
      <x:c r="I28" s="30" t="n">
        <x:v>72</x:v>
      </x:c>
      <x:c r="J28" s="30" t="n">
        <x:v>82</x:v>
      </x:c>
      <x:c r="K28" s="30" t="n">
        <x:v>80</x:v>
      </x:c>
      <x:c r="L28" s="30" t="n">
        <x:v>80</x:v>
      </x:c>
      <x:c r="M28" s="30" t="n">
        <x:v>83</x:v>
      </x:c>
      <x:c r="N28" s="30" t="n">
        <x:v>80</x:v>
      </x:c>
      <x:c r="O28" s="30" t="n">
        <x:v>77</x:v>
      </x:c>
      <x:c r="P28" s="30" t="n">
        <x:v>83</x:v>
      </x:c>
      <x:c r="Q28" s="30" t="n">
        <x:v>82</x:v>
      </x:c>
      <x:c r="R28" s="30" t="n">
        <x:v>71</x:v>
      </x:c>
      <x:c r="S28" s="30" t="n">
        <x:v>82</x:v>
      </x:c>
      <x:c r="T28" s="30" t="n">
        <x:v>83</x:v>
      </x:c>
      <x:c r="U28" s="30" t="n">
        <x:v>78</x:v>
      </x:c>
      <x:c r="V28" s="30" t="n">
        <x:v>67</x:v>
      </x:c>
      <x:c r="W28" s="30" t="n">
        <x:v>79</x:v>
      </x:c>
      <x:c r="X28" s="30" t="n">
        <x:v>58</x:v>
      </x:c>
      <x:c r="Y28" s="30" t="n">
        <x:v>79</x:v>
      </x:c>
      <x:c r="Z28" s="30" t="n">
        <x:v>82</x:v>
      </x:c>
      <x:c r="AA28" s="30" t="n">
        <x:v>66</x:v>
      </x:c>
      <x:c r="AB28" s="30" t="n">
        <x:v>76</x:v>
      </x:c>
      <x:c r="AC28" s="30" t="n">
        <x:v>84</x:v>
      </x:c>
      <x:c r="AD28" s="30" t="n">
        <x:v>84</x:v>
      </x:c>
      <x:c r="AE28" s="30" t="n">
        <x:v>84</x:v>
      </x:c>
      <x:c r="AF28" s="30" t="n">
        <x:v>75</x:v>
      </x:c>
      <x:c r="AG28" s="30" t="n">
        <x:v>77</x:v>
      </x:c>
      <x:c r="AH28" s="30" t="n">
        <x:v>70</x:v>
      </x:c>
      <x:c r="AI28" s="30" t="n">
        <x:v>83</x:v>
      </x:c>
      <x:c r="AJ28" s="30" t="n">
        <x:v>84</x:v>
      </x:c>
      <x:c r="AK28" s="30" t="n">
        <x:v>82</x:v>
      </x:c>
      <x:c r="AL28" s="30" t="n">
        <x:v>81</x:v>
      </x:c>
      <x:c r="AM28" s="30" t="str">
        <x:v>SRC-TE-001</x:v>
      </x:c>
      <x:c r="AN28" s="30" t="n">
        <x:v>24</x:v>
      </x:c>
      <x:c r="AO28" s="30" t="str">
        <x:v>VISUALLY VERIFIED</x:v>
      </x:c>
      <x:c r="AP28" s="30" t="str"/>
      <x:c r="AQ28" s="27"/>
      <x:c r="AR28" s="27"/>
      <x:c r="AS28" s="27"/>
      <x:c r="AT28" s="27"/>
      <x:c r="AU28" s="27"/>
      <x:c r="AV28" s="27"/>
      <x:c r="AW28" s="27"/>
      <x:c r="AX28" s="27"/>
      <x:c r="AY28" s="27"/>
      <x:c r="AZ28" s="27"/>
    </x:row>
    <x:row r="29">
      <x:c r="A29" s="27" t="str">
        <x:v>TE-0025</x:v>
      </x:c>
      <x:c r="B29" s="27" t="str">
        <x:v>Jeremiah Hasley</x:v>
      </x:c>
      <x:c r="C29" s="27" t="n">
        <x:v>83</x:v>
      </x:c>
      <x:c r="D29" s="27" t="str">
        <x:v>Platinum Rare</x:v>
      </x:c>
      <x:c r="E29" s="27" t="str">
        <x:v>Vertical Threat</x:v>
      </x:c>
      <x:c r="F29" s="27" t="n">
        <x:v>85</x:v>
      </x:c>
      <x:c r="G29" s="27" t="n">
        <x:v>81</x:v>
      </x:c>
      <x:c r="H29" s="27" t="n">
        <x:v>81</x:v>
      </x:c>
      <x:c r="I29" s="27" t="n">
        <x:v>79</x:v>
      </x:c>
      <x:c r="J29" s="27" t="n">
        <x:v>73</x:v>
      </x:c>
      <x:c r="K29" s="27" t="n">
        <x:v>80</x:v>
      </x:c>
      <x:c r="L29" s="27" t="n">
        <x:v>82</x:v>
      </x:c>
      <x:c r="M29" s="27" t="n">
        <x:v>83</x:v>
      </x:c>
      <x:c r="N29" s="27" t="n">
        <x:v>82</x:v>
      </x:c>
      <x:c r="O29" s="27" t="n">
        <x:v>85</x:v>
      </x:c>
      <x:c r="P29" s="27" t="n">
        <x:v>85</x:v>
      </x:c>
      <x:c r="Q29" s="27" t="n">
        <x:v>83</x:v>
      </x:c>
      <x:c r="R29" s="27" t="n">
        <x:v>81</x:v>
      </x:c>
      <x:c r="S29" s="27" t="n">
        <x:v>80</x:v>
      </x:c>
      <x:c r="T29" s="27" t="n">
        <x:v>75</x:v>
      </x:c>
      <x:c r="U29" s="27" t="n">
        <x:v>77</x:v>
      </x:c>
      <x:c r="V29" s="27" t="n">
        <x:v>70</x:v>
      </x:c>
      <x:c r="W29" s="27" t="n">
        <x:v>78</x:v>
      </x:c>
      <x:c r="X29" s="27" t="n">
        <x:v>73</x:v>
      </x:c>
      <x:c r="Y29" s="27" t="n">
        <x:v>81</x:v>
      </x:c>
      <x:c r="Z29" s="27" t="n">
        <x:v>82</x:v>
      </x:c>
      <x:c r="AA29" s="27" t="n">
        <x:v>81</x:v>
      </x:c>
      <x:c r="AB29" s="27" t="n">
        <x:v>84</x:v>
      </x:c>
      <x:c r="AC29" s="27" t="n">
        <x:v>70</x:v>
      </x:c>
      <x:c r="AD29" s="27" t="n">
        <x:v>69</x:v>
      </x:c>
      <x:c r="AE29" s="27" t="n">
        <x:v>69</x:v>
      </x:c>
      <x:c r="AF29" s="27" t="n">
        <x:v>67</x:v>
      </x:c>
      <x:c r="AG29" s="27" t="n">
        <x:v>67</x:v>
      </x:c>
      <x:c r="AH29" s="27" t="n">
        <x:v>68</x:v>
      </x:c>
      <x:c r="AI29" s="27" t="n">
        <x:v>70</x:v>
      </x:c>
      <x:c r="AJ29" s="27" t="n">
        <x:v>66</x:v>
      </x:c>
      <x:c r="AK29" s="27" t="n">
        <x:v>80</x:v>
      </x:c>
      <x:c r="AL29" s="27" t="n">
        <x:v>83</x:v>
      </x:c>
      <x:c r="AM29" s="27" t="str">
        <x:v>SRC-TE-002</x:v>
      </x:c>
      <x:c r="AN29" s="27" t="n">
        <x:v>25</x:v>
      </x:c>
      <x:c r="AO29" s="27" t="str">
        <x:v>VISUALLY VERIFIED</x:v>
      </x:c>
      <x:c r="AP29" s="27" t="str"/>
      <x:c r="AQ29" s="27"/>
      <x:c r="AR29" s="27"/>
      <x:c r="AS29" s="27"/>
      <x:c r="AT29" s="27"/>
      <x:c r="AU29" s="27"/>
      <x:c r="AV29" s="27"/>
      <x:c r="AW29" s="27"/>
      <x:c r="AX29" s="27"/>
      <x:c r="AY29" s="27"/>
      <x:c r="AZ29" s="27"/>
    </x:row>
    <x:row r="30">
      <x:c r="A30" s="27" t="str">
        <x:v>TE-0026</x:v>
      </x:c>
      <x:c r="B30" s="27" t="str">
        <x:v>Brett Norfleet</x:v>
      </x:c>
      <x:c r="C30" s="27" t="n">
        <x:v>83</x:v>
      </x:c>
      <x:c r="D30" s="27" t="str">
        <x:v>Platinum Rare</x:v>
      </x:c>
      <x:c r="E30" s="27" t="str">
        <x:v>Physical Route Runner</x:v>
      </x:c>
      <x:c r="F30" s="27" t="n">
        <x:v>87</x:v>
      </x:c>
      <x:c r="G30" s="27" t="n">
        <x:v>81</x:v>
      </x:c>
      <x:c r="H30" s="27" t="n">
        <x:v>80</x:v>
      </x:c>
      <x:c r="I30" s="27" t="n">
        <x:v>76</x:v>
      </x:c>
      <x:c r="J30" s="27" t="n">
        <x:v>84</x:v>
      </x:c>
      <x:c r="K30" s="27" t="n">
        <x:v>82</x:v>
      </x:c>
      <x:c r="L30" s="27" t="n">
        <x:v>80</x:v>
      </x:c>
      <x:c r="M30" s="27" t="n">
        <x:v>80</x:v>
      </x:c>
      <x:c r="N30" s="27" t="n">
        <x:v>82</x:v>
      </x:c>
      <x:c r="O30" s="27" t="n">
        <x:v>83</x:v>
      </x:c>
      <x:c r="P30" s="27" t="n">
        <x:v>85</x:v>
      </x:c>
      <x:c r="Q30" s="27" t="n">
        <x:v>83</x:v>
      </x:c>
      <x:c r="R30" s="27" t="n">
        <x:v>79</x:v>
      </x:c>
      <x:c r="S30" s="27" t="n">
        <x:v>84</x:v>
      </x:c>
      <x:c r="T30" s="27" t="n">
        <x:v>83</x:v>
      </x:c>
      <x:c r="U30" s="27" t="n">
        <x:v>77</x:v>
      </x:c>
      <x:c r="V30" s="27" t="n">
        <x:v>82</x:v>
      </x:c>
      <x:c r="W30" s="27" t="n">
        <x:v>72</x:v>
      </x:c>
      <x:c r="X30" s="27" t="n">
        <x:v>70</x:v>
      </x:c>
      <x:c r="Y30" s="27" t="n">
        <x:v>82</x:v>
      </x:c>
      <x:c r="Z30" s="27" t="n">
        <x:v>80</x:v>
      </x:c>
      <x:c r="AA30" s="27" t="n">
        <x:v>75</x:v>
      </x:c>
      <x:c r="AB30" s="27" t="n">
        <x:v>74</x:v>
      </x:c>
      <x:c r="AC30" s="27" t="n">
        <x:v>75</x:v>
      </x:c>
      <x:c r="AD30" s="27" t="n">
        <x:v>66</x:v>
      </x:c>
      <x:c r="AE30" s="27" t="n">
        <x:v>72</x:v>
      </x:c>
      <x:c r="AF30" s="27" t="n">
        <x:v>68</x:v>
      </x:c>
      <x:c r="AG30" s="27" t="n">
        <x:v>61</x:v>
      </x:c>
      <x:c r="AH30" s="27" t="n">
        <x:v>75</x:v>
      </x:c>
      <x:c r="AI30" s="27" t="n">
        <x:v>52</x:v>
      </x:c>
      <x:c r="AJ30" s="27" t="n">
        <x:v>62</x:v>
      </x:c>
      <x:c r="AK30" s="27" t="n">
        <x:v>78</x:v>
      </x:c>
      <x:c r="AL30" s="27" t="n">
        <x:v>84</x:v>
      </x:c>
      <x:c r="AM30" s="27" t="str">
        <x:v>SRC-TE-002</x:v>
      </x:c>
      <x:c r="AN30" s="27" t="n">
        <x:v>26</x:v>
      </x:c>
      <x:c r="AO30" s="27" t="str">
        <x:v>VISUALLY VERIFIED</x:v>
      </x:c>
      <x:c r="AP30" s="27" t="str"/>
      <x:c r="AQ30" s="27"/>
      <x:c r="AR30" s="27"/>
      <x:c r="AS30" s="27"/>
      <x:c r="AT30" s="27"/>
      <x:c r="AU30" s="27"/>
      <x:c r="AV30" s="27"/>
      <x:c r="AW30" s="27"/>
      <x:c r="AX30" s="27"/>
      <x:c r="AY30" s="27"/>
      <x:c r="AZ30" s="27"/>
    </x:row>
    <x:row r="31">
      <x:c r="A31" s="27" t="str">
        <x:v>TE-0027</x:v>
      </x:c>
      <x:c r="B31" s="27" t="str">
        <x:v>Toby Payne</x:v>
      </x:c>
      <x:c r="C31" s="27" t="n">
        <x:v>83</x:v>
      </x:c>
      <x:c r="D31" s="27" t="str">
        <x:v>Core Rare</x:v>
      </x:c>
      <x:c r="E31" s="27" t="str">
        <x:v>Physical Route Runner</x:v>
      </x:c>
      <x:c r="F31" s="27" t="n">
        <x:v>81</x:v>
      </x:c>
      <x:c r="G31" s="27" t="n">
        <x:v>80</x:v>
      </x:c>
      <x:c r="H31" s="27" t="n">
        <x:v>81</x:v>
      </x:c>
      <x:c r="I31" s="27" t="n">
        <x:v>74</x:v>
      </x:c>
      <x:c r="J31" s="27" t="n">
        <x:v>85</x:v>
      </x:c>
      <x:c r="K31" s="27" t="n">
        <x:v>73</x:v>
      </x:c>
      <x:c r="L31" s="27" t="n">
        <x:v>78</x:v>
      </x:c>
      <x:c r="M31" s="27" t="n">
        <x:v>81</x:v>
      </x:c>
      <x:c r="N31" s="27" t="n">
        <x:v>85</x:v>
      </x:c>
      <x:c r="O31" s="27" t="n">
        <x:v>84</x:v>
      </x:c>
      <x:c r="P31" s="27" t="n">
        <x:v>85</x:v>
      </x:c>
      <x:c r="Q31" s="27" t="n">
        <x:v>85</x:v>
      </x:c>
      <x:c r="R31" s="27" t="n">
        <x:v>75</x:v>
      </x:c>
      <x:c r="S31" s="27" t="n">
        <x:v>82</x:v>
      </x:c>
      <x:c r="T31" s="27" t="n">
        <x:v>74</x:v>
      </x:c>
      <x:c r="U31" s="27" t="n">
        <x:v>78</x:v>
      </x:c>
      <x:c r="V31" s="27" t="n">
        <x:v>60</x:v>
      </x:c>
      <x:c r="W31" s="27" t="n">
        <x:v>78</x:v>
      </x:c>
      <x:c r="X31" s="27" t="n">
        <x:v>68</x:v>
      </x:c>
      <x:c r="Y31" s="27" t="n">
        <x:v>79</x:v>
      </x:c>
      <x:c r="Z31" s="27" t="n">
        <x:v>75</x:v>
      </x:c>
      <x:c r="AA31" s="27" t="n">
        <x:v>78</x:v>
      </x:c>
      <x:c r="AB31" s="27" t="n">
        <x:v>80</x:v>
      </x:c>
      <x:c r="AC31" s="27" t="n">
        <x:v>74</x:v>
      </x:c>
      <x:c r="AD31" s="27" t="n">
        <x:v>66</x:v>
      </x:c>
      <x:c r="AE31" s="27" t="n">
        <x:v>76</x:v>
      </x:c>
      <x:c r="AF31" s="27" t="n">
        <x:v>72</x:v>
      </x:c>
      <x:c r="AG31" s="27" t="n">
        <x:v>66</x:v>
      </x:c>
      <x:c r="AH31" s="27" t="n">
        <x:v>64</x:v>
      </x:c>
      <x:c r="AI31" s="27" t="n">
        <x:v>48</x:v>
      </x:c>
      <x:c r="AJ31" s="27" t="n">
        <x:v>65</x:v>
      </x:c>
      <x:c r="AK31" s="27" t="n">
        <x:v>77</x:v>
      </x:c>
      <x:c r="AL31" s="27" t="n">
        <x:v>83</x:v>
      </x:c>
      <x:c r="AM31" s="27" t="str">
        <x:v>SRC-TE-002</x:v>
      </x:c>
      <x:c r="AN31" s="27" t="n">
        <x:v>27</x:v>
      </x:c>
      <x:c r="AO31" s="27" t="str">
        <x:v>VISUALLY VERIFIED</x:v>
      </x:c>
      <x:c r="AP31" s="27" t="str"/>
      <x:c r="AQ31" s="27"/>
      <x:c r="AR31" s="27"/>
      <x:c r="AS31" s="27"/>
      <x:c r="AT31" s="27"/>
      <x:c r="AU31" s="27"/>
      <x:c r="AV31" s="27"/>
      <x:c r="AW31" s="27"/>
      <x:c r="AX31" s="27"/>
      <x:c r="AY31" s="27"/>
      <x:c r="AZ31" s="27"/>
    </x:row>
    <x:row r="32">
      <x:c r="A32" s="27" t="str">
        <x:v>TE-0028</x:v>
      </x:c>
      <x:c r="B32" s="27" t="str">
        <x:v>Jeremy Shockey</x:v>
      </x:c>
      <x:c r="C32" s="27" t="n">
        <x:v>83</x:v>
      </x:c>
      <x:c r="D32" s="27" t="str">
        <x:v>Bonus Content</x:v>
      </x:c>
      <x:c r="E32" s="27" t="str">
        <x:v>Physical Route Runner</x:v>
      </x:c>
      <x:c r="F32" s="27" t="n">
        <x:v>88</x:v>
      </x:c>
      <x:c r="G32" s="27" t="n">
        <x:v>81</x:v>
      </x:c>
      <x:c r="H32" s="27" t="n">
        <x:v>80</x:v>
      </x:c>
      <x:c r="I32" s="27" t="n">
        <x:v>81</x:v>
      </x:c>
      <x:c r="J32" s="27" t="n">
        <x:v>81</x:v>
      </x:c>
      <x:c r="K32" s="27" t="n">
        <x:v>80</x:v>
      </x:c>
      <x:c r="L32" s="27" t="n">
        <x:v>83</x:v>
      </x:c>
      <x:c r="M32" s="27" t="n">
        <x:v>85</x:v>
      </x:c>
      <x:c r="N32" s="27" t="n">
        <x:v>83</x:v>
      </x:c>
      <x:c r="O32" s="27" t="n">
        <x:v>81</x:v>
      </x:c>
      <x:c r="P32" s="27" t="n">
        <x:v>83</x:v>
      </x:c>
      <x:c r="Q32" s="27" t="n">
        <x:v>83</x:v>
      </x:c>
      <x:c r="R32" s="27" t="n">
        <x:v>80</x:v>
      </x:c>
      <x:c r="S32" s="27" t="n">
        <x:v>79</x:v>
      </x:c>
      <x:c r="T32" s="27" t="n">
        <x:v>77</x:v>
      </x:c>
      <x:c r="U32" s="27" t="n">
        <x:v>80</x:v>
      </x:c>
      <x:c r="V32" s="27" t="n">
        <x:v>76</x:v>
      </x:c>
      <x:c r="W32" s="27" t="n">
        <x:v>68</x:v>
      </x:c>
      <x:c r="X32" s="27" t="n">
        <x:v>70</x:v>
      </x:c>
      <x:c r="Y32" s="27" t="n">
        <x:v>78</x:v>
      </x:c>
      <x:c r="Z32" s="27" t="n">
        <x:v>79</x:v>
      </x:c>
      <x:c r="AA32" s="27" t="n">
        <x:v>78</x:v>
      </x:c>
      <x:c r="AB32" s="27" t="n">
        <x:v>78</x:v>
      </x:c>
      <x:c r="AC32" s="27" t="n">
        <x:v>78</x:v>
      </x:c>
      <x:c r="AD32" s="27" t="n">
        <x:v>60</x:v>
      </x:c>
      <x:c r="AE32" s="27" t="n">
        <x:v>68</x:v>
      </x:c>
      <x:c r="AF32" s="27" t="n">
        <x:v>65</x:v>
      </x:c>
      <x:c r="AG32" s="27" t="n">
        <x:v>61</x:v>
      </x:c>
      <x:c r="AH32" s="27" t="n">
        <x:v>54</x:v>
      </x:c>
      <x:c r="AI32" s="27" t="n">
        <x:v>63</x:v>
      </x:c>
      <x:c r="AJ32" s="27" t="n">
        <x:v>70</x:v>
      </x:c>
      <x:c r="AK32" s="27" t="n">
        <x:v>79</x:v>
      </x:c>
      <x:c r="AL32" s="27" t="n">
        <x:v>83</x:v>
      </x:c>
      <x:c r="AM32" s="27" t="str">
        <x:v>SRC-TE-002</x:v>
      </x:c>
      <x:c r="AN32" s="27" t="n">
        <x:v>28</x:v>
      </x:c>
      <x:c r="AO32" s="27" t="str">
        <x:v>VISUALLY VERIFIED</x:v>
      </x:c>
      <x:c r="AP32" s="27" t="str"/>
      <x:c r="AQ32" s="27"/>
      <x:c r="AR32" s="27"/>
      <x:c r="AS32" s="27"/>
      <x:c r="AT32" s="27"/>
      <x:c r="AU32" s="27"/>
      <x:c r="AV32" s="27"/>
      <x:c r="AW32" s="27"/>
      <x:c r="AX32" s="27"/>
      <x:c r="AY32" s="27"/>
      <x:c r="AZ32" s="27"/>
    </x:row>
    <x:row r="33">
      <x:c r="A33" s="27" t="str">
        <x:v>TE-0029</x:v>
      </x:c>
      <x:c r="B33" s="27" t="str">
        <x:v>Keyan Burnett</x:v>
      </x:c>
      <x:c r="C33" s="27" t="n">
        <x:v>82</x:v>
      </x:c>
      <x:c r="D33" s="27" t="str">
        <x:v>Phenoms</x:v>
      </x:c>
      <x:c r="E33" s="27" t="str">
        <x:v>Vertical Threat</x:v>
      </x:c>
      <x:c r="F33" s="27" t="n">
        <x:v>84</x:v>
      </x:c>
      <x:c r="G33" s="27" t="n">
        <x:v>82</x:v>
      </x:c>
      <x:c r="H33" s="27" t="n">
        <x:v>84</x:v>
      </x:c>
      <x:c r="I33" s="27" t="n">
        <x:v>78</x:v>
      </x:c>
      <x:c r="J33" s="27" t="n">
        <x:v>80</x:v>
      </x:c>
      <x:c r="K33" s="27" t="n">
        <x:v>74</x:v>
      </x:c>
      <x:c r="L33" s="27" t="n">
        <x:v>82</x:v>
      </x:c>
      <x:c r="M33" s="27" t="n">
        <x:v>82</x:v>
      </x:c>
      <x:c r="N33" s="27" t="n">
        <x:v>82</x:v>
      </x:c>
      <x:c r="O33" s="27" t="n">
        <x:v>80</x:v>
      </x:c>
      <x:c r="P33" s="27" t="n">
        <x:v>80</x:v>
      </x:c>
      <x:c r="Q33" s="27" t="n">
        <x:v>81</x:v>
      </x:c>
      <x:c r="R33" s="27" t="n">
        <x:v>79</x:v>
      </x:c>
      <x:c r="S33" s="27" t="n">
        <x:v>76</x:v>
      </x:c>
      <x:c r="T33" s="27" t="n">
        <x:v>77</x:v>
      </x:c>
      <x:c r="U33" s="27" t="n">
        <x:v>76</x:v>
      </x:c>
      <x:c r="V33" s="27" t="n">
        <x:v>67</x:v>
      </x:c>
      <x:c r="W33" s="27" t="n">
        <x:v>60</x:v>
      </x:c>
      <x:c r="X33" s="27" t="n">
        <x:v>59</x:v>
      </x:c>
      <x:c r="Y33" s="27" t="n">
        <x:v>54</x:v>
      </x:c>
      <x:c r="Z33" s="27" t="n">
        <x:v>74</x:v>
      </x:c>
      <x:c r="AA33" s="27" t="n">
        <x:v>76</x:v>
      </x:c>
      <x:c r="AB33" s="27" t="n">
        <x:v>64</x:v>
      </x:c>
      <x:c r="AC33" s="27" t="n">
        <x:v>71</x:v>
      </x:c>
      <x:c r="AD33" s="27" t="n">
        <x:v>63</x:v>
      </x:c>
      <x:c r="AE33" s="27" t="n">
        <x:v>65</x:v>
      </x:c>
      <x:c r="AF33" s="27" t="n">
        <x:v>68</x:v>
      </x:c>
      <x:c r="AG33" s="27" t="n">
        <x:v>63</x:v>
      </x:c>
      <x:c r="AH33" s="27" t="n">
        <x:v>65</x:v>
      </x:c>
      <x:c r="AI33" s="27" t="n">
        <x:v>78</x:v>
      </x:c>
      <x:c r="AJ33" s="27" t="n">
        <x:v>80</x:v>
      </x:c>
      <x:c r="AK33" s="27" t="n">
        <x:v>78</x:v>
      </x:c>
      <x:c r="AL33" s="27" t="n">
        <x:v>82</x:v>
      </x:c>
      <x:c r="AM33" s="27" t="str">
        <x:v>SRC-TE-002</x:v>
      </x:c>
      <x:c r="AN33" s="27" t="n">
        <x:v>29</x:v>
      </x:c>
      <x:c r="AO33" s="27" t="str">
        <x:v>VISUALLY VERIFIED</x:v>
      </x:c>
      <x:c r="AP33" s="27" t="str"/>
      <x:c r="AQ33" s="27"/>
      <x:c r="AR33" s="27"/>
      <x:c r="AS33" s="27"/>
      <x:c r="AT33" s="27"/>
      <x:c r="AU33" s="27"/>
      <x:c r="AV33" s="27"/>
      <x:c r="AW33" s="27"/>
      <x:c r="AX33" s="27"/>
      <x:c r="AY33" s="27"/>
      <x:c r="AZ33" s="27"/>
    </x:row>
    <x:row r="34">
      <x:c r="A34" s="27" t="str">
        <x:v>TE-0030</x:v>
      </x:c>
      <x:c r="B34" s="27" t="str">
        <x:v>Eli Finley</x:v>
      </x:c>
      <x:c r="C34" s="27" t="n">
        <x:v>82</x:v>
      </x:c>
      <x:c r="D34" s="27" t="str">
        <x:v>Core Rare</x:v>
      </x:c>
      <x:c r="E34" s="27" t="str">
        <x:v>Physical Route Runner</x:v>
      </x:c>
      <x:c r="F34" s="27" t="n">
        <x:v>84</x:v>
      </x:c>
      <x:c r="G34" s="27" t="n">
        <x:v>77</x:v>
      </x:c>
      <x:c r="H34" s="27" t="n">
        <x:v>75</x:v>
      </x:c>
      <x:c r="I34" s="27" t="n">
        <x:v>75</x:v>
      </x:c>
      <x:c r="J34" s="27" t="n">
        <x:v>83</x:v>
      </x:c>
      <x:c r="K34" s="27" t="n">
        <x:v>76</x:v>
      </x:c>
      <x:c r="L34" s="27" t="n">
        <x:v>77</x:v>
      </x:c>
      <x:c r="M34" s="27" t="n">
        <x:v>80</x:v>
      </x:c>
      <x:c r="N34" s="27" t="n">
        <x:v>84</x:v>
      </x:c>
      <x:c r="O34" s="27" t="n">
        <x:v>83</x:v>
      </x:c>
      <x:c r="P34" s="27" t="n">
        <x:v>77</x:v>
      </x:c>
      <x:c r="Q34" s="27" t="n">
        <x:v>84</x:v>
      </x:c>
      <x:c r="R34" s="27" t="n">
        <x:v>80</x:v>
      </x:c>
      <x:c r="S34" s="27" t="n">
        <x:v>82</x:v>
      </x:c>
      <x:c r="T34" s="27" t="n">
        <x:v>78</x:v>
      </x:c>
      <x:c r="U34" s="27" t="n">
        <x:v>79</x:v>
      </x:c>
      <x:c r="V34" s="27" t="n">
        <x:v>75</x:v>
      </x:c>
      <x:c r="W34" s="27" t="n">
        <x:v>72</x:v>
      </x:c>
      <x:c r="X34" s="27" t="n">
        <x:v>69</x:v>
      </x:c>
      <x:c r="Y34" s="27" t="n">
        <x:v>74</x:v>
      </x:c>
      <x:c r="Z34" s="27" t="n">
        <x:v>74</x:v>
      </x:c>
      <x:c r="AA34" s="27" t="n">
        <x:v>75</x:v>
      </x:c>
      <x:c r="AB34" s="27" t="n">
        <x:v>73</x:v>
      </x:c>
      <x:c r="AC34" s="27" t="n">
        <x:v>66</x:v>
      </x:c>
      <x:c r="AD34" s="27" t="n">
        <x:v>78</x:v>
      </x:c>
      <x:c r="AE34" s="27" t="n">
        <x:v>74</x:v>
      </x:c>
      <x:c r="AF34" s="27" t="n">
        <x:v>61</x:v>
      </x:c>
      <x:c r="AG34" s="27" t="n">
        <x:v>68</x:v>
      </x:c>
      <x:c r="AH34" s="27" t="n">
        <x:v>71</x:v>
      </x:c>
      <x:c r="AI34" s="27" t="n">
        <x:v>55</x:v>
      </x:c>
      <x:c r="AJ34" s="27" t="n">
        <x:v>73</x:v>
      </x:c>
      <x:c r="AK34" s="27" t="n">
        <x:v>77</x:v>
      </x:c>
      <x:c r="AL34" s="27" t="n">
        <x:v>82</x:v>
      </x:c>
      <x:c r="AM34" s="27" t="str">
        <x:v>SRC-TE-002</x:v>
      </x:c>
      <x:c r="AN34" s="27" t="n">
        <x:v>30</x:v>
      </x:c>
      <x:c r="AO34" s="27" t="str">
        <x:v>VISUALLY VERIFIED</x:v>
      </x:c>
      <x:c r="AP34" s="27" t="str"/>
      <x:c r="AQ34" s="27"/>
      <x:c r="AR34" s="27"/>
      <x:c r="AS34" s="27"/>
      <x:c r="AT34" s="27"/>
      <x:c r="AU34" s="27"/>
      <x:c r="AV34" s="27"/>
      <x:c r="AW34" s="27"/>
      <x:c r="AX34" s="27"/>
      <x:c r="AY34" s="27"/>
      <x:c r="AZ34" s="27"/>
    </x:row>
    <x:row r="35">
      <x:c r="A35" s="27" t="str">
        <x:v>TE-0031</x:v>
      </x:c>
      <x:c r="B35" s="27" t="str">
        <x:v>River Helms</x:v>
      </x:c>
      <x:c r="C35" s="27" t="n">
        <x:v>82</x:v>
      </x:c>
      <x:c r="D35" s="27" t="str">
        <x:v>Core Rare</x:v>
      </x:c>
      <x:c r="E35" s="27" t="str">
        <x:v>Physical Route Runner</x:v>
      </x:c>
      <x:c r="F35" s="27" t="n">
        <x:v>87</x:v>
      </x:c>
      <x:c r="G35" s="27" t="n">
        <x:v>82</x:v>
      </x:c>
      <x:c r="H35" s="27" t="n">
        <x:v>80</x:v>
      </x:c>
      <x:c r="I35" s="27" t="n">
        <x:v>75</x:v>
      </x:c>
      <x:c r="J35" s="27" t="n">
        <x:v>83</x:v>
      </x:c>
      <x:c r="K35" s="27" t="n">
        <x:v>68</x:v>
      </x:c>
      <x:c r="L35" s="27" t="n">
        <x:v>72</x:v>
      </x:c>
      <x:c r="M35" s="27" t="n">
        <x:v>82</x:v>
      </x:c>
      <x:c r="N35" s="27" t="n">
        <x:v>79</x:v>
      </x:c>
      <x:c r="O35" s="27" t="n">
        <x:v>83</x:v>
      </x:c>
      <x:c r="P35" s="27" t="n">
        <x:v>81</x:v>
      </x:c>
      <x:c r="Q35" s="27" t="n">
        <x:v>83</x:v>
      </x:c>
      <x:c r="R35" s="27" t="n">
        <x:v>80</x:v>
      </x:c>
      <x:c r="S35" s="27" t="n">
        <x:v>76</x:v>
      </x:c>
      <x:c r="T35" s="27" t="n">
        <x:v>74</x:v>
      </x:c>
      <x:c r="U35" s="27" t="n">
        <x:v>79</x:v>
      </x:c>
      <x:c r="V35" s="27" t="n">
        <x:v>84</x:v>
      </x:c>
      <x:c r="W35" s="27" t="n">
        <x:v>74</x:v>
      </x:c>
      <x:c r="X35" s="27" t="n">
        <x:v>73</x:v>
      </x:c>
      <x:c r="Y35" s="27" t="n">
        <x:v>76</x:v>
      </x:c>
      <x:c r="Z35" s="27" t="n">
        <x:v>78</x:v>
      </x:c>
      <x:c r="AA35" s="27" t="n">
        <x:v>73</x:v>
      </x:c>
      <x:c r="AB35" s="27" t="n">
        <x:v>79</x:v>
      </x:c>
      <x:c r="AC35" s="27" t="n">
        <x:v>60</x:v>
      </x:c>
      <x:c r="AD35" s="27" t="n">
        <x:v>69</x:v>
      </x:c>
      <x:c r="AE35" s="27" t="n">
        <x:v>68</x:v>
      </x:c>
      <x:c r="AF35" s="27" t="n">
        <x:v>77</x:v>
      </x:c>
      <x:c r="AG35" s="27" t="n">
        <x:v>77</x:v>
      </x:c>
      <x:c r="AH35" s="27" t="n">
        <x:v>82</x:v>
      </x:c>
      <x:c r="AI35" s="27" t="n">
        <x:v>49</x:v>
      </x:c>
      <x:c r="AJ35" s="27" t="n">
        <x:v>67</x:v>
      </x:c>
      <x:c r="AK35" s="27" t="n">
        <x:v>77</x:v>
      </x:c>
      <x:c r="AL35" s="27" t="n">
        <x:v>81</x:v>
      </x:c>
      <x:c r="AM35" s="27" t="str">
        <x:v>SRC-TE-002</x:v>
      </x:c>
      <x:c r="AN35" s="27" t="n">
        <x:v>31</x:v>
      </x:c>
      <x:c r="AO35" s="27" t="str">
        <x:v>VISUALLY VERIFIED</x:v>
      </x:c>
      <x:c r="AP35" s="27" t="str"/>
      <x:c r="AQ35" s="27"/>
      <x:c r="AR35" s="27"/>
      <x:c r="AS35" s="27"/>
      <x:c r="AT35" s="27"/>
      <x:c r="AU35" s="27"/>
      <x:c r="AV35" s="27"/>
      <x:c r="AW35" s="27"/>
      <x:c r="AX35" s="27"/>
      <x:c r="AY35" s="27"/>
      <x:c r="AZ35" s="27"/>
    </x:row>
    <x:row r="36">
      <x:c r="A36" s="27" t="str">
        <x:v>TE-0032</x:v>
      </x:c>
      <x:c r="B36" s="27" t="str">
        <x:v>Jake Johnson</x:v>
      </x:c>
      <x:c r="C36" s="27" t="n">
        <x:v>82</x:v>
      </x:c>
      <x:c r="D36" s="27" t="str">
        <x:v>Core Rare</x:v>
      </x:c>
      <x:c r="E36" s="27" t="str">
        <x:v>Physical Route Runner</x:v>
      </x:c>
      <x:c r="F36" s="27" t="n">
        <x:v>19</x:v>
      </x:c>
      <x:c r="G36" s="27" t="n">
        <x:v>84</x:v>
      </x:c>
      <x:c r="H36" s="27" t="n">
        <x:v>85</x:v>
      </x:c>
      <x:c r="I36" s="27" t="n">
        <x:v>79</x:v>
      </x:c>
      <x:c r="J36" s="27" t="n">
        <x:v>83</x:v>
      </x:c>
      <x:c r="K36" s="27" t="n">
        <x:v>65</x:v>
      </x:c>
      <x:c r="L36" s="27" t="n">
        <x:v>84</x:v>
      </x:c>
      <x:c r="M36" s="27" t="n">
        <x:v>82</x:v>
      </x:c>
      <x:c r="N36" s="27" t="n">
        <x:v>84</x:v>
      </x:c>
      <x:c r="O36" s="27" t="n">
        <x:v>75</x:v>
      </x:c>
      <x:c r="P36" s="27" t="n">
        <x:v>70</x:v>
      </x:c>
      <x:c r="Q36" s="27" t="n">
        <x:v>84</x:v>
      </x:c>
      <x:c r="R36" s="27" t="n">
        <x:v>83</x:v>
      </x:c>
      <x:c r="S36" s="27" t="n">
        <x:v>76</x:v>
      </x:c>
      <x:c r="T36" s="27" t="n">
        <x:v>73</x:v>
      </x:c>
      <x:c r="U36" s="27" t="n">
        <x:v>74</x:v>
      </x:c>
      <x:c r="V36" s="27" t="n">
        <x:v>80</x:v>
      </x:c>
      <x:c r="W36" s="27" t="n">
        <x:v>72</x:v>
      </x:c>
      <x:c r="X36" s="27" t="n">
        <x:v>73</x:v>
      </x:c>
      <x:c r="Y36" s="27" t="n">
        <x:v>79</x:v>
      </x:c>
      <x:c r="Z36" s="27" t="n">
        <x:v>81</x:v>
      </x:c>
      <x:c r="AA36" s="27" t="n">
        <x:v>84</x:v>
      </x:c>
      <x:c r="AB36" s="27" t="n">
        <x:v>69</x:v>
      </x:c>
      <x:c r="AC36" s="27" t="n">
        <x:v>62</x:v>
      </x:c>
      <x:c r="AD36" s="27" t="n">
        <x:v>72</x:v>
      </x:c>
      <x:c r="AE36" s="27" t="n">
        <x:v>71</x:v>
      </x:c>
      <x:c r="AF36" s="27" t="n">
        <x:v>72</x:v>
      </x:c>
      <x:c r="AG36" s="27" t="n">
        <x:v>79</x:v>
      </x:c>
      <x:c r="AH36" s="27" t="n">
        <x:v>65</x:v>
      </x:c>
      <x:c r="AI36" s="27" t="n">
        <x:v>66</x:v>
      </x:c>
      <x:c r="AJ36" s="27" t="n">
        <x:v>83</x:v>
      </x:c>
      <x:c r="AK36" s="27" t="n">
        <x:v>78</x:v>
      </x:c>
      <x:c r="AL36" s="27" t="n">
        <x:v>82</x:v>
      </x:c>
      <x:c r="AM36" s="27" t="str">
        <x:v>SRC-TE-002</x:v>
      </x:c>
      <x:c r="AN36" s="27" t="n">
        <x:v>32</x:v>
      </x:c>
      <x:c r="AO36" s="27" t="str">
        <x:v>VISUALLY VERIFIED</x:v>
      </x:c>
      <x:c r="AP36" s="27" t="str"/>
      <x:c r="AQ36" s="27"/>
      <x:c r="AR36" s="27"/>
      <x:c r="AS36" s="27"/>
      <x:c r="AT36" s="27"/>
      <x:c r="AU36" s="27"/>
      <x:c r="AV36" s="27"/>
      <x:c r="AW36" s="27"/>
      <x:c r="AX36" s="27"/>
      <x:c r="AY36" s="27"/>
      <x:c r="AZ36" s="27"/>
    </x:row>
    <x:row r="37">
      <x:c r="A37" s="27" t="str">
        <x:v>TE-0033</x:v>
      </x:c>
      <x:c r="B37" s="27" t="str">
        <x:v>Luke Lindenmeyer</x:v>
      </x:c>
      <x:c r="C37" s="27" t="n">
        <x:v>82</x:v>
      </x:c>
      <x:c r="D37" s="27" t="str">
        <x:v>Core Rare</x:v>
      </x:c>
      <x:c r="E37" s="27" t="str">
        <x:v>Physical Route Runner</x:v>
      </x:c>
      <x:c r="F37" s="27" t="n">
        <x:v>44</x:v>
      </x:c>
      <x:c r="G37" s="27" t="n">
        <x:v>76</x:v>
      </x:c>
      <x:c r="H37" s="27" t="n">
        <x:v>72</x:v>
      </x:c>
      <x:c r="I37" s="27" t="n">
        <x:v>70</x:v>
      </x:c>
      <x:c r="J37" s="27" t="n">
        <x:v>82</x:v>
      </x:c>
      <x:c r="K37" s="27" t="n">
        <x:v>83</x:v>
      </x:c>
      <x:c r="L37" s="27" t="n">
        <x:v>70</x:v>
      </x:c>
      <x:c r="M37" s="27" t="n">
        <x:v>82</x:v>
      </x:c>
      <x:c r="N37" s="27" t="n">
        <x:v>83</x:v>
      </x:c>
      <x:c r="O37" s="27" t="n">
        <x:v>70</x:v>
      </x:c>
      <x:c r="P37" s="27" t="n">
        <x:v>81</x:v>
      </x:c>
      <x:c r="Q37" s="27" t="n">
        <x:v>78</x:v>
      </x:c>
      <x:c r="R37" s="27" t="n">
        <x:v>73</x:v>
      </x:c>
      <x:c r="S37" s="27" t="n">
        <x:v>80</x:v>
      </x:c>
      <x:c r="T37" s="27" t="n">
        <x:v>77</x:v>
      </x:c>
      <x:c r="U37" s="27" t="n">
        <x:v>81</x:v>
      </x:c>
      <x:c r="V37" s="27" t="n">
        <x:v>62</x:v>
      </x:c>
      <x:c r="W37" s="27" t="n">
        <x:v>60</x:v>
      </x:c>
      <x:c r="X37" s="27" t="n">
        <x:v>63</x:v>
      </x:c>
      <x:c r="Y37" s="27" t="n">
        <x:v>83</x:v>
      </x:c>
      <x:c r="Z37" s="27" t="n">
        <x:v>83</x:v>
      </x:c>
      <x:c r="AA37" s="27" t="n">
        <x:v>74</x:v>
      </x:c>
      <x:c r="AB37" s="27" t="n">
        <x:v>62</x:v>
      </x:c>
      <x:c r="AC37" s="27" t="n">
        <x:v>83</x:v>
      </x:c>
      <x:c r="AD37" s="27" t="n">
        <x:v>81</x:v>
      </x:c>
      <x:c r="AE37" s="27" t="n">
        <x:v>82</x:v>
      </x:c>
      <x:c r="AF37" s="27" t="n">
        <x:v>83</x:v>
      </x:c>
      <x:c r="AG37" s="27" t="n">
        <x:v>82</x:v>
      </x:c>
      <x:c r="AH37" s="27" t="n">
        <x:v>83</x:v>
      </x:c>
      <x:c r="AI37" s="27" t="n">
        <x:v>84</x:v>
      </x:c>
      <x:c r="AJ37" s="27" t="n">
        <x:v>82</x:v>
      </x:c>
      <x:c r="AK37" s="27" t="n">
        <x:v>81</x:v>
      </x:c>
      <x:c r="AL37" s="27" t="n">
        <x:v>78</x:v>
      </x:c>
      <x:c r="AM37" s="27" t="str">
        <x:v>SRC-TE-002</x:v>
      </x:c>
      <x:c r="AN37" s="27" t="n">
        <x:v>33</x:v>
      </x:c>
      <x:c r="AO37" s="27" t="str">
        <x:v>VISUALLY VERIFIED</x:v>
      </x:c>
      <x:c r="AP37" s="27" t="str"/>
      <x:c r="AQ37" s="27"/>
      <x:c r="AR37" s="27"/>
      <x:c r="AS37" s="27"/>
      <x:c r="AT37" s="27"/>
      <x:c r="AU37" s="27"/>
      <x:c r="AV37" s="27"/>
      <x:c r="AW37" s="27"/>
      <x:c r="AX37" s="27"/>
      <x:c r="AY37" s="27"/>
      <x:c r="AZ37" s="27"/>
    </x:row>
    <x:row r="38">
      <x:c r="A38" s="27" t="str">
        <x:v>TE-0034</x:v>
      </x:c>
      <x:c r="B38" s="27" t="str">
        <x:v>Elija Lofton</x:v>
      </x:c>
      <x:c r="C38" s="27" t="n">
        <x:v>82</x:v>
      </x:c>
      <x:c r="D38" s="27" t="str">
        <x:v>Platinum Rare</x:v>
      </x:c>
      <x:c r="E38" s="27" t="str">
        <x:v>Vertical Threat</x:v>
      </x:c>
      <x:c r="F38" s="27" t="n">
        <x:v>9</x:v>
      </x:c>
      <x:c r="G38" s="27" t="n">
        <x:v>84</x:v>
      </x:c>
      <x:c r="H38" s="27" t="n">
        <x:v>85</x:v>
      </x:c>
      <x:c r="I38" s="27" t="n">
        <x:v>77</x:v>
      </x:c>
      <x:c r="J38" s="27" t="n">
        <x:v>79</x:v>
      </x:c>
      <x:c r="K38" s="27" t="n">
        <x:v>64</x:v>
      </x:c>
      <x:c r="L38" s="27" t="n">
        <x:v>84</x:v>
      </x:c>
      <x:c r="M38" s="27" t="n">
        <x:v>81</x:v>
      </x:c>
      <x:c r="N38" s="27" t="n">
        <x:v>83</x:v>
      </x:c>
      <x:c r="O38" s="27" t="n">
        <x:v>76</x:v>
      </x:c>
      <x:c r="P38" s="27" t="n">
        <x:v>79</x:v>
      </x:c>
      <x:c r="Q38" s="27" t="n">
        <x:v>79</x:v>
      </x:c>
      <x:c r="R38" s="27" t="n">
        <x:v>83</x:v>
      </x:c>
      <x:c r="S38" s="27" t="n">
        <x:v>84</x:v>
      </x:c>
      <x:c r="T38" s="27" t="n">
        <x:v>74</x:v>
      </x:c>
      <x:c r="U38" s="27" t="n">
        <x:v>79</x:v>
      </x:c>
      <x:c r="V38" s="27" t="n">
        <x:v>84</x:v>
      </x:c>
      <x:c r="W38" s="27" t="n">
        <x:v>78</x:v>
      </x:c>
      <x:c r="X38" s="27" t="n">
        <x:v>78</x:v>
      </x:c>
      <x:c r="Y38" s="27" t="n">
        <x:v>76</x:v>
      </x:c>
      <x:c r="Z38" s="27" t="n">
        <x:v>83</x:v>
      </x:c>
      <x:c r="AA38" s="27" t="n">
        <x:v>83</x:v>
      </x:c>
      <x:c r="AB38" s="27" t="n">
        <x:v>84</x:v>
      </x:c>
      <x:c r="AC38" s="27" t="n">
        <x:v>66</x:v>
      </x:c>
      <x:c r="AD38" s="27" t="n">
        <x:v>62</x:v>
      </x:c>
      <x:c r="AE38" s="27" t="n">
        <x:v>66</x:v>
      </x:c>
      <x:c r="AF38" s="27" t="n">
        <x:v>57</x:v>
      </x:c>
      <x:c r="AG38" s="27" t="n">
        <x:v>63</x:v>
      </x:c>
      <x:c r="AH38" s="27" t="n">
        <x:v>61</x:v>
      </x:c>
      <x:c r="AI38" s="27" t="n">
        <x:v>52</x:v>
      </x:c>
      <x:c r="AJ38" s="27" t="n">
        <x:v>65</x:v>
      </x:c>
      <x:c r="AK38" s="27" t="n">
        <x:v>77</x:v>
      </x:c>
      <x:c r="AL38" s="27" t="n">
        <x:v>83</x:v>
      </x:c>
      <x:c r="AM38" s="27" t="str">
        <x:v>SRC-TE-002</x:v>
      </x:c>
      <x:c r="AN38" s="27" t="n">
        <x:v>34</x:v>
      </x:c>
      <x:c r="AO38" s="27" t="str">
        <x:v>VISUALLY VERIFIED</x:v>
      </x:c>
      <x:c r="AP38" s="27" t="str"/>
      <x:c r="AQ38" s="27"/>
      <x:c r="AR38" s="27"/>
      <x:c r="AS38" s="27"/>
      <x:c r="AT38" s="27"/>
      <x:c r="AU38" s="27"/>
      <x:c r="AV38" s="27"/>
      <x:c r="AW38" s="27"/>
      <x:c r="AX38" s="27"/>
      <x:c r="AY38" s="27"/>
      <x:c r="AZ38" s="27"/>
    </x:row>
    <x:row r="39">
      <x:c r="A39" s="27" t="str">
        <x:v>TE-0035</x:v>
      </x:c>
      <x:c r="B39" s="27" t="str">
        <x:v>Luke Reynolds</x:v>
      </x:c>
      <x:c r="C39" s="27" t="n">
        <x:v>82</x:v>
      </x:c>
      <x:c r="D39" s="27" t="str">
        <x:v>Core Rare</x:v>
      </x:c>
      <x:c r="E39" s="27" t="str">
        <x:v>Vertical Threat</x:v>
      </x:c>
      <x:c r="F39" s="27" t="n">
        <x:v>85</x:v>
      </x:c>
      <x:c r="G39" s="27" t="n">
        <x:v>84</x:v>
      </x:c>
      <x:c r="H39" s="27" t="n">
        <x:v>84</x:v>
      </x:c>
      <x:c r="I39" s="27" t="n">
        <x:v>77</x:v>
      </x:c>
      <x:c r="J39" s="27" t="n">
        <x:v>75</x:v>
      </x:c>
      <x:c r="K39" s="27" t="n">
        <x:v>64</x:v>
      </x:c>
      <x:c r="L39" s="27" t="n">
        <x:v>81</x:v>
      </x:c>
      <x:c r="M39" s="27" t="n">
        <x:v>80</x:v>
      </x:c>
      <x:c r="N39" s="27" t="n">
        <x:v>82</x:v>
      </x:c>
      <x:c r="O39" s="27" t="n">
        <x:v>81</x:v>
      </x:c>
      <x:c r="P39" s="27" t="n">
        <x:v>81</x:v>
      </x:c>
      <x:c r="Q39" s="27" t="n">
        <x:v>78</x:v>
      </x:c>
      <x:c r="R39" s="27" t="n">
        <x:v>81</x:v>
      </x:c>
      <x:c r="S39" s="27" t="n">
        <x:v>81</x:v>
      </x:c>
      <x:c r="T39" s="27" t="n">
        <x:v>66</x:v>
      </x:c>
      <x:c r="U39" s="27" t="n">
        <x:v>65</x:v>
      </x:c>
      <x:c r="V39" s="27" t="n">
        <x:v>71</x:v>
      </x:c>
      <x:c r="W39" s="27" t="n">
        <x:v>68</x:v>
      </x:c>
      <x:c r="X39" s="27" t="n">
        <x:v>71</x:v>
      </x:c>
      <x:c r="Y39" s="27" t="n">
        <x:v>49</x:v>
      </x:c>
      <x:c r="Z39" s="27" t="n">
        <x:v>65</x:v>
      </x:c>
      <x:c r="AA39" s="27" t="n">
        <x:v>83</x:v>
      </x:c>
      <x:c r="AB39" s="27" t="n">
        <x:v>63</x:v>
      </x:c>
      <x:c r="AC39" s="27" t="n">
        <x:v>63</x:v>
      </x:c>
      <x:c r="AD39" s="27" t="n">
        <x:v>65</x:v>
      </x:c>
      <x:c r="AE39" s="27" t="n">
        <x:v>68</x:v>
      </x:c>
      <x:c r="AF39" s="27" t="n">
        <x:v>63</x:v>
      </x:c>
      <x:c r="AG39" s="27" t="n">
        <x:v>73</x:v>
      </x:c>
      <x:c r="AH39" s="27" t="n">
        <x:v>63</x:v>
      </x:c>
      <x:c r="AI39" s="27" t="n">
        <x:v>74</x:v>
      </x:c>
      <x:c r="AJ39" s="27" t="n">
        <x:v>77</x:v>
      </x:c>
      <x:c r="AK39" s="27" t="n">
        <x:v>75</x:v>
      </x:c>
      <x:c r="AL39" s="27" t="n">
        <x:v>80</x:v>
      </x:c>
      <x:c r="AM39" s="27" t="str">
        <x:v>SRC-TE-002</x:v>
      </x:c>
      <x:c r="AN39" s="27" t="n">
        <x:v>35</x:v>
      </x:c>
      <x:c r="AO39" s="27" t="str">
        <x:v>VISUALLY VERIFIED</x:v>
      </x:c>
      <x:c r="AP39" s="27" t="str"/>
      <x:c r="AQ39" s="27"/>
      <x:c r="AR39" s="27"/>
      <x:c r="AS39" s="27"/>
      <x:c r="AT39" s="27"/>
      <x:c r="AU39" s="27"/>
      <x:c r="AV39" s="27"/>
      <x:c r="AW39" s="27"/>
      <x:c r="AX39" s="27"/>
      <x:c r="AY39" s="27"/>
      <x:c r="AZ39" s="27"/>
    </x:row>
    <x:row r="40">
      <x:c r="A40" s="27" t="str">
        <x:v>TE-0036</x:v>
      </x:c>
      <x:c r="B40" s="27" t="str">
        <x:v>Jayvontay Conner</x:v>
      </x:c>
      <x:c r="C40" s="27" t="n">
        <x:v>81</x:v>
      </x:c>
      <x:c r="D40" s="27" t="str">
        <x:v>Prime Prospects</x:v>
      </x:c>
      <x:c r="E40" s="27" t="str">
        <x:v>Gritty Possession</x:v>
      </x:c>
      <x:c r="F40" s="27" t="n">
        <x:v>8</x:v>
      </x:c>
      <x:c r="G40" s="27" t="n">
        <x:v>80</x:v>
      </x:c>
      <x:c r="H40" s="27" t="n">
        <x:v>80</x:v>
      </x:c>
      <x:c r="I40" s="27" t="n">
        <x:v>80</x:v>
      </x:c>
      <x:c r="J40" s="27" t="n">
        <x:v>78</x:v>
      </x:c>
      <x:c r="K40" s="27" t="n">
        <x:v>68</x:v>
      </x:c>
      <x:c r="L40" s="27" t="n">
        <x:v>83</x:v>
      </x:c>
      <x:c r="M40" s="27" t="n">
        <x:v>81</x:v>
      </x:c>
      <x:c r="N40" s="27" t="n">
        <x:v>81</x:v>
      </x:c>
      <x:c r="O40" s="27" t="n">
        <x:v>70</x:v>
      </x:c>
      <x:c r="P40" s="27" t="n">
        <x:v>85</x:v>
      </x:c>
      <x:c r="Q40" s="27" t="n">
        <x:v>85</x:v>
      </x:c>
      <x:c r="R40" s="27" t="n">
        <x:v>85</x:v>
      </x:c>
      <x:c r="S40" s="27" t="n">
        <x:v>80</x:v>
      </x:c>
      <x:c r="T40" s="27" t="n">
        <x:v>79</x:v>
      </x:c>
      <x:c r="U40" s="27" t="n">
        <x:v>82</x:v>
      </x:c>
      <x:c r="V40" s="27" t="n">
        <x:v>74</x:v>
      </x:c>
      <x:c r="W40" s="27" t="n">
        <x:v>77</x:v>
      </x:c>
      <x:c r="X40" s="27" t="n">
        <x:v>72</x:v>
      </x:c>
      <x:c r="Y40" s="27" t="n">
        <x:v>63</x:v>
      </x:c>
      <x:c r="Z40" s="27" t="n">
        <x:v>82</x:v>
      </x:c>
      <x:c r="AA40" s="27" t="n">
        <x:v>80</x:v>
      </x:c>
      <x:c r="AB40" s="27" t="n">
        <x:v>83</x:v>
      </x:c>
      <x:c r="AC40" s="27" t="n">
        <x:v>82</x:v>
      </x:c>
      <x:c r="AD40" s="27" t="n">
        <x:v>75</x:v>
      </x:c>
      <x:c r="AE40" s="27" t="n">
        <x:v>73</x:v>
      </x:c>
      <x:c r="AF40" s="27" t="n">
        <x:v>80</x:v>
      </x:c>
      <x:c r="AG40" s="27" t="n">
        <x:v>79</x:v>
      </x:c>
      <x:c r="AH40" s="27" t="n">
        <x:v>73</x:v>
      </x:c>
      <x:c r="AI40" s="27" t="n">
        <x:v>61</x:v>
      </x:c>
      <x:c r="AJ40" s="27" t="n">
        <x:v>70</x:v>
      </x:c>
      <x:c r="AK40" s="27" t="n">
        <x:v>77</x:v>
      </x:c>
      <x:c r="AL40" s="27" t="n">
        <x:v>82</x:v>
      </x:c>
      <x:c r="AM40" s="27" t="str">
        <x:v>SRC-TE-002</x:v>
      </x:c>
      <x:c r="AN40" s="27" t="n">
        <x:v>36</x:v>
      </x:c>
      <x:c r="AO40" s="27" t="str">
        <x:v>VISUALLY VERIFIED</x:v>
      </x:c>
      <x:c r="AP40" s="27" t="str"/>
      <x:c r="AQ40" s="27"/>
      <x:c r="AR40" s="27"/>
      <x:c r="AS40" s="27"/>
      <x:c r="AT40" s="27"/>
      <x:c r="AU40" s="27"/>
      <x:c r="AV40" s="27"/>
      <x:c r="AW40" s="27"/>
      <x:c r="AX40" s="27"/>
      <x:c r="AY40" s="27"/>
      <x:c r="AZ40" s="27"/>
    </x:row>
    <x:row r="41">
      <x:c r="A41" s="27" t="str">
        <x:v>TE-0037</x:v>
      </x:c>
      <x:c r="B41" s="27" t="str">
        <x:v>Ozzie Newsome</x:v>
      </x:c>
      <x:c r="C41" s="27" t="n">
        <x:v>81</x:v>
      </x:c>
      <x:c r="D41" s="27" t="str">
        <x:v>S1 Legends - Classic</x:v>
      </x:c>
      <x:c r="E41" s="27" t="str">
        <x:v>Gritty Possession</x:v>
      </x:c>
      <x:c r="F41" s="27" t="n">
        <x:v>82</x:v>
      </x:c>
      <x:c r="G41" s="27" t="n">
        <x:v>78</x:v>
      </x:c>
      <x:c r="H41" s="27" t="n">
        <x:v>77</x:v>
      </x:c>
      <x:c r="I41" s="27" t="n">
        <x:v>76</x:v>
      </x:c>
      <x:c r="J41" s="27" t="n">
        <x:v>80</x:v>
      </x:c>
      <x:c r="K41" s="27" t="n">
        <x:v>79</x:v>
      </x:c>
      <x:c r="L41" s="27" t="n">
        <x:v>80</x:v>
      </x:c>
      <x:c r="M41" s="27" t="n">
        <x:v>90</x:v>
      </x:c>
      <x:c r="N41" s="27" t="n">
        <x:v>81</x:v>
      </x:c>
      <x:c r="O41" s="27" t="n">
        <x:v>80</x:v>
      </x:c>
      <x:c r="P41" s="27" t="n">
        <x:v>78</x:v>
      </x:c>
      <x:c r="Q41" s="27" t="n">
        <x:v>76</x:v>
      </x:c>
      <x:c r="R41" s="27" t="n">
        <x:v>75</x:v>
      </x:c>
      <x:c r="S41" s="27" t="n">
        <x:v>73</x:v>
      </x:c>
      <x:c r="T41" s="27" t="n">
        <x:v>78</x:v>
      </x:c>
      <x:c r="U41" s="27" t="n">
        <x:v>79</x:v>
      </x:c>
      <x:c r="V41" s="27" t="n">
        <x:v>75</x:v>
      </x:c>
      <x:c r="W41" s="27" t="n">
        <x:v>73</x:v>
      </x:c>
      <x:c r="X41" s="27" t="n">
        <x:v>73</x:v>
      </x:c>
      <x:c r="Y41" s="27" t="n">
        <x:v>78</x:v>
      </x:c>
      <x:c r="Z41" s="27" t="n">
        <x:v>76</x:v>
      </x:c>
      <x:c r="AA41" s="27" t="n">
        <x:v>75</x:v>
      </x:c>
      <x:c r="AB41" s="27" t="n">
        <x:v>75</x:v>
      </x:c>
      <x:c r="AC41" s="27" t="n">
        <x:v>76</x:v>
      </x:c>
      <x:c r="AD41" s="27" t="n">
        <x:v>75</x:v>
      </x:c>
      <x:c r="AE41" s="27" t="n">
        <x:v>74</x:v>
      </x:c>
      <x:c r="AF41" s="27" t="n">
        <x:v>73</x:v>
      </x:c>
      <x:c r="AG41" s="27" t="n">
        <x:v>72</x:v>
      </x:c>
      <x:c r="AH41" s="27" t="n">
        <x:v>71</x:v>
      </x:c>
      <x:c r="AI41" s="27" t="n">
        <x:v>77</x:v>
      </x:c>
      <x:c r="AJ41" s="27" t="n">
        <x:v>78</x:v>
      </x:c>
      <x:c r="AK41" s="27" t="n">
        <x:v>80</x:v>
      </x:c>
      <x:c r="AL41" s="27" t="n">
        <x:v>81</x:v>
      </x:c>
      <x:c r="AM41" s="27" t="str">
        <x:v>SRC-TE-002</x:v>
      </x:c>
      <x:c r="AN41" s="27" t="n">
        <x:v>37</x:v>
      </x:c>
      <x:c r="AO41" s="27" t="str">
        <x:v>VISUALLY VERIFIED</x:v>
      </x:c>
      <x:c r="AP41" s="27" t="str"/>
      <x:c r="AQ41" s="27"/>
      <x:c r="AR41" s="27"/>
      <x:c r="AS41" s="27"/>
      <x:c r="AT41" s="27"/>
      <x:c r="AU41" s="27"/>
      <x:c r="AV41" s="27"/>
      <x:c r="AW41" s="27"/>
      <x:c r="AX41" s="27"/>
      <x:c r="AY41" s="27"/>
      <x:c r="AZ41" s="27"/>
    </x:row>
    <x:row r="42">
      <x:c r="A42" s="27" t="str">
        <x:v>TE-0038</x:v>
      </x:c>
      <x:c r="B42" s="27" t="str">
        <x:v>Jalen Hoffman</x:v>
      </x:c>
      <x:c r="C42" s="27" t="n">
        <x:v>81</x:v>
      </x:c>
      <x:c r="D42" s="27" t="str">
        <x:v>Standouts</x:v>
      </x:c>
      <x:c r="E42" s="27" t="str">
        <x:v>Gritty Possession</x:v>
      </x:c>
      <x:c r="F42" s="27" t="n">
        <x:v>42</x:v>
      </x:c>
      <x:c r="G42" s="27" t="n">
        <x:v>77</x:v>
      </x:c>
      <x:c r="H42" s="27" t="n">
        <x:v>78</x:v>
      </x:c>
      <x:c r="I42" s="27" t="n">
        <x:v>76</x:v>
      </x:c>
      <x:c r="J42" s="27" t="n">
        <x:v>71</x:v>
      </x:c>
      <x:c r="K42" s="27" t="n">
        <x:v>81</x:v>
      </x:c>
      <x:c r="L42" s="27" t="n">
        <x:v>73</x:v>
      </x:c>
      <x:c r="M42" s="27" t="n">
        <x:v>81</x:v>
      </x:c>
      <x:c r="N42" s="27" t="n">
        <x:v>81</x:v>
      </x:c>
      <x:c r="O42" s="27" t="n">
        <x:v>81</x:v>
      </x:c>
      <x:c r="P42" s="27" t="n">
        <x:v>78</x:v>
      </x:c>
      <x:c r="Q42" s="27" t="n">
        <x:v>76</x:v>
      </x:c>
      <x:c r="R42" s="27" t="n">
        <x:v>75</x:v>
      </x:c>
      <x:c r="S42" s="27" t="n">
        <x:v>75</x:v>
      </x:c>
      <x:c r="T42" s="27" t="n">
        <x:v>72</x:v>
      </x:c>
      <x:c r="U42" s="27" t="n">
        <x:v>76</x:v>
      </x:c>
      <x:c r="V42" s="27" t="n">
        <x:v>56</x:v>
      </x:c>
      <x:c r="W42" s="27" t="n">
        <x:v>58</x:v>
      </x:c>
      <x:c r="X42" s="27" t="n">
        <x:v>54</x:v>
      </x:c>
      <x:c r="Y42" s="27" t="n">
        <x:v>81</x:v>
      </x:c>
      <x:c r="Z42" s="27" t="n">
        <x:v>82</x:v>
      </x:c>
      <x:c r="AA42" s="27" t="n">
        <x:v>75</x:v>
      </x:c>
      <x:c r="AB42" s="27" t="n">
        <x:v>77</x:v>
      </x:c>
      <x:c r="AC42" s="27" t="n">
        <x:v>76</x:v>
      </x:c>
      <x:c r="AD42" s="27" t="n">
        <x:v>77</x:v>
      </x:c>
      <x:c r="AE42" s="27" t="n">
        <x:v>77</x:v>
      </x:c>
      <x:c r="AF42" s="27" t="n">
        <x:v>71</x:v>
      </x:c>
      <x:c r="AG42" s="27" t="n">
        <x:v>72</x:v>
      </x:c>
      <x:c r="AH42" s="27" t="n">
        <x:v>72</x:v>
      </x:c>
      <x:c r="AI42" s="27" t="n">
        <x:v>75</x:v>
      </x:c>
      <x:c r="AJ42" s="27" t="n">
        <x:v>75</x:v>
      </x:c>
      <x:c r="AK42" s="27" t="n">
        <x:v>79</x:v>
      </x:c>
      <x:c r="AL42" s="27" t="n">
        <x:v>79</x:v>
      </x:c>
      <x:c r="AM42" s="27" t="str">
        <x:v>SRC-TE-002</x:v>
      </x:c>
      <x:c r="AN42" s="27" t="n">
        <x:v>38</x:v>
      </x:c>
      <x:c r="AO42" s="27" t="str">
        <x:v>VISUALLY VERIFIED</x:v>
      </x:c>
      <x:c r="AP42" s="27" t="str"/>
      <x:c r="AQ42" s="27"/>
      <x:c r="AR42" s="27"/>
      <x:c r="AS42" s="27"/>
      <x:c r="AT42" s="27"/>
      <x:c r="AU42" s="27"/>
      <x:c r="AV42" s="27"/>
      <x:c r="AW42" s="27"/>
      <x:c r="AX42" s="27"/>
      <x:c r="AY42" s="27"/>
      <x:c r="AZ42" s="27"/>
    </x:row>
    <x:row r="43">
      <x:c r="A43" s="27" t="str">
        <x:v>TE-0039</x:v>
      </x:c>
      <x:c r="B43" s="27" t="str">
        <x:v>Conner Cravaack</x:v>
      </x:c>
      <x:c r="C43" s="27" t="n">
        <x:v>81</x:v>
      </x:c>
      <x:c r="D43" s="27" t="str">
        <x:v>Countdown</x:v>
      </x:c>
      <x:c r="E43" s="27" t="str">
        <x:v>Gritty Possession</x:v>
      </x:c>
      <x:c r="F43" s="27" t="n">
        <x:v>85</x:v>
      </x:c>
      <x:c r="G43" s="27" t="n">
        <x:v>79</x:v>
      </x:c>
      <x:c r="H43" s="27" t="n">
        <x:v>79</x:v>
      </x:c>
      <x:c r="I43" s="27" t="n">
        <x:v>76</x:v>
      </x:c>
      <x:c r="J43" s="27" t="n">
        <x:v>81</x:v>
      </x:c>
      <x:c r="K43" s="27" t="n">
        <x:v>77</x:v>
      </x:c>
      <x:c r="L43" s="27" t="n">
        <x:v>81</x:v>
      </x:c>
      <x:c r="M43" s="27" t="n">
        <x:v>81</x:v>
      </x:c>
      <x:c r="N43" s="27" t="n">
        <x:v>85</x:v>
      </x:c>
      <x:c r="O43" s="27" t="n">
        <x:v>81</x:v>
      </x:c>
      <x:c r="P43" s="27" t="n">
        <x:v>84</x:v>
      </x:c>
      <x:c r="Q43" s="27" t="n">
        <x:v>80</x:v>
      </x:c>
      <x:c r="R43" s="27" t="n">
        <x:v>75</x:v>
      </x:c>
      <x:c r="S43" s="27" t="n">
        <x:v>83</x:v>
      </x:c>
      <x:c r="T43" s="27" t="n">
        <x:v>77</x:v>
      </x:c>
      <x:c r="U43" s="27" t="n">
        <x:v>79</x:v>
      </x:c>
      <x:c r="V43" s="27" t="n">
        <x:v>69</x:v>
      </x:c>
      <x:c r="W43" s="27" t="n">
        <x:v>73</x:v>
      </x:c>
      <x:c r="X43" s="27" t="n">
        <x:v>72</x:v>
      </x:c>
      <x:c r="Y43" s="27" t="n">
        <x:v>76</x:v>
      </x:c>
      <x:c r="Z43" s="27" t="n">
        <x:v>81</x:v>
      </x:c>
      <x:c r="AA43" s="27" t="n">
        <x:v>74</x:v>
      </x:c>
      <x:c r="AB43" s="27" t="n">
        <x:v>77</x:v>
      </x:c>
      <x:c r="AC43" s="27" t="n">
        <x:v>69</x:v>
      </x:c>
      <x:c r="AD43" s="27" t="n">
        <x:v>69</x:v>
      </x:c>
      <x:c r="AE43" s="27" t="n">
        <x:v>67</x:v>
      </x:c>
      <x:c r="AF43" s="27" t="n">
        <x:v>73</x:v>
      </x:c>
      <x:c r="AG43" s="27" t="n">
        <x:v>73</x:v>
      </x:c>
      <x:c r="AH43" s="27" t="n">
        <x:v>73</x:v>
      </x:c>
      <x:c r="AI43" s="27" t="n">
        <x:v>72</x:v>
      </x:c>
      <x:c r="AJ43" s="27" t="n">
        <x:v>73</x:v>
      </x:c>
      <x:c r="AK43" s="27" t="n">
        <x:v>78</x:v>
      </x:c>
      <x:c r="AL43" s="27" t="n">
        <x:v>82</x:v>
      </x:c>
      <x:c r="AM43" s="27" t="str">
        <x:v>SRC-TE-002</x:v>
      </x:c>
      <x:c r="AN43" s="27" t="n">
        <x:v>39</x:v>
      </x:c>
      <x:c r="AO43" s="27" t="str">
        <x:v>VISUALLY VERIFIED</x:v>
      </x:c>
      <x:c r="AP43" s="27" t="str"/>
      <x:c r="AQ43" s="27"/>
      <x:c r="AR43" s="27"/>
      <x:c r="AS43" s="27"/>
      <x:c r="AT43" s="27"/>
      <x:c r="AU43" s="27"/>
      <x:c r="AV43" s="27"/>
      <x:c r="AW43" s="27"/>
      <x:c r="AX43" s="27"/>
      <x:c r="AY43" s="27"/>
      <x:c r="AZ43" s="27"/>
    </x:row>
    <x:row r="44">
      <x:c r="A44" s="27" t="str">
        <x:v>TE-0040</x:v>
      </x:c>
      <x:c r="B44" s="27" t="str">
        <x:v>Hayden Hansen</x:v>
      </x:c>
      <x:c r="C44" s="27" t="n">
        <x:v>81</x:v>
      </x:c>
      <x:c r="D44" s="27" t="str">
        <x:v>Core Rare</x:v>
      </x:c>
      <x:c r="E44" s="27" t="str">
        <x:v>Physical Route Runner</x:v>
      </x:c>
      <x:c r="F44" s="27" t="n">
        <x:v>89</x:v>
      </x:c>
      <x:c r="G44" s="27" t="n">
        <x:v>73</x:v>
      </x:c>
      <x:c r="H44" s="27" t="n">
        <x:v>71</x:v>
      </x:c>
      <x:c r="I44" s="27" t="n">
        <x:v>70</x:v>
      </x:c>
      <x:c r="J44" s="27" t="n">
        <x:v>82</x:v>
      </x:c>
      <x:c r="K44" s="27" t="n">
        <x:v>84</x:v>
      </x:c>
      <x:c r="L44" s="27" t="n">
        <x:v>72</x:v>
      </x:c>
      <x:c r="M44" s="27" t="n">
        <x:v>84</x:v>
      </x:c>
      <x:c r="N44" s="27" t="n">
        <x:v>83</x:v>
      </x:c>
      <x:c r="O44" s="27" t="n">
        <x:v>74</x:v>
      </x:c>
      <x:c r="P44" s="27" t="n">
        <x:v>81</x:v>
      </x:c>
      <x:c r="Q44" s="27" t="n">
        <x:v>74</x:v>
      </x:c>
      <x:c r="R44" s="27" t="n">
        <x:v>65</x:v>
      </x:c>
      <x:c r="S44" s="27" t="n">
        <x:v>82</x:v>
      </x:c>
      <x:c r="T44" s="27" t="n">
        <x:v>84</x:v>
      </x:c>
      <x:c r="U44" s="27" t="n">
        <x:v>79</x:v>
      </x:c>
      <x:c r="V44" s="27" t="n">
        <x:v>67</x:v>
      </x:c>
      <x:c r="W44" s="27" t="n">
        <x:v>64</x:v>
      </x:c>
      <x:c r="X44" s="27" t="n">
        <x:v>69</x:v>
      </x:c>
      <x:c r="Y44" s="27" t="n">
        <x:v>84</x:v>
      </x:c>
      <x:c r="Z44" s="27" t="n">
        <x:v>84</x:v>
      </x:c>
      <x:c r="AA44" s="27" t="n">
        <x:v>61</x:v>
      </x:c>
      <x:c r="AB44" s="27" t="n">
        <x:v>64</x:v>
      </x:c>
      <x:c r="AC44" s="27" t="n">
        <x:v>82</x:v>
      </x:c>
      <x:c r="AD44" s="27" t="n">
        <x:v>84</x:v>
      </x:c>
      <x:c r="AE44" s="27" t="n">
        <x:v>82</x:v>
      </x:c>
      <x:c r="AF44" s="27" t="n">
        <x:v>82</x:v>
      </x:c>
      <x:c r="AG44" s="27" t="n">
        <x:v>84</x:v>
      </x:c>
      <x:c r="AH44" s="27" t="n">
        <x:v>80</x:v>
      </x:c>
      <x:c r="AI44" s="27" t="n">
        <x:v>72</x:v>
      </x:c>
      <x:c r="AJ44" s="27" t="n">
        <x:v>83</x:v>
      </x:c>
      <x:c r="AK44" s="27" t="n">
        <x:v>80</x:v>
      </x:c>
      <x:c r="AL44" s="27" t="n">
        <x:v>79</x:v>
      </x:c>
      <x:c r="AM44" s="27" t="str">
        <x:v>SRC-TE-002</x:v>
      </x:c>
      <x:c r="AN44" s="27" t="n">
        <x:v>40</x:v>
      </x:c>
      <x:c r="AO44" s="27" t="str">
        <x:v>VISUALLY VERIFIED</x:v>
      </x:c>
      <x:c r="AP44" s="27" t="str"/>
      <x:c r="AQ44" s="27"/>
      <x:c r="AR44" s="27"/>
      <x:c r="AS44" s="27"/>
      <x:c r="AT44" s="27"/>
      <x:c r="AU44" s="27"/>
      <x:c r="AV44" s="27"/>
      <x:c r="AW44" s="27"/>
      <x:c r="AX44" s="27"/>
      <x:c r="AY44" s="27"/>
      <x:c r="AZ44" s="27"/>
    </x:row>
    <x:row r="45">
      <x:c r="A45" s="27" t="str">
        <x:v>TE-0041</x:v>
      </x:c>
      <x:c r="B45" s="27" t="str">
        <x:v>Lawson Luckie</x:v>
      </x:c>
      <x:c r="C45" s="27" t="n">
        <x:v>81</x:v>
      </x:c>
      <x:c r="D45" s="27" t="str">
        <x:v>Core Rare</x:v>
      </x:c>
      <x:c r="E45" s="27" t="str">
        <x:v>Physical Route Runner</x:v>
      </x:c>
      <x:c r="F45" s="27" t="n">
        <x:v>7</x:v>
      </x:c>
      <x:c r="G45" s="27" t="n">
        <x:v>80</x:v>
      </x:c>
      <x:c r="H45" s="27" t="n">
        <x:v>82</x:v>
      </x:c>
      <x:c r="I45" s="27" t="n">
        <x:v>74</x:v>
      </x:c>
      <x:c r="J45" s="27" t="n">
        <x:v>77</x:v>
      </x:c>
      <x:c r="K45" s="27" t="n">
        <x:v>70</x:v>
      </x:c>
      <x:c r="L45" s="27" t="n">
        <x:v>78</x:v>
      </x:c>
      <x:c r="M45" s="27" t="n">
        <x:v>80</x:v>
      </x:c>
      <x:c r="N45" s="27" t="n">
        <x:v>80</x:v>
      </x:c>
      <x:c r="O45" s="27" t="n">
        <x:v>81</x:v>
      </x:c>
      <x:c r="P45" s="27" t="n">
        <x:v>79</x:v>
      </x:c>
      <x:c r="Q45" s="27" t="n">
        <x:v>78</x:v>
      </x:c>
      <x:c r="R45" s="27" t="n">
        <x:v>81</x:v>
      </x:c>
      <x:c r="S45" s="27" t="n">
        <x:v>80</x:v>
      </x:c>
      <x:c r="T45" s="27" t="n">
        <x:v>63</x:v>
      </x:c>
      <x:c r="U45" s="27" t="n">
        <x:v>64</x:v>
      </x:c>
      <x:c r="V45" s="27" t="n">
        <x:v>75</x:v>
      </x:c>
      <x:c r="W45" s="27" t="n">
        <x:v>62</x:v>
      </x:c>
      <x:c r="X45" s="27" t="n">
        <x:v>66</x:v>
      </x:c>
      <x:c r="Y45" s="27" t="n">
        <x:v>74</x:v>
      </x:c>
      <x:c r="Z45" s="27" t="n">
        <x:v>78</x:v>
      </x:c>
      <x:c r="AA45" s="27" t="n">
        <x:v>75</x:v>
      </x:c>
      <x:c r="AB45" s="27" t="n">
        <x:v>82</x:v>
      </x:c>
      <x:c r="AC45" s="27" t="n">
        <x:v>77</x:v>
      </x:c>
      <x:c r="AD45" s="27" t="n">
        <x:v>78</x:v>
      </x:c>
      <x:c r="AE45" s="27" t="n">
        <x:v>75</x:v>
      </x:c>
      <x:c r="AF45" s="27" t="n">
        <x:v>66</x:v>
      </x:c>
      <x:c r="AG45" s="27" t="n">
        <x:v>69</x:v>
      </x:c>
      <x:c r="AH45" s="27" t="n">
        <x:v>61</x:v>
      </x:c>
      <x:c r="AI45" s="27" t="n">
        <x:v>53</x:v>
      </x:c>
      <x:c r="AJ45" s="27" t="n">
        <x:v>67</x:v>
      </x:c>
      <x:c r="AK45" s="27" t="n">
        <x:v>75</x:v>
      </x:c>
      <x:c r="AL45" s="27" t="n">
        <x:v>80</x:v>
      </x:c>
      <x:c r="AM45" s="27" t="str">
        <x:v>SRC-TE-002</x:v>
      </x:c>
      <x:c r="AN45" s="27" t="n">
        <x:v>41</x:v>
      </x:c>
      <x:c r="AO45" s="27" t="str">
        <x:v>VISUALLY VERIFIED</x:v>
      </x:c>
      <x:c r="AP45" s="27" t="str"/>
      <x:c r="AQ45" s="27"/>
      <x:c r="AR45" s="27"/>
      <x:c r="AS45" s="27"/>
      <x:c r="AT45" s="27"/>
      <x:c r="AU45" s="27"/>
      <x:c r="AV45" s="27"/>
      <x:c r="AW45" s="27"/>
      <x:c r="AX45" s="27"/>
      <x:c r="AY45" s="27"/>
      <x:c r="AZ45" s="27"/>
    </x:row>
    <x:row r="46">
      <x:c r="A46" s="27" t="str">
        <x:v>TE-0042</x:v>
      </x:c>
      <x:c r="B46" s="27" t="str">
        <x:v>Mason Mini</x:v>
      </x:c>
      <x:c r="C46" s="27" t="n">
        <x:v>81</x:v>
      </x:c>
      <x:c r="D46" s="27" t="str">
        <x:v>Platinum Rare</x:v>
      </x:c>
      <x:c r="E46" s="27" t="str">
        <x:v>Vertical Threat</x:v>
      </x:c>
      <x:c r="F46" s="27" t="n">
        <x:v>85</x:v>
      </x:c>
      <x:c r="G46" s="27" t="n">
        <x:v>84</x:v>
      </x:c>
      <x:c r="H46" s="27" t="n">
        <x:v>81</x:v>
      </x:c>
      <x:c r="I46" s="27" t="n">
        <x:v>79</x:v>
      </x:c>
      <x:c r="J46" s="27" t="n">
        <x:v>82</x:v>
      </x:c>
      <x:c r="K46" s="27" t="n">
        <x:v>77</x:v>
      </x:c>
      <x:c r="L46" s="27" t="n">
        <x:v>76</x:v>
      </x:c>
      <x:c r="M46" s="27" t="n">
        <x:v>81</x:v>
      </x:c>
      <x:c r="N46" s="27" t="n">
        <x:v>84</x:v>
      </x:c>
      <x:c r="O46" s="27" t="n">
        <x:v>68</x:v>
      </x:c>
      <x:c r="P46" s="27" t="n">
        <x:v>78</x:v>
      </x:c>
      <x:c r="Q46" s="27" t="n">
        <x:v>84</x:v>
      </x:c>
      <x:c r="R46" s="27" t="n">
        <x:v>72</x:v>
      </x:c>
      <x:c r="S46" s="27" t="n">
        <x:v>83</x:v>
      </x:c>
      <x:c r="T46" s="27" t="n">
        <x:v>77</x:v>
      </x:c>
      <x:c r="U46" s="27" t="n">
        <x:v>72</x:v>
      </x:c>
      <x:c r="V46" s="27" t="n">
        <x:v>83</x:v>
      </x:c>
      <x:c r="W46" s="27" t="n">
        <x:v>76</x:v>
      </x:c>
      <x:c r="X46" s="27" t="n">
        <x:v>77</x:v>
      </x:c>
      <x:c r="Y46" s="27" t="n">
        <x:v>54</x:v>
      </x:c>
      <x:c r="Z46" s="27" t="n">
        <x:v>70</x:v>
      </x:c>
      <x:c r="AA46" s="27" t="n">
        <x:v>81</x:v>
      </x:c>
      <x:c r="AB46" s="27" t="n">
        <x:v>77</x:v>
      </x:c>
      <x:c r="AC46" s="27" t="n">
        <x:v>64</x:v>
      </x:c>
      <x:c r="AD46" s="27" t="n">
        <x:v>74</x:v>
      </x:c>
      <x:c r="AE46" s="27" t="n">
        <x:v>74</x:v>
      </x:c>
      <x:c r="AF46" s="27" t="n">
        <x:v>56</x:v>
      </x:c>
      <x:c r="AG46" s="27" t="n">
        <x:v>70</x:v>
      </x:c>
      <x:c r="AH46" s="27" t="n">
        <x:v>61</x:v>
      </x:c>
      <x:c r="AI46" s="27" t="n">
        <x:v>72</x:v>
      </x:c>
      <x:c r="AJ46" s="27" t="n">
        <x:v>66</x:v>
      </x:c>
      <x:c r="AK46" s="27" t="n">
        <x:v>76</x:v>
      </x:c>
      <x:c r="AL46" s="27" t="n">
        <x:v>81</x:v>
      </x:c>
      <x:c r="AM46" s="27" t="str">
        <x:v>SRC-TE-002</x:v>
      </x:c>
      <x:c r="AN46" s="27" t="n">
        <x:v>42</x:v>
      </x:c>
      <x:c r="AO46" s="27" t="str">
        <x:v>VISUALLY VERIFIED</x:v>
      </x:c>
      <x:c r="AP46" s="27" t="str"/>
      <x:c r="AQ46" s="27"/>
      <x:c r="AR46" s="27"/>
      <x:c r="AS46" s="27"/>
      <x:c r="AT46" s="27"/>
      <x:c r="AU46" s="27"/>
      <x:c r="AV46" s="27"/>
      <x:c r="AW46" s="27"/>
      <x:c r="AX46" s="27"/>
      <x:c r="AY46" s="27"/>
      <x:c r="AZ46" s="27"/>
    </x:row>
    <x:row r="47">
      <x:c r="A47" s="27" t="str">
        <x:v>TE-0043</x:v>
      </x:c>
      <x:c r="B47" s="27" t="str">
        <x:v>Jaleel Skinner</x:v>
      </x:c>
      <x:c r="C47" s="27" t="n">
        <x:v>81</x:v>
      </x:c>
      <x:c r="D47" s="27" t="str">
        <x:v>Platinum Rare</x:v>
      </x:c>
      <x:c r="E47" s="27" t="str">
        <x:v>Vertical Threat</x:v>
      </x:c>
      <x:c r="F47" s="27" t="n">
        <x:v>18</x:v>
      </x:c>
      <x:c r="G47" s="27" t="n">
        <x:v>84</x:v>
      </x:c>
      <x:c r="H47" s="27" t="n">
        <x:v>84</x:v>
      </x:c>
      <x:c r="I47" s="27" t="n">
        <x:v>79</x:v>
      </x:c>
      <x:c r="J47" s="27" t="n">
        <x:v>80</x:v>
      </x:c>
      <x:c r="K47" s="27" t="n">
        <x:v>62</x:v>
      </x:c>
      <x:c r="L47" s="27" t="n">
        <x:v>84</x:v>
      </x:c>
      <x:c r="M47" s="27" t="n">
        <x:v>82</x:v>
      </x:c>
      <x:c r="N47" s="27" t="n">
        <x:v>84</x:v>
      </x:c>
      <x:c r="O47" s="27" t="n">
        <x:v>55</x:v>
      </x:c>
      <x:c r="P47" s="27" t="n">
        <x:v>77</x:v>
      </x:c>
      <x:c r="Q47" s="27" t="n">
        <x:v>81</x:v>
      </x:c>
      <x:c r="R47" s="27" t="n">
        <x:v>84</x:v>
      </x:c>
      <x:c r="S47" s="27" t="n">
        <x:v>84</x:v>
      </x:c>
      <x:c r="T47" s="27" t="n">
        <x:v>84</x:v>
      </x:c>
      <x:c r="U47" s="27" t="n">
        <x:v>64</x:v>
      </x:c>
      <x:c r="V47" s="27" t="n">
        <x:v>84</x:v>
      </x:c>
      <x:c r="W47" s="27" t="n">
        <x:v>69</x:v>
      </x:c>
      <x:c r="X47" s="27" t="n">
        <x:v>73</x:v>
      </x:c>
      <x:c r="Y47" s="27" t="n">
        <x:v>41</x:v>
      </x:c>
      <x:c r="Z47" s="27" t="n">
        <x:v>63</x:v>
      </x:c>
      <x:c r="AA47" s="27" t="n">
        <x:v>84</x:v>
      </x:c>
      <x:c r="AB47" s="27" t="n">
        <x:v>63</x:v>
      </x:c>
      <x:c r="AC47" s="27" t="n">
        <x:v>67</x:v>
      </x:c>
      <x:c r="AD47" s="27" t="n">
        <x:v>67</x:v>
      </x:c>
      <x:c r="AE47" s="27" t="n">
        <x:v>66</x:v>
      </x:c>
      <x:c r="AF47" s="27" t="n">
        <x:v>79</x:v>
      </x:c>
      <x:c r="AG47" s="27" t="n">
        <x:v>73</x:v>
      </x:c>
      <x:c r="AH47" s="27" t="n">
        <x:v>71</x:v>
      </x:c>
      <x:c r="AI47" s="27" t="n">
        <x:v>56</x:v>
      </x:c>
      <x:c r="AJ47" s="27" t="n">
        <x:v>76</x:v>
      </x:c>
      <x:c r="AK47" s="27" t="n">
        <x:v>73</x:v>
      </x:c>
      <x:c r="AL47" s="27" t="n">
        <x:v>80</x:v>
      </x:c>
      <x:c r="AM47" s="27" t="str">
        <x:v>SRC-TE-002</x:v>
      </x:c>
      <x:c r="AN47" s="27" t="n">
        <x:v>43</x:v>
      </x:c>
      <x:c r="AO47" s="27" t="str">
        <x:v>VISUALLY VERIFIED</x:v>
      </x:c>
      <x:c r="AP47" s="27" t="str"/>
      <x:c r="AQ47" s="27"/>
      <x:c r="AR47" s="27"/>
      <x:c r="AS47" s="27"/>
      <x:c r="AT47" s="27"/>
      <x:c r="AU47" s="27"/>
      <x:c r="AV47" s="27"/>
      <x:c r="AW47" s="27"/>
      <x:c r="AX47" s="27"/>
      <x:c r="AY47" s="27"/>
      <x:c r="AZ47" s="27"/>
    </x:row>
    <x:row r="48">
      <x:c r="A48" s="27" t="str">
        <x:v>TE-0044</x:v>
      </x:c>
      <x:c r="B48" s="27" t="str">
        <x:v>Jelani Thurman</x:v>
      </x:c>
      <x:c r="C48" s="27" t="n">
        <x:v>81</x:v>
      </x:c>
      <x:c r="D48" s="27" t="str">
        <x:v>Core Rare</x:v>
      </x:c>
      <x:c r="E48" s="27" t="str">
        <x:v>Vertical Threat</x:v>
      </x:c>
      <x:c r="F48" s="27" t="n">
        <x:v>45</x:v>
      </x:c>
      <x:c r="G48" s="27" t="n">
        <x:v>82</x:v>
      </x:c>
      <x:c r="H48" s="27" t="n">
        <x:v>83</x:v>
      </x:c>
      <x:c r="I48" s="27" t="n">
        <x:v>77</x:v>
      </x:c>
      <x:c r="J48" s="27" t="n">
        <x:v>75</x:v>
      </x:c>
      <x:c r="K48" s="27" t="n">
        <x:v>82</x:v>
      </x:c>
      <x:c r="L48" s="27" t="n">
        <x:v>81</x:v>
      </x:c>
      <x:c r="M48" s="27" t="n">
        <x:v>81</x:v>
      </x:c>
      <x:c r="N48" s="27" t="n">
        <x:v>79</x:v>
      </x:c>
      <x:c r="O48" s="27" t="n">
        <x:v>77</x:v>
      </x:c>
      <x:c r="P48" s="27" t="n">
        <x:v>69</x:v>
      </x:c>
      <x:c r="Q48" s="27" t="n">
        <x:v>68</x:v>
      </x:c>
      <x:c r="R48" s="27" t="n">
        <x:v>62</x:v>
      </x:c>
      <x:c r="S48" s="27" t="n">
        <x:v>81</x:v>
      </x:c>
      <x:c r="T48" s="27" t="n">
        <x:v>82</x:v>
      </x:c>
      <x:c r="U48" s="27" t="n">
        <x:v>83</x:v>
      </x:c>
      <x:c r="V48" s="27" t="n">
        <x:v>57</x:v>
      </x:c>
      <x:c r="W48" s="27" t="n">
        <x:v>67</x:v>
      </x:c>
      <x:c r="X48" s="27" t="n">
        <x:v>64</x:v>
      </x:c>
      <x:c r="Y48" s="27" t="n">
        <x:v>73</x:v>
      </x:c>
      <x:c r="Z48" s="27" t="n">
        <x:v>71</x:v>
      </x:c>
      <x:c r="AA48" s="27" t="n">
        <x:v>81</x:v>
      </x:c>
      <x:c r="AB48" s="27" t="n">
        <x:v>59</x:v>
      </x:c>
      <x:c r="AC48" s="27" t="n">
        <x:v>81</x:v>
      </x:c>
      <x:c r="AD48" s="27" t="n">
        <x:v>81</x:v>
      </x:c>
      <x:c r="AE48" s="27" t="n">
        <x:v>84</x:v>
      </x:c>
      <x:c r="AF48" s="27" t="n">
        <x:v>81</x:v>
      </x:c>
      <x:c r="AG48" s="27" t="n">
        <x:v>81</x:v>
      </x:c>
      <x:c r="AH48" s="27" t="n">
        <x:v>79</x:v>
      </x:c>
      <x:c r="AI48" s="27" t="n">
        <x:v>80</x:v>
      </x:c>
      <x:c r="AJ48" s="27" t="n">
        <x:v>81</x:v>
      </x:c>
      <x:c r="AK48" s="27" t="n">
        <x:v>80</x:v>
      </x:c>
      <x:c r="AL48" s="27" t="n">
        <x:v>80</x:v>
      </x:c>
      <x:c r="AM48" s="27" t="str">
        <x:v>SRC-TE-002</x:v>
      </x:c>
      <x:c r="AN48" s="27" t="n">
        <x:v>44</x:v>
      </x:c>
      <x:c r="AO48" s="27" t="str">
        <x:v>VISUALLY VERIFIED</x:v>
      </x:c>
      <x:c r="AP48" s="27" t="str"/>
      <x:c r="AQ48" s="27"/>
      <x:c r="AR48" s="27"/>
      <x:c r="AS48" s="27"/>
      <x:c r="AT48" s="27"/>
      <x:c r="AU48" s="27"/>
      <x:c r="AV48" s="27"/>
      <x:c r="AW48" s="27"/>
      <x:c r="AX48" s="27"/>
      <x:c r="AY48" s="27"/>
      <x:c r="AZ48" s="27"/>
    </x:row>
    <x:row r="49">
      <x:c r="A49" s="27" t="str">
        <x:v>TE-0045</x:v>
      </x:c>
      <x:c r="B49" s="27" t="str">
        <x:v>Hunter Welcing</x:v>
      </x:c>
      <x:c r="C49" s="27" t="n">
        <x:v>81</x:v>
      </x:c>
      <x:c r="D49" s="27" t="str">
        <x:v>Platinum Rare</x:v>
      </x:c>
      <x:c r="E49" s="27" t="str">
        <x:v>Physical Route Runner</x:v>
      </x:c>
      <x:c r="F49" s="27" t="n">
        <x:v>84</x:v>
      </x:c>
      <x:c r="G49" s="27" t="n">
        <x:v>78</x:v>
      </x:c>
      <x:c r="H49" s="27" t="n">
        <x:v>77</x:v>
      </x:c>
      <x:c r="I49" s="27" t="n">
        <x:v>75</x:v>
      </x:c>
      <x:c r="J49" s="27" t="n">
        <x:v>84</x:v>
      </x:c>
      <x:c r="K49" s="27" t="n">
        <x:v>75</x:v>
      </x:c>
      <x:c r="L49" s="27" t="n">
        <x:v>78</x:v>
      </x:c>
      <x:c r="M49" s="27" t="n">
        <x:v>82</x:v>
      </x:c>
      <x:c r="N49" s="27" t="n">
        <x:v>83</x:v>
      </x:c>
      <x:c r="O49" s="27" t="n">
        <x:v>81</x:v>
      </x:c>
      <x:c r="P49" s="27" t="n">
        <x:v>80</x:v>
      </x:c>
      <x:c r="Q49" s="27" t="n">
        <x:v>81</x:v>
      </x:c>
      <x:c r="R49" s="27" t="n">
        <x:v>78</x:v>
      </x:c>
      <x:c r="S49" s="27" t="n">
        <x:v>83</x:v>
      </x:c>
      <x:c r="T49" s="27" t="n">
        <x:v>79</x:v>
      </x:c>
      <x:c r="U49" s="27" t="n">
        <x:v>74</x:v>
      </x:c>
      <x:c r="V49" s="27" t="n">
        <x:v>72</x:v>
      </x:c>
      <x:c r="W49" s="27" t="n">
        <x:v>69</x:v>
      </x:c>
      <x:c r="X49" s="27" t="n">
        <x:v>72</x:v>
      </x:c>
      <x:c r="Y49" s="27" t="n">
        <x:v>77</x:v>
      </x:c>
      <x:c r="Z49" s="27" t="n">
        <x:v>83</x:v>
      </x:c>
      <x:c r="AA49" s="27" t="n">
        <x:v>72</x:v>
      </x:c>
      <x:c r="AB49" s="27" t="n">
        <x:v>62</x:v>
      </x:c>
      <x:c r="AC49" s="27" t="n">
        <x:v>72</x:v>
      </x:c>
      <x:c r="AD49" s="27" t="n">
        <x:v>62</x:v>
      </x:c>
      <x:c r="AE49" s="27" t="n">
        <x:v>69</x:v>
      </x:c>
      <x:c r="AF49" s="27" t="n">
        <x:v>61</x:v>
      </x:c>
      <x:c r="AG49" s="27" t="n">
        <x:v>66</x:v>
      </x:c>
      <x:c r="AH49" s="27" t="n">
        <x:v>71</x:v>
      </x:c>
      <x:c r="AI49" s="27" t="n">
        <x:v>50</x:v>
      </x:c>
      <x:c r="AJ49" s="27" t="n">
        <x:v>68</x:v>
      </x:c>
      <x:c r="AK49" s="27" t="n">
        <x:v>75</x:v>
      </x:c>
      <x:c r="AL49" s="27" t="n">
        <x:v>82</x:v>
      </x:c>
      <x:c r="AM49" s="27" t="str">
        <x:v>SRC-TE-002</x:v>
      </x:c>
      <x:c r="AN49" s="27" t="n">
        <x:v>45</x:v>
      </x:c>
      <x:c r="AO49" s="27" t="str">
        <x:v>VISUALLY VERIFIED</x:v>
      </x:c>
      <x:c r="AP49" s="27" t="str"/>
      <x:c r="AQ49" s="27"/>
      <x:c r="AR49" s="27"/>
      <x:c r="AS49" s="27"/>
      <x:c r="AT49" s="27"/>
      <x:c r="AU49" s="27"/>
      <x:c r="AV49" s="27"/>
      <x:c r="AW49" s="27"/>
      <x:c r="AX49" s="27"/>
      <x:c r="AY49" s="27"/>
      <x:c r="AZ49" s="27"/>
    </x:row>
    <x:row r="50">
      <x:c r="A50" s="27" t="str">
        <x:v>TE-0046</x:v>
      </x:c>
      <x:c r="B50" s="27" t="str">
        <x:v>Hunter Tipton</x:v>
      </x:c>
      <x:c r="C50" s="27" t="n">
        <x:v>80</x:v>
      </x:c>
      <x:c r="D50" s="27" t="str">
        <x:v>Cornerstones</x:v>
      </x:c>
      <x:c r="E50" s="27" t="str">
        <x:v>Vertical Threat</x:v>
      </x:c>
      <x:c r="F50" s="27" t="n">
        <x:v>0</x:v>
      </x:c>
      <x:c r="G50" s="27" t="n">
        <x:v>78</x:v>
      </x:c>
      <x:c r="H50" s="27" t="n">
        <x:v>76</x:v>
      </x:c>
      <x:c r="I50" s="27" t="n">
        <x:v>73</x:v>
      </x:c>
      <x:c r="J50" s="27" t="n">
        <x:v>80</x:v>
      </x:c>
      <x:c r="K50" s="27" t="n">
        <x:v>77</x:v>
      </x:c>
      <x:c r="L50" s="27" t="n">
        <x:v>78</x:v>
      </x:c>
      <x:c r="M50" s="27" t="n">
        <x:v>90</x:v>
      </x:c>
      <x:c r="N50" s="27" t="n">
        <x:v>80</x:v>
      </x:c>
      <x:c r="O50" s="27" t="n">
        <x:v>77</x:v>
      </x:c>
      <x:c r="P50" s="27" t="n">
        <x:v>70</x:v>
      </x:c>
      <x:c r="Q50" s="27" t="n">
        <x:v>76</x:v>
      </x:c>
      <x:c r="R50" s="27" t="n">
        <x:v>79</x:v>
      </x:c>
      <x:c r="S50" s="27" t="n">
        <x:v>73</x:v>
      </x:c>
      <x:c r="T50" s="27" t="n">
        <x:v>75</x:v>
      </x:c>
      <x:c r="U50" s="27" t="n">
        <x:v>76</x:v>
      </x:c>
      <x:c r="V50" s="27" t="n">
        <x:v>71</x:v>
      </x:c>
      <x:c r="W50" s="27" t="n">
        <x:v>74</x:v>
      </x:c>
      <x:c r="X50" s="27" t="n">
        <x:v>75</x:v>
      </x:c>
      <x:c r="Y50" s="27" t="n">
        <x:v>69</x:v>
      </x:c>
      <x:c r="Z50" s="27" t="n">
        <x:v>70</x:v>
      </x:c>
      <x:c r="AA50" s="27" t="n">
        <x:v>74</x:v>
      </x:c>
      <x:c r="AB50" s="27" t="n">
        <x:v>75</x:v>
      </x:c>
      <x:c r="AC50" s="27" t="n">
        <x:v>74</x:v>
      </x:c>
      <x:c r="AD50" s="27" t="n">
        <x:v>72</x:v>
      </x:c>
      <x:c r="AE50" s="27" t="n">
        <x:v>73</x:v>
      </x:c>
      <x:c r="AF50" s="27" t="n">
        <x:v>66</x:v>
      </x:c>
      <x:c r="AG50" s="27" t="n">
        <x:v>60</x:v>
      </x:c>
      <x:c r="AH50" s="27" t="n">
        <x:v>60</x:v>
      </x:c>
      <x:c r="AI50" s="27" t="n">
        <x:v>74</x:v>
      </x:c>
      <x:c r="AJ50" s="27" t="n">
        <x:v>71</x:v>
      </x:c>
      <x:c r="AK50" s="27" t="n">
        <x:v>77</x:v>
      </x:c>
      <x:c r="AL50" s="27" t="n">
        <x:v>79</x:v>
      </x:c>
      <x:c r="AM50" s="27" t="str">
        <x:v>SRC-TE-002</x:v>
      </x:c>
      <x:c r="AN50" s="27" t="n">
        <x:v>46</x:v>
      </x:c>
      <x:c r="AO50" s="27" t="str">
        <x:v>VISUALLY VERIFIED</x:v>
      </x:c>
      <x:c r="AP50" s="27" t="str"/>
      <x:c r="AQ50" s="27"/>
      <x:c r="AR50" s="27"/>
      <x:c r="AS50" s="27"/>
      <x:c r="AT50" s="27"/>
      <x:c r="AU50" s="27"/>
      <x:c r="AV50" s="27"/>
      <x:c r="AW50" s="27"/>
      <x:c r="AX50" s="27"/>
      <x:c r="AY50" s="27"/>
      <x:c r="AZ50" s="27"/>
    </x:row>
    <x:row r="51">
      <x:c r="A51" s="27" t="str">
        <x:v>TE-0047</x:v>
      </x:c>
      <x:c r="B51" s="27" t="str">
        <x:v>Christian Bentancur</x:v>
      </x:c>
      <x:c r="C51" s="27" t="n">
        <x:v>80</x:v>
      </x:c>
      <x:c r="D51" s="27" t="str">
        <x:v>Cornerstones</x:v>
      </x:c>
      <x:c r="E51" s="27" t="str">
        <x:v>Gritty Possession</x:v>
      </x:c>
      <x:c r="F51" s="27" t="n">
        <x:v>87</x:v>
      </x:c>
      <x:c r="G51" s="27" t="n">
        <x:v>77</x:v>
      </x:c>
      <x:c r="H51" s="27" t="n">
        <x:v>76</x:v>
      </x:c>
      <x:c r="I51" s="27" t="n">
        <x:v>73</x:v>
      </x:c>
      <x:c r="J51" s="27" t="n">
        <x:v>80</x:v>
      </x:c>
      <x:c r="K51" s="27" t="n">
        <x:v>79</x:v>
      </x:c>
      <x:c r="L51" s="27" t="n">
        <x:v>75</x:v>
      </x:c>
      <x:c r="M51" s="27" t="n">
        <x:v>90</x:v>
      </x:c>
      <x:c r="N51" s="27" t="n">
        <x:v>80</x:v>
      </x:c>
      <x:c r="O51" s="27" t="n">
        <x:v>81</x:v>
      </x:c>
      <x:c r="P51" s="27" t="n">
        <x:v>78</x:v>
      </x:c>
      <x:c r="Q51" s="27" t="n">
        <x:v>77</x:v>
      </x:c>
      <x:c r="R51" s="27" t="n">
        <x:v>70</x:v>
      </x:c>
      <x:c r="S51" s="27" t="n">
        <x:v>72</x:v>
      </x:c>
      <x:c r="T51" s="27" t="n">
        <x:v>74</x:v>
      </x:c>
      <x:c r="U51" s="27" t="n">
        <x:v>78</x:v>
      </x:c>
      <x:c r="V51" s="27" t="n">
        <x:v>73</x:v>
      </x:c>
      <x:c r="W51" s="27" t="n">
        <x:v>72</x:v>
      </x:c>
      <x:c r="X51" s="27" t="n">
        <x:v>71</x:v>
      </x:c>
      <x:c r="Y51" s="27" t="n">
        <x:v>74</x:v>
      </x:c>
      <x:c r="Z51" s="27" t="n">
        <x:v>75</x:v>
      </x:c>
      <x:c r="AA51" s="27" t="n">
        <x:v>71</x:v>
      </x:c>
      <x:c r="AB51" s="27" t="n">
        <x:v>77</x:v>
      </x:c>
      <x:c r="AC51" s="27" t="n">
        <x:v>77</x:v>
      </x:c>
      <x:c r="AD51" s="27" t="n">
        <x:v>76</x:v>
      </x:c>
      <x:c r="AE51" s="27" t="n">
        <x:v>72</x:v>
      </x:c>
      <x:c r="AF51" s="27" t="n">
        <x:v>72</x:v>
      </x:c>
      <x:c r="AG51" s="27" t="n">
        <x:v>68</x:v>
      </x:c>
      <x:c r="AH51" s="27" t="n">
        <x:v>65</x:v>
      </x:c>
      <x:c r="AI51" s="27" t="n">
        <x:v>71</x:v>
      </x:c>
      <x:c r="AJ51" s="27" t="n">
        <x:v>75</x:v>
      </x:c>
      <x:c r="AK51" s="27" t="n">
        <x:v>77</x:v>
      </x:c>
      <x:c r="AL51" s="27" t="n">
        <x:v>79</x:v>
      </x:c>
      <x:c r="AM51" s="27" t="str">
        <x:v>SRC-TE-002</x:v>
      </x:c>
      <x:c r="AN51" s="27" t="n">
        <x:v>47</x:v>
      </x:c>
      <x:c r="AO51" s="27" t="str">
        <x:v>VISUALLY VERIFIED</x:v>
      </x:c>
      <x:c r="AP51" s="27" t="str"/>
      <x:c r="AQ51" s="27"/>
      <x:c r="AR51" s="27"/>
      <x:c r="AS51" s="27"/>
      <x:c r="AT51" s="27"/>
      <x:c r="AU51" s="27"/>
      <x:c r="AV51" s="27"/>
      <x:c r="AW51" s="27"/>
      <x:c r="AX51" s="27"/>
      <x:c r="AY51" s="27"/>
      <x:c r="AZ51" s="27"/>
    </x:row>
    <x:row r="52">
      <x:c r="A52" s="27" t="str">
        <x:v>TE-0048</x:v>
      </x:c>
      <x:c r="B52" s="27" t="str">
        <x:v>Jalen Hoffman</x:v>
      </x:c>
      <x:c r="C52" s="27" t="n">
        <x:v>80</x:v>
      </x:c>
      <x:c r="D52" s="27" t="str">
        <x:v>Standouts</x:v>
      </x:c>
      <x:c r="E52" s="27" t="str">
        <x:v>Gritty Possession</x:v>
      </x:c>
      <x:c r="F52" s="27" t="n">
        <x:v>42</x:v>
      </x:c>
      <x:c r="G52" s="27" t="n">
        <x:v>77</x:v>
      </x:c>
      <x:c r="H52" s="27" t="n">
        <x:v>77</x:v>
      </x:c>
      <x:c r="I52" s="27" t="n">
        <x:v>75</x:v>
      </x:c>
      <x:c r="J52" s="27" t="n">
        <x:v>70</x:v>
      </x:c>
      <x:c r="K52" s="27" t="n">
        <x:v>80</x:v>
      </x:c>
      <x:c r="L52" s="27" t="n">
        <x:v>73</x:v>
      </x:c>
      <x:c r="M52" s="27" t="n">
        <x:v>85</x:v>
      </x:c>
      <x:c r="N52" s="27" t="n">
        <x:v>80</x:v>
      </x:c>
      <x:c r="O52" s="27" t="n">
        <x:v>80</x:v>
      </x:c>
      <x:c r="P52" s="27" t="n">
        <x:v>77</x:v>
      </x:c>
      <x:c r="Q52" s="27" t="n">
        <x:v>75</x:v>
      </x:c>
      <x:c r="R52" s="27" t="n">
        <x:v>75</x:v>
      </x:c>
      <x:c r="S52" s="27" t="n">
        <x:v>74</x:v>
      </x:c>
      <x:c r="T52" s="27" t="n">
        <x:v>72</x:v>
      </x:c>
      <x:c r="U52" s="27" t="n">
        <x:v>76</x:v>
      </x:c>
      <x:c r="V52" s="27" t="n">
        <x:v>56</x:v>
      </x:c>
      <x:c r="W52" s="27" t="n">
        <x:v>58</x:v>
      </x:c>
      <x:c r="X52" s="27" t="n">
        <x:v>54</x:v>
      </x:c>
      <x:c r="Y52" s="27" t="n">
        <x:v>80</x:v>
      </x:c>
      <x:c r="Z52" s="27" t="n">
        <x:v>81</x:v>
      </x:c>
      <x:c r="AA52" s="27" t="n">
        <x:v>74</x:v>
      </x:c>
      <x:c r="AB52" s="27" t="n">
        <x:v>77</x:v>
      </x:c>
      <x:c r="AC52" s="27" t="n">
        <x:v>76</x:v>
      </x:c>
      <x:c r="AD52" s="27" t="n">
        <x:v>76</x:v>
      </x:c>
      <x:c r="AE52" s="27" t="n">
        <x:v>77</x:v>
      </x:c>
      <x:c r="AF52" s="27" t="n">
        <x:v>71</x:v>
      </x:c>
      <x:c r="AG52" s="27" t="n">
        <x:v>72</x:v>
      </x:c>
      <x:c r="AH52" s="27" t="n">
        <x:v>72</x:v>
      </x:c>
      <x:c r="AI52" s="27" t="n">
        <x:v>74</x:v>
      </x:c>
      <x:c r="AJ52" s="27" t="n">
        <x:v>75</x:v>
      </x:c>
      <x:c r="AK52" s="27" t="n">
        <x:v>78</x:v>
      </x:c>
      <x:c r="AL52" s="27" t="n">
        <x:v>78</x:v>
      </x:c>
      <x:c r="AM52" s="27" t="str">
        <x:v>SRC-TE-002</x:v>
      </x:c>
      <x:c r="AN52" s="27" t="n">
        <x:v>48</x:v>
      </x:c>
      <x:c r="AO52" s="27" t="str">
        <x:v>VISUALLY VERIFIED</x:v>
      </x:c>
      <x:c r="AP52" s="27" t="str"/>
      <x:c r="AQ52" s="27"/>
      <x:c r="AR52" s="27"/>
      <x:c r="AS52" s="27"/>
      <x:c r="AT52" s="27"/>
      <x:c r="AU52" s="27"/>
      <x:c r="AV52" s="27"/>
      <x:c r="AW52" s="27"/>
      <x:c r="AX52" s="27"/>
      <x:c r="AY52" s="27"/>
      <x:c r="AZ52" s="27"/>
    </x:row>
    <x:row r="53">
      <x:c r="A53" s="27" t="str">
        <x:v>TE-0049</x:v>
      </x:c>
      <x:c r="B53" s="27" t="str">
        <x:v>Peter Clarke</x:v>
      </x:c>
      <x:c r="C53" s="27" t="n">
        <x:v>80</x:v>
      </x:c>
      <x:c r="D53" s="27" t="str">
        <x:v>Sunday Spotlight: Retro</x:v>
      </x:c>
      <x:c r="E53" s="27" t="str">
        <x:v>Vertical Threat</x:v>
      </x:c>
      <x:c r="F53" s="27" t="n">
        <x:v>88</x:v>
      </x:c>
      <x:c r="G53" s="27" t="n">
        <x:v>78</x:v>
      </x:c>
      <x:c r="H53" s="27" t="n">
        <x:v>78</x:v>
      </x:c>
      <x:c r="I53" s="27" t="n">
        <x:v>73</x:v>
      </x:c>
      <x:c r="J53" s="27" t="n">
        <x:v>70</x:v>
      </x:c>
      <x:c r="K53" s="27" t="n">
        <x:v>78</x:v>
      </x:c>
      <x:c r="L53" s="27" t="n">
        <x:v>80</x:v>
      </x:c>
      <x:c r="M53" s="27" t="n">
        <x:v>80</x:v>
      </x:c>
      <x:c r="N53" s="27" t="n">
        <x:v>82</x:v>
      </x:c>
      <x:c r="O53" s="27" t="n">
        <x:v>80</x:v>
      </x:c>
      <x:c r="P53" s="27" t="n">
        <x:v>77</x:v>
      </x:c>
      <x:c r="Q53" s="27" t="n">
        <x:v>79</x:v>
      </x:c>
      <x:c r="R53" s="27" t="n">
        <x:v>81</x:v>
      </x:c>
      <x:c r="S53" s="27" t="n">
        <x:v>74</x:v>
      </x:c>
      <x:c r="T53" s="27" t="n">
        <x:v>78</x:v>
      </x:c>
      <x:c r="U53" s="27" t="n">
        <x:v>77</x:v>
      </x:c>
      <x:c r="V53" s="27" t="n">
        <x:v>68</x:v>
      </x:c>
      <x:c r="W53" s="27" t="n">
        <x:v>74</x:v>
      </x:c>
      <x:c r="X53" s="27" t="n">
        <x:v>70</x:v>
      </x:c>
      <x:c r="Y53" s="27" t="n">
        <x:v>80</x:v>
      </x:c>
      <x:c r="Z53" s="27" t="n">
        <x:v>80</x:v>
      </x:c>
      <x:c r="AA53" s="27" t="n">
        <x:v>75</x:v>
      </x:c>
      <x:c r="AB53" s="27" t="n">
        <x:v>75</x:v>
      </x:c>
      <x:c r="AC53" s="27" t="n">
        <x:v>66</x:v>
      </x:c>
      <x:c r="AD53" s="27" t="n">
        <x:v>67</x:v>
      </x:c>
      <x:c r="AE53" s="27" t="n">
        <x:v>65</x:v>
      </x:c>
      <x:c r="AF53" s="27" t="n">
        <x:v>66</x:v>
      </x:c>
      <x:c r="AG53" s="27" t="n">
        <x:v>65</x:v>
      </x:c>
      <x:c r="AH53" s="27" t="n">
        <x:v>70</x:v>
      </x:c>
      <x:c r="AI53" s="27" t="n">
        <x:v>65</x:v>
      </x:c>
      <x:c r="AJ53" s="27" t="n">
        <x:v>66</x:v>
      </x:c>
      <x:c r="AK53" s="27" t="n">
        <x:v>76</x:v>
      </x:c>
      <x:c r="AL53" s="27" t="n">
        <x:v>81</x:v>
      </x:c>
      <x:c r="AM53" s="27" t="str">
        <x:v>SRC-TE-002</x:v>
      </x:c>
      <x:c r="AN53" s="27" t="n">
        <x:v>49</x:v>
      </x:c>
      <x:c r="AO53" s="27" t="str">
        <x:v>VISUALLY VERIFIED</x:v>
      </x:c>
      <x:c r="AP53" s="27" t="str"/>
      <x:c r="AQ53" s="27"/>
      <x:c r="AR53" s="27"/>
      <x:c r="AS53" s="27"/>
      <x:c r="AT53" s="27"/>
      <x:c r="AU53" s="27"/>
      <x:c r="AV53" s="27"/>
      <x:c r="AW53" s="27"/>
      <x:c r="AX53" s="27"/>
      <x:c r="AY53" s="27"/>
      <x:c r="AZ53" s="27"/>
    </x:row>
    <x:row r="54">
      <x:c r="A54" s="27" t="str">
        <x:v>TE-0050</x:v>
      </x:c>
      <x:c r="B54" s="27" t="str">
        <x:v>Matt Wagner</x:v>
      </x:c>
      <x:c r="C54" s="27" t="n">
        <x:v>80</x:v>
      </x:c>
      <x:c r="D54" s="27" t="str">
        <x:v>Sunday Spotlight: Retro</x:v>
      </x:c>
      <x:c r="E54" s="27" t="str">
        <x:v>Vertical Threat</x:v>
      </x:c>
      <x:c r="F54" s="27" t="n">
        <x:v>80</x:v>
      </x:c>
      <x:c r="G54" s="27" t="n">
        <x:v>78</x:v>
      </x:c>
      <x:c r="H54" s="27" t="n">
        <x:v>78</x:v>
      </x:c>
      <x:c r="I54" s="27" t="n">
        <x:v>75</x:v>
      </x:c>
      <x:c r="J54" s="27" t="n">
        <x:v>70</x:v>
      </x:c>
      <x:c r="K54" s="27" t="n">
        <x:v>78</x:v>
      </x:c>
      <x:c r="L54" s="27" t="n">
        <x:v>81</x:v>
      </x:c>
      <x:c r="M54" s="27" t="n">
        <x:v>80</x:v>
      </x:c>
      <x:c r="N54" s="27" t="n">
        <x:v>83</x:v>
      </x:c>
      <x:c r="O54" s="27" t="n">
        <x:v>82</x:v>
      </x:c>
      <x:c r="P54" s="27" t="n">
        <x:v>84</x:v>
      </x:c>
      <x:c r="Q54" s="27" t="n">
        <x:v>80</x:v>
      </x:c>
      <x:c r="R54" s="27" t="n">
        <x:v>78</x:v>
      </x:c>
      <x:c r="S54" s="27" t="n">
        <x:v>77</x:v>
      </x:c>
      <x:c r="T54" s="27" t="n">
        <x:v>76</x:v>
      </x:c>
      <x:c r="U54" s="27" t="n">
        <x:v>77</x:v>
      </x:c>
      <x:c r="V54" s="27" t="n">
        <x:v>70</x:v>
      </x:c>
      <x:c r="W54" s="27" t="n">
        <x:v>69</x:v>
      </x:c>
      <x:c r="X54" s="27" t="n">
        <x:v>68</x:v>
      </x:c>
      <x:c r="Y54" s="27" t="n">
        <x:v>76</x:v>
      </x:c>
      <x:c r="Z54" s="27" t="n">
        <x:v>74</x:v>
      </x:c>
      <x:c r="AA54" s="27" t="n">
        <x:v>73</x:v>
      </x:c>
      <x:c r="AB54" s="27" t="n">
        <x:v>74</x:v>
      </x:c>
      <x:c r="AC54" s="27" t="n">
        <x:v>71</x:v>
      </x:c>
      <x:c r="AD54" s="27" t="n">
        <x:v>61</x:v>
      </x:c>
      <x:c r="AE54" s="27" t="n">
        <x:v>60</x:v>
      </x:c>
      <x:c r="AF54" s="27" t="n">
        <x:v>62</x:v>
      </x:c>
      <x:c r="AG54" s="27" t="n">
        <x:v>64</x:v>
      </x:c>
      <x:c r="AH54" s="27" t="n">
        <x:v>63</x:v>
      </x:c>
      <x:c r="AI54" s="27" t="n">
        <x:v>64</x:v>
      </x:c>
      <x:c r="AJ54" s="27" t="n">
        <x:v>63</x:v>
      </x:c>
      <x:c r="AK54" s="27" t="n">
        <x:v>76</x:v>
      </x:c>
      <x:c r="AL54" s="27" t="n">
        <x:v>81</x:v>
      </x:c>
      <x:c r="AM54" s="27" t="str">
        <x:v>SRC-TE-002</x:v>
      </x:c>
      <x:c r="AN54" s="27" t="n">
        <x:v>50</x:v>
      </x:c>
      <x:c r="AO54" s="27" t="str">
        <x:v>VISUALLY VERIFIED</x:v>
      </x:c>
      <x:c r="AP54" s="27" t="str"/>
      <x:c r="AQ54" s="27"/>
      <x:c r="AR54" s="27"/>
      <x:c r="AS54" s="27"/>
      <x:c r="AT54" s="27"/>
      <x:c r="AU54" s="27"/>
      <x:c r="AV54" s="27"/>
      <x:c r="AW54" s="27"/>
      <x:c r="AX54" s="27"/>
      <x:c r="AY54" s="27"/>
      <x:c r="AZ54" s="27"/>
    </x:row>
    <x:row r="55">
      <x:c r="A55" s="27" t="str">
        <x:v>TE-0051</x:v>
      </x:c>
      <x:c r="B55" s="27" t="str">
        <x:v>Martellus Bennett</x:v>
      </x:c>
      <x:c r="C55" s="27" t="n">
        <x:v>80</x:v>
      </x:c>
      <x:c r="D55" s="27" t="str">
        <x:v>Core Legends Modern</x:v>
      </x:c>
      <x:c r="E55" s="27" t="str">
        <x:v>Gritty Possession</x:v>
      </x:c>
      <x:c r="F55" s="27" t="n">
        <x:v>83</x:v>
      </x:c>
      <x:c r="G55" s="27" t="n">
        <x:v>82</x:v>
      </x:c>
      <x:c r="H55" s="27" t="n">
        <x:v>80</x:v>
      </x:c>
      <x:c r="I55" s="27" t="n">
        <x:v>72</x:v>
      </x:c>
      <x:c r="J55" s="27" t="n">
        <x:v>75</x:v>
      </x:c>
      <x:c r="K55" s="27" t="n">
        <x:v>78</x:v>
      </x:c>
      <x:c r="L55" s="27" t="n">
        <x:v>81</x:v>
      </x:c>
      <x:c r="M55" s="27" t="n">
        <x:v>80</x:v>
      </x:c>
      <x:c r="N55" s="27" t="n">
        <x:v>82</x:v>
      </x:c>
      <x:c r="O55" s="27" t="n">
        <x:v>80</x:v>
      </x:c>
      <x:c r="P55" s="27" t="n">
        <x:v>71</x:v>
      </x:c>
      <x:c r="Q55" s="27" t="n">
        <x:v>75</x:v>
      </x:c>
      <x:c r="R55" s="27" t="n">
        <x:v>77</x:v>
      </x:c>
      <x:c r="S55" s="27" t="n">
        <x:v>78</x:v>
      </x:c>
      <x:c r="T55" s="27" t="n">
        <x:v>75</x:v>
      </x:c>
      <x:c r="U55" s="27" t="n">
        <x:v>74</x:v>
      </x:c>
      <x:c r="V55" s="27" t="n">
        <x:v>71</x:v>
      </x:c>
      <x:c r="W55" s="27" t="n">
        <x:v>76</x:v>
      </x:c>
      <x:c r="X55" s="27" t="n">
        <x:v>70</x:v>
      </x:c>
      <x:c r="Y55" s="27" t="n">
        <x:v>78</x:v>
      </x:c>
      <x:c r="Z55" s="27" t="n">
        <x:v>81</x:v>
      </x:c>
      <x:c r="AA55" s="27" t="n">
        <x:v>72</x:v>
      </x:c>
      <x:c r="AB55" s="27" t="n">
        <x:v>76</x:v>
      </x:c>
      <x:c r="AC55" s="27" t="n">
        <x:v>74</x:v>
      </x:c>
      <x:c r="AD55" s="27" t="n">
        <x:v>75</x:v>
      </x:c>
      <x:c r="AE55" s="27" t="n">
        <x:v>74</x:v>
      </x:c>
      <x:c r="AF55" s="27" t="n">
        <x:v>74</x:v>
      </x:c>
      <x:c r="AG55" s="27" t="n">
        <x:v>74</x:v>
      </x:c>
      <x:c r="AH55" s="27" t="n">
        <x:v>75</x:v>
      </x:c>
      <x:c r="AI55" s="27" t="n">
        <x:v>75</x:v>
      </x:c>
      <x:c r="AJ55" s="27" t="n">
        <x:v>74</x:v>
      </x:c>
      <x:c r="AK55" s="27" t="n">
        <x:v>78</x:v>
      </x:c>
      <x:c r="AL55" s="27" t="n">
        <x:v>81</x:v>
      </x:c>
      <x:c r="AM55" s="27" t="str">
        <x:v>SRC-TE-002</x:v>
      </x:c>
      <x:c r="AN55" s="27" t="n">
        <x:v>51</x:v>
      </x:c>
      <x:c r="AO55" s="27" t="str">
        <x:v>VISUALLY VERIFIED</x:v>
      </x:c>
      <x:c r="AP55" s="27" t="str"/>
      <x:c r="AQ55" s="27"/>
      <x:c r="AR55" s="27"/>
      <x:c r="AS55" s="27"/>
      <x:c r="AT55" s="27"/>
      <x:c r="AU55" s="27"/>
      <x:c r="AV55" s="27"/>
      <x:c r="AW55" s="27"/>
      <x:c r="AX55" s="27"/>
      <x:c r="AY55" s="27"/>
      <x:c r="AZ55" s="27"/>
    </x:row>
    <x:row r="56">
      <x:c r="A56" s="27" t="str">
        <x:v>TE-0052</x:v>
      </x:c>
      <x:c r="B56" s="27" t="str">
        <x:v>Ethan Davis</x:v>
      </x:c>
      <x:c r="C56" s="27" t="n">
        <x:v>80</x:v>
      </x:c>
      <x:c r="D56" s="27" t="str">
        <x:v>Platinum Rare</x:v>
      </x:c>
      <x:c r="E56" s="27" t="str">
        <x:v>Physical Route Runner</x:v>
      </x:c>
      <x:c r="F56" s="27" t="n">
        <x:v>0</x:v>
      </x:c>
      <x:c r="G56" s="27" t="n">
        <x:v>81</x:v>
      </x:c>
      <x:c r="H56" s="27" t="n">
        <x:v>83</x:v>
      </x:c>
      <x:c r="I56" s="27" t="n">
        <x:v>78</x:v>
      </x:c>
      <x:c r="J56" s="27" t="n">
        <x:v>72</x:v>
      </x:c>
      <x:c r="K56" s="27" t="n">
        <x:v>79</x:v>
      </x:c>
      <x:c r="L56" s="27" t="n">
        <x:v>83</x:v>
      </x:c>
      <x:c r="M56" s="27" t="n">
        <x:v>83</x:v>
      </x:c>
      <x:c r="N56" s="27" t="n">
        <x:v>83</x:v>
      </x:c>
      <x:c r="O56" s="27" t="n">
        <x:v>63</x:v>
      </x:c>
      <x:c r="P56" s="27" t="n">
        <x:v>83</x:v>
      </x:c>
      <x:c r="Q56" s="27" t="n">
        <x:v>80</x:v>
      </x:c>
      <x:c r="R56" s="27" t="n">
        <x:v>76</x:v>
      </x:c>
      <x:c r="S56" s="27" t="n">
        <x:v>77</x:v>
      </x:c>
      <x:c r="T56" s="27" t="n">
        <x:v>83</x:v>
      </x:c>
      <x:c r="U56" s="27" t="n">
        <x:v>61</x:v>
      </x:c>
      <x:c r="V56" s="27" t="n">
        <x:v>77</x:v>
      </x:c>
      <x:c r="W56" s="27" t="n">
        <x:v>60</x:v>
      </x:c>
      <x:c r="X56" s="27" t="n">
        <x:v>60</x:v>
      </x:c>
      <x:c r="Y56" s="27" t="n">
        <x:v>53</x:v>
      </x:c>
      <x:c r="Z56" s="27" t="n">
        <x:v>83</x:v>
      </x:c>
      <x:c r="AA56" s="27" t="n">
        <x:v>73</x:v>
      </x:c>
      <x:c r="AB56" s="27" t="n">
        <x:v>83</x:v>
      </x:c>
      <x:c r="AC56" s="27" t="n">
        <x:v>69</x:v>
      </x:c>
      <x:c r="AD56" s="27" t="n">
        <x:v>78</x:v>
      </x:c>
      <x:c r="AE56" s="27" t="n">
        <x:v>66</x:v>
      </x:c>
      <x:c r="AF56" s="27" t="n">
        <x:v>69</x:v>
      </x:c>
      <x:c r="AG56" s="27" t="n">
        <x:v>64</x:v>
      </x:c>
      <x:c r="AH56" s="27" t="n">
        <x:v>65</x:v>
      </x:c>
      <x:c r="AI56" s="27" t="n">
        <x:v>58</x:v>
      </x:c>
      <x:c r="AJ56" s="27" t="n">
        <x:v>67</x:v>
      </x:c>
      <x:c r="AK56" s="27" t="n">
        <x:v>75</x:v>
      </x:c>
      <x:c r="AL56" s="27" t="n">
        <x:v>80</x:v>
      </x:c>
      <x:c r="AM56" s="27" t="str">
        <x:v>SRC-TE-002</x:v>
      </x:c>
      <x:c r="AN56" s="27" t="n">
        <x:v>52</x:v>
      </x:c>
      <x:c r="AO56" s="27" t="str">
        <x:v>VISUALLY VERIFIED</x:v>
      </x:c>
      <x:c r="AP56" s="27" t="str"/>
      <x:c r="AQ56" s="27"/>
      <x:c r="AR56" s="27"/>
      <x:c r="AS56" s="27"/>
      <x:c r="AT56" s="27"/>
      <x:c r="AU56" s="27"/>
      <x:c r="AV56" s="27"/>
      <x:c r="AW56" s="27"/>
      <x:c r="AX56" s="27"/>
      <x:c r="AY56" s="27"/>
      <x:c r="AZ56" s="27"/>
    </x:row>
    <x:row r="57">
      <x:c r="A57" s="27" t="str">
        <x:v>TE-0053</x:v>
      </x:c>
      <x:c r="B57" s="27" t="str">
        <x:v>Vernon Davis</x:v>
      </x:c>
      <x:c r="C57" s="27" t="n">
        <x:v>80</x:v>
      </x:c>
      <x:c r="D57" s="27" t="str">
        <x:v>Core Legends Millennium</x:v>
      </x:c>
      <x:c r="E57" s="27" t="str">
        <x:v>Vertical Threat</x:v>
      </x:c>
      <x:c r="F57" s="27" t="n">
        <x:v>18</x:v>
      </x:c>
      <x:c r="G57" s="27" t="n">
        <x:v>78</x:v>
      </x:c>
      <x:c r="H57" s="27" t="n">
        <x:v>78</x:v>
      </x:c>
      <x:c r="I57" s="27" t="n">
        <x:v>75</x:v>
      </x:c>
      <x:c r="J57" s="27" t="n">
        <x:v>70</x:v>
      </x:c>
      <x:c r="K57" s="27" t="n">
        <x:v>78</x:v>
      </x:c>
      <x:c r="L57" s="27" t="n">
        <x:v>80</x:v>
      </x:c>
      <x:c r="M57" s="27" t="n">
        <x:v>80</x:v>
      </x:c>
      <x:c r="N57" s="27" t="n">
        <x:v>83</x:v>
      </x:c>
      <x:c r="O57" s="27" t="n">
        <x:v>76</x:v>
      </x:c>
      <x:c r="P57" s="27" t="n">
        <x:v>81</x:v>
      </x:c>
      <x:c r="Q57" s="27" t="n">
        <x:v>79</x:v>
      </x:c>
      <x:c r="R57" s="27" t="n">
        <x:v>80</x:v>
      </x:c>
      <x:c r="S57" s="27" t="n">
        <x:v>77</x:v>
      </x:c>
      <x:c r="T57" s="27" t="n">
        <x:v>73</x:v>
      </x:c>
      <x:c r="U57" s="27" t="n">
        <x:v>75</x:v>
      </x:c>
      <x:c r="V57" s="27" t="n">
        <x:v>69</x:v>
      </x:c>
      <x:c r="W57" s="27" t="n">
        <x:v>75</x:v>
      </x:c>
      <x:c r="X57" s="27" t="n">
        <x:v>72</x:v>
      </x:c>
      <x:c r="Y57" s="27" t="n">
        <x:v>75</x:v>
      </x:c>
      <x:c r="Z57" s="27" t="n">
        <x:v>74</x:v>
      </x:c>
      <x:c r="AA57" s="27" t="n">
        <x:v>78</x:v>
      </x:c>
      <x:c r="AB57" s="27" t="n">
        <x:v>75</x:v>
      </x:c>
      <x:c r="AC57" s="27" t="n">
        <x:v>64</x:v>
      </x:c>
      <x:c r="AD57" s="27" t="n">
        <x:v>66</x:v>
      </x:c>
      <x:c r="AE57" s="27" t="n">
        <x:v>63</x:v>
      </x:c>
      <x:c r="AF57" s="27" t="n">
        <x:v>65</x:v>
      </x:c>
      <x:c r="AG57" s="27" t="n">
        <x:v>67</x:v>
      </x:c>
      <x:c r="AH57" s="27" t="n">
        <x:v>68</x:v>
      </x:c>
      <x:c r="AI57" s="27" t="n">
        <x:v>64</x:v>
      </x:c>
      <x:c r="AJ57" s="27" t="n">
        <x:v>65</x:v>
      </x:c>
      <x:c r="AK57" s="27" t="n">
        <x:v>76</x:v>
      </x:c>
      <x:c r="AL57" s="27" t="n">
        <x:v>80</x:v>
      </x:c>
      <x:c r="AM57" s="27" t="str">
        <x:v>SRC-TE-002</x:v>
      </x:c>
      <x:c r="AN57" s="27" t="n">
        <x:v>53</x:v>
      </x:c>
      <x:c r="AO57" s="27" t="str">
        <x:v>VISUALLY VERIFIED</x:v>
      </x:c>
      <x:c r="AP57" s="27" t="str"/>
      <x:c r="AQ57" s="27"/>
      <x:c r="AR57" s="27"/>
      <x:c r="AS57" s="27"/>
      <x:c r="AT57" s="27"/>
      <x:c r="AU57" s="27"/>
      <x:c r="AV57" s="27"/>
      <x:c r="AW57" s="27"/>
      <x:c r="AX57" s="27"/>
      <x:c r="AY57" s="27"/>
      <x:c r="AZ57" s="27"/>
    </x:row>
    <x:row r="58">
      <x:c r="A58" s="27" t="str">
        <x:v>TE-0054</x:v>
      </x:c>
      <x:c r="B58" s="27" t="str">
        <x:v>Donovan Green</x:v>
      </x:c>
      <x:c r="C58" s="27" t="n">
        <x:v>80</x:v>
      </x:c>
      <x:c r="D58" s="27" t="str">
        <x:v>Core Rare</x:v>
      </x:c>
      <x:c r="E58" s="27" t="str">
        <x:v>Physical Route Runner</x:v>
      </x:c>
      <x:c r="F58" s="27" t="n">
        <x:v>81</x:v>
      </x:c>
      <x:c r="G58" s="27" t="n">
        <x:v>81</x:v>
      </x:c>
      <x:c r="H58" s="27" t="n">
        <x:v>83</x:v>
      </x:c>
      <x:c r="I58" s="27" t="n">
        <x:v>76</x:v>
      </x:c>
      <x:c r="J58" s="27" t="n">
        <x:v>69</x:v>
      </x:c>
      <x:c r="K58" s="27" t="n">
        <x:v>63</x:v>
      </x:c>
      <x:c r="L58" s="27" t="n">
        <x:v>79</x:v>
      </x:c>
      <x:c r="M58" s="27" t="n">
        <x:v>80</x:v>
      </x:c>
      <x:c r="N58" s="27" t="n">
        <x:v>80</x:v>
      </x:c>
      <x:c r="O58" s="27" t="n">
        <x:v>76</x:v>
      </x:c>
      <x:c r="P58" s="27" t="n">
        <x:v>80</x:v>
      </x:c>
      <x:c r="Q58" s="27" t="n">
        <x:v>74</x:v>
      </x:c>
      <x:c r="R58" s="27" t="n">
        <x:v>78</x:v>
      </x:c>
      <x:c r="S58" s="27" t="n">
        <x:v>78</x:v>
      </x:c>
      <x:c r="T58" s="27" t="n">
        <x:v>77</x:v>
      </x:c>
      <x:c r="U58" s="27" t="n">
        <x:v>70</x:v>
      </x:c>
      <x:c r="V58" s="27" t="n">
        <x:v>67</x:v>
      </x:c>
      <x:c r="W58" s="27" t="n">
        <x:v>74</x:v>
      </x:c>
      <x:c r="X58" s="27" t="n">
        <x:v>69</x:v>
      </x:c>
      <x:c r="Y58" s="27" t="n">
        <x:v>72</x:v>
      </x:c>
      <x:c r="Z58" s="27" t="n">
        <x:v>79</x:v>
      </x:c>
      <x:c r="AA58" s="27" t="n">
        <x:v>79</x:v>
      </x:c>
      <x:c r="AB58" s="27" t="n">
        <x:v>75</x:v>
      </x:c>
      <x:c r="AC58" s="27" t="n">
        <x:v>72</x:v>
      </x:c>
      <x:c r="AD58" s="27" t="n">
        <x:v>75</x:v>
      </x:c>
      <x:c r="AE58" s="27" t="n">
        <x:v>67</x:v>
      </x:c>
      <x:c r="AF58" s="27" t="n">
        <x:v>68</x:v>
      </x:c>
      <x:c r="AG58" s="27" t="n">
        <x:v>75</x:v>
      </x:c>
      <x:c r="AH58" s="27" t="n">
        <x:v>78</x:v>
      </x:c>
      <x:c r="AI58" s="27" t="n">
        <x:v>73</x:v>
      </x:c>
      <x:c r="AJ58" s="27" t="n">
        <x:v>81</x:v>
      </x:c>
      <x:c r="AK58" s="27" t="n">
        <x:v>77</x:v>
      </x:c>
      <x:c r="AL58" s="27" t="n">
        <x:v>80</x:v>
      </x:c>
      <x:c r="AM58" s="27" t="str">
        <x:v>SRC-TE-002</x:v>
      </x:c>
      <x:c r="AN58" s="27" t="n">
        <x:v>54</x:v>
      </x:c>
      <x:c r="AO58" s="27" t="str">
        <x:v>VISUALLY VERIFIED</x:v>
      </x:c>
      <x:c r="AP58" s="27" t="str"/>
      <x:c r="AQ58" s="27"/>
      <x:c r="AR58" s="27"/>
      <x:c r="AS58" s="27"/>
      <x:c r="AT58" s="27"/>
      <x:c r="AU58" s="27"/>
      <x:c r="AV58" s="27"/>
      <x:c r="AW58" s="27"/>
      <x:c r="AX58" s="27"/>
      <x:c r="AY58" s="27"/>
      <x:c r="AZ58" s="27"/>
    </x:row>
    <x:row r="59">
      <x:c r="A59" s="27" t="str">
        <x:v>TE-0055</x:v>
      </x:c>
      <x:c r="B59" s="27" t="str">
        <x:v>Todd Heap</x:v>
      </x:c>
      <x:c r="C59" s="27" t="n">
        <x:v>80</x:v>
      </x:c>
      <x:c r="D59" s="27" t="str">
        <x:v>Core Legends Millennium</x:v>
      </x:c>
      <x:c r="E59" s="27" t="str">
        <x:v>Gritty Possession</x:v>
      </x:c>
      <x:c r="F59" s="27" t="n">
        <x:v>80</x:v>
      </x:c>
      <x:c r="G59" s="27" t="n">
        <x:v>78</x:v>
      </x:c>
      <x:c r="H59" s="27" t="n">
        <x:v>78</x:v>
      </x:c>
      <x:c r="I59" s="27" t="n">
        <x:v>73</x:v>
      </x:c>
      <x:c r="J59" s="27" t="n">
        <x:v>72</x:v>
      </x:c>
      <x:c r="K59" s="27" t="n">
        <x:v>77</x:v>
      </x:c>
      <x:c r="L59" s="27" t="n">
        <x:v>79</x:v>
      </x:c>
      <x:c r="M59" s="27" t="n">
        <x:v>80</x:v>
      </x:c>
      <x:c r="N59" s="27" t="n">
        <x:v>83</x:v>
      </x:c>
      <x:c r="O59" s="27" t="n">
        <x:v>81</x:v>
      </x:c>
      <x:c r="P59" s="27" t="n">
        <x:v>74</x:v>
      </x:c>
      <x:c r="Q59" s="27" t="n">
        <x:v>80</x:v>
      </x:c>
      <x:c r="R59" s="27" t="n">
        <x:v>77</x:v>
      </x:c>
      <x:c r="S59" s="27" t="n">
        <x:v>76</x:v>
      </x:c>
      <x:c r="T59" s="27" t="n">
        <x:v>70</x:v>
      </x:c>
      <x:c r="U59" s="27" t="n">
        <x:v>74</x:v>
      </x:c>
      <x:c r="V59" s="27" t="n">
        <x:v>68</x:v>
      </x:c>
      <x:c r="W59" s="27" t="n">
        <x:v>70</x:v>
      </x:c>
      <x:c r="X59" s="27" t="n">
        <x:v>68</x:v>
      </x:c>
      <x:c r="Y59" s="27" t="n">
        <x:v>82</x:v>
      </x:c>
      <x:c r="Z59" s="27" t="n">
        <x:v>78</x:v>
      </x:c>
      <x:c r="AA59" s="27" t="n">
        <x:v>73</x:v>
      </x:c>
      <x:c r="AB59" s="27" t="n">
        <x:v>73</x:v>
      </x:c>
      <x:c r="AC59" s="27" t="n">
        <x:v>74</x:v>
      </x:c>
      <x:c r="AD59" s="27" t="n">
        <x:v>73</x:v>
      </x:c>
      <x:c r="AE59" s="27" t="n">
        <x:v>75</x:v>
      </x:c>
      <x:c r="AF59" s="27" t="n">
        <x:v>73</x:v>
      </x:c>
      <x:c r="AG59" s="27" t="n">
        <x:v>73</x:v>
      </x:c>
      <x:c r="AH59" s="27" t="n">
        <x:v>74</x:v>
      </x:c>
      <x:c r="AI59" s="27" t="n">
        <x:v>73</x:v>
      </x:c>
      <x:c r="AJ59" s="27" t="n">
        <x:v>74</x:v>
      </x:c>
      <x:c r="AK59" s="27" t="n">
        <x:v>78</x:v>
      </x:c>
      <x:c r="AL59" s="27" t="n">
        <x:v>80</x:v>
      </x:c>
      <x:c r="AM59" s="27" t="str">
        <x:v>SRC-TE-002</x:v>
      </x:c>
      <x:c r="AN59" s="27" t="n">
        <x:v>55</x:v>
      </x:c>
      <x:c r="AO59" s="27" t="str">
        <x:v>VISUALLY VERIFIED</x:v>
      </x:c>
      <x:c r="AP59" s="27" t="str"/>
      <x:c r="AQ59" s="27"/>
      <x:c r="AR59" s="27"/>
      <x:c r="AS59" s="27"/>
      <x:c r="AT59" s="27"/>
      <x:c r="AU59" s="27"/>
      <x:c r="AV59" s="27"/>
      <x:c r="AW59" s="27"/>
      <x:c r="AX59" s="27"/>
      <x:c r="AY59" s="27"/>
      <x:c r="AZ59" s="27"/>
    </x:row>
    <x:row r="60">
      <x:c r="A60" s="27" t="str">
        <x:v>TE-0056</x:v>
      </x:c>
      <x:c r="B60" s="27" t="str">
        <x:v>Preston Howard</x:v>
      </x:c>
      <x:c r="C60" s="27" t="n">
        <x:v>80</x:v>
      </x:c>
      <x:c r="D60" s="27" t="str">
        <x:v>Core Rare</x:v>
      </x:c>
      <x:c r="E60" s="27" t="str">
        <x:v>Vertical Threat</x:v>
      </x:c>
      <x:c r="F60" s="27" t="n">
        <x:v>8</x:v>
      </x:c>
      <x:c r="G60" s="27" t="n">
        <x:v>80</x:v>
      </x:c>
      <x:c r="H60" s="27" t="n">
        <x:v>81</x:v>
      </x:c>
      <x:c r="I60" s="27" t="n">
        <x:v>76</x:v>
      </x:c>
      <x:c r="J60" s="27" t="n">
        <x:v>81</x:v>
      </x:c>
      <x:c r="K60" s="27" t="n">
        <x:v>68</x:v>
      </x:c>
      <x:c r="L60" s="27" t="n">
        <x:v>80</x:v>
      </x:c>
      <x:c r="M60" s="27" t="n">
        <x:v>83</x:v>
      </x:c>
      <x:c r="N60" s="27" t="n">
        <x:v>75</x:v>
      </x:c>
      <x:c r="O60" s="27" t="n">
        <x:v>72</x:v>
      </x:c>
      <x:c r="P60" s="27" t="n">
        <x:v>77</x:v>
      </x:c>
      <x:c r="Q60" s="27" t="n">
        <x:v>78</x:v>
      </x:c>
      <x:c r="R60" s="27" t="n">
        <x:v>72</x:v>
      </x:c>
      <x:c r="S60" s="27" t="n">
        <x:v>81</x:v>
      </x:c>
      <x:c r="T60" s="27" t="n">
        <x:v>78</x:v>
      </x:c>
      <x:c r="U60" s="27" t="n">
        <x:v>63</x:v>
      </x:c>
      <x:c r="V60" s="27" t="n">
        <x:v>77</x:v>
      </x:c>
      <x:c r="W60" s="27" t="n">
        <x:v>75</x:v>
      </x:c>
      <x:c r="X60" s="27" t="n">
        <x:v>69</x:v>
      </x:c>
      <x:c r="Y60" s="27" t="n">
        <x:v>54</x:v>
      </x:c>
      <x:c r="Z60" s="27" t="n">
        <x:v>72</x:v>
      </x:c>
      <x:c r="AA60" s="27" t="n">
        <x:v>77</x:v>
      </x:c>
      <x:c r="AB60" s="27" t="n">
        <x:v>69</x:v>
      </x:c>
      <x:c r="AC60" s="27" t="n">
        <x:v>75</x:v>
      </x:c>
      <x:c r="AD60" s="27" t="n">
        <x:v>79</x:v>
      </x:c>
      <x:c r="AE60" s="27" t="n">
        <x:v>67</x:v>
      </x:c>
      <x:c r="AF60" s="27" t="n">
        <x:v>79</x:v>
      </x:c>
      <x:c r="AG60" s="27" t="n">
        <x:v>81</x:v>
      </x:c>
      <x:c r="AH60" s="27" t="n">
        <x:v>82</x:v>
      </x:c>
      <x:c r="AI60" s="27" t="n">
        <x:v>49</x:v>
      </x:c>
      <x:c r="AJ60" s="27" t="n">
        <x:v>69</x:v>
      </x:c>
      <x:c r="AK60" s="27" t="n">
        <x:v>73</x:v>
      </x:c>
      <x:c r="AL60" s="27" t="n">
        <x:v>79</x:v>
      </x:c>
      <x:c r="AM60" s="27" t="str">
        <x:v>SRC-TE-002</x:v>
      </x:c>
      <x:c r="AN60" s="27" t="n">
        <x:v>56</x:v>
      </x:c>
      <x:c r="AO60" s="27" t="str">
        <x:v>VISUALLY VERIFIED</x:v>
      </x:c>
      <x:c r="AP60" s="27" t="str"/>
      <x:c r="AQ60" s="27"/>
      <x:c r="AR60" s="27"/>
      <x:c r="AS60" s="27"/>
      <x:c r="AT60" s="27"/>
      <x:c r="AU60" s="27"/>
      <x:c r="AV60" s="27"/>
      <x:c r="AW60" s="27"/>
      <x:c r="AX60" s="27"/>
      <x:c r="AY60" s="27"/>
      <x:c r="AZ60" s="27"/>
    </x:row>
    <x:row r="61">
      <x:c r="A61" s="27" t="str">
        <x:v>TE-0057</x:v>
      </x:c>
      <x:c r="B61" s="27" t="str">
        <x:v>Nate Kurisky</x:v>
      </x:c>
      <x:c r="C61" s="27" t="n">
        <x:v>80</x:v>
      </x:c>
      <x:c r="D61" s="27" t="str">
        <x:v>Platinum Rare</x:v>
      </x:c>
      <x:c r="E61" s="27" t="str">
        <x:v>Physical Route Runner</x:v>
      </x:c>
      <x:c r="F61" s="27" t="n">
        <x:v>44</x:v>
      </x:c>
      <x:c r="G61" s="27" t="n">
        <x:v>78</x:v>
      </x:c>
      <x:c r="H61" s="27" t="n">
        <x:v>77</x:v>
      </x:c>
      <x:c r="I61" s="27" t="n">
        <x:v>72</x:v>
      </x:c>
      <x:c r="J61" s="27" t="n">
        <x:v>80</x:v>
      </x:c>
      <x:c r="K61" s="27" t="n">
        <x:v>62</x:v>
      </x:c>
      <x:c r="L61" s="27" t="n">
        <x:v>70</x:v>
      </x:c>
      <x:c r="M61" s="27" t="n">
        <x:v>81</x:v>
      </x:c>
      <x:c r="N61" s="27" t="n">
        <x:v>83</x:v>
      </x:c>
      <x:c r="O61" s="27" t="n">
        <x:v>79</x:v>
      </x:c>
      <x:c r="P61" s="27" t="n">
        <x:v>80</x:v>
      </x:c>
      <x:c r="Q61" s="27" t="n">
        <x:v>74</x:v>
      </x:c>
      <x:c r="R61" s="27" t="n">
        <x:v>79</x:v>
      </x:c>
      <x:c r="S61" s="27" t="n">
        <x:v>75</x:v>
      </x:c>
      <x:c r="T61" s="27" t="n">
        <x:v>71</x:v>
      </x:c>
      <x:c r="U61" s="27" t="n">
        <x:v>81</x:v>
      </x:c>
      <x:c r="V61" s="27" t="n">
        <x:v>62</x:v>
      </x:c>
      <x:c r="W61" s="27" t="n">
        <x:v>62</x:v>
      </x:c>
      <x:c r="X61" s="27" t="n">
        <x:v>61</x:v>
      </x:c>
      <x:c r="Y61" s="27" t="n">
        <x:v>64</x:v>
      </x:c>
      <x:c r="Z61" s="27" t="n">
        <x:v>62</x:v>
      </x:c>
      <x:c r="AA61" s="27" t="n">
        <x:v>77</x:v>
      </x:c>
      <x:c r="AB61" s="27" t="n">
        <x:v>75</x:v>
      </x:c>
      <x:c r="AC61" s="27" t="n">
        <x:v>76</x:v>
      </x:c>
      <x:c r="AD61" s="27" t="n">
        <x:v>81</x:v>
      </x:c>
      <x:c r="AE61" s="27" t="n">
        <x:v>81</x:v>
      </x:c>
      <x:c r="AF61" s="27" t="n">
        <x:v>74</x:v>
      </x:c>
      <x:c r="AG61" s="27" t="n">
        <x:v>76</x:v>
      </x:c>
      <x:c r="AH61" s="27" t="n">
        <x:v>77</x:v>
      </x:c>
      <x:c r="AI61" s="27" t="n">
        <x:v>67</x:v>
      </x:c>
      <x:c r="AJ61" s="27" t="n">
        <x:v>76</x:v>
      </x:c>
      <x:c r="AK61" s="27" t="n">
        <x:v>77</x:v>
      </x:c>
      <x:c r="AL61" s="27" t="n">
        <x:v>78</x:v>
      </x:c>
      <x:c r="AM61" s="27" t="str">
        <x:v>SRC-TE-002</x:v>
      </x:c>
      <x:c r="AN61" s="27" t="n">
        <x:v>57</x:v>
      </x:c>
      <x:c r="AO61" s="27" t="str">
        <x:v>VISUALLY VERIFIED</x:v>
      </x:c>
      <x:c r="AP61" s="27" t="str"/>
      <x:c r="AQ61" s="27"/>
      <x:c r="AR61" s="27"/>
      <x:c r="AS61" s="27"/>
      <x:c r="AT61" s="27"/>
      <x:c r="AU61" s="27"/>
      <x:c r="AV61" s="27"/>
      <x:c r="AW61" s="27"/>
      <x:c r="AX61" s="27"/>
      <x:c r="AY61" s="27"/>
      <x:c r="AZ61" s="27"/>
    </x:row>
    <x:row r="62">
      <x:c r="A62" s="27" t="str">
        <x:v>TE-0058</x:v>
      </x:c>
      <x:c r="B62" s="27" t="str">
        <x:v>Walker Lyons</x:v>
      </x:c>
      <x:c r="C62" s="27" t="n">
        <x:v>80</x:v>
      </x:c>
      <x:c r="D62" s="27" t="str">
        <x:v>Platinum Rare</x:v>
      </x:c>
      <x:c r="E62" s="27" t="str">
        <x:v>Physical Route Runner</x:v>
      </x:c>
      <x:c r="F62" s="27" t="n">
        <x:v>7</x:v>
      </x:c>
      <x:c r="G62" s="27" t="n">
        <x:v>81</x:v>
      </x:c>
      <x:c r="H62" s="27" t="n">
        <x:v>79</x:v>
      </x:c>
      <x:c r="I62" s="27" t="n">
        <x:v>76</x:v>
      </x:c>
      <x:c r="J62" s="27" t="n">
        <x:v>80</x:v>
      </x:c>
      <x:c r="K62" s="27" t="n">
        <x:v>62</x:v>
      </x:c>
      <x:c r="L62" s="27" t="n">
        <x:v>74</x:v>
      </x:c>
      <x:c r="M62" s="27" t="n">
        <x:v>80</x:v>
      </x:c>
      <x:c r="N62" s="27" t="n">
        <x:v>82</x:v>
      </x:c>
      <x:c r="O62" s="27" t="n">
        <x:v>78</x:v>
      </x:c>
      <x:c r="P62" s="27" t="n">
        <x:v>83</x:v>
      </x:c>
      <x:c r="Q62" s="27" t="n">
        <x:v>79</x:v>
      </x:c>
      <x:c r="R62" s="27" t="n">
        <x:v>75</x:v>
      </x:c>
      <x:c r="S62" s="27" t="n">
        <x:v>83</x:v>
      </x:c>
      <x:c r="T62" s="27" t="n">
        <x:v>78</x:v>
      </x:c>
      <x:c r="U62" s="27" t="n">
        <x:v>74</x:v>
      </x:c>
      <x:c r="V62" s="27" t="n">
        <x:v>67</x:v>
      </x:c>
      <x:c r="W62" s="27" t="n">
        <x:v>78</x:v>
      </x:c>
      <x:c r="X62" s="27" t="n">
        <x:v>78</x:v>
      </x:c>
      <x:c r="Y62" s="27" t="n">
        <x:v>66</x:v>
      </x:c>
      <x:c r="Z62" s="27" t="n">
        <x:v>70</x:v>
      </x:c>
      <x:c r="AA62" s="27" t="n">
        <x:v>76</x:v>
      </x:c>
      <x:c r="AB62" s="27" t="n">
        <x:v>83</x:v>
      </x:c>
      <x:c r="AC62" s="27" t="n">
        <x:v>64</x:v>
      </x:c>
      <x:c r="AD62" s="27" t="n">
        <x:v>64</x:v>
      </x:c>
      <x:c r="AE62" s="27" t="n">
        <x:v>66</x:v>
      </x:c>
      <x:c r="AF62" s="27" t="n">
        <x:v>55</x:v>
      </x:c>
      <x:c r="AG62" s="27" t="n">
        <x:v>63</x:v>
      </x:c>
      <x:c r="AH62" s="27" t="n">
        <x:v>71</x:v>
      </x:c>
      <x:c r="AI62" s="27" t="n">
        <x:v>60</x:v>
      </x:c>
      <x:c r="AJ62" s="27" t="n">
        <x:v>70</x:v>
      </x:c>
      <x:c r="AK62" s="27" t="n">
        <x:v>75</x:v>
      </x:c>
      <x:c r="AL62" s="27" t="n">
        <x:v>81</x:v>
      </x:c>
      <x:c r="AM62" s="27" t="str">
        <x:v>SRC-TE-002</x:v>
      </x:c>
      <x:c r="AN62" s="27" t="n">
        <x:v>58</x:v>
      </x:c>
      <x:c r="AO62" s="27" t="str">
        <x:v>VISUALLY VERIFIED</x:v>
      </x:c>
      <x:c r="AP62" s="27" t="str"/>
      <x:c r="AQ62" s="27"/>
      <x:c r="AR62" s="27"/>
      <x:c r="AS62" s="27"/>
      <x:c r="AT62" s="27"/>
      <x:c r="AU62" s="27"/>
      <x:c r="AV62" s="27"/>
      <x:c r="AW62" s="27"/>
      <x:c r="AX62" s="27"/>
      <x:c r="AY62" s="27"/>
      <x:c r="AZ62" s="27"/>
    </x:row>
    <x:row r="63">
      <x:c r="A63" s="27" t="str">
        <x:v>TE-0059</x:v>
      </x:c>
      <x:c r="B63" s="27" t="str">
        <x:v>Walker Lyons</x:v>
      </x:c>
      <x:c r="C63" s="27" t="n">
        <x:v>80</x:v>
      </x:c>
      <x:c r="D63" s="27" t="str">
        <x:v>Core Rare</x:v>
      </x:c>
      <x:c r="E63" s="27" t="str">
        <x:v>Physical Route Runner</x:v>
      </x:c>
      <x:c r="F63" s="27" t="n">
        <x:v>7</x:v>
      </x:c>
      <x:c r="G63" s="27" t="n">
        <x:v>81</x:v>
      </x:c>
      <x:c r="H63" s="27" t="n">
        <x:v>79</x:v>
      </x:c>
      <x:c r="I63" s="27" t="n">
        <x:v>76</x:v>
      </x:c>
      <x:c r="J63" s="27" t="n">
        <x:v>80</x:v>
      </x:c>
      <x:c r="K63" s="27" t="n">
        <x:v>62</x:v>
      </x:c>
      <x:c r="L63" s="27" t="n">
        <x:v>74</x:v>
      </x:c>
      <x:c r="M63" s="27" t="n">
        <x:v>80</x:v>
      </x:c>
      <x:c r="N63" s="27" t="n">
        <x:v>82</x:v>
      </x:c>
      <x:c r="O63" s="27" t="n">
        <x:v>78</x:v>
      </x:c>
      <x:c r="P63" s="27" t="n">
        <x:v>83</x:v>
      </x:c>
      <x:c r="Q63" s="27" t="n">
        <x:v>79</x:v>
      </x:c>
      <x:c r="R63" s="27" t="n">
        <x:v>75</x:v>
      </x:c>
      <x:c r="S63" s="27" t="n">
        <x:v>83</x:v>
      </x:c>
      <x:c r="T63" s="27" t="n">
        <x:v>78</x:v>
      </x:c>
      <x:c r="U63" s="27" t="n">
        <x:v>74</x:v>
      </x:c>
      <x:c r="V63" s="27" t="n">
        <x:v>67</x:v>
      </x:c>
      <x:c r="W63" s="27" t="n">
        <x:v>78</x:v>
      </x:c>
      <x:c r="X63" s="27" t="n">
        <x:v>78</x:v>
      </x:c>
      <x:c r="Y63" s="27" t="n">
        <x:v>66</x:v>
      </x:c>
      <x:c r="Z63" s="27" t="n">
        <x:v>70</x:v>
      </x:c>
      <x:c r="AA63" s="27" t="n">
        <x:v>76</x:v>
      </x:c>
      <x:c r="AB63" s="27" t="n">
        <x:v>83</x:v>
      </x:c>
      <x:c r="AC63" s="27" t="n">
        <x:v>64</x:v>
      </x:c>
      <x:c r="AD63" s="27" t="n">
        <x:v>64</x:v>
      </x:c>
      <x:c r="AE63" s="27" t="n">
        <x:v>66</x:v>
      </x:c>
      <x:c r="AF63" s="27" t="n">
        <x:v>55</x:v>
      </x:c>
      <x:c r="AG63" s="27" t="n">
        <x:v>63</x:v>
      </x:c>
      <x:c r="AH63" s="27" t="n">
        <x:v>71</x:v>
      </x:c>
      <x:c r="AI63" s="27" t="n">
        <x:v>60</x:v>
      </x:c>
      <x:c r="AJ63" s="27" t="n">
        <x:v>70</x:v>
      </x:c>
      <x:c r="AK63" s="27" t="n">
        <x:v>75</x:v>
      </x:c>
      <x:c r="AL63" s="27" t="n">
        <x:v>81</x:v>
      </x:c>
      <x:c r="AM63" s="27" t="str">
        <x:v>SRC-TE-002</x:v>
      </x:c>
      <x:c r="AN63" s="27" t="n">
        <x:v>59</x:v>
      </x:c>
      <x:c r="AO63" s="27" t="str">
        <x:v>VISUALLY VERIFIED</x:v>
      </x:c>
      <x:c r="AP63" s="27" t="str">
        <x:v>Same displayed ratings as Platinum Rare; distinct program/version.</x:v>
      </x:c>
      <x:c r="AQ63" s="27"/>
      <x:c r="AR63" s="27"/>
      <x:c r="AS63" s="27"/>
      <x:c r="AT63" s="27"/>
      <x:c r="AU63" s="27"/>
      <x:c r="AV63" s="27"/>
      <x:c r="AW63" s="27"/>
      <x:c r="AX63" s="27"/>
      <x:c r="AY63" s="27"/>
      <x:c r="AZ63" s="27"/>
    </x:row>
    <x:row r="64">
      <x:c r="A64" s="27" t="str">
        <x:v>TE-0060</x:v>
      </x:c>
      <x:c r="B64" s="27" t="str">
        <x:v>Randy Pittman Jr.</x:v>
      </x:c>
      <x:c r="C64" s="27" t="n">
        <x:v>80</x:v>
      </x:c>
      <x:c r="D64" s="27" t="str">
        <x:v>Platinum Rare</x:v>
      </x:c>
      <x:c r="E64" s="27" t="str">
        <x:v>Vertical Threat</x:v>
      </x:c>
      <x:c r="F64" s="27" t="n">
        <x:v>5</x:v>
      </x:c>
      <x:c r="G64" s="27" t="n">
        <x:v>80</x:v>
      </x:c>
      <x:c r="H64" s="27" t="n">
        <x:v>82</x:v>
      </x:c>
      <x:c r="I64" s="27" t="n">
        <x:v>73</x:v>
      </x:c>
      <x:c r="J64" s="27" t="n">
        <x:v>83</x:v>
      </x:c>
      <x:c r="K64" s="27" t="n">
        <x:v>66</x:v>
      </x:c>
      <x:c r="L64" s="27" t="n">
        <x:v>72</x:v>
      </x:c>
      <x:c r="M64" s="27" t="n">
        <x:v>83</x:v>
      </x:c>
      <x:c r="N64" s="27" t="n">
        <x:v>80</x:v>
      </x:c>
      <x:c r="O64" s="27" t="n">
        <x:v>78</x:v>
      </x:c>
      <x:c r="P64" s="27" t="n">
        <x:v>68</x:v>
      </x:c>
      <x:c r="Q64" s="27" t="n">
        <x:v>79</x:v>
      </x:c>
      <x:c r="R64" s="27" t="n">
        <x:v>79</x:v>
      </x:c>
      <x:c r="S64" s="27" t="n">
        <x:v>78</x:v>
      </x:c>
      <x:c r="T64" s="27" t="n">
        <x:v>76</x:v>
      </x:c>
      <x:c r="U64" s="27" t="n">
        <x:v>64</x:v>
      </x:c>
      <x:c r="V64" s="27" t="n">
        <x:v>60</x:v>
      </x:c>
      <x:c r="W64" s="27" t="n">
        <x:v>58</x:v>
      </x:c>
      <x:c r="X64" s="27" t="n">
        <x:v>58</x:v>
      </x:c>
      <x:c r="Y64" s="27" t="n">
        <x:v>43</x:v>
      </x:c>
      <x:c r="Z64" s="27" t="n">
        <x:v>60</x:v>
      </x:c>
      <x:c r="AA64" s="27" t="n">
        <x:v>70</x:v>
      </x:c>
      <x:c r="AB64" s="27" t="n">
        <x:v>57</x:v>
      </x:c>
      <x:c r="AC64" s="27" t="n">
        <x:v>80</x:v>
      </x:c>
      <x:c r="AD64" s="27" t="n">
        <x:v>82</x:v>
      </x:c>
      <x:c r="AE64" s="27" t="n">
        <x:v>72</x:v>
      </x:c>
      <x:c r="AF64" s="27" t="n">
        <x:v>60</x:v>
      </x:c>
      <x:c r="AG64" s="27" t="n">
        <x:v>64</x:v>
      </x:c>
      <x:c r="AH64" s="27" t="n">
        <x:v>60</x:v>
      </x:c>
      <x:c r="AI64" s="27" t="n">
        <x:v>41</x:v>
      </x:c>
      <x:c r="AJ64" s="27" t="n">
        <x:v>60</x:v>
      </x:c>
      <x:c r="AK64" s="27" t="n">
        <x:v>68</x:v>
      </x:c>
      <x:c r="AL64" s="27" t="n">
        <x:v>79</x:v>
      </x:c>
      <x:c r="AM64" s="27" t="str">
        <x:v>SRC-TE-002</x:v>
      </x:c>
      <x:c r="AN64" s="27" t="n">
        <x:v>60</x:v>
      </x:c>
      <x:c r="AO64" s="27" t="str">
        <x:v>VISUALLY VERIFIED</x:v>
      </x:c>
      <x:c r="AP64" s="27" t="str"/>
      <x:c r="AQ64" s="27"/>
      <x:c r="AR64" s="27"/>
      <x:c r="AS64" s="27"/>
      <x:c r="AT64" s="27"/>
      <x:c r="AU64" s="27"/>
      <x:c r="AV64" s="27"/>
      <x:c r="AW64" s="27"/>
      <x:c r="AX64" s="27"/>
      <x:c r="AY64" s="27"/>
      <x:c r="AZ64" s="27"/>
    </x:row>
    <x:row r="65">
      <x:c r="A65" s="27" t="str">
        <x:v>TE-0061</x:v>
      </x:c>
      <x:c r="B65" s="27" t="str">
        <x:v>Jaden Platt</x:v>
      </x:c>
      <x:c r="C65" s="27" t="n">
        <x:v>80</x:v>
      </x:c>
      <x:c r="D65" s="27" t="str">
        <x:v>Platinum Rare</x:v>
      </x:c>
      <x:c r="E65" s="27" t="str">
        <x:v>Physical Route Runner</x:v>
      </x:c>
      <x:c r="F65" s="27" t="n">
        <x:v>83</x:v>
      </x:c>
      <x:c r="G65" s="27" t="n">
        <x:v>80</x:v>
      </x:c>
      <x:c r="H65" s="27" t="n">
        <x:v>77</x:v>
      </x:c>
      <x:c r="I65" s="27" t="n">
        <x:v>74</x:v>
      </x:c>
      <x:c r="J65" s="27" t="n">
        <x:v>82</x:v>
      </x:c>
      <x:c r="K65" s="27" t="n">
        <x:v>81</x:v>
      </x:c>
      <x:c r="L65" s="27" t="n">
        <x:v>81</x:v>
      </x:c>
      <x:c r="M65" s="27" t="n">
        <x:v>83</x:v>
      </x:c>
      <x:c r="N65" s="27" t="n">
        <x:v>83</x:v>
      </x:c>
      <x:c r="O65" s="27" t="n">
        <x:v>72</x:v>
      </x:c>
      <x:c r="P65" s="27" t="n">
        <x:v>82</x:v>
      </x:c>
      <x:c r="Q65" s="27" t="n">
        <x:v>72</x:v>
      </x:c>
      <x:c r="R65" s="27" t="n">
        <x:v>68</x:v>
      </x:c>
      <x:c r="S65" s="27" t="n">
        <x:v>83</x:v>
      </x:c>
      <x:c r="T65" s="27" t="n">
        <x:v>82</x:v>
      </x:c>
      <x:c r="U65" s="27" t="n">
        <x:v>80</x:v>
      </x:c>
      <x:c r="V65" s="27" t="n">
        <x:v>60</x:v>
      </x:c>
      <x:c r="W65" s="27" t="n">
        <x:v>67</x:v>
      </x:c>
      <x:c r="X65" s="27" t="n">
        <x:v>68</x:v>
      </x:c>
      <x:c r="Y65" s="27" t="n">
        <x:v>62</x:v>
      </x:c>
      <x:c r="Z65" s="27" t="n">
        <x:v>75</x:v>
      </x:c>
      <x:c r="AA65" s="27" t="n">
        <x:v>70</x:v>
      </x:c>
      <x:c r="AB65" s="27" t="n">
        <x:v>83</x:v>
      </x:c>
      <x:c r="AC65" s="27" t="n">
        <x:v>72</x:v>
      </x:c>
      <x:c r="AD65" s="27" t="n">
        <x:v>74</x:v>
      </x:c>
      <x:c r="AE65" s="27" t="n">
        <x:v>71</x:v>
      </x:c>
      <x:c r="AF65" s="27" t="n">
        <x:v>68</x:v>
      </x:c>
      <x:c r="AG65" s="27" t="n">
        <x:v>65</x:v>
      </x:c>
      <x:c r="AH65" s="27" t="n">
        <x:v>70</x:v>
      </x:c>
      <x:c r="AI65" s="27" t="n">
        <x:v>79</x:v>
      </x:c>
      <x:c r="AJ65" s="27" t="n">
        <x:v>81</x:v>
      </x:c>
      <x:c r="AK65" s="27" t="n">
        <x:v>80</x:v>
      </x:c>
      <x:c r="AL65" s="27" t="n">
        <x:v>80</x:v>
      </x:c>
      <x:c r="AM65" s="27" t="str">
        <x:v>SRC-TE-002</x:v>
      </x:c>
      <x:c r="AN65" s="27" t="n">
        <x:v>61</x:v>
      </x:c>
      <x:c r="AO65" s="27" t="str">
        <x:v>VISUALLY VERIFIED</x:v>
      </x:c>
      <x:c r="AP65" s="27" t="str">
        <x:v>Page 62 is an exact duplicate screenshot and is not added as a second card record.</x:v>
      </x:c>
      <x:c r="AQ65" s="27"/>
      <x:c r="AR65" s="27"/>
      <x:c r="AS65" s="27"/>
      <x:c r="AT65" s="27"/>
      <x:c r="AU65" s="27"/>
      <x:c r="AV65" s="27"/>
      <x:c r="AW65" s="27"/>
      <x:c r="AX65" s="27"/>
      <x:c r="AY65" s="27"/>
      <x:c r="AZ65" s="27"/>
    </x:row>
    <x:row r="66">
      <x:c r="A66" s="27" t="str">
        <x:v>TE-0062</x:v>
      </x:c>
      <x:c r="B66" s="27" t="str">
        <x:v>Max Reese</x:v>
      </x:c>
      <x:c r="C66" s="27" t="n">
        <x:v>80</x:v>
      </x:c>
      <x:c r="D66" s="27" t="str">
        <x:v>Core Rare</x:v>
      </x:c>
      <x:c r="E66" s="27" t="str">
        <x:v>Physical Route Runner</x:v>
      </x:c>
      <x:c r="F66" s="27" t="n">
        <x:v>7</x:v>
      </x:c>
      <x:c r="G66" s="27" t="n">
        <x:v>75</x:v>
      </x:c>
      <x:c r="H66" s="27" t="n">
        <x:v>78</x:v>
      </x:c>
      <x:c r="I66" s="27" t="n">
        <x:v>72</x:v>
      </x:c>
      <x:c r="J66" s="27" t="n">
        <x:v>79</x:v>
      </x:c>
      <x:c r="K66" s="27" t="n">
        <x:v>66</x:v>
      </x:c>
      <x:c r="L66" s="27" t="n">
        <x:v>68</x:v>
      </x:c>
      <x:c r="M66" s="27" t="n">
        <x:v>80</x:v>
      </x:c>
      <x:c r="N66" s="27" t="n">
        <x:v>81</x:v>
      </x:c>
      <x:c r="O66" s="27" t="n">
        <x:v>78</x:v>
      </x:c>
      <x:c r="P66" s="27" t="n">
        <x:v>80</x:v>
      </x:c>
      <x:c r="Q66" s="27" t="n">
        <x:v>78</x:v>
      </x:c>
      <x:c r="R66" s="27" t="n">
        <x:v>72</x:v>
      </x:c>
      <x:c r="S66" s="27" t="n">
        <x:v>77</x:v>
      </x:c>
      <x:c r="T66" s="27" t="n">
        <x:v>71</x:v>
      </x:c>
      <x:c r="U66" s="27" t="n">
        <x:v>71</x:v>
      </x:c>
      <x:c r="V66" s="27" t="n">
        <x:v>62</x:v>
      </x:c>
      <x:c r="W66" s="27" t="n">
        <x:v>64</x:v>
      </x:c>
      <x:c r="X66" s="27" t="n">
        <x:v>63</x:v>
      </x:c>
      <x:c r="Y66" s="27" t="n">
        <x:v>76</x:v>
      </x:c>
      <x:c r="Z66" s="27" t="n">
        <x:v>67</x:v>
      </x:c>
      <x:c r="AA66" s="27" t="n">
        <x:v>77</x:v>
      </x:c>
      <x:c r="AB66" s="27" t="n">
        <x:v>81</x:v>
      </x:c>
      <x:c r="AC66" s="27" t="n">
        <x:v>75</x:v>
      </x:c>
      <x:c r="AD66" s="27" t="n">
        <x:v>67</x:v>
      </x:c>
      <x:c r="AE66" s="27" t="n">
        <x:v>73</x:v>
      </x:c>
      <x:c r="AF66" s="27" t="n">
        <x:v>76</x:v>
      </x:c>
      <x:c r="AG66" s="27" t="n">
        <x:v>76</x:v>
      </x:c>
      <x:c r="AH66" s="27" t="n">
        <x:v>75</x:v>
      </x:c>
      <x:c r="AI66" s="27" t="n">
        <x:v>50</x:v>
      </x:c>
      <x:c r="AJ66" s="27" t="n">
        <x:v>72</x:v>
      </x:c>
      <x:c r="AK66" s="27" t="n">
        <x:v>75</x:v>
      </x:c>
      <x:c r="AL66" s="27" t="n">
        <x:v>78</x:v>
      </x:c>
      <x:c r="AM66" s="27" t="str">
        <x:v>SRC-TE-002</x:v>
      </x:c>
      <x:c r="AN66" s="27" t="n">
        <x:v>63</x:v>
      </x:c>
      <x:c r="AO66" s="27" t="str">
        <x:v>VISUALLY VERIFIED</x:v>
      </x:c>
      <x:c r="AP66" s="27" t="str"/>
      <x:c r="AQ66" s="27"/>
      <x:c r="AR66" s="27"/>
      <x:c r="AS66" s="27"/>
      <x:c r="AT66" s="27"/>
      <x:c r="AU66" s="27"/>
      <x:c r="AV66" s="27"/>
      <x:c r="AW66" s="27"/>
      <x:c r="AX66" s="27"/>
      <x:c r="AY66" s="27"/>
      <x:c r="AZ66" s="27"/>
    </x:row>
    <x:row r="67">
      <x:c r="A67" s="27" t="str">
        <x:v>TE-0063</x:v>
      </x:c>
      <x:c r="B67" s="27" t="str">
        <x:v>Desirrio Riles</x:v>
      </x:c>
      <x:c r="C67" s="27" t="n">
        <x:v>80</x:v>
      </x:c>
      <x:c r="D67" s="27" t="str">
        <x:v>Core Rare</x:v>
      </x:c>
      <x:c r="E67" s="27" t="str">
        <x:v>Physical Route Runner</x:v>
      </x:c>
      <x:c r="F67" s="27" t="n">
        <x:v>6</x:v>
      </x:c>
      <x:c r="G67" s="27" t="n">
        <x:v>78</x:v>
      </x:c>
      <x:c r="H67" s="27" t="n">
        <x:v>77</x:v>
      </x:c>
      <x:c r="I67" s="27" t="n">
        <x:v>74</x:v>
      </x:c>
      <x:c r="J67" s="27" t="n">
        <x:v>82</x:v>
      </x:c>
      <x:c r="K67" s="27" t="n">
        <x:v>75</x:v>
      </x:c>
      <x:c r="L67" s="27" t="n">
        <x:v>74</x:v>
      </x:c>
      <x:c r="M67" s="27" t="n">
        <x:v>80</x:v>
      </x:c>
      <x:c r="N67" s="27" t="n">
        <x:v>83</x:v>
      </x:c>
      <x:c r="O67" s="27" t="n">
        <x:v>66</x:v>
      </x:c>
      <x:c r="P67" s="27" t="n">
        <x:v>80</x:v>
      </x:c>
      <x:c r="Q67" s="27" t="n">
        <x:v>78</x:v>
      </x:c>
      <x:c r="R67" s="27" t="n">
        <x:v>76</x:v>
      </x:c>
      <x:c r="S67" s="27" t="n">
        <x:v>80</x:v>
      </x:c>
      <x:c r="T67" s="27" t="n">
        <x:v>61</x:v>
      </x:c>
      <x:c r="U67" s="27" t="n">
        <x:v>78</x:v>
      </x:c>
      <x:c r="V67" s="27" t="n">
        <x:v>48</x:v>
      </x:c>
      <x:c r="W67" s="27" t="n">
        <x:v>62</x:v>
      </x:c>
      <x:c r="X67" s="27" t="n">
        <x:v>60</x:v>
      </x:c>
      <x:c r="Y67" s="27" t="n">
        <x:v>75</x:v>
      </x:c>
      <x:c r="Z67" s="27" t="n">
        <x:v>73</x:v>
      </x:c>
      <x:c r="AA67" s="27" t="n">
        <x:v>76</x:v>
      </x:c>
      <x:c r="AB67" s="27" t="n">
        <x:v>67</x:v>
      </x:c>
      <x:c r="AC67" s="27" t="n">
        <x:v>80</x:v>
      </x:c>
      <x:c r="AD67" s="27" t="n">
        <x:v>75</x:v>
      </x:c>
      <x:c r="AE67" s="27" t="n">
        <x:v>82</x:v>
      </x:c>
      <x:c r="AF67" s="27" t="n">
        <x:v>78</x:v>
      </x:c>
      <x:c r="AG67" s="27" t="n">
        <x:v>82</x:v>
      </x:c>
      <x:c r="AH67" s="27" t="n">
        <x:v>80</x:v>
      </x:c>
      <x:c r="AI67" s="27" t="n">
        <x:v>64</x:v>
      </x:c>
      <x:c r="AJ67" s="27" t="n">
        <x:v>79</x:v>
      </x:c>
      <x:c r="AK67" s="27" t="n">
        <x:v>78</x:v>
      </x:c>
      <x:c r="AL67" s="27" t="n">
        <x:v>77</x:v>
      </x:c>
      <x:c r="AM67" s="27" t="str">
        <x:v>SRC-TE-002</x:v>
      </x:c>
      <x:c r="AN67" s="27" t="n">
        <x:v>64</x:v>
      </x:c>
      <x:c r="AO67" s="27" t="str">
        <x:v>VISUALLY VERIFIED</x:v>
      </x:c>
      <x:c r="AP67" s="27" t="str"/>
      <x:c r="AQ67" s="27"/>
      <x:c r="AR67" s="27"/>
      <x:c r="AS67" s="27"/>
      <x:c r="AT67" s="27"/>
      <x:c r="AU67" s="27"/>
      <x:c r="AV67" s="27"/>
      <x:c r="AW67" s="27"/>
      <x:c r="AX67" s="27"/>
      <x:c r="AY67" s="27"/>
      <x:c r="AZ67" s="27"/>
    </x:row>
    <x:row r="68">
      <x:c r="A68" s="27" t="str">
        <x:v>TE-0064</x:v>
      </x:c>
      <x:c r="B68" s="27" t="str">
        <x:v>Jeremy Shockey</x:v>
      </x:c>
      <x:c r="C68" s="27" t="n">
        <x:v>80</x:v>
      </x:c>
      <x:c r="D68" s="27" t="str">
        <x:v>Core Legends Millennium</x:v>
      </x:c>
      <x:c r="E68" s="27" t="str">
        <x:v>Gritty Possession</x:v>
      </x:c>
      <x:c r="F68" s="27" t="n">
        <x:v>88</x:v>
      </x:c>
      <x:c r="G68" s="27" t="n">
        <x:v>78</x:v>
      </x:c>
      <x:c r="H68" s="27" t="n">
        <x:v>79</x:v>
      </x:c>
      <x:c r="I68" s="27" t="n">
        <x:v>78</x:v>
      </x:c>
      <x:c r="J68" s="27" t="n">
        <x:v>75</x:v>
      </x:c>
      <x:c r="K68" s="27" t="n">
        <x:v>81</x:v>
      </x:c>
      <x:c r="L68" s="27" t="n">
        <x:v>82</x:v>
      </x:c>
      <x:c r="M68" s="27" t="n">
        <x:v>80</x:v>
      </x:c>
      <x:c r="N68" s="27" t="n">
        <x:v>80</x:v>
      </x:c>
      <x:c r="O68" s="27" t="n">
        <x:v>79</x:v>
      </x:c>
      <x:c r="P68" s="27" t="n">
        <x:v>74</x:v>
      </x:c>
      <x:c r="Q68" s="27" t="n">
        <x:v>75</x:v>
      </x:c>
      <x:c r="R68" s="27" t="n">
        <x:v>75</x:v>
      </x:c>
      <x:c r="S68" s="27" t="n">
        <x:v>78</x:v>
      </x:c>
      <x:c r="T68" s="27" t="n">
        <x:v>72</x:v>
      </x:c>
      <x:c r="U68" s="27" t="n">
        <x:v>77</x:v>
      </x:c>
      <x:c r="V68" s="27" t="n">
        <x:v>71</x:v>
      </x:c>
      <x:c r="W68" s="27" t="n">
        <x:v>72</x:v>
      </x:c>
      <x:c r="X68" s="27" t="n">
        <x:v>71</x:v>
      </x:c>
      <x:c r="Y68" s="27" t="n">
        <x:v>78</x:v>
      </x:c>
      <x:c r="Z68" s="27" t="n">
        <x:v>80</x:v>
      </x:c>
      <x:c r="AA68" s="27" t="n">
        <x:v>76</x:v>
      </x:c>
      <x:c r="AB68" s="27" t="n">
        <x:v>73</x:v>
      </x:c>
      <x:c r="AC68" s="27" t="n">
        <x:v>63</x:v>
      </x:c>
      <x:c r="AD68" s="27" t="n">
        <x:v>75</x:v>
      </x:c>
      <x:c r="AE68" s="27" t="n">
        <x:v>74</x:v>
      </x:c>
      <x:c r="AF68" s="27" t="n">
        <x:v>73</x:v>
      </x:c>
      <x:c r="AG68" s="27" t="n">
        <x:v>75</x:v>
      </x:c>
      <x:c r="AH68" s="27" t="n">
        <x:v>74</x:v>
      </x:c>
      <x:c r="AI68" s="27" t="n">
        <x:v>74</x:v>
      </x:c>
      <x:c r="AJ68" s="27" t="n">
        <x:v>73</x:v>
      </x:c>
      <x:c r="AK68" s="27" t="n">
        <x:v>77</x:v>
      </x:c>
      <x:c r="AL68" s="27" t="n">
        <x:v>80</x:v>
      </x:c>
      <x:c r="AM68" s="27" t="str">
        <x:v>SRC-TE-002</x:v>
      </x:c>
      <x:c r="AN68" s="27" t="n">
        <x:v>65</x:v>
      </x:c>
      <x:c r="AO68" s="27" t="str">
        <x:v>VISUALLY VERIFIED</x:v>
      </x:c>
      <x:c r="AP68" s="27" t="str"/>
      <x:c r="AQ68" s="27"/>
      <x:c r="AR68" s="27"/>
      <x:c r="AS68" s="27"/>
      <x:c r="AT68" s="27"/>
      <x:c r="AU68" s="27"/>
      <x:c r="AV68" s="27"/>
      <x:c r="AW68" s="27"/>
      <x:c r="AX68" s="27"/>
      <x:c r="AY68" s="27"/>
      <x:c r="AZ68" s="27"/>
    </x:row>
    <x:row r="69">
      <x:c r="A69" s="27" t="str">
        <x:v>TE-0065</x:v>
      </x:c>
      <x:c r="B69" s="27" t="str">
        <x:v>Cole Spence</x:v>
      </x:c>
      <x:c r="C69" s="27" t="n">
        <x:v>80</x:v>
      </x:c>
      <x:c r="D69" s="27" t="str">
        <x:v>Core Rare</x:v>
      </x:c>
      <x:c r="E69" s="27" t="str">
        <x:v>Physical Route Runner</x:v>
      </x:c>
      <x:c r="F69" s="27" t="n">
        <x:v>16</x:v>
      </x:c>
      <x:c r="G69" s="27" t="n">
        <x:v>76</x:v>
      </x:c>
      <x:c r="H69" s="27" t="n">
        <x:v>77</x:v>
      </x:c>
      <x:c r="I69" s="27" t="n">
        <x:v>74</x:v>
      </x:c>
      <x:c r="J69" s="27" t="n">
        <x:v>83</x:v>
      </x:c>
      <x:c r="K69" s="27" t="n">
        <x:v>81</x:v>
      </x:c>
      <x:c r="L69" s="27" t="n">
        <x:v>76</x:v>
      </x:c>
      <x:c r="M69" s="27" t="n">
        <x:v>83</x:v>
      </x:c>
      <x:c r="N69" s="27" t="n">
        <x:v>83</x:v>
      </x:c>
      <x:c r="O69" s="27" t="n">
        <x:v>68</x:v>
      </x:c>
      <x:c r="P69" s="27" t="n">
        <x:v>78</x:v>
      </x:c>
      <x:c r="Q69" s="27" t="n">
        <x:v>74</x:v>
      </x:c>
      <x:c r="R69" s="27" t="n">
        <x:v>61</x:v>
      </x:c>
      <x:c r="S69" s="27" t="n">
        <x:v>82</x:v>
      </x:c>
      <x:c r="T69" s="27" t="n">
        <x:v>82</x:v>
      </x:c>
      <x:c r="U69" s="27" t="n">
        <x:v>83</x:v>
      </x:c>
      <x:c r="V69" s="27" t="n">
        <x:v>64</x:v>
      </x:c>
      <x:c r="W69" s="27" t="n">
        <x:v>60</x:v>
      </x:c>
      <x:c r="X69" s="27" t="n">
        <x:v>68</x:v>
      </x:c>
      <x:c r="Y69" s="27" t="n">
        <x:v>83</x:v>
      </x:c>
      <x:c r="Z69" s="27" t="n">
        <x:v>83</x:v>
      </x:c>
      <x:c r="AA69" s="27" t="n">
        <x:v>76</x:v>
      </x:c>
      <x:c r="AB69" s="27" t="n">
        <x:v>73</x:v>
      </x:c>
      <x:c r="AC69" s="27" t="n">
        <x:v>80</x:v>
      </x:c>
      <x:c r="AD69" s="27" t="n">
        <x:v>81</x:v>
      </x:c>
      <x:c r="AE69" s="27" t="n">
        <x:v>81</x:v>
      </x:c>
      <x:c r="AF69" s="27" t="n">
        <x:v>64</x:v>
      </x:c>
      <x:c r="AG69" s="27" t="n">
        <x:v>65</x:v>
      </x:c>
      <x:c r="AH69" s="27" t="n">
        <x:v>64</x:v>
      </x:c>
      <x:c r="AI69" s="27" t="n">
        <x:v>82</x:v>
      </x:c>
      <x:c r="AJ69" s="27" t="n">
        <x:v>83</x:v>
      </x:c>
      <x:c r="AK69" s="27" t="n">
        <x:v>81</x:v>
      </x:c>
      <x:c r="AL69" s="27" t="n">
        <x:v>79</x:v>
      </x:c>
      <x:c r="AM69" s="27" t="str">
        <x:v>SRC-TE-002</x:v>
      </x:c>
      <x:c r="AN69" s="27" t="n">
        <x:v>66</x:v>
      </x:c>
      <x:c r="AO69" s="27" t="str">
        <x:v>VISUALLY VERIFIED</x:v>
      </x:c>
      <x:c r="AP69" s="27" t="str"/>
      <x:c r="AQ69" s="27"/>
      <x:c r="AR69" s="27"/>
      <x:c r="AS69" s="27"/>
      <x:c r="AT69" s="27"/>
      <x:c r="AU69" s="27"/>
      <x:c r="AV69" s="27"/>
      <x:c r="AW69" s="27"/>
      <x:c r="AX69" s="27"/>
      <x:c r="AY69" s="27"/>
      <x:c r="AZ69" s="27"/>
    </x:row>
    <x:row r="70">
      <x:c r="A70" s="27" t="str">
        <x:v>TE-0066</x:v>
      </x:c>
      <x:c r="B70" s="27" t="str">
        <x:v>Hunter Tipton</x:v>
      </x:c>
      <x:c r="C70" s="27" t="n">
        <x:v>80</x:v>
      </x:c>
      <x:c r="D70" s="27" t="str">
        <x:v>Core Rare</x:v>
      </x:c>
      <x:c r="E70" s="27" t="str">
        <x:v>Vertical Threat</x:v>
      </x:c>
      <x:c r="F70" s="27" t="n">
        <x:v>0</x:v>
      </x:c>
      <x:c r="G70" s="27" t="n">
        <x:v>80</x:v>
      </x:c>
      <x:c r="H70" s="27" t="n">
        <x:v>78</x:v>
      </x:c>
      <x:c r="I70" s="27" t="n">
        <x:v>73</x:v>
      </x:c>
      <x:c r="J70" s="27" t="n">
        <x:v>81</x:v>
      </x:c>
      <x:c r="K70" s="27" t="n">
        <x:v>70</x:v>
      </x:c>
      <x:c r="L70" s="27" t="n">
        <x:v>77</x:v>
      </x:c>
      <x:c r="M70" s="27" t="n">
        <x:v>80</x:v>
      </x:c>
      <x:c r="N70" s="27" t="n">
        <x:v>82</x:v>
      </x:c>
      <x:c r="O70" s="27" t="n">
        <x:v>76</x:v>
      </x:c>
      <x:c r="P70" s="27" t="n">
        <x:v>79</x:v>
      </x:c>
      <x:c r="Q70" s="27" t="n">
        <x:v>73</x:v>
      </x:c>
      <x:c r="R70" s="27" t="n">
        <x:v>67</x:v>
      </x:c>
      <x:c r="S70" s="27" t="n">
        <x:v>81</x:v>
      </x:c>
      <x:c r="T70" s="27" t="n">
        <x:v>73</x:v>
      </x:c>
      <x:c r="U70" s="27" t="n">
        <x:v>79</x:v>
      </x:c>
      <x:c r="V70" s="27" t="n">
        <x:v>63</x:v>
      </x:c>
      <x:c r="W70" s="27" t="n">
        <x:v>71</x:v>
      </x:c>
      <x:c r="X70" s="27" t="n">
        <x:v>69</x:v>
      </x:c>
      <x:c r="Y70" s="27" t="n">
        <x:v>65</x:v>
      </x:c>
      <x:c r="Z70" s="27" t="n">
        <x:v>65</x:v>
      </x:c>
      <x:c r="AA70" s="27" t="n">
        <x:v>71</x:v>
      </x:c>
      <x:c r="AB70" s="27" t="n">
        <x:v>68</x:v>
      </x:c>
      <x:c r="AC70" s="27" t="n">
        <x:v>77</x:v>
      </x:c>
      <x:c r="AD70" s="27" t="n">
        <x:v>78</x:v>
      </x:c>
      <x:c r="AE70" s="27" t="n">
        <x:v>75</x:v>
      </x:c>
      <x:c r="AF70" s="27" t="n">
        <x:v>77</x:v>
      </x:c>
      <x:c r="AG70" s="27" t="n">
        <x:v>80</x:v>
      </x:c>
      <x:c r="AH70" s="27" t="n">
        <x:v>79</x:v>
      </x:c>
      <x:c r="AI70" s="27" t="n">
        <x:v>78</x:v>
      </x:c>
      <x:c r="AJ70" s="27" t="n">
        <x:v>67</x:v>
      </x:c>
      <x:c r="AK70" s="27" t="n">
        <x:v>77</x:v>
      </x:c>
      <x:c r="AL70" s="27" t="n">
        <x:v>79</x:v>
      </x:c>
      <x:c r="AM70" s="27" t="str">
        <x:v>SRC-TE-002</x:v>
      </x:c>
      <x:c r="AN70" s="27" t="n">
        <x:v>67</x:v>
      </x:c>
      <x:c r="AO70" s="27" t="str">
        <x:v>VISUALLY VERIFIED</x:v>
      </x:c>
      <x:c r="AP70" s="27" t="str"/>
      <x:c r="AQ70" s="27"/>
      <x:c r="AR70" s="27"/>
      <x:c r="AS70" s="27"/>
      <x:c r="AT70" s="27"/>
      <x:c r="AU70" s="27"/>
      <x:c r="AV70" s="27"/>
      <x:c r="AW70" s="27"/>
      <x:c r="AX70" s="27"/>
      <x:c r="AY70" s="27"/>
      <x:c r="AZ70" s="27"/>
    </x:row>
    <x:row r="71">
      <x:c r="A71" s="27" t="str">
        <x:v>TE-0067</x:v>
      </x:c>
      <x:c r="B71" s="27" t="str">
        <x:v>Ty Washington</x:v>
      </x:c>
      <x:c r="C71" s="27" t="n">
        <x:v>80</x:v>
      </x:c>
      <x:c r="D71" s="27" t="str">
        <x:v>Core Rare</x:v>
      </x:c>
      <x:c r="E71" s="27" t="str">
        <x:v>Physical Route Runner</x:v>
      </x:c>
      <x:c r="F71" s="27" t="n">
        <x:v>7</x:v>
      </x:c>
      <x:c r="G71" s="27" t="n">
        <x:v>70</x:v>
      </x:c>
      <x:c r="H71" s="27" t="n">
        <x:v>82</x:v>
      </x:c>
      <x:c r="I71" s="27" t="n">
        <x:v>71</x:v>
      </x:c>
      <x:c r="J71" s="27" t="n">
        <x:v>60</x:v>
      </x:c>
      <x:c r="K71" s="27" t="n">
        <x:v>70</x:v>
      </x:c>
      <x:c r="L71" s="27" t="n">
        <x:v>73</x:v>
      </x:c>
      <x:c r="M71" s="27" t="n">
        <x:v>81</x:v>
      </x:c>
      <x:c r="N71" s="27" t="n">
        <x:v>80</x:v>
      </x:c>
      <x:c r="O71" s="27" t="n">
        <x:v>82</x:v>
      </x:c>
      <x:c r="P71" s="27" t="n">
        <x:v>80</x:v>
      </x:c>
      <x:c r="Q71" s="27" t="n">
        <x:v>78</x:v>
      </x:c>
      <x:c r="R71" s="27" t="n">
        <x:v>77</x:v>
      </x:c>
      <x:c r="S71" s="27" t="n">
        <x:v>82</x:v>
      </x:c>
      <x:c r="T71" s="27" t="n">
        <x:v>81</x:v>
      </x:c>
      <x:c r="U71" s="27" t="n">
        <x:v>71</x:v>
      </x:c>
      <x:c r="V71" s="27" t="n">
        <x:v>59</x:v>
      </x:c>
      <x:c r="W71" s="27" t="n">
        <x:v>55</x:v>
      </x:c>
      <x:c r="X71" s="27" t="n">
        <x:v>52</x:v>
      </x:c>
      <x:c r="Y71" s="27" t="n">
        <x:v>76</x:v>
      </x:c>
      <x:c r="Z71" s="27" t="n">
        <x:v>78</x:v>
      </x:c>
      <x:c r="AA71" s="27" t="n">
        <x:v>65</x:v>
      </x:c>
      <x:c r="AB71" s="27" t="n">
        <x:v>81</x:v>
      </x:c>
      <x:c r="AC71" s="27" t="n">
        <x:v>71</x:v>
      </x:c>
      <x:c r="AD71" s="27" t="n">
        <x:v>71</x:v>
      </x:c>
      <x:c r="AE71" s="27" t="n">
        <x:v>71</x:v>
      </x:c>
      <x:c r="AF71" s="27" t="n">
        <x:v>76</x:v>
      </x:c>
      <x:c r="AG71" s="27" t="n">
        <x:v>64</x:v>
      </x:c>
      <x:c r="AH71" s="27" t="n">
        <x:v>66</x:v>
      </x:c>
      <x:c r="AI71" s="27" t="n">
        <x:v>76</x:v>
      </x:c>
      <x:c r="AJ71" s="27" t="n">
        <x:v>82</x:v>
      </x:c>
      <x:c r="AK71" s="27" t="n">
        <x:v>77</x:v>
      </x:c>
      <x:c r="AL71" s="27" t="n">
        <x:v>79</x:v>
      </x:c>
      <x:c r="AM71" s="27" t="str">
        <x:v>SRC-TE-002</x:v>
      </x:c>
      <x:c r="AN71" s="27" t="n">
        <x:v>68</x:v>
      </x:c>
      <x:c r="AO71" s="27" t="str">
        <x:v>VISUALLY VERIFIED</x:v>
      </x:c>
      <x:c r="AP71" s="27" t="str"/>
      <x:c r="AQ71" s="27"/>
      <x:c r="AR71" s="27"/>
      <x:c r="AS71" s="27"/>
      <x:c r="AT71" s="27"/>
      <x:c r="AU71" s="27"/>
      <x:c r="AV71" s="27"/>
      <x:c r="AW71" s="27"/>
      <x:c r="AX71" s="27"/>
      <x:c r="AY71" s="27"/>
      <x:c r="AZ71" s="27"/>
    </x:row>
    <x:row r="72">
      <x:c r="A72" s="27" t="str">
        <x:v>TE-0068</x:v>
      </x:c>
      <x:c r="B72" s="27" t="str">
        <x:v>Ty Washington</x:v>
      </x:c>
      <x:c r="C72" s="27" t="n">
        <x:v>80</x:v>
      </x:c>
      <x:c r="D72" s="27" t="str">
        <x:v>Platinum Rare</x:v>
      </x:c>
      <x:c r="E72" s="27" t="str">
        <x:v>Physical Route Runner</x:v>
      </x:c>
      <x:c r="F72" s="27" t="n">
        <x:v>7</x:v>
      </x:c>
      <x:c r="G72" s="27" t="n">
        <x:v>70</x:v>
      </x:c>
      <x:c r="H72" s="27" t="n">
        <x:v>82</x:v>
      </x:c>
      <x:c r="I72" s="27" t="n">
        <x:v>71</x:v>
      </x:c>
      <x:c r="J72" s="27" t="n">
        <x:v>60</x:v>
      </x:c>
      <x:c r="K72" s="27" t="n">
        <x:v>70</x:v>
      </x:c>
      <x:c r="L72" s="27" t="n">
        <x:v>73</x:v>
      </x:c>
      <x:c r="M72" s="27" t="n">
        <x:v>81</x:v>
      </x:c>
      <x:c r="N72" s="27" t="n">
        <x:v>80</x:v>
      </x:c>
      <x:c r="O72" s="27" t="n">
        <x:v>82</x:v>
      </x:c>
      <x:c r="P72" s="27" t="n">
        <x:v>80</x:v>
      </x:c>
      <x:c r="Q72" s="27" t="n">
        <x:v>78</x:v>
      </x:c>
      <x:c r="R72" s="27" t="n">
        <x:v>77</x:v>
      </x:c>
      <x:c r="S72" s="27" t="n">
        <x:v>82</x:v>
      </x:c>
      <x:c r="T72" s="27" t="n">
        <x:v>81</x:v>
      </x:c>
      <x:c r="U72" s="27" t="n">
        <x:v>71</x:v>
      </x:c>
      <x:c r="V72" s="27" t="n">
        <x:v>59</x:v>
      </x:c>
      <x:c r="W72" s="27" t="n">
        <x:v>55</x:v>
      </x:c>
      <x:c r="X72" s="27" t="n">
        <x:v>52</x:v>
      </x:c>
      <x:c r="Y72" s="27" t="n">
        <x:v>76</x:v>
      </x:c>
      <x:c r="Z72" s="27" t="n">
        <x:v>78</x:v>
      </x:c>
      <x:c r="AA72" s="27" t="n">
        <x:v>65</x:v>
      </x:c>
      <x:c r="AB72" s="27" t="n">
        <x:v>81</x:v>
      </x:c>
      <x:c r="AC72" s="27" t="n">
        <x:v>71</x:v>
      </x:c>
      <x:c r="AD72" s="27" t="n">
        <x:v>71</x:v>
      </x:c>
      <x:c r="AE72" s="27" t="n">
        <x:v>71</x:v>
      </x:c>
      <x:c r="AF72" s="27" t="n">
        <x:v>76</x:v>
      </x:c>
      <x:c r="AG72" s="27" t="n">
        <x:v>64</x:v>
      </x:c>
      <x:c r="AH72" s="27" t="n">
        <x:v>66</x:v>
      </x:c>
      <x:c r="AI72" s="27" t="n">
        <x:v>76</x:v>
      </x:c>
      <x:c r="AJ72" s="27" t="n">
        <x:v>82</x:v>
      </x:c>
      <x:c r="AK72" s="27" t="n">
        <x:v>77</x:v>
      </x:c>
      <x:c r="AL72" s="27" t="n">
        <x:v>79</x:v>
      </x:c>
      <x:c r="AM72" s="27" t="str">
        <x:v>SRC-TE-002</x:v>
      </x:c>
      <x:c r="AN72" s="27" t="n">
        <x:v>69</x:v>
      </x:c>
      <x:c r="AO72" s="27" t="str">
        <x:v>VISUALLY VERIFIED</x:v>
      </x:c>
      <x:c r="AP72" s="27" t="str">
        <x:v>Same displayed ratings as Core Rare; distinct program/version.</x:v>
      </x:c>
      <x:c r="AQ72" s="27"/>
      <x:c r="AR72" s="27"/>
      <x:c r="AS72" s="27"/>
      <x:c r="AT72" s="27"/>
      <x:c r="AU72" s="27"/>
      <x:c r="AV72" s="27"/>
      <x:c r="AW72" s="27"/>
      <x:c r="AX72" s="27"/>
      <x:c r="AY72" s="27"/>
      <x:c r="AZ72" s="27"/>
    </x:row>
    <x:row r="73">
      <x:c r="A73" s="27"/>
      <x:c r="B73" s="27"/>
      <x:c r="C73" s="27"/>
      <x:c r="D73" s="27"/>
      <x:c r="E73" s="27"/>
      <x:c r="F73" s="27"/>
      <x:c r="G73" s="27"/>
      <x:c r="H73" s="27"/>
      <x:c r="I73" s="27"/>
      <x:c r="J73" s="27"/>
      <x:c r="K73" s="27"/>
      <x:c r="L73" s="27"/>
      <x:c r="M73" s="27"/>
      <x:c r="N73" s="27"/>
      <x:c r="O73" s="27"/>
      <x:c r="P73" s="27"/>
      <x:c r="Q73" s="27"/>
      <x:c r="R73" s="27"/>
      <x:c r="S73" s="27"/>
      <x:c r="T73" s="27"/>
      <x:c r="U73" s="27"/>
      <x:c r="V73" s="27"/>
      <x:c r="W73" s="27"/>
      <x:c r="X73" s="27"/>
      <x:c r="Y73" s="27"/>
      <x:c r="Z73" s="27"/>
      <x:c r="AA73" s="27"/>
      <x:c r="AB73" s="27"/>
      <x:c r="AC73" s="27"/>
      <x:c r="AD73" s="27"/>
      <x:c r="AE73" s="27"/>
      <x:c r="AF73" s="27"/>
      <x:c r="AG73" s="27"/>
      <x:c r="AH73" s="27"/>
      <x:c r="AI73" s="27"/>
      <x:c r="AJ73" s="27"/>
      <x:c r="AK73" s="27"/>
      <x:c r="AL73" s="27"/>
      <x:c r="AM73" s="27"/>
      <x:c r="AN73" s="27"/>
      <x:c r="AO73" s="27"/>
      <x:c r="AP73" s="27"/>
      <x:c r="AQ73" s="27"/>
      <x:c r="AR73" s="27"/>
      <x:c r="AS73" s="27"/>
      <x:c r="AT73" s="27"/>
      <x:c r="AU73" s="27"/>
      <x:c r="AV73" s="27"/>
      <x:c r="AW73" s="27"/>
      <x:c r="AX73" s="27"/>
      <x:c r="AY73" s="27"/>
      <x:c r="AZ73" s="27"/>
    </x:row>
    <x:row r="74">
      <x:c r="A74" s="27"/>
      <x:c r="B74" s="27"/>
      <x:c r="C74" s="27"/>
      <x:c r="D74" s="27"/>
      <x:c r="E74" s="27"/>
      <x:c r="F74" s="27"/>
      <x:c r="G74" s="27"/>
      <x:c r="H74" s="27"/>
      <x:c r="I74" s="27"/>
      <x:c r="J74" s="27"/>
      <x:c r="K74" s="27"/>
      <x:c r="L74" s="27"/>
      <x:c r="M74" s="27"/>
      <x:c r="N74" s="27"/>
      <x:c r="O74" s="27"/>
      <x:c r="P74" s="27"/>
      <x:c r="Q74" s="27"/>
      <x:c r="R74" s="27"/>
      <x:c r="S74" s="27"/>
      <x:c r="T74" s="27"/>
      <x:c r="U74" s="27"/>
      <x:c r="V74" s="27"/>
      <x:c r="W74" s="27"/>
      <x:c r="X74" s="27"/>
      <x:c r="Y74" s="27"/>
      <x:c r="Z74" s="27"/>
      <x:c r="AA74" s="27"/>
      <x:c r="AB74" s="27"/>
      <x:c r="AC74" s="27"/>
      <x:c r="AD74" s="27"/>
      <x:c r="AE74" s="27"/>
      <x:c r="AF74" s="27"/>
      <x:c r="AG74" s="27"/>
      <x:c r="AH74" s="27"/>
      <x:c r="AI74" s="27"/>
      <x:c r="AJ74" s="27"/>
      <x:c r="AK74" s="27"/>
      <x:c r="AL74" s="27"/>
      <x:c r="AM74" s="27"/>
      <x:c r="AN74" s="27"/>
      <x:c r="AO74" s="27"/>
      <x:c r="AP74" s="27"/>
      <x:c r="AQ74" s="27"/>
      <x:c r="AR74" s="27"/>
      <x:c r="AS74" s="27"/>
      <x:c r="AT74" s="27"/>
      <x:c r="AU74" s="27"/>
      <x:c r="AV74" s="27"/>
      <x:c r="AW74" s="27"/>
      <x:c r="AX74" s="27"/>
      <x:c r="AY74" s="27"/>
      <x:c r="AZ74" s="27"/>
    </x:row>
    <x:row r="75">
      <x:c r="A75" s="27"/>
      <x:c r="B75" s="27"/>
      <x:c r="C75" s="27"/>
      <x:c r="D75" s="27"/>
      <x:c r="E75" s="27"/>
      <x:c r="F75" s="27"/>
      <x:c r="G75" s="27"/>
      <x:c r="H75" s="27"/>
      <x:c r="I75" s="27"/>
      <x:c r="J75" s="27"/>
      <x:c r="K75" s="27"/>
      <x:c r="L75" s="27"/>
      <x:c r="M75" s="27"/>
      <x:c r="N75" s="27"/>
      <x:c r="O75" s="27"/>
      <x:c r="P75" s="27"/>
      <x:c r="Q75" s="27"/>
      <x:c r="R75" s="27"/>
      <x:c r="S75" s="27"/>
      <x:c r="T75" s="27"/>
      <x:c r="U75" s="27"/>
      <x:c r="V75" s="27"/>
      <x:c r="W75" s="27"/>
      <x:c r="X75" s="27"/>
      <x:c r="Y75" s="27"/>
      <x:c r="Z75" s="27"/>
      <x:c r="AA75" s="27"/>
      <x:c r="AB75" s="27"/>
      <x:c r="AC75" s="27"/>
      <x:c r="AD75" s="27"/>
      <x:c r="AE75" s="27"/>
      <x:c r="AF75" s="27"/>
      <x:c r="AG75" s="27"/>
      <x:c r="AH75" s="27"/>
      <x:c r="AI75" s="27"/>
      <x:c r="AJ75" s="27"/>
      <x:c r="AK75" s="27"/>
      <x:c r="AL75" s="27"/>
      <x:c r="AM75" s="27"/>
      <x:c r="AN75" s="27"/>
      <x:c r="AO75" s="27"/>
      <x:c r="AP75" s="27"/>
      <x:c r="AQ75" s="27"/>
      <x:c r="AR75" s="27"/>
      <x:c r="AS75" s="27"/>
      <x:c r="AT75" s="27"/>
      <x:c r="AU75" s="27"/>
      <x:c r="AV75" s="27"/>
      <x:c r="AW75" s="27"/>
      <x:c r="AX75" s="27"/>
      <x:c r="AY75" s="27"/>
      <x:c r="AZ75" s="27"/>
    </x:row>
    <x:row r="76">
      <x:c r="A76" s="27"/>
      <x:c r="B76" s="27"/>
      <x:c r="C76" s="27"/>
      <x:c r="D76" s="27"/>
      <x:c r="E76" s="27"/>
      <x:c r="F76" s="27"/>
      <x:c r="G76" s="27"/>
      <x:c r="H76" s="27"/>
      <x:c r="I76" s="27"/>
      <x:c r="J76" s="27"/>
      <x:c r="K76" s="27"/>
      <x:c r="L76" s="27"/>
      <x:c r="M76" s="27"/>
      <x:c r="N76" s="27"/>
      <x:c r="O76" s="27"/>
      <x:c r="P76" s="27"/>
      <x:c r="Q76" s="27"/>
      <x:c r="R76" s="27"/>
      <x:c r="S76" s="27"/>
      <x:c r="T76" s="27"/>
      <x:c r="U76" s="27"/>
      <x:c r="V76" s="27"/>
      <x:c r="W76" s="27"/>
      <x:c r="X76" s="27"/>
      <x:c r="Y76" s="27"/>
      <x:c r="Z76" s="27"/>
      <x:c r="AA76" s="27"/>
      <x:c r="AB76" s="27"/>
      <x:c r="AC76" s="27"/>
      <x:c r="AD76" s="27"/>
      <x:c r="AE76" s="27"/>
      <x:c r="AF76" s="27"/>
      <x:c r="AG76" s="27"/>
      <x:c r="AH76" s="27"/>
      <x:c r="AI76" s="27"/>
      <x:c r="AJ76" s="27"/>
      <x:c r="AK76" s="27"/>
      <x:c r="AL76" s="27"/>
      <x:c r="AM76" s="27"/>
      <x:c r="AN76" s="27"/>
      <x:c r="AO76" s="27"/>
      <x:c r="AP76" s="27"/>
      <x:c r="AQ76" s="27"/>
      <x:c r="AR76" s="27"/>
      <x:c r="AS76" s="27"/>
      <x:c r="AT76" s="27"/>
      <x:c r="AU76" s="27"/>
      <x:c r="AV76" s="27"/>
      <x:c r="AW76" s="27"/>
      <x:c r="AX76" s="27"/>
      <x:c r="AY76" s="27"/>
      <x:c r="AZ76" s="27"/>
    </x:row>
    <x:row r="77">
      <x:c r="A77" s="27"/>
      <x:c r="B77" s="27"/>
      <x:c r="C77" s="27"/>
      <x:c r="D77" s="27"/>
      <x:c r="E77" s="27"/>
      <x:c r="F77" s="27"/>
      <x:c r="G77" s="27"/>
      <x:c r="H77" s="27"/>
      <x:c r="I77" s="27"/>
      <x:c r="J77" s="27"/>
      <x:c r="K77" s="27"/>
      <x:c r="L77" s="27"/>
      <x:c r="M77" s="27"/>
      <x:c r="N77" s="27"/>
      <x:c r="O77" s="27"/>
      <x:c r="P77" s="27"/>
      <x:c r="Q77" s="27"/>
      <x:c r="R77" s="27"/>
      <x:c r="S77" s="27"/>
      <x:c r="T77" s="27"/>
      <x:c r="U77" s="27"/>
      <x:c r="V77" s="27"/>
      <x:c r="W77" s="27"/>
      <x:c r="X77" s="27"/>
      <x:c r="Y77" s="27"/>
      <x:c r="Z77" s="27"/>
      <x:c r="AA77" s="27"/>
      <x:c r="AB77" s="27"/>
      <x:c r="AC77" s="27"/>
      <x:c r="AD77" s="27"/>
      <x:c r="AE77" s="27"/>
      <x:c r="AF77" s="27"/>
      <x:c r="AG77" s="27"/>
      <x:c r="AH77" s="27"/>
      <x:c r="AI77" s="27"/>
      <x:c r="AJ77" s="27"/>
      <x:c r="AK77" s="27"/>
      <x:c r="AL77" s="27"/>
      <x:c r="AM77" s="27"/>
      <x:c r="AN77" s="27"/>
      <x:c r="AO77" s="27"/>
      <x:c r="AP77" s="27"/>
      <x:c r="AQ77" s="27"/>
      <x:c r="AR77" s="27"/>
      <x:c r="AS77" s="27"/>
      <x:c r="AT77" s="27"/>
      <x:c r="AU77" s="27"/>
      <x:c r="AV77" s="27"/>
      <x:c r="AW77" s="27"/>
      <x:c r="AX77" s="27"/>
      <x:c r="AY77" s="27"/>
      <x:c r="AZ77" s="27"/>
    </x:row>
    <x:row r="78">
      <x:c r="A78" s="27"/>
      <x:c r="B78" s="27"/>
      <x:c r="C78" s="27"/>
      <x:c r="D78" s="27"/>
      <x:c r="E78" s="27"/>
      <x:c r="F78" s="27"/>
      <x:c r="G78" s="27"/>
      <x:c r="H78" s="27"/>
      <x:c r="I78" s="27"/>
      <x:c r="J78" s="27"/>
      <x:c r="K78" s="27"/>
      <x:c r="L78" s="27"/>
      <x:c r="M78" s="27"/>
      <x:c r="N78" s="27"/>
      <x:c r="O78" s="27"/>
      <x:c r="P78" s="27"/>
      <x:c r="Q78" s="27"/>
      <x:c r="R78" s="27"/>
      <x:c r="S78" s="27"/>
      <x:c r="T78" s="27"/>
      <x:c r="U78" s="27"/>
      <x:c r="V78" s="27"/>
      <x:c r="W78" s="27"/>
      <x:c r="X78" s="27"/>
      <x:c r="Y78" s="27"/>
      <x:c r="Z78" s="27"/>
      <x:c r="AA78" s="27"/>
      <x:c r="AB78" s="27"/>
      <x:c r="AC78" s="27"/>
      <x:c r="AD78" s="27"/>
      <x:c r="AE78" s="27"/>
      <x:c r="AF78" s="27"/>
      <x:c r="AG78" s="27"/>
      <x:c r="AH78" s="27"/>
      <x:c r="AI78" s="27"/>
      <x:c r="AJ78" s="27"/>
      <x:c r="AK78" s="27"/>
      <x:c r="AL78" s="27"/>
      <x:c r="AM78" s="27"/>
      <x:c r="AN78" s="27"/>
      <x:c r="AO78" s="27"/>
      <x:c r="AP78" s="27"/>
      <x:c r="AQ78" s="27"/>
      <x:c r="AR78" s="27"/>
      <x:c r="AS78" s="27"/>
      <x:c r="AT78" s="27"/>
      <x:c r="AU78" s="27"/>
      <x:c r="AV78" s="27"/>
      <x:c r="AW78" s="27"/>
      <x:c r="AX78" s="27"/>
      <x:c r="AY78" s="27"/>
      <x:c r="AZ78" s="27"/>
    </x:row>
    <x:row r="79">
      <x:c r="A79" s="27"/>
      <x:c r="B79" s="27"/>
      <x:c r="C79" s="27"/>
      <x:c r="D79" s="27"/>
      <x:c r="E79" s="27"/>
      <x:c r="F79" s="27"/>
      <x:c r="G79" s="27"/>
      <x:c r="H79" s="27"/>
      <x:c r="I79" s="27"/>
      <x:c r="J79" s="27"/>
      <x:c r="K79" s="27"/>
      <x:c r="L79" s="27"/>
      <x:c r="M79" s="27"/>
      <x:c r="N79" s="27"/>
      <x:c r="O79" s="27"/>
      <x:c r="P79" s="27"/>
      <x:c r="Q79" s="27"/>
      <x:c r="R79" s="27"/>
      <x:c r="S79" s="27"/>
      <x:c r="T79" s="27"/>
      <x:c r="U79" s="27"/>
      <x:c r="V79" s="27"/>
      <x:c r="W79" s="27"/>
      <x:c r="X79" s="27"/>
      <x:c r="Y79" s="27"/>
      <x:c r="Z79" s="27"/>
      <x:c r="AA79" s="27"/>
      <x:c r="AB79" s="27"/>
      <x:c r="AC79" s="27"/>
      <x:c r="AD79" s="27"/>
      <x:c r="AE79" s="27"/>
      <x:c r="AF79" s="27"/>
      <x:c r="AG79" s="27"/>
      <x:c r="AH79" s="27"/>
      <x:c r="AI79" s="27"/>
      <x:c r="AJ79" s="27"/>
      <x:c r="AK79" s="27"/>
      <x:c r="AL79" s="27"/>
      <x:c r="AM79" s="27"/>
      <x:c r="AN79" s="27"/>
      <x:c r="AO79" s="27"/>
      <x:c r="AP79" s="27"/>
      <x:c r="AQ79" s="27"/>
      <x:c r="AR79" s="27"/>
      <x:c r="AS79" s="27"/>
      <x:c r="AT79" s="27"/>
      <x:c r="AU79" s="27"/>
      <x:c r="AV79" s="27"/>
      <x:c r="AW79" s="27"/>
      <x:c r="AX79" s="27"/>
      <x:c r="AY79" s="27"/>
      <x:c r="AZ79" s="27"/>
    </x:row>
    <x:row r="80">
      <x:c r="A80" s="27"/>
      <x:c r="B80" s="27"/>
      <x:c r="C80" s="27"/>
      <x:c r="D80" s="27"/>
      <x:c r="E80" s="27"/>
      <x:c r="F80" s="27"/>
      <x:c r="G80" s="27"/>
      <x:c r="H80" s="27"/>
      <x:c r="I80" s="27"/>
      <x:c r="J80" s="27"/>
      <x:c r="K80" s="27"/>
      <x:c r="L80" s="27"/>
      <x:c r="M80" s="27"/>
      <x:c r="N80" s="27"/>
      <x:c r="O80" s="27"/>
      <x:c r="P80" s="27"/>
      <x:c r="Q80" s="27"/>
      <x:c r="R80" s="27"/>
      <x:c r="S80" s="27"/>
      <x:c r="T80" s="27"/>
      <x:c r="U80" s="27"/>
      <x:c r="V80" s="27"/>
      <x:c r="W80" s="27"/>
      <x:c r="X80" s="27"/>
      <x:c r="Y80" s="27"/>
      <x:c r="Z80" s="27"/>
      <x:c r="AA80" s="27"/>
      <x:c r="AB80" s="27"/>
      <x:c r="AC80" s="27"/>
      <x:c r="AD80" s="27"/>
      <x:c r="AE80" s="27"/>
      <x:c r="AF80" s="27"/>
      <x:c r="AG80" s="27"/>
      <x:c r="AH80" s="27"/>
      <x:c r="AI80" s="27"/>
      <x:c r="AJ80" s="27"/>
      <x:c r="AK80" s="27"/>
      <x:c r="AL80" s="27"/>
      <x:c r="AM80" s="27"/>
      <x:c r="AN80" s="27"/>
      <x:c r="AO80" s="27"/>
      <x:c r="AP80" s="27"/>
      <x:c r="AQ80" s="27"/>
      <x:c r="AR80" s="27"/>
      <x:c r="AS80" s="27"/>
      <x:c r="AT80" s="27"/>
      <x:c r="AU80" s="27"/>
      <x:c r="AV80" s="27"/>
      <x:c r="AW80" s="27"/>
      <x:c r="AX80" s="27"/>
      <x:c r="AY80" s="27"/>
      <x:c r="AZ80" s="27"/>
    </x:row>
    <x:row r="81">
      <x:c r="A81" s="27"/>
      <x:c r="B81" s="27"/>
      <x:c r="C81" s="27"/>
      <x:c r="D81" s="27"/>
      <x:c r="E81" s="27"/>
      <x:c r="F81" s="27"/>
      <x:c r="G81" s="27"/>
      <x:c r="H81" s="27"/>
      <x:c r="I81" s="27"/>
      <x:c r="J81" s="27"/>
      <x:c r="K81" s="27"/>
      <x:c r="L81" s="27"/>
      <x:c r="M81" s="27"/>
      <x:c r="N81" s="27"/>
      <x:c r="O81" s="27"/>
      <x:c r="P81" s="27"/>
      <x:c r="Q81" s="27"/>
      <x:c r="R81" s="27"/>
      <x:c r="S81" s="27"/>
      <x:c r="T81" s="27"/>
      <x:c r="U81" s="27"/>
      <x:c r="V81" s="27"/>
      <x:c r="W81" s="27"/>
      <x:c r="X81" s="27"/>
      <x:c r="Y81" s="27"/>
      <x:c r="Z81" s="27"/>
      <x:c r="AA81" s="27"/>
      <x:c r="AB81" s="27"/>
      <x:c r="AC81" s="27"/>
      <x:c r="AD81" s="27"/>
      <x:c r="AE81" s="27"/>
      <x:c r="AF81" s="27"/>
      <x:c r="AG81" s="27"/>
      <x:c r="AH81" s="27"/>
      <x:c r="AI81" s="27"/>
      <x:c r="AJ81" s="27"/>
      <x:c r="AK81" s="27"/>
      <x:c r="AL81" s="27"/>
      <x:c r="AM81" s="27"/>
      <x:c r="AN81" s="27"/>
      <x:c r="AO81" s="27"/>
      <x:c r="AP81" s="27"/>
      <x:c r="AQ81" s="27"/>
      <x:c r="AR81" s="27"/>
      <x:c r="AS81" s="27"/>
      <x:c r="AT81" s="27"/>
      <x:c r="AU81" s="27"/>
      <x:c r="AV81" s="27"/>
      <x:c r="AW81" s="27"/>
      <x:c r="AX81" s="27"/>
      <x:c r="AY81" s="27"/>
      <x:c r="AZ81" s="27"/>
    </x:row>
    <x:row r="82">
      <x:c r="A82" s="27"/>
      <x:c r="B82" s="27"/>
      <x:c r="C82" s="27"/>
      <x:c r="D82" s="27"/>
      <x:c r="E82" s="27"/>
      <x:c r="F82" s="27"/>
      <x:c r="G82" s="27"/>
      <x:c r="H82" s="27"/>
      <x:c r="I82" s="27"/>
      <x:c r="J82" s="27"/>
      <x:c r="K82" s="27"/>
      <x:c r="L82" s="27"/>
      <x:c r="M82" s="27"/>
      <x:c r="N82" s="27"/>
      <x:c r="O82" s="27"/>
      <x:c r="P82" s="27"/>
      <x:c r="Q82" s="27"/>
      <x:c r="R82" s="27"/>
      <x:c r="S82" s="27"/>
      <x:c r="T82" s="27"/>
      <x:c r="U82" s="27"/>
      <x:c r="V82" s="27"/>
      <x:c r="W82" s="27"/>
      <x:c r="X82" s="27"/>
      <x:c r="Y82" s="27"/>
      <x:c r="Z82" s="27"/>
      <x:c r="AA82" s="27"/>
      <x:c r="AB82" s="27"/>
      <x:c r="AC82" s="27"/>
      <x:c r="AD82" s="27"/>
      <x:c r="AE82" s="27"/>
      <x:c r="AF82" s="27"/>
      <x:c r="AG82" s="27"/>
      <x:c r="AH82" s="27"/>
      <x:c r="AI82" s="27"/>
      <x:c r="AJ82" s="27"/>
      <x:c r="AK82" s="27"/>
      <x:c r="AL82" s="27"/>
      <x:c r="AM82" s="27"/>
      <x:c r="AN82" s="27"/>
      <x:c r="AO82" s="27"/>
      <x:c r="AP82" s="27"/>
      <x:c r="AQ82" s="27"/>
      <x:c r="AR82" s="27"/>
      <x:c r="AS82" s="27"/>
      <x:c r="AT82" s="27"/>
      <x:c r="AU82" s="27"/>
      <x:c r="AV82" s="27"/>
      <x:c r="AW82" s="27"/>
      <x:c r="AX82" s="27"/>
      <x:c r="AY82" s="27"/>
      <x:c r="AZ82" s="27"/>
    </x:row>
    <x:row r="83">
      <x:c r="A83" s="27"/>
      <x:c r="B83" s="27"/>
      <x:c r="C83" s="27"/>
      <x:c r="D83" s="27"/>
      <x:c r="E83" s="27"/>
      <x:c r="F83" s="27"/>
      <x:c r="G83" s="27"/>
      <x:c r="H83" s="27"/>
      <x:c r="I83" s="27"/>
      <x:c r="J83" s="27"/>
      <x:c r="K83" s="27"/>
      <x:c r="L83" s="27"/>
      <x:c r="M83" s="27"/>
      <x:c r="N83" s="27"/>
      <x:c r="O83" s="27"/>
      <x:c r="P83" s="27"/>
      <x:c r="Q83" s="27"/>
      <x:c r="R83" s="27"/>
      <x:c r="S83" s="27"/>
      <x:c r="T83" s="27"/>
      <x:c r="U83" s="27"/>
      <x:c r="V83" s="27"/>
      <x:c r="W83" s="27"/>
      <x:c r="X83" s="27"/>
      <x:c r="Y83" s="27"/>
      <x:c r="Z83" s="27"/>
      <x:c r="AA83" s="27"/>
      <x:c r="AB83" s="27"/>
      <x:c r="AC83" s="27"/>
      <x:c r="AD83" s="27"/>
      <x:c r="AE83" s="27"/>
      <x:c r="AF83" s="27"/>
      <x:c r="AG83" s="27"/>
      <x:c r="AH83" s="27"/>
      <x:c r="AI83" s="27"/>
      <x:c r="AJ83" s="27"/>
      <x:c r="AK83" s="27"/>
      <x:c r="AL83" s="27"/>
      <x:c r="AM83" s="27"/>
      <x:c r="AN83" s="27"/>
      <x:c r="AO83" s="27"/>
      <x:c r="AP83" s="27"/>
      <x:c r="AQ83" s="27"/>
      <x:c r="AR83" s="27"/>
      <x:c r="AS83" s="27"/>
      <x:c r="AT83" s="27"/>
      <x:c r="AU83" s="27"/>
      <x:c r="AV83" s="27"/>
      <x:c r="AW83" s="27"/>
      <x:c r="AX83" s="27"/>
      <x:c r="AY83" s="27"/>
      <x:c r="AZ83" s="27"/>
    </x:row>
    <x:row r="84">
      <x:c r="A84" s="27"/>
      <x:c r="B84" s="27"/>
      <x:c r="C84" s="27"/>
      <x:c r="D84" s="27"/>
      <x:c r="E84" s="27"/>
      <x:c r="F84" s="27"/>
      <x:c r="G84" s="27"/>
      <x:c r="H84" s="27"/>
      <x:c r="I84" s="27"/>
      <x:c r="J84" s="27"/>
      <x:c r="K84" s="27"/>
      <x:c r="L84" s="27"/>
      <x:c r="M84" s="27"/>
      <x:c r="N84" s="27"/>
      <x:c r="O84" s="27"/>
      <x:c r="P84" s="27"/>
      <x:c r="Q84" s="27"/>
      <x:c r="R84" s="27"/>
      <x:c r="S84" s="27"/>
      <x:c r="T84" s="27"/>
      <x:c r="U84" s="27"/>
      <x:c r="V84" s="27"/>
      <x:c r="W84" s="27"/>
      <x:c r="X84" s="27"/>
      <x:c r="Y84" s="27"/>
      <x:c r="Z84" s="27"/>
      <x:c r="AA84" s="27"/>
      <x:c r="AB84" s="27"/>
      <x:c r="AC84" s="27"/>
      <x:c r="AD84" s="27"/>
      <x:c r="AE84" s="27"/>
      <x:c r="AF84" s="27"/>
      <x:c r="AG84" s="27"/>
      <x:c r="AH84" s="27"/>
      <x:c r="AI84" s="27"/>
      <x:c r="AJ84" s="27"/>
      <x:c r="AK84" s="27"/>
      <x:c r="AL84" s="27"/>
      <x:c r="AM84" s="27"/>
      <x:c r="AN84" s="27"/>
      <x:c r="AO84" s="27"/>
      <x:c r="AP84" s="27"/>
      <x:c r="AQ84" s="27"/>
      <x:c r="AR84" s="27"/>
      <x:c r="AS84" s="27"/>
      <x:c r="AT84" s="27"/>
      <x:c r="AU84" s="27"/>
      <x:c r="AV84" s="27"/>
      <x:c r="AW84" s="27"/>
      <x:c r="AX84" s="27"/>
      <x:c r="AY84" s="27"/>
      <x:c r="AZ84" s="27"/>
    </x:row>
    <x:row r="85">
      <x:c r="A85" s="27"/>
      <x:c r="B85" s="27"/>
      <x:c r="C85" s="27"/>
      <x:c r="D85" s="27"/>
      <x:c r="E85" s="27"/>
      <x:c r="F85" s="27"/>
      <x:c r="G85" s="27"/>
      <x:c r="H85" s="27"/>
      <x:c r="I85" s="27"/>
      <x:c r="J85" s="27"/>
      <x:c r="K85" s="27"/>
      <x:c r="L85" s="27"/>
      <x:c r="M85" s="27"/>
      <x:c r="N85" s="27"/>
      <x:c r="O85" s="27"/>
      <x:c r="P85" s="27"/>
      <x:c r="Q85" s="27"/>
      <x:c r="R85" s="27"/>
      <x:c r="S85" s="27"/>
      <x:c r="T85" s="27"/>
      <x:c r="U85" s="27"/>
      <x:c r="V85" s="27"/>
      <x:c r="W85" s="27"/>
      <x:c r="X85" s="27"/>
      <x:c r="Y85" s="27"/>
      <x:c r="Z85" s="27"/>
      <x:c r="AA85" s="27"/>
      <x:c r="AB85" s="27"/>
      <x:c r="AC85" s="27"/>
      <x:c r="AD85" s="27"/>
      <x:c r="AE85" s="27"/>
      <x:c r="AF85" s="27"/>
      <x:c r="AG85" s="27"/>
      <x:c r="AH85" s="27"/>
      <x:c r="AI85" s="27"/>
      <x:c r="AJ85" s="27"/>
      <x:c r="AK85" s="27"/>
      <x:c r="AL85" s="27"/>
      <x:c r="AM85" s="27"/>
      <x:c r="AN85" s="27"/>
      <x:c r="AO85" s="27"/>
      <x:c r="AP85" s="27"/>
      <x:c r="AQ85" s="27"/>
      <x:c r="AR85" s="27"/>
      <x:c r="AS85" s="27"/>
      <x:c r="AT85" s="27"/>
      <x:c r="AU85" s="27"/>
      <x:c r="AV85" s="27"/>
      <x:c r="AW85" s="27"/>
      <x:c r="AX85" s="27"/>
      <x:c r="AY85" s="27"/>
      <x:c r="AZ85" s="27"/>
    </x:row>
    <x:row r="86">
      <x:c r="A86" s="27"/>
      <x:c r="B86" s="27"/>
      <x:c r="C86" s="27"/>
      <x:c r="D86" s="27"/>
      <x:c r="E86" s="27"/>
      <x:c r="F86" s="27"/>
      <x:c r="G86" s="27"/>
      <x:c r="H86" s="27"/>
      <x:c r="I86" s="27"/>
      <x:c r="J86" s="27"/>
      <x:c r="K86" s="27"/>
      <x:c r="L86" s="27"/>
      <x:c r="M86" s="27"/>
      <x:c r="N86" s="27"/>
      <x:c r="O86" s="27"/>
      <x:c r="P86" s="27"/>
      <x:c r="Q86" s="27"/>
      <x:c r="R86" s="27"/>
      <x:c r="S86" s="27"/>
      <x:c r="T86" s="27"/>
      <x:c r="U86" s="27"/>
      <x:c r="V86" s="27"/>
      <x:c r="W86" s="27"/>
      <x:c r="X86" s="27"/>
      <x:c r="Y86" s="27"/>
      <x:c r="Z86" s="27"/>
      <x:c r="AA86" s="27"/>
      <x:c r="AB86" s="27"/>
      <x:c r="AC86" s="27"/>
      <x:c r="AD86" s="27"/>
      <x:c r="AE86" s="27"/>
      <x:c r="AF86" s="27"/>
      <x:c r="AG86" s="27"/>
      <x:c r="AH86" s="27"/>
      <x:c r="AI86" s="27"/>
      <x:c r="AJ86" s="27"/>
      <x:c r="AK86" s="27"/>
      <x:c r="AL86" s="27"/>
      <x:c r="AM86" s="27"/>
      <x:c r="AN86" s="27"/>
      <x:c r="AO86" s="27"/>
      <x:c r="AP86" s="27"/>
      <x:c r="AQ86" s="27"/>
      <x:c r="AR86" s="27"/>
      <x:c r="AS86" s="27"/>
      <x:c r="AT86" s="27"/>
      <x:c r="AU86" s="27"/>
      <x:c r="AV86" s="27"/>
      <x:c r="AW86" s="27"/>
      <x:c r="AX86" s="27"/>
      <x:c r="AY86" s="27"/>
      <x:c r="AZ86" s="27"/>
    </x:row>
    <x:row r="87">
      <x:c r="A87" s="27"/>
      <x:c r="B87" s="27"/>
      <x:c r="C87" s="27"/>
      <x:c r="D87" s="27"/>
      <x:c r="E87" s="27"/>
      <x:c r="F87" s="27"/>
      <x:c r="G87" s="27"/>
      <x:c r="H87" s="27"/>
      <x:c r="I87" s="27"/>
      <x:c r="J87" s="27"/>
      <x:c r="K87" s="27"/>
      <x:c r="L87" s="27"/>
      <x:c r="M87" s="27"/>
      <x:c r="N87" s="27"/>
      <x:c r="O87" s="27"/>
      <x:c r="P87" s="27"/>
      <x:c r="Q87" s="27"/>
      <x:c r="R87" s="27"/>
      <x:c r="S87" s="27"/>
      <x:c r="T87" s="27"/>
      <x:c r="U87" s="27"/>
      <x:c r="V87" s="27"/>
      <x:c r="W87" s="27"/>
      <x:c r="X87" s="27"/>
      <x:c r="Y87" s="27"/>
      <x:c r="Z87" s="27"/>
      <x:c r="AA87" s="27"/>
      <x:c r="AB87" s="27"/>
      <x:c r="AC87" s="27"/>
      <x:c r="AD87" s="27"/>
      <x:c r="AE87" s="27"/>
      <x:c r="AF87" s="27"/>
      <x:c r="AG87" s="27"/>
      <x:c r="AH87" s="27"/>
      <x:c r="AI87" s="27"/>
      <x:c r="AJ87" s="27"/>
      <x:c r="AK87" s="27"/>
      <x:c r="AL87" s="27"/>
      <x:c r="AM87" s="27"/>
      <x:c r="AN87" s="27"/>
      <x:c r="AO87" s="27"/>
      <x:c r="AP87" s="27"/>
      <x:c r="AQ87" s="27"/>
      <x:c r="AR87" s="27"/>
      <x:c r="AS87" s="27"/>
      <x:c r="AT87" s="27"/>
      <x:c r="AU87" s="27"/>
      <x:c r="AV87" s="27"/>
      <x:c r="AW87" s="27"/>
      <x:c r="AX87" s="27"/>
      <x:c r="AY87" s="27"/>
      <x:c r="AZ87" s="27"/>
    </x:row>
    <x:row r="88">
      <x:c r="A88" s="27"/>
      <x:c r="B88" s="27"/>
      <x:c r="C88" s="27"/>
      <x:c r="D88" s="27"/>
      <x:c r="E88" s="27"/>
      <x:c r="F88" s="27"/>
      <x:c r="G88" s="27"/>
      <x:c r="H88" s="27"/>
      <x:c r="I88" s="27"/>
      <x:c r="J88" s="27"/>
      <x:c r="K88" s="27"/>
      <x:c r="L88" s="27"/>
      <x:c r="M88" s="27"/>
      <x:c r="N88" s="27"/>
      <x:c r="O88" s="27"/>
      <x:c r="P88" s="27"/>
      <x:c r="Q88" s="27"/>
      <x:c r="R88" s="27"/>
      <x:c r="S88" s="27"/>
      <x:c r="T88" s="27"/>
      <x:c r="U88" s="27"/>
      <x:c r="V88" s="27"/>
      <x:c r="W88" s="27"/>
      <x:c r="X88" s="27"/>
      <x:c r="Y88" s="27"/>
      <x:c r="Z88" s="27"/>
      <x:c r="AA88" s="27"/>
      <x:c r="AB88" s="27"/>
      <x:c r="AC88" s="27"/>
      <x:c r="AD88" s="27"/>
      <x:c r="AE88" s="27"/>
      <x:c r="AF88" s="27"/>
      <x:c r="AG88" s="27"/>
      <x:c r="AH88" s="27"/>
      <x:c r="AI88" s="27"/>
      <x:c r="AJ88" s="27"/>
      <x:c r="AK88" s="27"/>
      <x:c r="AL88" s="27"/>
      <x:c r="AM88" s="27"/>
      <x:c r="AN88" s="27"/>
      <x:c r="AO88" s="27"/>
      <x:c r="AP88" s="27"/>
      <x:c r="AQ88" s="27"/>
      <x:c r="AR88" s="27"/>
      <x:c r="AS88" s="27"/>
      <x:c r="AT88" s="27"/>
      <x:c r="AU88" s="27"/>
      <x:c r="AV88" s="27"/>
      <x:c r="AW88" s="27"/>
      <x:c r="AX88" s="27"/>
      <x:c r="AY88" s="27"/>
      <x:c r="AZ88" s="27"/>
    </x:row>
    <x:row r="89">
      <x:c r="A89" s="27"/>
      <x:c r="B89" s="27"/>
      <x:c r="C89" s="27"/>
      <x:c r="D89" s="27"/>
      <x:c r="E89" s="27"/>
      <x:c r="F89" s="27"/>
      <x:c r="G89" s="27"/>
      <x:c r="H89" s="27"/>
      <x:c r="I89" s="27"/>
      <x:c r="J89" s="27"/>
      <x:c r="K89" s="27"/>
      <x:c r="L89" s="27"/>
      <x:c r="M89" s="27"/>
      <x:c r="N89" s="27"/>
      <x:c r="O89" s="27"/>
      <x:c r="P89" s="27"/>
      <x:c r="Q89" s="27"/>
      <x:c r="R89" s="27"/>
      <x:c r="S89" s="27"/>
      <x:c r="T89" s="27"/>
      <x:c r="U89" s="27"/>
      <x:c r="V89" s="27"/>
      <x:c r="W89" s="27"/>
      <x:c r="X89" s="27"/>
      <x:c r="Y89" s="27"/>
      <x:c r="Z89" s="27"/>
      <x:c r="AA89" s="27"/>
      <x:c r="AB89" s="27"/>
      <x:c r="AC89" s="27"/>
      <x:c r="AD89" s="27"/>
      <x:c r="AE89" s="27"/>
      <x:c r="AF89" s="27"/>
      <x:c r="AG89" s="27"/>
      <x:c r="AH89" s="27"/>
      <x:c r="AI89" s="27"/>
      <x:c r="AJ89" s="27"/>
      <x:c r="AK89" s="27"/>
      <x:c r="AL89" s="27"/>
      <x:c r="AM89" s="27"/>
      <x:c r="AN89" s="27"/>
      <x:c r="AO89" s="27"/>
      <x:c r="AP89" s="27"/>
      <x:c r="AQ89" s="27"/>
      <x:c r="AR89" s="27"/>
      <x:c r="AS89" s="27"/>
      <x:c r="AT89" s="27"/>
      <x:c r="AU89" s="27"/>
      <x:c r="AV89" s="27"/>
      <x:c r="AW89" s="27"/>
      <x:c r="AX89" s="27"/>
      <x:c r="AY89" s="27"/>
      <x:c r="AZ89" s="27"/>
    </x:row>
    <x:row r="90">
      <x:c r="A90" s="27"/>
      <x:c r="B90" s="27"/>
      <x:c r="C90" s="27"/>
      <x:c r="D90" s="27"/>
      <x:c r="E90" s="27"/>
      <x:c r="F90" s="27"/>
      <x:c r="G90" s="27"/>
      <x:c r="H90" s="27"/>
      <x:c r="I90" s="27"/>
      <x:c r="J90" s="27"/>
      <x:c r="K90" s="27"/>
      <x:c r="L90" s="27"/>
      <x:c r="M90" s="27"/>
      <x:c r="N90" s="27"/>
      <x:c r="O90" s="27"/>
      <x:c r="P90" s="27"/>
      <x:c r="Q90" s="27"/>
      <x:c r="R90" s="27"/>
      <x:c r="S90" s="27"/>
      <x:c r="T90" s="27"/>
      <x:c r="U90" s="27"/>
      <x:c r="V90" s="27"/>
      <x:c r="W90" s="27"/>
      <x:c r="X90" s="27"/>
      <x:c r="Y90" s="27"/>
      <x:c r="Z90" s="27"/>
      <x:c r="AA90" s="27"/>
      <x:c r="AB90" s="27"/>
      <x:c r="AC90" s="27"/>
      <x:c r="AD90" s="27"/>
      <x:c r="AE90" s="27"/>
      <x:c r="AF90" s="27"/>
      <x:c r="AG90" s="27"/>
      <x:c r="AH90" s="27"/>
      <x:c r="AI90" s="27"/>
      <x:c r="AJ90" s="27"/>
      <x:c r="AK90" s="27"/>
      <x:c r="AL90" s="27"/>
      <x:c r="AM90" s="27"/>
      <x:c r="AN90" s="27"/>
      <x:c r="AO90" s="27"/>
      <x:c r="AP90" s="27"/>
      <x:c r="AQ90" s="27"/>
      <x:c r="AR90" s="27"/>
      <x:c r="AS90" s="27"/>
      <x:c r="AT90" s="27"/>
      <x:c r="AU90" s="27"/>
      <x:c r="AV90" s="27"/>
      <x:c r="AW90" s="27"/>
      <x:c r="AX90" s="27"/>
      <x:c r="AY90" s="27"/>
      <x:c r="AZ90" s="27"/>
    </x:row>
    <x:row r="91">
      <x:c r="A91" s="27"/>
      <x:c r="B91" s="27"/>
      <x:c r="C91" s="27"/>
      <x:c r="D91" s="27"/>
      <x:c r="E91" s="27"/>
      <x:c r="F91" s="27"/>
      <x:c r="G91" s="27"/>
      <x:c r="H91" s="27"/>
      <x:c r="I91" s="27"/>
      <x:c r="J91" s="27"/>
      <x:c r="K91" s="27"/>
      <x:c r="L91" s="27"/>
      <x:c r="M91" s="27"/>
      <x:c r="N91" s="27"/>
      <x:c r="O91" s="27"/>
      <x:c r="P91" s="27"/>
      <x:c r="Q91" s="27"/>
      <x:c r="R91" s="27"/>
      <x:c r="S91" s="27"/>
      <x:c r="T91" s="27"/>
      <x:c r="U91" s="27"/>
      <x:c r="V91" s="27"/>
      <x:c r="W91" s="27"/>
      <x:c r="X91" s="27"/>
      <x:c r="Y91" s="27"/>
      <x:c r="Z91" s="27"/>
      <x:c r="AA91" s="27"/>
      <x:c r="AB91" s="27"/>
      <x:c r="AC91" s="27"/>
      <x:c r="AD91" s="27"/>
      <x:c r="AE91" s="27"/>
      <x:c r="AF91" s="27"/>
      <x:c r="AG91" s="27"/>
      <x:c r="AH91" s="27"/>
      <x:c r="AI91" s="27"/>
      <x:c r="AJ91" s="27"/>
      <x:c r="AK91" s="27"/>
      <x:c r="AL91" s="27"/>
      <x:c r="AM91" s="27"/>
      <x:c r="AN91" s="27"/>
      <x:c r="AO91" s="27"/>
      <x:c r="AP91" s="27"/>
      <x:c r="AQ91" s="27"/>
      <x:c r="AR91" s="27"/>
      <x:c r="AS91" s="27"/>
      <x:c r="AT91" s="27"/>
      <x:c r="AU91" s="27"/>
      <x:c r="AV91" s="27"/>
      <x:c r="AW91" s="27"/>
      <x:c r="AX91" s="27"/>
      <x:c r="AY91" s="27"/>
      <x:c r="AZ91" s="27"/>
    </x:row>
    <x:row r="92">
      <x:c r="A92" s="27"/>
      <x:c r="B92" s="27"/>
      <x:c r="C92" s="27"/>
      <x:c r="D92" s="27"/>
      <x:c r="E92" s="27"/>
      <x:c r="F92" s="27"/>
      <x:c r="G92" s="27"/>
      <x:c r="H92" s="27"/>
      <x:c r="I92" s="27"/>
      <x:c r="J92" s="27"/>
      <x:c r="K92" s="27"/>
      <x:c r="L92" s="27"/>
      <x:c r="M92" s="27"/>
      <x:c r="N92" s="27"/>
      <x:c r="O92" s="27"/>
      <x:c r="P92" s="27"/>
      <x:c r="Q92" s="27"/>
      <x:c r="R92" s="27"/>
      <x:c r="S92" s="27"/>
      <x:c r="T92" s="27"/>
      <x:c r="U92" s="27"/>
      <x:c r="V92" s="27"/>
      <x:c r="W92" s="27"/>
      <x:c r="X92" s="27"/>
      <x:c r="Y92" s="27"/>
      <x:c r="Z92" s="27"/>
      <x:c r="AA92" s="27"/>
      <x:c r="AB92" s="27"/>
      <x:c r="AC92" s="27"/>
      <x:c r="AD92" s="27"/>
      <x:c r="AE92" s="27"/>
      <x:c r="AF92" s="27"/>
      <x:c r="AG92" s="27"/>
      <x:c r="AH92" s="27"/>
      <x:c r="AI92" s="27"/>
      <x:c r="AJ92" s="27"/>
      <x:c r="AK92" s="27"/>
      <x:c r="AL92" s="27"/>
      <x:c r="AM92" s="27"/>
      <x:c r="AN92" s="27"/>
      <x:c r="AO92" s="27"/>
      <x:c r="AP92" s="27"/>
      <x:c r="AQ92" s="27"/>
      <x:c r="AR92" s="27"/>
      <x:c r="AS92" s="27"/>
      <x:c r="AT92" s="27"/>
      <x:c r="AU92" s="27"/>
      <x:c r="AV92" s="27"/>
      <x:c r="AW92" s="27"/>
      <x:c r="AX92" s="27"/>
      <x:c r="AY92" s="27"/>
      <x:c r="AZ92" s="27"/>
    </x:row>
    <x:row r="93">
      <x:c r="A93" s="27"/>
      <x:c r="B93" s="27"/>
      <x:c r="C93" s="27"/>
      <x:c r="D93" s="27"/>
      <x:c r="E93" s="27"/>
      <x:c r="F93" s="27"/>
      <x:c r="G93" s="27"/>
      <x:c r="H93" s="27"/>
      <x:c r="I93" s="27"/>
      <x:c r="J93" s="27"/>
      <x:c r="K93" s="27"/>
      <x:c r="L93" s="27"/>
      <x:c r="M93" s="27"/>
      <x:c r="N93" s="27"/>
      <x:c r="O93" s="27"/>
      <x:c r="P93" s="27"/>
      <x:c r="Q93" s="27"/>
      <x:c r="R93" s="27"/>
      <x:c r="S93" s="27"/>
      <x:c r="T93" s="27"/>
      <x:c r="U93" s="27"/>
      <x:c r="V93" s="27"/>
      <x:c r="W93" s="27"/>
      <x:c r="X93" s="27"/>
      <x:c r="Y93" s="27"/>
      <x:c r="Z93" s="27"/>
      <x:c r="AA93" s="27"/>
      <x:c r="AB93" s="27"/>
      <x:c r="AC93" s="27"/>
      <x:c r="AD93" s="27"/>
      <x:c r="AE93" s="27"/>
      <x:c r="AF93" s="27"/>
      <x:c r="AG93" s="27"/>
      <x:c r="AH93" s="27"/>
      <x:c r="AI93" s="27"/>
      <x:c r="AJ93" s="27"/>
      <x:c r="AK93" s="27"/>
      <x:c r="AL93" s="27"/>
      <x:c r="AM93" s="27"/>
      <x:c r="AN93" s="27"/>
      <x:c r="AO93" s="27"/>
      <x:c r="AP93" s="27"/>
      <x:c r="AQ93" s="27"/>
      <x:c r="AR93" s="27"/>
      <x:c r="AS93" s="27"/>
      <x:c r="AT93" s="27"/>
      <x:c r="AU93" s="27"/>
      <x:c r="AV93" s="27"/>
      <x:c r="AW93" s="27"/>
      <x:c r="AX93" s="27"/>
      <x:c r="AY93" s="27"/>
      <x:c r="AZ93" s="27"/>
    </x:row>
    <x:row r="94">
      <x:c r="A94" s="27"/>
      <x:c r="B94" s="27"/>
      <x:c r="C94" s="27"/>
      <x:c r="D94" s="27"/>
      <x:c r="E94" s="27"/>
      <x:c r="F94" s="27"/>
      <x:c r="G94" s="27"/>
      <x:c r="H94" s="27"/>
      <x:c r="I94" s="27"/>
      <x:c r="J94" s="27"/>
      <x:c r="K94" s="27"/>
      <x:c r="L94" s="27"/>
      <x:c r="M94" s="27"/>
      <x:c r="N94" s="27"/>
      <x:c r="O94" s="27"/>
      <x:c r="P94" s="27"/>
      <x:c r="Q94" s="27"/>
      <x:c r="R94" s="27"/>
      <x:c r="S94" s="27"/>
      <x:c r="T94" s="27"/>
      <x:c r="U94" s="27"/>
      <x:c r="V94" s="27"/>
      <x:c r="W94" s="27"/>
      <x:c r="X94" s="27"/>
      <x:c r="Y94" s="27"/>
      <x:c r="Z94" s="27"/>
      <x:c r="AA94" s="27"/>
      <x:c r="AB94" s="27"/>
      <x:c r="AC94" s="27"/>
      <x:c r="AD94" s="27"/>
      <x:c r="AE94" s="27"/>
      <x:c r="AF94" s="27"/>
      <x:c r="AG94" s="27"/>
      <x:c r="AH94" s="27"/>
      <x:c r="AI94" s="27"/>
      <x:c r="AJ94" s="27"/>
      <x:c r="AK94" s="27"/>
      <x:c r="AL94" s="27"/>
      <x:c r="AM94" s="27"/>
      <x:c r="AN94" s="27"/>
      <x:c r="AO94" s="27"/>
      <x:c r="AP94" s="27"/>
      <x:c r="AQ94" s="27"/>
      <x:c r="AR94" s="27"/>
      <x:c r="AS94" s="27"/>
      <x:c r="AT94" s="27"/>
      <x:c r="AU94" s="27"/>
      <x:c r="AV94" s="27"/>
      <x:c r="AW94" s="27"/>
      <x:c r="AX94" s="27"/>
      <x:c r="AY94" s="27"/>
      <x:c r="AZ94" s="27"/>
    </x:row>
    <x:row r="95">
      <x:c r="A95" s="27"/>
      <x:c r="B95" s="27"/>
      <x:c r="C95" s="27"/>
      <x:c r="D95" s="27"/>
      <x:c r="E95" s="27"/>
      <x:c r="F95" s="27"/>
      <x:c r="G95" s="27"/>
      <x:c r="H95" s="27"/>
      <x:c r="I95" s="27"/>
      <x:c r="J95" s="27"/>
      <x:c r="K95" s="27"/>
      <x:c r="L95" s="27"/>
      <x:c r="M95" s="27"/>
      <x:c r="N95" s="27"/>
      <x:c r="O95" s="27"/>
      <x:c r="P95" s="27"/>
      <x:c r="Q95" s="27"/>
      <x:c r="R95" s="27"/>
      <x:c r="S95" s="27"/>
      <x:c r="T95" s="27"/>
      <x:c r="U95" s="27"/>
      <x:c r="V95" s="27"/>
      <x:c r="W95" s="27"/>
      <x:c r="X95" s="27"/>
      <x:c r="Y95" s="27"/>
      <x:c r="Z95" s="27"/>
      <x:c r="AA95" s="27"/>
      <x:c r="AB95" s="27"/>
      <x:c r="AC95" s="27"/>
      <x:c r="AD95" s="27"/>
      <x:c r="AE95" s="27"/>
      <x:c r="AF95" s="27"/>
      <x:c r="AG95" s="27"/>
      <x:c r="AH95" s="27"/>
      <x:c r="AI95" s="27"/>
      <x:c r="AJ95" s="27"/>
      <x:c r="AK95" s="27"/>
      <x:c r="AL95" s="27"/>
      <x:c r="AM95" s="27"/>
      <x:c r="AN95" s="27"/>
      <x:c r="AO95" s="27"/>
      <x:c r="AP95" s="27"/>
      <x:c r="AQ95" s="27"/>
      <x:c r="AR95" s="27"/>
      <x:c r="AS95" s="27"/>
      <x:c r="AT95" s="27"/>
      <x:c r="AU95" s="27"/>
      <x:c r="AV95" s="27"/>
      <x:c r="AW95" s="27"/>
      <x:c r="AX95" s="27"/>
      <x:c r="AY95" s="27"/>
      <x:c r="AZ95" s="27"/>
    </x:row>
    <x:row r="96">
      <x:c r="A96" s="27"/>
      <x:c r="B96" s="27"/>
      <x:c r="C96" s="27"/>
      <x:c r="D96" s="27"/>
      <x:c r="E96" s="27"/>
      <x:c r="F96" s="27"/>
      <x:c r="G96" s="27"/>
      <x:c r="H96" s="27"/>
      <x:c r="I96" s="27"/>
      <x:c r="J96" s="27"/>
      <x:c r="K96" s="27"/>
      <x:c r="L96" s="27"/>
      <x:c r="M96" s="27"/>
      <x:c r="N96" s="27"/>
      <x:c r="O96" s="27"/>
      <x:c r="P96" s="27"/>
      <x:c r="Q96" s="27"/>
      <x:c r="R96" s="27"/>
      <x:c r="S96" s="27"/>
      <x:c r="T96" s="27"/>
      <x:c r="U96" s="27"/>
      <x:c r="V96" s="27"/>
      <x:c r="W96" s="27"/>
      <x:c r="X96" s="27"/>
      <x:c r="Y96" s="27"/>
      <x:c r="Z96" s="27"/>
      <x:c r="AA96" s="27"/>
      <x:c r="AB96" s="27"/>
      <x:c r="AC96" s="27"/>
      <x:c r="AD96" s="27"/>
      <x:c r="AE96" s="27"/>
      <x:c r="AF96" s="27"/>
      <x:c r="AG96" s="27"/>
      <x:c r="AH96" s="27"/>
      <x:c r="AI96" s="27"/>
      <x:c r="AJ96" s="27"/>
      <x:c r="AK96" s="27"/>
      <x:c r="AL96" s="27"/>
      <x:c r="AM96" s="27"/>
      <x:c r="AN96" s="27"/>
      <x:c r="AO96" s="27"/>
      <x:c r="AP96" s="27"/>
      <x:c r="AQ96" s="27"/>
      <x:c r="AR96" s="27"/>
      <x:c r="AS96" s="27"/>
      <x:c r="AT96" s="27"/>
      <x:c r="AU96" s="27"/>
      <x:c r="AV96" s="27"/>
      <x:c r="AW96" s="27"/>
      <x:c r="AX96" s="27"/>
      <x:c r="AY96" s="27"/>
      <x:c r="AZ96" s="27"/>
    </x:row>
    <x:row r="97">
      <x:c r="A97" s="27"/>
      <x:c r="B97" s="27"/>
      <x:c r="C97" s="27"/>
      <x:c r="D97" s="27"/>
      <x:c r="E97" s="27"/>
      <x:c r="F97" s="27"/>
      <x:c r="G97" s="27"/>
      <x:c r="H97" s="27"/>
      <x:c r="I97" s="27"/>
      <x:c r="J97" s="27"/>
      <x:c r="K97" s="27"/>
      <x:c r="L97" s="27"/>
      <x:c r="M97" s="27"/>
      <x:c r="N97" s="27"/>
      <x:c r="O97" s="27"/>
      <x:c r="P97" s="27"/>
      <x:c r="Q97" s="27"/>
      <x:c r="R97" s="27"/>
      <x:c r="S97" s="27"/>
      <x:c r="T97" s="27"/>
      <x:c r="U97" s="27"/>
      <x:c r="V97" s="27"/>
      <x:c r="W97" s="27"/>
      <x:c r="X97" s="27"/>
      <x:c r="Y97" s="27"/>
      <x:c r="Z97" s="27"/>
      <x:c r="AA97" s="27"/>
      <x:c r="AB97" s="27"/>
      <x:c r="AC97" s="27"/>
      <x:c r="AD97" s="27"/>
      <x:c r="AE97" s="27"/>
      <x:c r="AF97" s="27"/>
      <x:c r="AG97" s="27"/>
      <x:c r="AH97" s="27"/>
      <x:c r="AI97" s="27"/>
      <x:c r="AJ97" s="27"/>
      <x:c r="AK97" s="27"/>
      <x:c r="AL97" s="27"/>
      <x:c r="AM97" s="27"/>
      <x:c r="AN97" s="27"/>
      <x:c r="AO97" s="27"/>
      <x:c r="AP97" s="27"/>
      <x:c r="AQ97" s="27"/>
      <x:c r="AR97" s="27"/>
      <x:c r="AS97" s="27"/>
      <x:c r="AT97" s="27"/>
      <x:c r="AU97" s="27"/>
      <x:c r="AV97" s="27"/>
      <x:c r="AW97" s="27"/>
      <x:c r="AX97" s="27"/>
      <x:c r="AY97" s="27"/>
      <x:c r="AZ97" s="27"/>
    </x:row>
    <x:row r="98">
      <x:c r="A98" s="27"/>
      <x:c r="B98" s="27"/>
      <x:c r="C98" s="27"/>
      <x:c r="D98" s="27"/>
      <x:c r="E98" s="27"/>
      <x:c r="F98" s="27"/>
      <x:c r="G98" s="27"/>
      <x:c r="H98" s="27"/>
      <x:c r="I98" s="27"/>
      <x:c r="J98" s="27"/>
      <x:c r="K98" s="27"/>
      <x:c r="L98" s="27"/>
      <x:c r="M98" s="27"/>
      <x:c r="N98" s="27"/>
      <x:c r="O98" s="27"/>
      <x:c r="P98" s="27"/>
      <x:c r="Q98" s="27"/>
      <x:c r="R98" s="27"/>
      <x:c r="S98" s="27"/>
      <x:c r="T98" s="27"/>
      <x:c r="U98" s="27"/>
      <x:c r="V98" s="27"/>
      <x:c r="W98" s="27"/>
      <x:c r="X98" s="27"/>
      <x:c r="Y98" s="27"/>
      <x:c r="Z98" s="27"/>
      <x:c r="AA98" s="27"/>
      <x:c r="AB98" s="27"/>
      <x:c r="AC98" s="27"/>
      <x:c r="AD98" s="27"/>
      <x:c r="AE98" s="27"/>
      <x:c r="AF98" s="27"/>
      <x:c r="AG98" s="27"/>
      <x:c r="AH98" s="27"/>
      <x:c r="AI98" s="27"/>
      <x:c r="AJ98" s="27"/>
      <x:c r="AK98" s="27"/>
      <x:c r="AL98" s="27"/>
      <x:c r="AM98" s="27"/>
      <x:c r="AN98" s="27"/>
      <x:c r="AO98" s="27"/>
      <x:c r="AP98" s="27"/>
      <x:c r="AQ98" s="27"/>
      <x:c r="AR98" s="27"/>
      <x:c r="AS98" s="27"/>
      <x:c r="AT98" s="27"/>
      <x:c r="AU98" s="27"/>
      <x:c r="AV98" s="27"/>
      <x:c r="AW98" s="27"/>
      <x:c r="AX98" s="27"/>
      <x:c r="AY98" s="27"/>
      <x:c r="AZ98" s="27"/>
    </x:row>
    <x:row r="99">
      <x:c r="A99" s="27"/>
      <x:c r="B99" s="27"/>
      <x:c r="C99" s="27"/>
      <x:c r="D99" s="27"/>
      <x:c r="E99" s="27"/>
      <x:c r="F99" s="27"/>
      <x:c r="G99" s="27"/>
      <x:c r="H99" s="27"/>
      <x:c r="I99" s="27"/>
      <x:c r="J99" s="27"/>
      <x:c r="K99" s="27"/>
      <x:c r="L99" s="27"/>
      <x:c r="M99" s="27"/>
      <x:c r="N99" s="27"/>
      <x:c r="O99" s="27"/>
      <x:c r="P99" s="27"/>
      <x:c r="Q99" s="27"/>
      <x:c r="R99" s="27"/>
      <x:c r="S99" s="27"/>
      <x:c r="T99" s="27"/>
      <x:c r="U99" s="27"/>
      <x:c r="V99" s="27"/>
      <x:c r="W99" s="27"/>
      <x:c r="X99" s="27"/>
      <x:c r="Y99" s="27"/>
      <x:c r="Z99" s="27"/>
      <x:c r="AA99" s="27"/>
      <x:c r="AB99" s="27"/>
      <x:c r="AC99" s="27"/>
      <x:c r="AD99" s="27"/>
      <x:c r="AE99" s="27"/>
      <x:c r="AF99" s="27"/>
      <x:c r="AG99" s="27"/>
      <x:c r="AH99" s="27"/>
      <x:c r="AI99" s="27"/>
      <x:c r="AJ99" s="27"/>
      <x:c r="AK99" s="27"/>
      <x:c r="AL99" s="27"/>
      <x:c r="AM99" s="27"/>
      <x:c r="AN99" s="27"/>
      <x:c r="AO99" s="27"/>
      <x:c r="AP99" s="27"/>
      <x:c r="AQ99" s="27"/>
      <x:c r="AR99" s="27"/>
      <x:c r="AS99" s="27"/>
      <x:c r="AT99" s="27"/>
      <x:c r="AU99" s="27"/>
      <x:c r="AV99" s="27"/>
      <x:c r="AW99" s="27"/>
      <x:c r="AX99" s="27"/>
      <x:c r="AY99" s="27"/>
      <x:c r="AZ99" s="27"/>
    </x:row>
    <x:row r="100">
      <x:c r="A100" s="27"/>
      <x:c r="B100" s="27"/>
      <x:c r="C100" s="27"/>
      <x:c r="D100" s="27"/>
      <x:c r="E100" s="27"/>
      <x:c r="F100" s="27"/>
      <x:c r="G100" s="27"/>
      <x:c r="H100" s="27"/>
      <x:c r="I100" s="27"/>
      <x:c r="J100" s="27"/>
      <x:c r="K100" s="27"/>
      <x:c r="L100" s="27"/>
      <x:c r="M100" s="27"/>
      <x:c r="N100" s="27"/>
      <x:c r="O100" s="27"/>
      <x:c r="P100" s="27"/>
      <x:c r="Q100" s="27"/>
      <x:c r="R100" s="27"/>
      <x:c r="S100" s="27"/>
      <x:c r="T100" s="27"/>
      <x:c r="U100" s="27"/>
      <x:c r="V100" s="27"/>
      <x:c r="W100" s="27"/>
      <x:c r="X100" s="27"/>
      <x:c r="Y100" s="27"/>
      <x:c r="Z100" s="27"/>
      <x:c r="AA100" s="27"/>
      <x:c r="AB100" s="27"/>
      <x:c r="AC100" s="27"/>
      <x:c r="AD100" s="27"/>
      <x:c r="AE100" s="27"/>
      <x:c r="AF100" s="27"/>
      <x:c r="AG100" s="27"/>
      <x:c r="AH100" s="27"/>
      <x:c r="AI100" s="27"/>
      <x:c r="AJ100" s="27"/>
      <x:c r="AK100" s="27"/>
      <x:c r="AL100" s="27"/>
      <x:c r="AM100" s="27"/>
      <x:c r="AN100" s="27"/>
      <x:c r="AO100" s="27"/>
      <x:c r="AP100" s="27"/>
      <x:c r="AQ100" s="27"/>
      <x:c r="AR100" s="27"/>
      <x:c r="AS100" s="27"/>
      <x:c r="AT100" s="27"/>
      <x:c r="AU100" s="27"/>
      <x:c r="AV100" s="27"/>
      <x:c r="AW100" s="27"/>
      <x:c r="AX100" s="27"/>
      <x:c r="AY100" s="27"/>
      <x:c r="AZ100" s="27"/>
    </x:row>
    <x:row r="101">
      <x:c r="A101" s="27"/>
      <x:c r="B101" s="27"/>
      <x:c r="C101" s="27"/>
      <x:c r="D101" s="27"/>
      <x:c r="E101" s="27"/>
      <x:c r="F101" s="27"/>
      <x:c r="G101" s="27"/>
      <x:c r="H101" s="27"/>
      <x:c r="I101" s="27"/>
      <x:c r="J101" s="27"/>
      <x:c r="K101" s="27"/>
      <x:c r="L101" s="27"/>
      <x:c r="M101" s="27"/>
      <x:c r="N101" s="27"/>
      <x:c r="O101" s="27"/>
      <x:c r="P101" s="27"/>
      <x:c r="Q101" s="27"/>
      <x:c r="R101" s="27"/>
      <x:c r="S101" s="27"/>
      <x:c r="T101" s="27"/>
      <x:c r="U101" s="27"/>
      <x:c r="V101" s="27"/>
      <x:c r="W101" s="27"/>
      <x:c r="X101" s="27"/>
      <x:c r="Y101" s="27"/>
      <x:c r="Z101" s="27"/>
      <x:c r="AA101" s="27"/>
      <x:c r="AB101" s="27"/>
      <x:c r="AC101" s="27"/>
      <x:c r="AD101" s="27"/>
      <x:c r="AE101" s="27"/>
      <x:c r="AF101" s="27"/>
      <x:c r="AG101" s="27"/>
      <x:c r="AH101" s="27"/>
      <x:c r="AI101" s="27"/>
      <x:c r="AJ101" s="27"/>
      <x:c r="AK101" s="27"/>
      <x:c r="AL101" s="27"/>
      <x:c r="AM101" s="27"/>
      <x:c r="AN101" s="27"/>
      <x:c r="AO101" s="27"/>
      <x:c r="AP101" s="27"/>
      <x:c r="AQ101" s="27"/>
      <x:c r="AR101" s="27"/>
      <x:c r="AS101" s="27"/>
      <x:c r="AT101" s="27"/>
      <x:c r="AU101" s="27"/>
      <x:c r="AV101" s="27"/>
      <x:c r="AW101" s="27"/>
      <x:c r="AX101" s="27"/>
      <x:c r="AY101" s="27"/>
      <x:c r="AZ101" s="27"/>
    </x:row>
    <x:row r="102">
      <x:c r="A102" s="27"/>
      <x:c r="B102" s="27"/>
      <x:c r="C102" s="27"/>
      <x:c r="D102" s="27"/>
      <x:c r="E102" s="27"/>
      <x:c r="F102" s="27"/>
      <x:c r="G102" s="27"/>
      <x:c r="H102" s="27"/>
      <x:c r="I102" s="27"/>
      <x:c r="J102" s="27"/>
      <x:c r="K102" s="27"/>
      <x:c r="L102" s="27"/>
      <x:c r="M102" s="27"/>
      <x:c r="N102" s="27"/>
      <x:c r="O102" s="27"/>
      <x:c r="P102" s="27"/>
      <x:c r="Q102" s="27"/>
      <x:c r="R102" s="27"/>
      <x:c r="S102" s="27"/>
      <x:c r="T102" s="27"/>
      <x:c r="U102" s="27"/>
      <x:c r="V102" s="27"/>
      <x:c r="W102" s="27"/>
      <x:c r="X102" s="27"/>
      <x:c r="Y102" s="27"/>
      <x:c r="Z102" s="27"/>
      <x:c r="AA102" s="27"/>
      <x:c r="AB102" s="27"/>
      <x:c r="AC102" s="27"/>
      <x:c r="AD102" s="27"/>
      <x:c r="AE102" s="27"/>
      <x:c r="AF102" s="27"/>
      <x:c r="AG102" s="27"/>
      <x:c r="AH102" s="27"/>
      <x:c r="AI102" s="27"/>
      <x:c r="AJ102" s="27"/>
      <x:c r="AK102" s="27"/>
      <x:c r="AL102" s="27"/>
      <x:c r="AM102" s="27"/>
      <x:c r="AN102" s="27"/>
      <x:c r="AO102" s="27"/>
      <x:c r="AP102" s="27"/>
      <x:c r="AQ102" s="27"/>
      <x:c r="AR102" s="27"/>
      <x:c r="AS102" s="27"/>
      <x:c r="AT102" s="27"/>
      <x:c r="AU102" s="27"/>
      <x:c r="AV102" s="27"/>
      <x:c r="AW102" s="27"/>
      <x:c r="AX102" s="27"/>
      <x:c r="AY102" s="27"/>
      <x:c r="AZ102" s="27"/>
    </x:row>
    <x:row r="103">
      <x:c r="A103" s="27"/>
      <x:c r="B103" s="27"/>
      <x:c r="C103" s="27"/>
      <x:c r="D103" s="27"/>
      <x:c r="E103" s="27"/>
      <x:c r="F103" s="27"/>
      <x:c r="G103" s="27"/>
      <x:c r="H103" s="27"/>
      <x:c r="I103" s="27"/>
      <x:c r="J103" s="27"/>
      <x:c r="K103" s="27"/>
      <x:c r="L103" s="27"/>
      <x:c r="M103" s="27"/>
      <x:c r="N103" s="27"/>
      <x:c r="O103" s="27"/>
      <x:c r="P103" s="27"/>
      <x:c r="Q103" s="27"/>
      <x:c r="R103" s="27"/>
      <x:c r="S103" s="27"/>
      <x:c r="T103" s="27"/>
      <x:c r="U103" s="27"/>
      <x:c r="V103" s="27"/>
      <x:c r="W103" s="27"/>
      <x:c r="X103" s="27"/>
      <x:c r="Y103" s="27"/>
      <x:c r="Z103" s="27"/>
      <x:c r="AA103" s="27"/>
      <x:c r="AB103" s="27"/>
      <x:c r="AC103" s="27"/>
      <x:c r="AD103" s="27"/>
      <x:c r="AE103" s="27"/>
      <x:c r="AF103" s="27"/>
      <x:c r="AG103" s="27"/>
      <x:c r="AH103" s="27"/>
      <x:c r="AI103" s="27"/>
      <x:c r="AJ103" s="27"/>
      <x:c r="AK103" s="27"/>
      <x:c r="AL103" s="27"/>
      <x:c r="AM103" s="27"/>
      <x:c r="AN103" s="27"/>
      <x:c r="AO103" s="27"/>
      <x:c r="AP103" s="27"/>
      <x:c r="AQ103" s="27"/>
      <x:c r="AR103" s="27"/>
      <x:c r="AS103" s="27"/>
      <x:c r="AT103" s="27"/>
      <x:c r="AU103" s="27"/>
      <x:c r="AV103" s="27"/>
      <x:c r="AW103" s="27"/>
      <x:c r="AX103" s="27"/>
      <x:c r="AY103" s="27"/>
      <x:c r="AZ103" s="27"/>
    </x:row>
    <x:row r="104">
      <x:c r="A104" s="27"/>
      <x:c r="B104" s="27"/>
      <x:c r="C104" s="27"/>
      <x:c r="D104" s="27"/>
      <x:c r="E104" s="27"/>
      <x:c r="F104" s="27"/>
      <x:c r="G104" s="27"/>
      <x:c r="H104" s="27"/>
      <x:c r="I104" s="27"/>
      <x:c r="J104" s="27"/>
      <x:c r="K104" s="27"/>
      <x:c r="L104" s="27"/>
      <x:c r="M104" s="27"/>
      <x:c r="N104" s="27"/>
      <x:c r="O104" s="27"/>
      <x:c r="P104" s="27"/>
      <x:c r="Q104" s="27"/>
      <x:c r="R104" s="27"/>
      <x:c r="S104" s="27"/>
      <x:c r="T104" s="27"/>
      <x:c r="U104" s="27"/>
      <x:c r="V104" s="27"/>
      <x:c r="W104" s="27"/>
      <x:c r="X104" s="27"/>
      <x:c r="Y104" s="27"/>
      <x:c r="Z104" s="27"/>
      <x:c r="AA104" s="27"/>
      <x:c r="AB104" s="27"/>
      <x:c r="AC104" s="27"/>
      <x:c r="AD104" s="27"/>
      <x:c r="AE104" s="27"/>
      <x:c r="AF104" s="27"/>
      <x:c r="AG104" s="27"/>
      <x:c r="AH104" s="27"/>
      <x:c r="AI104" s="27"/>
      <x:c r="AJ104" s="27"/>
      <x:c r="AK104" s="27"/>
      <x:c r="AL104" s="27"/>
      <x:c r="AM104" s="27"/>
      <x:c r="AN104" s="27"/>
      <x:c r="AO104" s="27"/>
      <x:c r="AP104" s="27"/>
      <x:c r="AQ104" s="27"/>
      <x:c r="AR104" s="27"/>
      <x:c r="AS104" s="27"/>
      <x:c r="AT104" s="27"/>
      <x:c r="AU104" s="27"/>
      <x:c r="AV104" s="27"/>
      <x:c r="AW104" s="27"/>
      <x:c r="AX104" s="27"/>
      <x:c r="AY104" s="27"/>
      <x:c r="AZ104" s="27"/>
    </x:row>
    <x:row r="105">
      <x:c r="A105" s="27"/>
      <x:c r="B105" s="27"/>
      <x:c r="C105" s="27"/>
      <x:c r="D105" s="27"/>
      <x:c r="E105" s="27"/>
      <x:c r="F105" s="27"/>
      <x:c r="G105" s="27"/>
      <x:c r="H105" s="27"/>
      <x:c r="I105" s="27"/>
      <x:c r="J105" s="27"/>
      <x:c r="K105" s="27"/>
      <x:c r="L105" s="27"/>
      <x:c r="M105" s="27"/>
      <x:c r="N105" s="27"/>
      <x:c r="O105" s="27"/>
      <x:c r="P105" s="27"/>
      <x:c r="Q105" s="27"/>
      <x:c r="R105" s="27"/>
      <x:c r="S105" s="27"/>
      <x:c r="T105" s="27"/>
      <x:c r="U105" s="27"/>
      <x:c r="V105" s="27"/>
      <x:c r="W105" s="27"/>
      <x:c r="X105" s="27"/>
      <x:c r="Y105" s="27"/>
      <x:c r="Z105" s="27"/>
      <x:c r="AA105" s="27"/>
      <x:c r="AB105" s="27"/>
      <x:c r="AC105" s="27"/>
      <x:c r="AD105" s="27"/>
      <x:c r="AE105" s="27"/>
      <x:c r="AF105" s="27"/>
      <x:c r="AG105" s="27"/>
      <x:c r="AH105" s="27"/>
      <x:c r="AI105" s="27"/>
      <x:c r="AJ105" s="27"/>
      <x:c r="AK105" s="27"/>
      <x:c r="AL105" s="27"/>
      <x:c r="AM105" s="27"/>
      <x:c r="AN105" s="27"/>
      <x:c r="AO105" s="27"/>
      <x:c r="AP105" s="27"/>
      <x:c r="AQ105" s="27"/>
      <x:c r="AR105" s="27"/>
      <x:c r="AS105" s="27"/>
      <x:c r="AT105" s="27"/>
      <x:c r="AU105" s="27"/>
      <x:c r="AV105" s="27"/>
      <x:c r="AW105" s="27"/>
      <x:c r="AX105" s="27"/>
      <x:c r="AY105" s="27"/>
      <x:c r="AZ105" s="27"/>
    </x:row>
    <x:row r="106">
      <x:c r="A106" s="27"/>
      <x:c r="B106" s="27"/>
      <x:c r="C106" s="27"/>
      <x:c r="D106" s="27"/>
      <x:c r="E106" s="27"/>
      <x:c r="F106" s="27"/>
      <x:c r="G106" s="27"/>
      <x:c r="H106" s="27"/>
      <x:c r="I106" s="27"/>
      <x:c r="J106" s="27"/>
      <x:c r="K106" s="27"/>
      <x:c r="L106" s="27"/>
      <x:c r="M106" s="27"/>
      <x:c r="N106" s="27"/>
      <x:c r="O106" s="27"/>
      <x:c r="P106" s="27"/>
      <x:c r="Q106" s="27"/>
      <x:c r="R106" s="27"/>
      <x:c r="S106" s="27"/>
      <x:c r="T106" s="27"/>
      <x:c r="U106" s="27"/>
      <x:c r="V106" s="27"/>
      <x:c r="W106" s="27"/>
      <x:c r="X106" s="27"/>
      <x:c r="Y106" s="27"/>
      <x:c r="Z106" s="27"/>
      <x:c r="AA106" s="27"/>
      <x:c r="AB106" s="27"/>
      <x:c r="AC106" s="27"/>
      <x:c r="AD106" s="27"/>
      <x:c r="AE106" s="27"/>
      <x:c r="AF106" s="27"/>
      <x:c r="AG106" s="27"/>
      <x:c r="AH106" s="27"/>
      <x:c r="AI106" s="27"/>
      <x:c r="AJ106" s="27"/>
      <x:c r="AK106" s="27"/>
      <x:c r="AL106" s="27"/>
      <x:c r="AM106" s="27"/>
      <x:c r="AN106" s="27"/>
      <x:c r="AO106" s="27"/>
      <x:c r="AP106" s="27"/>
      <x:c r="AQ106" s="27"/>
      <x:c r="AR106" s="27"/>
      <x:c r="AS106" s="27"/>
      <x:c r="AT106" s="27"/>
      <x:c r="AU106" s="27"/>
      <x:c r="AV106" s="27"/>
      <x:c r="AW106" s="27"/>
      <x:c r="AX106" s="27"/>
      <x:c r="AY106" s="27"/>
      <x:c r="AZ106" s="27"/>
    </x:row>
    <x:row r="107">
      <x:c r="A107" s="27"/>
      <x:c r="B107" s="27"/>
      <x:c r="C107" s="27"/>
      <x:c r="D107" s="27"/>
      <x:c r="E107" s="27"/>
      <x:c r="F107" s="27"/>
      <x:c r="G107" s="27"/>
      <x:c r="H107" s="27"/>
      <x:c r="I107" s="27"/>
      <x:c r="J107" s="27"/>
      <x:c r="K107" s="27"/>
      <x:c r="L107" s="27"/>
      <x:c r="M107" s="27"/>
      <x:c r="N107" s="27"/>
      <x:c r="O107" s="27"/>
      <x:c r="P107" s="27"/>
      <x:c r="Q107" s="27"/>
      <x:c r="R107" s="27"/>
      <x:c r="S107" s="27"/>
      <x:c r="T107" s="27"/>
      <x:c r="U107" s="27"/>
      <x:c r="V107" s="27"/>
      <x:c r="W107" s="27"/>
      <x:c r="X107" s="27"/>
      <x:c r="Y107" s="27"/>
      <x:c r="Z107" s="27"/>
      <x:c r="AA107" s="27"/>
      <x:c r="AB107" s="27"/>
      <x:c r="AC107" s="27"/>
      <x:c r="AD107" s="27"/>
      <x:c r="AE107" s="27"/>
      <x:c r="AF107" s="27"/>
      <x:c r="AG107" s="27"/>
      <x:c r="AH107" s="27"/>
      <x:c r="AI107" s="27"/>
      <x:c r="AJ107" s="27"/>
      <x:c r="AK107" s="27"/>
      <x:c r="AL107" s="27"/>
      <x:c r="AM107" s="27"/>
      <x:c r="AN107" s="27"/>
      <x:c r="AO107" s="27"/>
      <x:c r="AP107" s="27"/>
      <x:c r="AQ107" s="27"/>
      <x:c r="AR107" s="27"/>
      <x:c r="AS107" s="27"/>
      <x:c r="AT107" s="27"/>
      <x:c r="AU107" s="27"/>
      <x:c r="AV107" s="27"/>
      <x:c r="AW107" s="27"/>
      <x:c r="AX107" s="27"/>
      <x:c r="AY107" s="27"/>
      <x:c r="AZ107" s="27"/>
    </x:row>
    <x:row r="108">
      <x:c r="A108" s="27"/>
      <x:c r="B108" s="27"/>
      <x:c r="C108" s="27"/>
      <x:c r="D108" s="27"/>
      <x:c r="E108" s="27"/>
      <x:c r="F108" s="27"/>
      <x:c r="G108" s="27"/>
      <x:c r="H108" s="27"/>
      <x:c r="I108" s="27"/>
      <x:c r="J108" s="27"/>
      <x:c r="K108" s="27"/>
      <x:c r="L108" s="27"/>
      <x:c r="M108" s="27"/>
      <x:c r="N108" s="27"/>
      <x:c r="O108" s="27"/>
      <x:c r="P108" s="27"/>
      <x:c r="Q108" s="27"/>
      <x:c r="R108" s="27"/>
      <x:c r="S108" s="27"/>
      <x:c r="T108" s="27"/>
      <x:c r="U108" s="27"/>
      <x:c r="V108" s="27"/>
      <x:c r="W108" s="27"/>
      <x:c r="X108" s="27"/>
      <x:c r="Y108" s="27"/>
      <x:c r="Z108" s="27"/>
      <x:c r="AA108" s="27"/>
      <x:c r="AB108" s="27"/>
      <x:c r="AC108" s="27"/>
      <x:c r="AD108" s="27"/>
      <x:c r="AE108" s="27"/>
      <x:c r="AF108" s="27"/>
      <x:c r="AG108" s="27"/>
      <x:c r="AH108" s="27"/>
      <x:c r="AI108" s="27"/>
      <x:c r="AJ108" s="27"/>
      <x:c r="AK108" s="27"/>
      <x:c r="AL108" s="27"/>
      <x:c r="AM108" s="27"/>
      <x:c r="AN108" s="27"/>
      <x:c r="AO108" s="27"/>
      <x:c r="AP108" s="27"/>
      <x:c r="AQ108" s="27"/>
      <x:c r="AR108" s="27"/>
      <x:c r="AS108" s="27"/>
      <x:c r="AT108" s="27"/>
      <x:c r="AU108" s="27"/>
      <x:c r="AV108" s="27"/>
      <x:c r="AW108" s="27"/>
      <x:c r="AX108" s="27"/>
      <x:c r="AY108" s="27"/>
      <x:c r="AZ108" s="27"/>
    </x:row>
    <x:row r="109">
      <x:c r="A109" s="27"/>
      <x:c r="B109" s="27"/>
      <x:c r="C109" s="27"/>
      <x:c r="D109" s="27"/>
      <x:c r="E109" s="27"/>
      <x:c r="F109" s="27"/>
      <x:c r="G109" s="27"/>
      <x:c r="H109" s="27"/>
      <x:c r="I109" s="27"/>
      <x:c r="J109" s="27"/>
      <x:c r="K109" s="27"/>
      <x:c r="L109" s="27"/>
      <x:c r="M109" s="27"/>
      <x:c r="N109" s="27"/>
      <x:c r="O109" s="27"/>
      <x:c r="P109" s="27"/>
      <x:c r="Q109" s="27"/>
      <x:c r="R109" s="27"/>
      <x:c r="S109" s="27"/>
      <x:c r="T109" s="27"/>
      <x:c r="U109" s="27"/>
      <x:c r="V109" s="27"/>
      <x:c r="W109" s="27"/>
      <x:c r="X109" s="27"/>
      <x:c r="Y109" s="27"/>
      <x:c r="Z109" s="27"/>
      <x:c r="AA109" s="27"/>
      <x:c r="AB109" s="27"/>
      <x:c r="AC109" s="27"/>
      <x:c r="AD109" s="27"/>
      <x:c r="AE109" s="27"/>
      <x:c r="AF109" s="27"/>
      <x:c r="AG109" s="27"/>
      <x:c r="AH109" s="27"/>
      <x:c r="AI109" s="27"/>
      <x:c r="AJ109" s="27"/>
      <x:c r="AK109" s="27"/>
      <x:c r="AL109" s="27"/>
      <x:c r="AM109" s="27"/>
      <x:c r="AN109" s="27"/>
      <x:c r="AO109" s="27"/>
      <x:c r="AP109" s="27"/>
      <x:c r="AQ109" s="27"/>
      <x:c r="AR109" s="27"/>
      <x:c r="AS109" s="27"/>
      <x:c r="AT109" s="27"/>
      <x:c r="AU109" s="27"/>
      <x:c r="AV109" s="27"/>
      <x:c r="AW109" s="27"/>
      <x:c r="AX109" s="27"/>
      <x:c r="AY109" s="27"/>
      <x:c r="AZ109" s="27"/>
    </x:row>
    <x:row r="110">
      <x:c r="A110" s="27"/>
      <x:c r="B110" s="27"/>
      <x:c r="C110" s="27"/>
      <x:c r="D110" s="27"/>
      <x:c r="E110" s="27"/>
      <x:c r="F110" s="27"/>
      <x:c r="G110" s="27"/>
      <x:c r="H110" s="27"/>
      <x:c r="I110" s="27"/>
      <x:c r="J110" s="27"/>
      <x:c r="K110" s="27"/>
      <x:c r="L110" s="27"/>
      <x:c r="M110" s="27"/>
      <x:c r="N110" s="27"/>
      <x:c r="O110" s="27"/>
      <x:c r="P110" s="27"/>
      <x:c r="Q110" s="27"/>
      <x:c r="R110" s="27"/>
      <x:c r="S110" s="27"/>
      <x:c r="T110" s="27"/>
      <x:c r="U110" s="27"/>
      <x:c r="V110" s="27"/>
      <x:c r="W110" s="27"/>
      <x:c r="X110" s="27"/>
      <x:c r="Y110" s="27"/>
      <x:c r="Z110" s="27"/>
      <x:c r="AA110" s="27"/>
      <x:c r="AB110" s="27"/>
      <x:c r="AC110" s="27"/>
      <x:c r="AD110" s="27"/>
      <x:c r="AE110" s="27"/>
      <x:c r="AF110" s="27"/>
      <x:c r="AG110" s="27"/>
      <x:c r="AH110" s="27"/>
      <x:c r="AI110" s="27"/>
      <x:c r="AJ110" s="27"/>
      <x:c r="AK110" s="27"/>
      <x:c r="AL110" s="27"/>
      <x:c r="AM110" s="27"/>
      <x:c r="AN110" s="27"/>
      <x:c r="AO110" s="27"/>
      <x:c r="AP110" s="27"/>
      <x:c r="AQ110" s="27"/>
      <x:c r="AR110" s="27"/>
      <x:c r="AS110" s="27"/>
      <x:c r="AT110" s="27"/>
      <x:c r="AU110" s="27"/>
      <x:c r="AV110" s="27"/>
      <x:c r="AW110" s="27"/>
      <x:c r="AX110" s="27"/>
      <x:c r="AY110" s="27"/>
      <x:c r="AZ110" s="27"/>
    </x:row>
    <x:row r="111">
      <x:c r="A111" s="27"/>
      <x:c r="B111" s="27"/>
      <x:c r="C111" s="27"/>
      <x:c r="D111" s="27"/>
      <x:c r="E111" s="27"/>
      <x:c r="F111" s="27"/>
      <x:c r="G111" s="27"/>
      <x:c r="H111" s="27"/>
      <x:c r="I111" s="27"/>
      <x:c r="J111" s="27"/>
      <x:c r="K111" s="27"/>
      <x:c r="L111" s="27"/>
      <x:c r="M111" s="27"/>
      <x:c r="N111" s="27"/>
      <x:c r="O111" s="27"/>
      <x:c r="P111" s="27"/>
      <x:c r="Q111" s="27"/>
      <x:c r="R111" s="27"/>
      <x:c r="S111" s="27"/>
      <x:c r="T111" s="27"/>
      <x:c r="U111" s="27"/>
      <x:c r="V111" s="27"/>
      <x:c r="W111" s="27"/>
      <x:c r="X111" s="27"/>
      <x:c r="Y111" s="27"/>
      <x:c r="Z111" s="27"/>
      <x:c r="AA111" s="27"/>
      <x:c r="AB111" s="27"/>
      <x:c r="AC111" s="27"/>
      <x:c r="AD111" s="27"/>
      <x:c r="AE111" s="27"/>
      <x:c r="AF111" s="27"/>
      <x:c r="AG111" s="27"/>
      <x:c r="AH111" s="27"/>
      <x:c r="AI111" s="27"/>
      <x:c r="AJ111" s="27"/>
      <x:c r="AK111" s="27"/>
      <x:c r="AL111" s="27"/>
      <x:c r="AM111" s="27"/>
      <x:c r="AN111" s="27"/>
      <x:c r="AO111" s="27"/>
      <x:c r="AP111" s="27"/>
      <x:c r="AQ111" s="27"/>
      <x:c r="AR111" s="27"/>
      <x:c r="AS111" s="27"/>
      <x:c r="AT111" s="27"/>
      <x:c r="AU111" s="27"/>
      <x:c r="AV111" s="27"/>
      <x:c r="AW111" s="27"/>
      <x:c r="AX111" s="27"/>
      <x:c r="AY111" s="27"/>
      <x:c r="AZ111" s="27"/>
    </x:row>
    <x:row r="112">
      <x:c r="A112" s="27"/>
      <x:c r="B112" s="27"/>
      <x:c r="C112" s="27"/>
      <x:c r="D112" s="27"/>
      <x:c r="E112" s="27"/>
      <x:c r="F112" s="27"/>
      <x:c r="G112" s="27"/>
      <x:c r="H112" s="27"/>
      <x:c r="I112" s="27"/>
      <x:c r="J112" s="27"/>
      <x:c r="K112" s="27"/>
      <x:c r="L112" s="27"/>
      <x:c r="M112" s="27"/>
      <x:c r="N112" s="27"/>
      <x:c r="O112" s="27"/>
      <x:c r="P112" s="27"/>
      <x:c r="Q112" s="27"/>
      <x:c r="R112" s="27"/>
      <x:c r="S112" s="27"/>
      <x:c r="T112" s="27"/>
      <x:c r="U112" s="27"/>
      <x:c r="V112" s="27"/>
      <x:c r="W112" s="27"/>
      <x:c r="X112" s="27"/>
      <x:c r="Y112" s="27"/>
      <x:c r="Z112" s="27"/>
      <x:c r="AA112" s="27"/>
      <x:c r="AB112" s="27"/>
      <x:c r="AC112" s="27"/>
      <x:c r="AD112" s="27"/>
      <x:c r="AE112" s="27"/>
      <x:c r="AF112" s="27"/>
      <x:c r="AG112" s="27"/>
      <x:c r="AH112" s="27"/>
      <x:c r="AI112" s="27"/>
      <x:c r="AJ112" s="27"/>
      <x:c r="AK112" s="27"/>
      <x:c r="AL112" s="27"/>
      <x:c r="AM112" s="27"/>
      <x:c r="AN112" s="27"/>
      <x:c r="AO112" s="27"/>
      <x:c r="AP112" s="27"/>
      <x:c r="AQ112" s="27"/>
      <x:c r="AR112" s="27"/>
      <x:c r="AS112" s="27"/>
      <x:c r="AT112" s="27"/>
      <x:c r="AU112" s="27"/>
      <x:c r="AV112" s="27"/>
      <x:c r="AW112" s="27"/>
      <x:c r="AX112" s="27"/>
      <x:c r="AY112" s="27"/>
      <x:c r="AZ112" s="27"/>
    </x:row>
    <x:row r="113">
      <x:c r="A113" s="27"/>
      <x:c r="B113" s="27"/>
      <x:c r="C113" s="27"/>
      <x:c r="D113" s="27"/>
      <x:c r="E113" s="27"/>
      <x:c r="F113" s="27"/>
      <x:c r="G113" s="27"/>
      <x:c r="H113" s="27"/>
      <x:c r="I113" s="27"/>
      <x:c r="J113" s="27"/>
      <x:c r="K113" s="27"/>
      <x:c r="L113" s="27"/>
      <x:c r="M113" s="27"/>
      <x:c r="N113" s="27"/>
      <x:c r="O113" s="27"/>
      <x:c r="P113" s="27"/>
      <x:c r="Q113" s="27"/>
      <x:c r="R113" s="27"/>
      <x:c r="S113" s="27"/>
      <x:c r="T113" s="27"/>
      <x:c r="U113" s="27"/>
      <x:c r="V113" s="27"/>
      <x:c r="W113" s="27"/>
      <x:c r="X113" s="27"/>
      <x:c r="Y113" s="27"/>
      <x:c r="Z113" s="27"/>
      <x:c r="AA113" s="27"/>
      <x:c r="AB113" s="27"/>
      <x:c r="AC113" s="27"/>
      <x:c r="AD113" s="27"/>
      <x:c r="AE113" s="27"/>
      <x:c r="AF113" s="27"/>
      <x:c r="AG113" s="27"/>
      <x:c r="AH113" s="27"/>
      <x:c r="AI113" s="27"/>
      <x:c r="AJ113" s="27"/>
      <x:c r="AK113" s="27"/>
      <x:c r="AL113" s="27"/>
      <x:c r="AM113" s="27"/>
      <x:c r="AN113" s="27"/>
      <x:c r="AO113" s="27"/>
      <x:c r="AP113" s="27"/>
      <x:c r="AQ113" s="27"/>
      <x:c r="AR113" s="27"/>
      <x:c r="AS113" s="27"/>
      <x:c r="AT113" s="27"/>
      <x:c r="AU113" s="27"/>
      <x:c r="AV113" s="27"/>
      <x:c r="AW113" s="27"/>
      <x:c r="AX113" s="27"/>
      <x:c r="AY113" s="27"/>
      <x:c r="AZ113" s="27"/>
    </x:row>
    <x:row r="114">
      <x:c r="A114" s="27"/>
      <x:c r="B114" s="27"/>
      <x:c r="C114" s="27"/>
      <x:c r="D114" s="27"/>
      <x:c r="E114" s="27"/>
      <x:c r="F114" s="27"/>
      <x:c r="G114" s="27"/>
      <x:c r="H114" s="27"/>
      <x:c r="I114" s="27"/>
      <x:c r="J114" s="27"/>
      <x:c r="K114" s="27"/>
      <x:c r="L114" s="27"/>
      <x:c r="M114" s="27"/>
      <x:c r="N114" s="27"/>
      <x:c r="O114" s="27"/>
      <x:c r="P114" s="27"/>
      <x:c r="Q114" s="27"/>
      <x:c r="R114" s="27"/>
      <x:c r="S114" s="27"/>
      <x:c r="T114" s="27"/>
      <x:c r="U114" s="27"/>
      <x:c r="V114" s="27"/>
      <x:c r="W114" s="27"/>
      <x:c r="X114" s="27"/>
      <x:c r="Y114" s="27"/>
      <x:c r="Z114" s="27"/>
      <x:c r="AA114" s="27"/>
      <x:c r="AB114" s="27"/>
      <x:c r="AC114" s="27"/>
      <x:c r="AD114" s="27"/>
      <x:c r="AE114" s="27"/>
      <x:c r="AF114" s="27"/>
      <x:c r="AG114" s="27"/>
      <x:c r="AH114" s="27"/>
      <x:c r="AI114" s="27"/>
      <x:c r="AJ114" s="27"/>
      <x:c r="AK114" s="27"/>
      <x:c r="AL114" s="27"/>
      <x:c r="AM114" s="27"/>
      <x:c r="AN114" s="27"/>
      <x:c r="AO114" s="27"/>
      <x:c r="AP114" s="27"/>
      <x:c r="AQ114" s="27"/>
      <x:c r="AR114" s="27"/>
      <x:c r="AS114" s="27"/>
      <x:c r="AT114" s="27"/>
      <x:c r="AU114" s="27"/>
      <x:c r="AV114" s="27"/>
      <x:c r="AW114" s="27"/>
      <x:c r="AX114" s="27"/>
      <x:c r="AY114" s="27"/>
      <x:c r="AZ114" s="27"/>
    </x:row>
    <x:row r="115">
      <x:c r="A115" s="27"/>
      <x:c r="B115" s="27"/>
      <x:c r="C115" s="27"/>
      <x:c r="D115" s="27"/>
      <x:c r="E115" s="27"/>
      <x:c r="F115" s="27"/>
      <x:c r="G115" s="27"/>
      <x:c r="H115" s="27"/>
      <x:c r="I115" s="27"/>
      <x:c r="J115" s="27"/>
      <x:c r="K115" s="27"/>
      <x:c r="L115" s="27"/>
      <x:c r="M115" s="27"/>
      <x:c r="N115" s="27"/>
      <x:c r="O115" s="27"/>
      <x:c r="P115" s="27"/>
      <x:c r="Q115" s="27"/>
      <x:c r="R115" s="27"/>
      <x:c r="S115" s="27"/>
      <x:c r="T115" s="27"/>
      <x:c r="U115" s="27"/>
      <x:c r="V115" s="27"/>
      <x:c r="W115" s="27"/>
      <x:c r="X115" s="27"/>
      <x:c r="Y115" s="27"/>
      <x:c r="Z115" s="27"/>
      <x:c r="AA115" s="27"/>
      <x:c r="AB115" s="27"/>
      <x:c r="AC115" s="27"/>
      <x:c r="AD115" s="27"/>
      <x:c r="AE115" s="27"/>
      <x:c r="AF115" s="27"/>
      <x:c r="AG115" s="27"/>
      <x:c r="AH115" s="27"/>
      <x:c r="AI115" s="27"/>
      <x:c r="AJ115" s="27"/>
      <x:c r="AK115" s="27"/>
      <x:c r="AL115" s="27"/>
      <x:c r="AM115" s="27"/>
      <x:c r="AN115" s="27"/>
      <x:c r="AO115" s="27"/>
      <x:c r="AP115" s="27"/>
      <x:c r="AQ115" s="27"/>
      <x:c r="AR115" s="27"/>
      <x:c r="AS115" s="27"/>
      <x:c r="AT115" s="27"/>
      <x:c r="AU115" s="27"/>
      <x:c r="AV115" s="27"/>
      <x:c r="AW115" s="27"/>
      <x:c r="AX115" s="27"/>
      <x:c r="AY115" s="27"/>
      <x:c r="AZ115" s="27"/>
    </x:row>
    <x:row r="116">
      <x:c r="A116" s="27"/>
      <x:c r="B116" s="27"/>
      <x:c r="C116" s="27"/>
      <x:c r="D116" s="27"/>
      <x:c r="E116" s="27"/>
      <x:c r="F116" s="27"/>
      <x:c r="G116" s="27"/>
      <x:c r="H116" s="27"/>
      <x:c r="I116" s="27"/>
      <x:c r="J116" s="27"/>
      <x:c r="K116" s="27"/>
      <x:c r="L116" s="27"/>
      <x:c r="M116" s="27"/>
      <x:c r="N116" s="27"/>
      <x:c r="O116" s="27"/>
      <x:c r="P116" s="27"/>
      <x:c r="Q116" s="27"/>
      <x:c r="R116" s="27"/>
      <x:c r="S116" s="27"/>
      <x:c r="T116" s="27"/>
      <x:c r="U116" s="27"/>
      <x:c r="V116" s="27"/>
      <x:c r="W116" s="27"/>
      <x:c r="X116" s="27"/>
      <x:c r="Y116" s="27"/>
      <x:c r="Z116" s="27"/>
      <x:c r="AA116" s="27"/>
      <x:c r="AB116" s="27"/>
      <x:c r="AC116" s="27"/>
      <x:c r="AD116" s="27"/>
      <x:c r="AE116" s="27"/>
      <x:c r="AF116" s="27"/>
      <x:c r="AG116" s="27"/>
      <x:c r="AH116" s="27"/>
      <x:c r="AI116" s="27"/>
      <x:c r="AJ116" s="27"/>
      <x:c r="AK116" s="27"/>
      <x:c r="AL116" s="27"/>
      <x:c r="AM116" s="27"/>
      <x:c r="AN116" s="27"/>
      <x:c r="AO116" s="27"/>
      <x:c r="AP116" s="27"/>
      <x:c r="AQ116" s="27"/>
      <x:c r="AR116" s="27"/>
      <x:c r="AS116" s="27"/>
      <x:c r="AT116" s="27"/>
      <x:c r="AU116" s="27"/>
      <x:c r="AV116" s="27"/>
      <x:c r="AW116" s="27"/>
      <x:c r="AX116" s="27"/>
      <x:c r="AY116" s="27"/>
      <x:c r="AZ116" s="27"/>
    </x:row>
    <x:row r="117">
      <x:c r="A117" s="27"/>
      <x:c r="B117" s="27"/>
      <x:c r="C117" s="27"/>
      <x:c r="D117" s="27"/>
      <x:c r="E117" s="27"/>
      <x:c r="F117" s="27"/>
      <x:c r="G117" s="27"/>
      <x:c r="H117" s="27"/>
      <x:c r="I117" s="27"/>
      <x:c r="J117" s="27"/>
      <x:c r="K117" s="27"/>
      <x:c r="L117" s="27"/>
      <x:c r="M117" s="27"/>
      <x:c r="N117" s="27"/>
      <x:c r="O117" s="27"/>
      <x:c r="P117" s="27"/>
      <x:c r="Q117" s="27"/>
      <x:c r="R117" s="27"/>
      <x:c r="S117" s="27"/>
      <x:c r="T117" s="27"/>
      <x:c r="U117" s="27"/>
      <x:c r="V117" s="27"/>
      <x:c r="W117" s="27"/>
      <x:c r="X117" s="27"/>
      <x:c r="Y117" s="27"/>
      <x:c r="Z117" s="27"/>
      <x:c r="AA117" s="27"/>
      <x:c r="AB117" s="27"/>
      <x:c r="AC117" s="27"/>
      <x:c r="AD117" s="27"/>
      <x:c r="AE117" s="27"/>
      <x:c r="AF117" s="27"/>
      <x:c r="AG117" s="27"/>
      <x:c r="AH117" s="27"/>
      <x:c r="AI117" s="27"/>
      <x:c r="AJ117" s="27"/>
      <x:c r="AK117" s="27"/>
      <x:c r="AL117" s="27"/>
      <x:c r="AM117" s="27"/>
      <x:c r="AN117" s="27"/>
      <x:c r="AO117" s="27"/>
      <x:c r="AP117" s="27"/>
      <x:c r="AQ117" s="27"/>
      <x:c r="AR117" s="27"/>
      <x:c r="AS117" s="27"/>
      <x:c r="AT117" s="27"/>
      <x:c r="AU117" s="27"/>
      <x:c r="AV117" s="27"/>
      <x:c r="AW117" s="27"/>
      <x:c r="AX117" s="27"/>
      <x:c r="AY117" s="27"/>
      <x:c r="AZ117" s="27"/>
    </x:row>
    <x:row r="118">
      <x:c r="A118" s="27"/>
      <x:c r="B118" s="27"/>
      <x:c r="C118" s="27"/>
      <x:c r="D118" s="27"/>
      <x:c r="E118" s="27"/>
      <x:c r="F118" s="27"/>
      <x:c r="G118" s="27"/>
      <x:c r="H118" s="27"/>
      <x:c r="I118" s="27"/>
      <x:c r="J118" s="27"/>
      <x:c r="K118" s="27"/>
      <x:c r="L118" s="27"/>
      <x:c r="M118" s="27"/>
      <x:c r="N118" s="27"/>
      <x:c r="O118" s="27"/>
      <x:c r="P118" s="27"/>
      <x:c r="Q118" s="27"/>
      <x:c r="R118" s="27"/>
      <x:c r="S118" s="27"/>
      <x:c r="T118" s="27"/>
      <x:c r="U118" s="27"/>
      <x:c r="V118" s="27"/>
      <x:c r="W118" s="27"/>
      <x:c r="X118" s="27"/>
      <x:c r="Y118" s="27"/>
      <x:c r="Z118" s="27"/>
      <x:c r="AA118" s="27"/>
      <x:c r="AB118" s="27"/>
      <x:c r="AC118" s="27"/>
      <x:c r="AD118" s="27"/>
      <x:c r="AE118" s="27"/>
      <x:c r="AF118" s="27"/>
      <x:c r="AG118" s="27"/>
      <x:c r="AH118" s="27"/>
      <x:c r="AI118" s="27"/>
      <x:c r="AJ118" s="27"/>
      <x:c r="AK118" s="27"/>
      <x:c r="AL118" s="27"/>
      <x:c r="AM118" s="27"/>
      <x:c r="AN118" s="27"/>
      <x:c r="AO118" s="27"/>
      <x:c r="AP118" s="27"/>
      <x:c r="AQ118" s="27"/>
      <x:c r="AR118" s="27"/>
      <x:c r="AS118" s="27"/>
      <x:c r="AT118" s="27"/>
      <x:c r="AU118" s="27"/>
      <x:c r="AV118" s="27"/>
      <x:c r="AW118" s="27"/>
      <x:c r="AX118" s="27"/>
      <x:c r="AY118" s="27"/>
      <x:c r="AZ118" s="27"/>
    </x:row>
    <x:row r="119">
      <x:c r="A119" s="27"/>
      <x:c r="B119" s="27"/>
      <x:c r="C119" s="27"/>
      <x:c r="D119" s="27"/>
      <x:c r="E119" s="27"/>
      <x:c r="F119" s="27"/>
      <x:c r="G119" s="27"/>
      <x:c r="H119" s="27"/>
      <x:c r="I119" s="27"/>
      <x:c r="J119" s="27"/>
      <x:c r="K119" s="27"/>
      <x:c r="L119" s="27"/>
      <x:c r="M119" s="27"/>
      <x:c r="N119" s="27"/>
      <x:c r="O119" s="27"/>
      <x:c r="P119" s="27"/>
      <x:c r="Q119" s="27"/>
      <x:c r="R119" s="27"/>
      <x:c r="S119" s="27"/>
      <x:c r="T119" s="27"/>
      <x:c r="U119" s="27"/>
      <x:c r="V119" s="27"/>
      <x:c r="W119" s="27"/>
      <x:c r="X119" s="27"/>
      <x:c r="Y119" s="27"/>
      <x:c r="Z119" s="27"/>
      <x:c r="AA119" s="27"/>
      <x:c r="AB119" s="27"/>
      <x:c r="AC119" s="27"/>
      <x:c r="AD119" s="27"/>
      <x:c r="AE119" s="27"/>
      <x:c r="AF119" s="27"/>
      <x:c r="AG119" s="27"/>
      <x:c r="AH119" s="27"/>
      <x:c r="AI119" s="27"/>
      <x:c r="AJ119" s="27"/>
      <x:c r="AK119" s="27"/>
      <x:c r="AL119" s="27"/>
      <x:c r="AM119" s="27"/>
      <x:c r="AN119" s="27"/>
      <x:c r="AO119" s="27"/>
      <x:c r="AP119" s="27"/>
      <x:c r="AQ119" s="27"/>
      <x:c r="AR119" s="27"/>
      <x:c r="AS119" s="27"/>
      <x:c r="AT119" s="27"/>
      <x:c r="AU119" s="27"/>
      <x:c r="AV119" s="27"/>
      <x:c r="AW119" s="27"/>
      <x:c r="AX119" s="27"/>
      <x:c r="AY119" s="27"/>
      <x:c r="AZ119" s="27"/>
    </x:row>
    <x:row r="120">
      <x:c r="A120" s="27"/>
      <x:c r="B120" s="27"/>
      <x:c r="C120" s="27"/>
      <x:c r="D120" s="27"/>
      <x:c r="E120" s="27"/>
      <x:c r="F120" s="27"/>
      <x:c r="G120" s="27"/>
      <x:c r="H120" s="27"/>
      <x:c r="I120" s="27"/>
      <x:c r="J120" s="27"/>
      <x:c r="K120" s="27"/>
      <x:c r="L120" s="27"/>
      <x:c r="M120" s="27"/>
      <x:c r="N120" s="27"/>
      <x:c r="O120" s="27"/>
      <x:c r="P120" s="27"/>
      <x:c r="Q120" s="27"/>
      <x:c r="R120" s="27"/>
      <x:c r="S120" s="27"/>
      <x:c r="T120" s="27"/>
      <x:c r="U120" s="27"/>
      <x:c r="V120" s="27"/>
      <x:c r="W120" s="27"/>
      <x:c r="X120" s="27"/>
      <x:c r="Y120" s="27"/>
      <x:c r="Z120" s="27"/>
      <x:c r="AA120" s="27"/>
      <x:c r="AB120" s="27"/>
      <x:c r="AC120" s="27"/>
      <x:c r="AD120" s="27"/>
      <x:c r="AE120" s="27"/>
      <x:c r="AF120" s="27"/>
      <x:c r="AG120" s="27"/>
      <x:c r="AH120" s="27"/>
      <x:c r="AI120" s="27"/>
      <x:c r="AJ120" s="27"/>
      <x:c r="AK120" s="27"/>
      <x:c r="AL120" s="27"/>
      <x:c r="AM120" s="27"/>
      <x:c r="AN120" s="27"/>
      <x:c r="AO120" s="27"/>
      <x:c r="AP120" s="27"/>
      <x:c r="AQ120" s="27"/>
      <x:c r="AR120" s="27"/>
      <x:c r="AS120" s="27"/>
      <x:c r="AT120" s="27"/>
      <x:c r="AU120" s="27"/>
      <x:c r="AV120" s="27"/>
      <x:c r="AW120" s="27"/>
      <x:c r="AX120" s="27"/>
      <x:c r="AY120" s="27"/>
      <x:c r="AZ120" s="27"/>
    </x:row>
    <x:row r="121">
      <x:c r="A121" s="27"/>
      <x:c r="B121" s="27"/>
      <x:c r="C121" s="27"/>
      <x:c r="D121" s="27"/>
      <x:c r="E121" s="27"/>
      <x:c r="F121" s="27"/>
      <x:c r="G121" s="27"/>
      <x:c r="H121" s="27"/>
      <x:c r="I121" s="27"/>
      <x:c r="J121" s="27"/>
      <x:c r="K121" s="27"/>
      <x:c r="L121" s="27"/>
      <x:c r="M121" s="27"/>
      <x:c r="N121" s="27"/>
      <x:c r="O121" s="27"/>
      <x:c r="P121" s="27"/>
      <x:c r="Q121" s="27"/>
      <x:c r="R121" s="27"/>
      <x:c r="S121" s="27"/>
      <x:c r="T121" s="27"/>
      <x:c r="U121" s="27"/>
      <x:c r="V121" s="27"/>
      <x:c r="W121" s="27"/>
      <x:c r="X121" s="27"/>
      <x:c r="Y121" s="27"/>
      <x:c r="Z121" s="27"/>
      <x:c r="AA121" s="27"/>
      <x:c r="AB121" s="27"/>
      <x:c r="AC121" s="27"/>
      <x:c r="AD121" s="27"/>
      <x:c r="AE121" s="27"/>
      <x:c r="AF121" s="27"/>
      <x:c r="AG121" s="27"/>
      <x:c r="AH121" s="27"/>
      <x:c r="AI121" s="27"/>
      <x:c r="AJ121" s="27"/>
      <x:c r="AK121" s="27"/>
      <x:c r="AL121" s="27"/>
      <x:c r="AM121" s="27"/>
      <x:c r="AN121" s="27"/>
      <x:c r="AO121" s="27"/>
      <x:c r="AP121" s="27"/>
      <x:c r="AQ121" s="27"/>
      <x:c r="AR121" s="27"/>
      <x:c r="AS121" s="27"/>
      <x:c r="AT121" s="27"/>
      <x:c r="AU121" s="27"/>
      <x:c r="AV121" s="27"/>
      <x:c r="AW121" s="27"/>
      <x:c r="AX121" s="27"/>
      <x:c r="AY121" s="27"/>
      <x:c r="AZ121" s="27"/>
    </x:row>
    <x:row r="122">
      <x:c r="A122" s="27"/>
      <x:c r="B122" s="27"/>
      <x:c r="C122" s="27"/>
      <x:c r="D122" s="27"/>
      <x:c r="E122" s="27"/>
      <x:c r="F122" s="27"/>
      <x:c r="G122" s="27"/>
      <x:c r="H122" s="27"/>
      <x:c r="I122" s="27"/>
      <x:c r="J122" s="27"/>
      <x:c r="K122" s="27"/>
      <x:c r="L122" s="27"/>
      <x:c r="M122" s="27"/>
      <x:c r="N122" s="27"/>
      <x:c r="O122" s="27"/>
      <x:c r="P122" s="27"/>
      <x:c r="Q122" s="27"/>
      <x:c r="R122" s="27"/>
      <x:c r="S122" s="27"/>
      <x:c r="T122" s="27"/>
      <x:c r="U122" s="27"/>
      <x:c r="V122" s="27"/>
      <x:c r="W122" s="27"/>
      <x:c r="X122" s="27"/>
      <x:c r="Y122" s="27"/>
      <x:c r="Z122" s="27"/>
      <x:c r="AA122" s="27"/>
      <x:c r="AB122" s="27"/>
      <x:c r="AC122" s="27"/>
      <x:c r="AD122" s="27"/>
      <x:c r="AE122" s="27"/>
      <x:c r="AF122" s="27"/>
      <x:c r="AG122" s="27"/>
      <x:c r="AH122" s="27"/>
      <x:c r="AI122" s="27"/>
      <x:c r="AJ122" s="27"/>
      <x:c r="AK122" s="27"/>
      <x:c r="AL122" s="27"/>
      <x:c r="AM122" s="27"/>
      <x:c r="AN122" s="27"/>
      <x:c r="AO122" s="27"/>
      <x:c r="AP122" s="27"/>
      <x:c r="AQ122" s="27"/>
      <x:c r="AR122" s="27"/>
      <x:c r="AS122" s="27"/>
      <x:c r="AT122" s="27"/>
      <x:c r="AU122" s="27"/>
      <x:c r="AV122" s="27"/>
      <x:c r="AW122" s="27"/>
      <x:c r="AX122" s="27"/>
      <x:c r="AY122" s="27"/>
      <x:c r="AZ122" s="27"/>
    </x:row>
    <x:row r="123">
      <x:c r="A123" s="27"/>
      <x:c r="B123" s="27"/>
      <x:c r="C123" s="27"/>
      <x:c r="D123" s="27"/>
      <x:c r="E123" s="27"/>
      <x:c r="F123" s="27"/>
      <x:c r="G123" s="27"/>
      <x:c r="H123" s="27"/>
      <x:c r="I123" s="27"/>
      <x:c r="J123" s="27"/>
      <x:c r="K123" s="27"/>
      <x:c r="L123" s="27"/>
      <x:c r="M123" s="27"/>
      <x:c r="N123" s="27"/>
      <x:c r="O123" s="27"/>
      <x:c r="P123" s="27"/>
      <x:c r="Q123" s="27"/>
      <x:c r="R123" s="27"/>
      <x:c r="S123" s="27"/>
      <x:c r="T123" s="27"/>
      <x:c r="U123" s="27"/>
      <x:c r="V123" s="27"/>
      <x:c r="W123" s="27"/>
      <x:c r="X123" s="27"/>
      <x:c r="Y123" s="27"/>
      <x:c r="Z123" s="27"/>
      <x:c r="AA123" s="27"/>
      <x:c r="AB123" s="27"/>
      <x:c r="AC123" s="27"/>
      <x:c r="AD123" s="27"/>
      <x:c r="AE123" s="27"/>
      <x:c r="AF123" s="27"/>
      <x:c r="AG123" s="27"/>
      <x:c r="AH123" s="27"/>
      <x:c r="AI123" s="27"/>
      <x:c r="AJ123" s="27"/>
      <x:c r="AK123" s="27"/>
      <x:c r="AL123" s="27"/>
      <x:c r="AM123" s="27"/>
      <x:c r="AN123" s="27"/>
      <x:c r="AO123" s="27"/>
      <x:c r="AP123" s="27"/>
      <x:c r="AQ123" s="27"/>
      <x:c r="AR123" s="27"/>
      <x:c r="AS123" s="27"/>
      <x:c r="AT123" s="27"/>
      <x:c r="AU123" s="27"/>
      <x:c r="AV123" s="27"/>
      <x:c r="AW123" s="27"/>
      <x:c r="AX123" s="27"/>
      <x:c r="AY123" s="27"/>
      <x:c r="AZ123" s="27"/>
    </x:row>
    <x:row r="124">
      <x:c r="A124" s="27"/>
      <x:c r="B124" s="27"/>
      <x:c r="C124" s="27"/>
      <x:c r="D124" s="27"/>
      <x:c r="E124" s="27"/>
      <x:c r="F124" s="27"/>
      <x:c r="G124" s="27"/>
      <x:c r="H124" s="27"/>
      <x:c r="I124" s="27"/>
      <x:c r="J124" s="27"/>
      <x:c r="K124" s="27"/>
      <x:c r="L124" s="27"/>
      <x:c r="M124" s="27"/>
      <x:c r="N124" s="27"/>
      <x:c r="O124" s="27"/>
      <x:c r="P124" s="27"/>
      <x:c r="Q124" s="27"/>
      <x:c r="R124" s="27"/>
      <x:c r="S124" s="27"/>
      <x:c r="T124" s="27"/>
      <x:c r="U124" s="27"/>
      <x:c r="V124" s="27"/>
      <x:c r="W124" s="27"/>
      <x:c r="X124" s="27"/>
      <x:c r="Y124" s="27"/>
      <x:c r="Z124" s="27"/>
      <x:c r="AA124" s="27"/>
      <x:c r="AB124" s="27"/>
      <x:c r="AC124" s="27"/>
      <x:c r="AD124" s="27"/>
      <x:c r="AE124" s="27"/>
      <x:c r="AF124" s="27"/>
      <x:c r="AG124" s="27"/>
      <x:c r="AH124" s="27"/>
      <x:c r="AI124" s="27"/>
      <x:c r="AJ124" s="27"/>
      <x:c r="AK124" s="27"/>
      <x:c r="AL124" s="27"/>
      <x:c r="AM124" s="27"/>
      <x:c r="AN124" s="27"/>
      <x:c r="AO124" s="27"/>
      <x:c r="AP124" s="27"/>
      <x:c r="AQ124" s="27"/>
      <x:c r="AR124" s="27"/>
      <x:c r="AS124" s="27"/>
      <x:c r="AT124" s="27"/>
      <x:c r="AU124" s="27"/>
      <x:c r="AV124" s="27"/>
      <x:c r="AW124" s="27"/>
      <x:c r="AX124" s="27"/>
      <x:c r="AY124" s="27"/>
      <x:c r="AZ124" s="27"/>
    </x:row>
    <x:row r="125">
      <x:c r="A125" s="27"/>
      <x:c r="B125" s="27"/>
      <x:c r="C125" s="27"/>
      <x:c r="D125" s="27"/>
      <x:c r="E125" s="27"/>
      <x:c r="F125" s="27"/>
      <x:c r="G125" s="27"/>
      <x:c r="H125" s="27"/>
      <x:c r="I125" s="27"/>
      <x:c r="J125" s="27"/>
      <x:c r="K125" s="27"/>
      <x:c r="L125" s="27"/>
      <x:c r="M125" s="27"/>
      <x:c r="N125" s="27"/>
      <x:c r="O125" s="27"/>
      <x:c r="P125" s="27"/>
      <x:c r="Q125" s="27"/>
      <x:c r="R125" s="27"/>
      <x:c r="S125" s="27"/>
      <x:c r="T125" s="27"/>
      <x:c r="U125" s="27"/>
      <x:c r="V125" s="27"/>
      <x:c r="W125" s="27"/>
      <x:c r="X125" s="27"/>
      <x:c r="Y125" s="27"/>
      <x:c r="Z125" s="27"/>
      <x:c r="AA125" s="27"/>
      <x:c r="AB125" s="27"/>
      <x:c r="AC125" s="27"/>
      <x:c r="AD125" s="27"/>
      <x:c r="AE125" s="27"/>
      <x:c r="AF125" s="27"/>
      <x:c r="AG125" s="27"/>
      <x:c r="AH125" s="27"/>
      <x:c r="AI125" s="27"/>
      <x:c r="AJ125" s="27"/>
      <x:c r="AK125" s="27"/>
      <x:c r="AL125" s="27"/>
      <x:c r="AM125" s="27"/>
      <x:c r="AN125" s="27"/>
      <x:c r="AO125" s="27"/>
      <x:c r="AP125" s="27"/>
      <x:c r="AQ125" s="27"/>
      <x:c r="AR125" s="27"/>
      <x:c r="AS125" s="27"/>
      <x:c r="AT125" s="27"/>
      <x:c r="AU125" s="27"/>
      <x:c r="AV125" s="27"/>
      <x:c r="AW125" s="27"/>
      <x:c r="AX125" s="27"/>
      <x:c r="AY125" s="27"/>
      <x:c r="AZ125" s="27"/>
    </x:row>
    <x:row r="126">
      <x:c r="A126" s="27"/>
      <x:c r="B126" s="27"/>
      <x:c r="C126" s="27"/>
      <x:c r="D126" s="27"/>
      <x:c r="E126" s="27"/>
      <x:c r="F126" s="27"/>
      <x:c r="G126" s="27"/>
      <x:c r="H126" s="27"/>
      <x:c r="I126" s="27"/>
      <x:c r="J126" s="27"/>
      <x:c r="K126" s="27"/>
      <x:c r="L126" s="27"/>
      <x:c r="M126" s="27"/>
      <x:c r="N126" s="27"/>
      <x:c r="O126" s="27"/>
      <x:c r="P126" s="27"/>
      <x:c r="Q126" s="27"/>
      <x:c r="R126" s="27"/>
      <x:c r="S126" s="27"/>
      <x:c r="T126" s="27"/>
      <x:c r="U126" s="27"/>
      <x:c r="V126" s="27"/>
      <x:c r="W126" s="27"/>
      <x:c r="X126" s="27"/>
      <x:c r="Y126" s="27"/>
      <x:c r="Z126" s="27"/>
      <x:c r="AA126" s="27"/>
      <x:c r="AB126" s="27"/>
      <x:c r="AC126" s="27"/>
      <x:c r="AD126" s="27"/>
      <x:c r="AE126" s="27"/>
      <x:c r="AF126" s="27"/>
      <x:c r="AG126" s="27"/>
      <x:c r="AH126" s="27"/>
      <x:c r="AI126" s="27"/>
      <x:c r="AJ126" s="27"/>
      <x:c r="AK126" s="27"/>
      <x:c r="AL126" s="27"/>
      <x:c r="AM126" s="27"/>
      <x:c r="AN126" s="27"/>
      <x:c r="AO126" s="27"/>
      <x:c r="AP126" s="27"/>
      <x:c r="AQ126" s="27"/>
      <x:c r="AR126" s="27"/>
      <x:c r="AS126" s="27"/>
      <x:c r="AT126" s="27"/>
      <x:c r="AU126" s="27"/>
      <x:c r="AV126" s="27"/>
      <x:c r="AW126" s="27"/>
      <x:c r="AX126" s="27"/>
      <x:c r="AY126" s="27"/>
      <x:c r="AZ126" s="27"/>
    </x:row>
    <x:row r="127">
      <x:c r="A127" s="27"/>
      <x:c r="B127" s="27"/>
      <x:c r="C127" s="27"/>
      <x:c r="D127" s="27"/>
      <x:c r="E127" s="27"/>
      <x:c r="F127" s="27"/>
      <x:c r="G127" s="27"/>
      <x:c r="H127" s="27"/>
      <x:c r="I127" s="27"/>
      <x:c r="J127" s="27"/>
      <x:c r="K127" s="27"/>
      <x:c r="L127" s="27"/>
      <x:c r="M127" s="27"/>
      <x:c r="N127" s="27"/>
      <x:c r="O127" s="27"/>
      <x:c r="P127" s="27"/>
      <x:c r="Q127" s="27"/>
      <x:c r="R127" s="27"/>
      <x:c r="S127" s="27"/>
      <x:c r="T127" s="27"/>
      <x:c r="U127" s="27"/>
      <x:c r="V127" s="27"/>
      <x:c r="W127" s="27"/>
      <x:c r="X127" s="27"/>
      <x:c r="Y127" s="27"/>
      <x:c r="Z127" s="27"/>
      <x:c r="AA127" s="27"/>
      <x:c r="AB127" s="27"/>
      <x:c r="AC127" s="27"/>
      <x:c r="AD127" s="27"/>
      <x:c r="AE127" s="27"/>
      <x:c r="AF127" s="27"/>
      <x:c r="AG127" s="27"/>
      <x:c r="AH127" s="27"/>
      <x:c r="AI127" s="27"/>
      <x:c r="AJ127" s="27"/>
      <x:c r="AK127" s="27"/>
      <x:c r="AL127" s="27"/>
      <x:c r="AM127" s="27"/>
      <x:c r="AN127" s="27"/>
      <x:c r="AO127" s="27"/>
      <x:c r="AP127" s="27"/>
      <x:c r="AQ127" s="27"/>
      <x:c r="AR127" s="27"/>
      <x:c r="AS127" s="27"/>
      <x:c r="AT127" s="27"/>
      <x:c r="AU127" s="27"/>
      <x:c r="AV127" s="27"/>
      <x:c r="AW127" s="27"/>
      <x:c r="AX127" s="27"/>
      <x:c r="AY127" s="27"/>
      <x:c r="AZ127" s="27"/>
    </x:row>
    <x:row r="128">
      <x:c r="A128" s="27"/>
      <x:c r="B128" s="27"/>
      <x:c r="C128" s="27"/>
      <x:c r="D128" s="27"/>
      <x:c r="E128" s="27"/>
      <x:c r="F128" s="27"/>
      <x:c r="G128" s="27"/>
      <x:c r="H128" s="27"/>
      <x:c r="I128" s="27"/>
      <x:c r="J128" s="27"/>
      <x:c r="K128" s="27"/>
      <x:c r="L128" s="27"/>
      <x:c r="M128" s="27"/>
      <x:c r="N128" s="27"/>
      <x:c r="O128" s="27"/>
      <x:c r="P128" s="27"/>
      <x:c r="Q128" s="27"/>
      <x:c r="R128" s="27"/>
      <x:c r="S128" s="27"/>
      <x:c r="T128" s="27"/>
      <x:c r="U128" s="27"/>
      <x:c r="V128" s="27"/>
      <x:c r="W128" s="27"/>
      <x:c r="X128" s="27"/>
      <x:c r="Y128" s="27"/>
      <x:c r="Z128" s="27"/>
      <x:c r="AA128" s="27"/>
      <x:c r="AB128" s="27"/>
      <x:c r="AC128" s="27"/>
      <x:c r="AD128" s="27"/>
      <x:c r="AE128" s="27"/>
      <x:c r="AF128" s="27"/>
      <x:c r="AG128" s="27"/>
      <x:c r="AH128" s="27"/>
      <x:c r="AI128" s="27"/>
      <x:c r="AJ128" s="27"/>
      <x:c r="AK128" s="27"/>
      <x:c r="AL128" s="27"/>
      <x:c r="AM128" s="27"/>
      <x:c r="AN128" s="27"/>
      <x:c r="AO128" s="27"/>
      <x:c r="AP128" s="27"/>
      <x:c r="AQ128" s="27"/>
      <x:c r="AR128" s="27"/>
      <x:c r="AS128" s="27"/>
      <x:c r="AT128" s="27"/>
      <x:c r="AU128" s="27"/>
      <x:c r="AV128" s="27"/>
      <x:c r="AW128" s="27"/>
      <x:c r="AX128" s="27"/>
      <x:c r="AY128" s="27"/>
      <x:c r="AZ128" s="27"/>
    </x:row>
    <x:row r="129">
      <x:c r="A129" s="27"/>
      <x:c r="B129" s="27"/>
      <x:c r="C129" s="27"/>
      <x:c r="D129" s="27"/>
      <x:c r="E129" s="27"/>
      <x:c r="F129" s="27"/>
      <x:c r="G129" s="27"/>
      <x:c r="H129" s="27"/>
      <x:c r="I129" s="27"/>
      <x:c r="J129" s="27"/>
      <x:c r="K129" s="27"/>
      <x:c r="L129" s="27"/>
      <x:c r="M129" s="27"/>
      <x:c r="N129" s="27"/>
      <x:c r="O129" s="27"/>
      <x:c r="P129" s="27"/>
      <x:c r="Q129" s="27"/>
      <x:c r="R129" s="27"/>
      <x:c r="S129" s="27"/>
      <x:c r="T129" s="27"/>
      <x:c r="U129" s="27"/>
      <x:c r="V129" s="27"/>
      <x:c r="W129" s="27"/>
      <x:c r="X129" s="27"/>
      <x:c r="Y129" s="27"/>
      <x:c r="Z129" s="27"/>
      <x:c r="AA129" s="27"/>
      <x:c r="AB129" s="27"/>
      <x:c r="AC129" s="27"/>
      <x:c r="AD129" s="27"/>
      <x:c r="AE129" s="27"/>
      <x:c r="AF129" s="27"/>
      <x:c r="AG129" s="27"/>
      <x:c r="AH129" s="27"/>
      <x:c r="AI129" s="27"/>
      <x:c r="AJ129" s="27"/>
      <x:c r="AK129" s="27"/>
      <x:c r="AL129" s="27"/>
      <x:c r="AM129" s="27"/>
      <x:c r="AN129" s="27"/>
      <x:c r="AO129" s="27"/>
      <x:c r="AP129" s="27"/>
      <x:c r="AQ129" s="27"/>
      <x:c r="AR129" s="27"/>
      <x:c r="AS129" s="27"/>
      <x:c r="AT129" s="27"/>
      <x:c r="AU129" s="27"/>
      <x:c r="AV129" s="27"/>
      <x:c r="AW129" s="27"/>
      <x:c r="AX129" s="27"/>
      <x:c r="AY129" s="27"/>
      <x:c r="AZ129" s="27"/>
    </x:row>
    <x:row r="130">
      <x:c r="A130" s="27"/>
      <x:c r="B130" s="27"/>
      <x:c r="C130" s="27"/>
      <x:c r="D130" s="27"/>
      <x:c r="E130" s="27"/>
      <x:c r="F130" s="27"/>
      <x:c r="G130" s="27"/>
      <x:c r="H130" s="27"/>
      <x:c r="I130" s="27"/>
      <x:c r="J130" s="27"/>
      <x:c r="K130" s="27"/>
      <x:c r="L130" s="27"/>
      <x:c r="M130" s="27"/>
      <x:c r="N130" s="27"/>
      <x:c r="O130" s="27"/>
      <x:c r="P130" s="27"/>
      <x:c r="Q130" s="27"/>
      <x:c r="R130" s="27"/>
      <x:c r="S130" s="27"/>
      <x:c r="T130" s="27"/>
      <x:c r="U130" s="27"/>
      <x:c r="V130" s="27"/>
      <x:c r="W130" s="27"/>
      <x:c r="X130" s="27"/>
      <x:c r="Y130" s="27"/>
      <x:c r="Z130" s="27"/>
      <x:c r="AA130" s="27"/>
      <x:c r="AB130" s="27"/>
      <x:c r="AC130" s="27"/>
      <x:c r="AD130" s="27"/>
      <x:c r="AE130" s="27"/>
      <x:c r="AF130" s="27"/>
      <x:c r="AG130" s="27"/>
      <x:c r="AH130" s="27"/>
      <x:c r="AI130" s="27"/>
      <x:c r="AJ130" s="27"/>
      <x:c r="AK130" s="27"/>
      <x:c r="AL130" s="27"/>
      <x:c r="AM130" s="27"/>
      <x:c r="AN130" s="27"/>
      <x:c r="AO130" s="27"/>
      <x:c r="AP130" s="27"/>
      <x:c r="AQ130" s="27"/>
      <x:c r="AR130" s="27"/>
      <x:c r="AS130" s="27"/>
      <x:c r="AT130" s="27"/>
      <x:c r="AU130" s="27"/>
      <x:c r="AV130" s="27"/>
      <x:c r="AW130" s="27"/>
      <x:c r="AX130" s="27"/>
      <x:c r="AY130" s="27"/>
      <x:c r="AZ130" s="27"/>
    </x:row>
    <x:row r="131">
      <x:c r="A131" s="27"/>
      <x:c r="B131" s="27"/>
      <x:c r="C131" s="27"/>
      <x:c r="D131" s="27"/>
      <x:c r="E131" s="27"/>
      <x:c r="F131" s="27"/>
      <x:c r="G131" s="27"/>
      <x:c r="H131" s="27"/>
      <x:c r="I131" s="27"/>
      <x:c r="J131" s="27"/>
      <x:c r="K131" s="27"/>
      <x:c r="L131" s="27"/>
      <x:c r="M131" s="27"/>
      <x:c r="N131" s="27"/>
      <x:c r="O131" s="27"/>
      <x:c r="P131" s="27"/>
      <x:c r="Q131" s="27"/>
      <x:c r="R131" s="27"/>
      <x:c r="S131" s="27"/>
      <x:c r="T131" s="27"/>
      <x:c r="U131" s="27"/>
      <x:c r="V131" s="27"/>
      <x:c r="W131" s="27"/>
      <x:c r="X131" s="27"/>
      <x:c r="Y131" s="27"/>
      <x:c r="Z131" s="27"/>
      <x:c r="AA131" s="27"/>
      <x:c r="AB131" s="27"/>
      <x:c r="AC131" s="27"/>
      <x:c r="AD131" s="27"/>
      <x:c r="AE131" s="27"/>
      <x:c r="AF131" s="27"/>
      <x:c r="AG131" s="27"/>
      <x:c r="AH131" s="27"/>
      <x:c r="AI131" s="27"/>
      <x:c r="AJ131" s="27"/>
      <x:c r="AK131" s="27"/>
      <x:c r="AL131" s="27"/>
      <x:c r="AM131" s="27"/>
      <x:c r="AN131" s="27"/>
      <x:c r="AO131" s="27"/>
      <x:c r="AP131" s="27"/>
      <x:c r="AQ131" s="27"/>
      <x:c r="AR131" s="27"/>
      <x:c r="AS131" s="27"/>
      <x:c r="AT131" s="27"/>
      <x:c r="AU131" s="27"/>
      <x:c r="AV131" s="27"/>
      <x:c r="AW131" s="27"/>
      <x:c r="AX131" s="27"/>
      <x:c r="AY131" s="27"/>
      <x:c r="AZ131" s="27"/>
    </x:row>
    <x:row r="132">
      <x:c r="A132" s="27"/>
      <x:c r="B132" s="27"/>
      <x:c r="C132" s="27"/>
      <x:c r="D132" s="27"/>
      <x:c r="E132" s="27"/>
      <x:c r="F132" s="27"/>
      <x:c r="G132" s="27"/>
      <x:c r="H132" s="27"/>
      <x:c r="I132" s="27"/>
      <x:c r="J132" s="27"/>
      <x:c r="K132" s="27"/>
      <x:c r="L132" s="27"/>
      <x:c r="M132" s="27"/>
      <x:c r="N132" s="27"/>
      <x:c r="O132" s="27"/>
      <x:c r="P132" s="27"/>
      <x:c r="Q132" s="27"/>
      <x:c r="R132" s="27"/>
      <x:c r="S132" s="27"/>
      <x:c r="T132" s="27"/>
      <x:c r="U132" s="27"/>
      <x:c r="V132" s="27"/>
      <x:c r="W132" s="27"/>
      <x:c r="X132" s="27"/>
      <x:c r="Y132" s="27"/>
      <x:c r="Z132" s="27"/>
      <x:c r="AA132" s="27"/>
      <x:c r="AB132" s="27"/>
      <x:c r="AC132" s="27"/>
      <x:c r="AD132" s="27"/>
      <x:c r="AE132" s="27"/>
      <x:c r="AF132" s="27"/>
      <x:c r="AG132" s="27"/>
      <x:c r="AH132" s="27"/>
      <x:c r="AI132" s="27"/>
      <x:c r="AJ132" s="27"/>
      <x:c r="AK132" s="27"/>
      <x:c r="AL132" s="27"/>
      <x:c r="AM132" s="27"/>
      <x:c r="AN132" s="27"/>
      <x:c r="AO132" s="27"/>
      <x:c r="AP132" s="27"/>
      <x:c r="AQ132" s="27"/>
      <x:c r="AR132" s="27"/>
      <x:c r="AS132" s="27"/>
      <x:c r="AT132" s="27"/>
      <x:c r="AU132" s="27"/>
      <x:c r="AV132" s="27"/>
      <x:c r="AW132" s="27"/>
      <x:c r="AX132" s="27"/>
      <x:c r="AY132" s="27"/>
      <x:c r="AZ132" s="27"/>
    </x:row>
    <x:row r="133">
      <x:c r="A133" s="27"/>
      <x:c r="B133" s="27"/>
      <x:c r="C133" s="27"/>
      <x:c r="D133" s="27"/>
      <x:c r="E133" s="27"/>
      <x:c r="F133" s="27"/>
      <x:c r="G133" s="27"/>
      <x:c r="H133" s="27"/>
      <x:c r="I133" s="27"/>
      <x:c r="J133" s="27"/>
      <x:c r="K133" s="27"/>
      <x:c r="L133" s="27"/>
      <x:c r="M133" s="27"/>
      <x:c r="N133" s="27"/>
      <x:c r="O133" s="27"/>
      <x:c r="P133" s="27"/>
      <x:c r="Q133" s="27"/>
      <x:c r="R133" s="27"/>
      <x:c r="S133" s="27"/>
      <x:c r="T133" s="27"/>
      <x:c r="U133" s="27"/>
      <x:c r="V133" s="27"/>
      <x:c r="W133" s="27"/>
      <x:c r="X133" s="27"/>
      <x:c r="Y133" s="27"/>
      <x:c r="Z133" s="27"/>
      <x:c r="AA133" s="27"/>
      <x:c r="AB133" s="27"/>
      <x:c r="AC133" s="27"/>
      <x:c r="AD133" s="27"/>
      <x:c r="AE133" s="27"/>
      <x:c r="AF133" s="27"/>
      <x:c r="AG133" s="27"/>
      <x:c r="AH133" s="27"/>
      <x:c r="AI133" s="27"/>
      <x:c r="AJ133" s="27"/>
      <x:c r="AK133" s="27"/>
      <x:c r="AL133" s="27"/>
      <x:c r="AM133" s="27"/>
      <x:c r="AN133" s="27"/>
      <x:c r="AO133" s="27"/>
      <x:c r="AP133" s="27"/>
      <x:c r="AQ133" s="27"/>
      <x:c r="AR133" s="27"/>
      <x:c r="AS133" s="27"/>
      <x:c r="AT133" s="27"/>
      <x:c r="AU133" s="27"/>
      <x:c r="AV133" s="27"/>
      <x:c r="AW133" s="27"/>
      <x:c r="AX133" s="27"/>
      <x:c r="AY133" s="27"/>
      <x:c r="AZ133" s="27"/>
    </x:row>
    <x:row r="134">
      <x:c r="A134" s="27"/>
      <x:c r="B134" s="27"/>
      <x:c r="C134" s="27"/>
      <x:c r="D134" s="27"/>
      <x:c r="E134" s="27"/>
      <x:c r="F134" s="27"/>
      <x:c r="G134" s="27"/>
      <x:c r="H134" s="27"/>
      <x:c r="I134" s="27"/>
      <x:c r="J134" s="27"/>
      <x:c r="K134" s="27"/>
      <x:c r="L134" s="27"/>
      <x:c r="M134" s="27"/>
      <x:c r="N134" s="27"/>
      <x:c r="O134" s="27"/>
      <x:c r="P134" s="27"/>
      <x:c r="Q134" s="27"/>
      <x:c r="R134" s="27"/>
      <x:c r="S134" s="27"/>
      <x:c r="T134" s="27"/>
      <x:c r="U134" s="27"/>
      <x:c r="V134" s="27"/>
      <x:c r="W134" s="27"/>
      <x:c r="X134" s="27"/>
      <x:c r="Y134" s="27"/>
      <x:c r="Z134" s="27"/>
      <x:c r="AA134" s="27"/>
      <x:c r="AB134" s="27"/>
      <x:c r="AC134" s="27"/>
      <x:c r="AD134" s="27"/>
      <x:c r="AE134" s="27"/>
      <x:c r="AF134" s="27"/>
      <x:c r="AG134" s="27"/>
      <x:c r="AH134" s="27"/>
      <x:c r="AI134" s="27"/>
      <x:c r="AJ134" s="27"/>
      <x:c r="AK134" s="27"/>
      <x:c r="AL134" s="27"/>
      <x:c r="AM134" s="27"/>
      <x:c r="AN134" s="27"/>
      <x:c r="AO134" s="27"/>
      <x:c r="AP134" s="27"/>
      <x:c r="AQ134" s="27"/>
      <x:c r="AR134" s="27"/>
      <x:c r="AS134" s="27"/>
      <x:c r="AT134" s="27"/>
      <x:c r="AU134" s="27"/>
      <x:c r="AV134" s="27"/>
      <x:c r="AW134" s="27"/>
      <x:c r="AX134" s="27"/>
      <x:c r="AY134" s="27"/>
      <x:c r="AZ134" s="27"/>
    </x:row>
    <x:row r="135">
      <x:c r="A135" s="27"/>
      <x:c r="B135" s="27"/>
      <x:c r="C135" s="27"/>
      <x:c r="D135" s="27"/>
      <x:c r="E135" s="27"/>
      <x:c r="F135" s="27"/>
      <x:c r="G135" s="27"/>
      <x:c r="H135" s="27"/>
      <x:c r="I135" s="27"/>
      <x:c r="J135" s="27"/>
      <x:c r="K135" s="27"/>
      <x:c r="L135" s="27"/>
      <x:c r="M135" s="27"/>
      <x:c r="N135" s="27"/>
      <x:c r="O135" s="27"/>
      <x:c r="P135" s="27"/>
      <x:c r="Q135" s="27"/>
      <x:c r="R135" s="27"/>
      <x:c r="S135" s="27"/>
      <x:c r="T135" s="27"/>
      <x:c r="U135" s="27"/>
      <x:c r="V135" s="27"/>
      <x:c r="W135" s="27"/>
      <x:c r="X135" s="27"/>
      <x:c r="Y135" s="27"/>
      <x:c r="Z135" s="27"/>
      <x:c r="AA135" s="27"/>
      <x:c r="AB135" s="27"/>
      <x:c r="AC135" s="27"/>
      <x:c r="AD135" s="27"/>
      <x:c r="AE135" s="27"/>
      <x:c r="AF135" s="27"/>
      <x:c r="AG135" s="27"/>
      <x:c r="AH135" s="27"/>
      <x:c r="AI135" s="27"/>
      <x:c r="AJ135" s="27"/>
      <x:c r="AK135" s="27"/>
      <x:c r="AL135" s="27"/>
      <x:c r="AM135" s="27"/>
      <x:c r="AN135" s="27"/>
      <x:c r="AO135" s="27"/>
      <x:c r="AP135" s="27"/>
      <x:c r="AQ135" s="27"/>
      <x:c r="AR135" s="27"/>
      <x:c r="AS135" s="27"/>
      <x:c r="AT135" s="27"/>
      <x:c r="AU135" s="27"/>
      <x:c r="AV135" s="27"/>
      <x:c r="AW135" s="27"/>
      <x:c r="AX135" s="27"/>
      <x:c r="AY135" s="27"/>
      <x:c r="AZ135" s="27"/>
    </x:row>
    <x:row r="136">
      <x:c r="A136" s="27"/>
      <x:c r="B136" s="27"/>
      <x:c r="C136" s="27"/>
      <x:c r="D136" s="27"/>
      <x:c r="E136" s="27"/>
      <x:c r="F136" s="27"/>
      <x:c r="G136" s="27"/>
      <x:c r="H136" s="27"/>
      <x:c r="I136" s="27"/>
      <x:c r="J136" s="27"/>
      <x:c r="K136" s="27"/>
      <x:c r="L136" s="27"/>
      <x:c r="M136" s="27"/>
      <x:c r="N136" s="27"/>
      <x:c r="O136" s="27"/>
      <x:c r="P136" s="27"/>
      <x:c r="Q136" s="27"/>
      <x:c r="R136" s="27"/>
      <x:c r="S136" s="27"/>
      <x:c r="T136" s="27"/>
      <x:c r="U136" s="27"/>
      <x:c r="V136" s="27"/>
      <x:c r="W136" s="27"/>
      <x:c r="X136" s="27"/>
      <x:c r="Y136" s="27"/>
      <x:c r="Z136" s="27"/>
      <x:c r="AA136" s="27"/>
      <x:c r="AB136" s="27"/>
      <x:c r="AC136" s="27"/>
      <x:c r="AD136" s="27"/>
      <x:c r="AE136" s="27"/>
      <x:c r="AF136" s="27"/>
      <x:c r="AG136" s="27"/>
      <x:c r="AH136" s="27"/>
      <x:c r="AI136" s="27"/>
      <x:c r="AJ136" s="27"/>
      <x:c r="AK136" s="27"/>
      <x:c r="AL136" s="27"/>
      <x:c r="AM136" s="27"/>
      <x:c r="AN136" s="27"/>
      <x:c r="AO136" s="27"/>
      <x:c r="AP136" s="27"/>
      <x:c r="AQ136" s="27"/>
      <x:c r="AR136" s="27"/>
      <x:c r="AS136" s="27"/>
      <x:c r="AT136" s="27"/>
      <x:c r="AU136" s="27"/>
      <x:c r="AV136" s="27"/>
      <x:c r="AW136" s="27"/>
      <x:c r="AX136" s="27"/>
      <x:c r="AY136" s="27"/>
      <x:c r="AZ136" s="27"/>
    </x:row>
    <x:row r="137">
      <x:c r="A137" s="27"/>
      <x:c r="B137" s="27"/>
      <x:c r="C137" s="27"/>
      <x:c r="D137" s="27"/>
      <x:c r="E137" s="27"/>
      <x:c r="F137" s="27"/>
      <x:c r="G137" s="27"/>
      <x:c r="H137" s="27"/>
      <x:c r="I137" s="27"/>
      <x:c r="J137" s="27"/>
      <x:c r="K137" s="27"/>
      <x:c r="L137" s="27"/>
      <x:c r="M137" s="27"/>
      <x:c r="N137" s="27"/>
      <x:c r="O137" s="27"/>
      <x:c r="P137" s="27"/>
      <x:c r="Q137" s="27"/>
      <x:c r="R137" s="27"/>
      <x:c r="S137" s="27"/>
      <x:c r="T137" s="27"/>
      <x:c r="U137" s="27"/>
      <x:c r="V137" s="27"/>
      <x:c r="W137" s="27"/>
      <x:c r="X137" s="27"/>
      <x:c r="Y137" s="27"/>
      <x:c r="Z137" s="27"/>
      <x:c r="AA137" s="27"/>
      <x:c r="AB137" s="27"/>
      <x:c r="AC137" s="27"/>
      <x:c r="AD137" s="27"/>
      <x:c r="AE137" s="27"/>
      <x:c r="AF137" s="27"/>
      <x:c r="AG137" s="27"/>
      <x:c r="AH137" s="27"/>
      <x:c r="AI137" s="27"/>
      <x:c r="AJ137" s="27"/>
      <x:c r="AK137" s="27"/>
      <x:c r="AL137" s="27"/>
      <x:c r="AM137" s="27"/>
      <x:c r="AN137" s="27"/>
      <x:c r="AO137" s="27"/>
      <x:c r="AP137" s="27"/>
      <x:c r="AQ137" s="27"/>
      <x:c r="AR137" s="27"/>
      <x:c r="AS137" s="27"/>
      <x:c r="AT137" s="27"/>
      <x:c r="AU137" s="27"/>
      <x:c r="AV137" s="27"/>
      <x:c r="AW137" s="27"/>
      <x:c r="AX137" s="27"/>
      <x:c r="AY137" s="27"/>
      <x:c r="AZ137" s="27"/>
    </x:row>
    <x:row r="138">
      <x:c r="A138" s="27"/>
      <x:c r="B138" s="27"/>
      <x:c r="C138" s="27"/>
      <x:c r="D138" s="27"/>
      <x:c r="E138" s="27"/>
      <x:c r="F138" s="27"/>
      <x:c r="G138" s="27"/>
      <x:c r="H138" s="27"/>
      <x:c r="I138" s="27"/>
      <x:c r="J138" s="27"/>
      <x:c r="K138" s="27"/>
      <x:c r="L138" s="27"/>
      <x:c r="M138" s="27"/>
      <x:c r="N138" s="27"/>
      <x:c r="O138" s="27"/>
      <x:c r="P138" s="27"/>
      <x:c r="Q138" s="27"/>
      <x:c r="R138" s="27"/>
      <x:c r="S138" s="27"/>
      <x:c r="T138" s="27"/>
      <x:c r="U138" s="27"/>
      <x:c r="V138" s="27"/>
      <x:c r="W138" s="27"/>
      <x:c r="X138" s="27"/>
      <x:c r="Y138" s="27"/>
      <x:c r="Z138" s="27"/>
      <x:c r="AA138" s="27"/>
      <x:c r="AB138" s="27"/>
      <x:c r="AC138" s="27"/>
      <x:c r="AD138" s="27"/>
      <x:c r="AE138" s="27"/>
      <x:c r="AF138" s="27"/>
      <x:c r="AG138" s="27"/>
      <x:c r="AH138" s="27"/>
      <x:c r="AI138" s="27"/>
      <x:c r="AJ138" s="27"/>
      <x:c r="AK138" s="27"/>
      <x:c r="AL138" s="27"/>
      <x:c r="AM138" s="27"/>
      <x:c r="AN138" s="27"/>
      <x:c r="AO138" s="27"/>
      <x:c r="AP138" s="27"/>
      <x:c r="AQ138" s="27"/>
      <x:c r="AR138" s="27"/>
      <x:c r="AS138" s="27"/>
      <x:c r="AT138" s="27"/>
      <x:c r="AU138" s="27"/>
      <x:c r="AV138" s="27"/>
      <x:c r="AW138" s="27"/>
      <x:c r="AX138" s="27"/>
      <x:c r="AY138" s="27"/>
      <x:c r="AZ138" s="27"/>
    </x:row>
    <x:row r="139">
      <x:c r="A139" s="27"/>
      <x:c r="B139" s="27"/>
      <x:c r="C139" s="27"/>
      <x:c r="D139" s="27"/>
      <x:c r="E139" s="27"/>
      <x:c r="F139" s="27"/>
      <x:c r="G139" s="27"/>
      <x:c r="H139" s="27"/>
      <x:c r="I139" s="27"/>
      <x:c r="J139" s="27"/>
      <x:c r="K139" s="27"/>
      <x:c r="L139" s="27"/>
      <x:c r="M139" s="27"/>
      <x:c r="N139" s="27"/>
      <x:c r="O139" s="27"/>
      <x:c r="P139" s="27"/>
      <x:c r="Q139" s="27"/>
      <x:c r="R139" s="27"/>
      <x:c r="S139" s="27"/>
      <x:c r="T139" s="27"/>
      <x:c r="U139" s="27"/>
      <x:c r="V139" s="27"/>
      <x:c r="W139" s="27"/>
      <x:c r="X139" s="27"/>
      <x:c r="Y139" s="27"/>
      <x:c r="Z139" s="27"/>
      <x:c r="AA139" s="27"/>
      <x:c r="AB139" s="27"/>
      <x:c r="AC139" s="27"/>
      <x:c r="AD139" s="27"/>
      <x:c r="AE139" s="27"/>
      <x:c r="AF139" s="27"/>
      <x:c r="AG139" s="27"/>
      <x:c r="AH139" s="27"/>
      <x:c r="AI139" s="27"/>
      <x:c r="AJ139" s="27"/>
      <x:c r="AK139" s="27"/>
      <x:c r="AL139" s="27"/>
      <x:c r="AM139" s="27"/>
      <x:c r="AN139" s="27"/>
      <x:c r="AO139" s="27"/>
      <x:c r="AP139" s="27"/>
      <x:c r="AQ139" s="27"/>
      <x:c r="AR139" s="27"/>
      <x:c r="AS139" s="27"/>
      <x:c r="AT139" s="27"/>
      <x:c r="AU139" s="27"/>
      <x:c r="AV139" s="27"/>
      <x:c r="AW139" s="27"/>
      <x:c r="AX139" s="27"/>
      <x:c r="AY139" s="27"/>
      <x:c r="AZ139" s="27"/>
    </x:row>
    <x:row r="140">
      <x:c r="A140" s="27"/>
      <x:c r="B140" s="27"/>
      <x:c r="C140" s="27"/>
      <x:c r="D140" s="27"/>
      <x:c r="E140" s="27"/>
      <x:c r="F140" s="27"/>
      <x:c r="G140" s="27"/>
      <x:c r="H140" s="27"/>
      <x:c r="I140" s="27"/>
      <x:c r="J140" s="27"/>
      <x:c r="K140" s="27"/>
      <x:c r="L140" s="27"/>
      <x:c r="M140" s="27"/>
      <x:c r="N140" s="27"/>
      <x:c r="O140" s="27"/>
      <x:c r="P140" s="27"/>
      <x:c r="Q140" s="27"/>
      <x:c r="R140" s="27"/>
      <x:c r="S140" s="27"/>
      <x:c r="T140" s="27"/>
      <x:c r="U140" s="27"/>
      <x:c r="V140" s="27"/>
      <x:c r="W140" s="27"/>
      <x:c r="X140" s="27"/>
      <x:c r="Y140" s="27"/>
      <x:c r="Z140" s="27"/>
      <x:c r="AA140" s="27"/>
      <x:c r="AB140" s="27"/>
      <x:c r="AC140" s="27"/>
      <x:c r="AD140" s="27"/>
      <x:c r="AE140" s="27"/>
      <x:c r="AF140" s="27"/>
      <x:c r="AG140" s="27"/>
      <x:c r="AH140" s="27"/>
      <x:c r="AI140" s="27"/>
      <x:c r="AJ140" s="27"/>
      <x:c r="AK140" s="27"/>
      <x:c r="AL140" s="27"/>
      <x:c r="AM140" s="27"/>
      <x:c r="AN140" s="27"/>
      <x:c r="AO140" s="27"/>
      <x:c r="AP140" s="27"/>
      <x:c r="AQ140" s="27"/>
      <x:c r="AR140" s="27"/>
      <x:c r="AS140" s="27"/>
      <x:c r="AT140" s="27"/>
      <x:c r="AU140" s="27"/>
      <x:c r="AV140" s="27"/>
      <x:c r="AW140" s="27"/>
      <x:c r="AX140" s="27"/>
      <x:c r="AY140" s="27"/>
      <x:c r="AZ140" s="27"/>
    </x:row>
    <x:row r="141">
      <x:c r="A141" s="27"/>
      <x:c r="B141" s="27"/>
      <x:c r="C141" s="27"/>
      <x:c r="D141" s="27"/>
      <x:c r="E141" s="27"/>
      <x:c r="F141" s="27"/>
      <x:c r="G141" s="27"/>
      <x:c r="H141" s="27"/>
      <x:c r="I141" s="27"/>
      <x:c r="J141" s="27"/>
      <x:c r="K141" s="27"/>
      <x:c r="L141" s="27"/>
      <x:c r="M141" s="27"/>
      <x:c r="N141" s="27"/>
      <x:c r="O141" s="27"/>
      <x:c r="P141" s="27"/>
      <x:c r="Q141" s="27"/>
      <x:c r="R141" s="27"/>
      <x:c r="S141" s="27"/>
      <x:c r="T141" s="27"/>
      <x:c r="U141" s="27"/>
      <x:c r="V141" s="27"/>
      <x:c r="W141" s="27"/>
      <x:c r="X141" s="27"/>
      <x:c r="Y141" s="27"/>
      <x:c r="Z141" s="27"/>
      <x:c r="AA141" s="27"/>
      <x:c r="AB141" s="27"/>
      <x:c r="AC141" s="27"/>
      <x:c r="AD141" s="27"/>
      <x:c r="AE141" s="27"/>
      <x:c r="AF141" s="27"/>
      <x:c r="AG141" s="27"/>
      <x:c r="AH141" s="27"/>
      <x:c r="AI141" s="27"/>
      <x:c r="AJ141" s="27"/>
      <x:c r="AK141" s="27"/>
      <x:c r="AL141" s="27"/>
      <x:c r="AM141" s="27"/>
      <x:c r="AN141" s="27"/>
      <x:c r="AO141" s="27"/>
      <x:c r="AP141" s="27"/>
      <x:c r="AQ141" s="27"/>
      <x:c r="AR141" s="27"/>
      <x:c r="AS141" s="27"/>
      <x:c r="AT141" s="27"/>
      <x:c r="AU141" s="27"/>
      <x:c r="AV141" s="27"/>
      <x:c r="AW141" s="27"/>
      <x:c r="AX141" s="27"/>
      <x:c r="AY141" s="27"/>
      <x:c r="AZ141" s="27"/>
    </x:row>
    <x:row r="142">
      <x:c r="A142" s="27"/>
      <x:c r="B142" s="27"/>
      <x:c r="C142" s="27"/>
      <x:c r="D142" s="27"/>
      <x:c r="E142" s="27"/>
      <x:c r="F142" s="27"/>
      <x:c r="G142" s="27"/>
      <x:c r="H142" s="27"/>
      <x:c r="I142" s="27"/>
      <x:c r="J142" s="27"/>
      <x:c r="K142" s="27"/>
      <x:c r="L142" s="27"/>
      <x:c r="M142" s="27"/>
      <x:c r="N142" s="27"/>
      <x:c r="O142" s="27"/>
      <x:c r="P142" s="27"/>
      <x:c r="Q142" s="27"/>
      <x:c r="R142" s="27"/>
      <x:c r="S142" s="27"/>
      <x:c r="T142" s="27"/>
      <x:c r="U142" s="27"/>
      <x:c r="V142" s="27"/>
      <x:c r="W142" s="27"/>
      <x:c r="X142" s="27"/>
      <x:c r="Y142" s="27"/>
      <x:c r="Z142" s="27"/>
      <x:c r="AA142" s="27"/>
      <x:c r="AB142" s="27"/>
      <x:c r="AC142" s="27"/>
      <x:c r="AD142" s="27"/>
      <x:c r="AE142" s="27"/>
      <x:c r="AF142" s="27"/>
      <x:c r="AG142" s="27"/>
      <x:c r="AH142" s="27"/>
      <x:c r="AI142" s="27"/>
      <x:c r="AJ142" s="27"/>
      <x:c r="AK142" s="27"/>
      <x:c r="AL142" s="27"/>
      <x:c r="AM142" s="27"/>
      <x:c r="AN142" s="27"/>
      <x:c r="AO142" s="27"/>
      <x:c r="AP142" s="27"/>
      <x:c r="AQ142" s="27"/>
      <x:c r="AR142" s="27"/>
      <x:c r="AS142" s="27"/>
      <x:c r="AT142" s="27"/>
      <x:c r="AU142" s="27"/>
      <x:c r="AV142" s="27"/>
      <x:c r="AW142" s="27"/>
      <x:c r="AX142" s="27"/>
      <x:c r="AY142" s="27"/>
      <x:c r="AZ142" s="27"/>
    </x:row>
    <x:row r="143">
      <x:c r="A143" s="27"/>
      <x:c r="B143" s="27"/>
      <x:c r="C143" s="27"/>
      <x:c r="D143" s="27"/>
      <x:c r="E143" s="27"/>
      <x:c r="F143" s="27"/>
      <x:c r="G143" s="27"/>
      <x:c r="H143" s="27"/>
      <x:c r="I143" s="27"/>
      <x:c r="J143" s="27"/>
      <x:c r="K143" s="27"/>
      <x:c r="L143" s="27"/>
      <x:c r="M143" s="27"/>
      <x:c r="N143" s="27"/>
      <x:c r="O143" s="27"/>
      <x:c r="P143" s="27"/>
      <x:c r="Q143" s="27"/>
      <x:c r="R143" s="27"/>
      <x:c r="S143" s="27"/>
      <x:c r="T143" s="27"/>
      <x:c r="U143" s="27"/>
      <x:c r="V143" s="27"/>
      <x:c r="W143" s="27"/>
      <x:c r="X143" s="27"/>
      <x:c r="Y143" s="27"/>
      <x:c r="Z143" s="27"/>
      <x:c r="AA143" s="27"/>
      <x:c r="AB143" s="27"/>
      <x:c r="AC143" s="27"/>
      <x:c r="AD143" s="27"/>
      <x:c r="AE143" s="27"/>
      <x:c r="AF143" s="27"/>
      <x:c r="AG143" s="27"/>
      <x:c r="AH143" s="27"/>
      <x:c r="AI143" s="27"/>
      <x:c r="AJ143" s="27"/>
      <x:c r="AK143" s="27"/>
      <x:c r="AL143" s="27"/>
      <x:c r="AM143" s="27"/>
      <x:c r="AN143" s="27"/>
      <x:c r="AO143" s="27"/>
      <x:c r="AP143" s="27"/>
      <x:c r="AQ143" s="27"/>
      <x:c r="AR143" s="27"/>
      <x:c r="AS143" s="27"/>
      <x:c r="AT143" s="27"/>
      <x:c r="AU143" s="27"/>
      <x:c r="AV143" s="27"/>
      <x:c r="AW143" s="27"/>
      <x:c r="AX143" s="27"/>
      <x:c r="AY143" s="27"/>
      <x:c r="AZ143" s="27"/>
    </x:row>
    <x:row r="144">
      <x:c r="A144" s="27"/>
      <x:c r="B144" s="27"/>
      <x:c r="C144" s="27"/>
      <x:c r="D144" s="27"/>
      <x:c r="E144" s="27"/>
      <x:c r="F144" s="27"/>
      <x:c r="G144" s="27"/>
      <x:c r="H144" s="27"/>
      <x:c r="I144" s="27"/>
      <x:c r="J144" s="27"/>
      <x:c r="K144" s="27"/>
      <x:c r="L144" s="27"/>
      <x:c r="M144" s="27"/>
      <x:c r="N144" s="27"/>
      <x:c r="O144" s="27"/>
      <x:c r="P144" s="27"/>
      <x:c r="Q144" s="27"/>
      <x:c r="R144" s="27"/>
      <x:c r="S144" s="27"/>
      <x:c r="T144" s="27"/>
      <x:c r="U144" s="27"/>
      <x:c r="V144" s="27"/>
      <x:c r="W144" s="27"/>
      <x:c r="X144" s="27"/>
      <x:c r="Y144" s="27"/>
      <x:c r="Z144" s="27"/>
      <x:c r="AA144" s="27"/>
      <x:c r="AB144" s="27"/>
      <x:c r="AC144" s="27"/>
      <x:c r="AD144" s="27"/>
      <x:c r="AE144" s="27"/>
      <x:c r="AF144" s="27"/>
      <x:c r="AG144" s="27"/>
      <x:c r="AH144" s="27"/>
      <x:c r="AI144" s="27"/>
      <x:c r="AJ144" s="27"/>
      <x:c r="AK144" s="27"/>
      <x:c r="AL144" s="27"/>
      <x:c r="AM144" s="27"/>
      <x:c r="AN144" s="27"/>
      <x:c r="AO144" s="27"/>
      <x:c r="AP144" s="27"/>
      <x:c r="AQ144" s="27"/>
      <x:c r="AR144" s="27"/>
      <x:c r="AS144" s="27"/>
      <x:c r="AT144" s="27"/>
      <x:c r="AU144" s="27"/>
      <x:c r="AV144" s="27"/>
      <x:c r="AW144" s="27"/>
      <x:c r="AX144" s="27"/>
      <x:c r="AY144" s="27"/>
      <x:c r="AZ144" s="27"/>
    </x:row>
    <x:row r="145">
      <x:c r="A145" s="27"/>
      <x:c r="B145" s="27"/>
      <x:c r="C145" s="27"/>
      <x:c r="D145" s="27"/>
      <x:c r="E145" s="27"/>
      <x:c r="F145" s="27"/>
      <x:c r="G145" s="27"/>
      <x:c r="H145" s="27"/>
      <x:c r="I145" s="27"/>
      <x:c r="J145" s="27"/>
      <x:c r="K145" s="27"/>
      <x:c r="L145" s="27"/>
      <x:c r="M145" s="27"/>
      <x:c r="N145" s="27"/>
      <x:c r="O145" s="27"/>
      <x:c r="P145" s="27"/>
      <x:c r="Q145" s="27"/>
      <x:c r="R145" s="27"/>
      <x:c r="S145" s="27"/>
      <x:c r="T145" s="27"/>
      <x:c r="U145" s="27"/>
      <x:c r="V145" s="27"/>
      <x:c r="W145" s="27"/>
      <x:c r="X145" s="27"/>
      <x:c r="Y145" s="27"/>
      <x:c r="Z145" s="27"/>
      <x:c r="AA145" s="27"/>
      <x:c r="AB145" s="27"/>
      <x:c r="AC145" s="27"/>
      <x:c r="AD145" s="27"/>
      <x:c r="AE145" s="27"/>
      <x:c r="AF145" s="27"/>
      <x:c r="AG145" s="27"/>
      <x:c r="AH145" s="27"/>
      <x:c r="AI145" s="27"/>
      <x:c r="AJ145" s="27"/>
      <x:c r="AK145" s="27"/>
      <x:c r="AL145" s="27"/>
      <x:c r="AM145" s="27"/>
      <x:c r="AN145" s="27"/>
      <x:c r="AO145" s="27"/>
      <x:c r="AP145" s="27"/>
      <x:c r="AQ145" s="27"/>
      <x:c r="AR145" s="27"/>
      <x:c r="AS145" s="27"/>
      <x:c r="AT145" s="27"/>
      <x:c r="AU145" s="27"/>
      <x:c r="AV145" s="27"/>
      <x:c r="AW145" s="27"/>
      <x:c r="AX145" s="27"/>
      <x:c r="AY145" s="27"/>
      <x:c r="AZ145" s="27"/>
    </x:row>
    <x:row r="146">
      <x:c r="A146" s="27"/>
      <x:c r="B146" s="27"/>
      <x:c r="C146" s="27"/>
      <x:c r="D146" s="27"/>
      <x:c r="E146" s="27"/>
      <x:c r="F146" s="27"/>
      <x:c r="G146" s="27"/>
      <x:c r="H146" s="27"/>
      <x:c r="I146" s="27"/>
      <x:c r="J146" s="27"/>
      <x:c r="K146" s="27"/>
      <x:c r="L146" s="27"/>
      <x:c r="M146" s="27"/>
      <x:c r="N146" s="27"/>
      <x:c r="O146" s="27"/>
      <x:c r="P146" s="27"/>
      <x:c r="Q146" s="27"/>
      <x:c r="R146" s="27"/>
      <x:c r="S146" s="27"/>
      <x:c r="T146" s="27"/>
      <x:c r="U146" s="27"/>
      <x:c r="V146" s="27"/>
      <x:c r="W146" s="27"/>
      <x:c r="X146" s="27"/>
      <x:c r="Y146" s="27"/>
      <x:c r="Z146" s="27"/>
      <x:c r="AA146" s="27"/>
      <x:c r="AB146" s="27"/>
      <x:c r="AC146" s="27"/>
      <x:c r="AD146" s="27"/>
      <x:c r="AE146" s="27"/>
      <x:c r="AF146" s="27"/>
      <x:c r="AG146" s="27"/>
      <x:c r="AH146" s="27"/>
      <x:c r="AI146" s="27"/>
      <x:c r="AJ146" s="27"/>
      <x:c r="AK146" s="27"/>
      <x:c r="AL146" s="27"/>
      <x:c r="AM146" s="27"/>
      <x:c r="AN146" s="27"/>
      <x:c r="AO146" s="27"/>
      <x:c r="AP146" s="27"/>
      <x:c r="AQ146" s="27"/>
      <x:c r="AR146" s="27"/>
      <x:c r="AS146" s="27"/>
      <x:c r="AT146" s="27"/>
      <x:c r="AU146" s="27"/>
      <x:c r="AV146" s="27"/>
      <x:c r="AW146" s="27"/>
      <x:c r="AX146" s="27"/>
      <x:c r="AY146" s="27"/>
      <x:c r="AZ146" s="27"/>
    </x:row>
    <x:row r="147">
      <x:c r="A147" s="27"/>
      <x:c r="B147" s="27"/>
      <x:c r="C147" s="27"/>
      <x:c r="D147" s="27"/>
      <x:c r="E147" s="27"/>
      <x:c r="F147" s="27"/>
      <x:c r="G147" s="27"/>
      <x:c r="H147" s="27"/>
      <x:c r="I147" s="27"/>
      <x:c r="J147" s="27"/>
      <x:c r="K147" s="27"/>
      <x:c r="L147" s="27"/>
      <x:c r="M147" s="27"/>
      <x:c r="N147" s="27"/>
      <x:c r="O147" s="27"/>
      <x:c r="P147" s="27"/>
      <x:c r="Q147" s="27"/>
      <x:c r="R147" s="27"/>
      <x:c r="S147" s="27"/>
      <x:c r="T147" s="27"/>
      <x:c r="U147" s="27"/>
      <x:c r="V147" s="27"/>
      <x:c r="W147" s="27"/>
      <x:c r="X147" s="27"/>
      <x:c r="Y147" s="27"/>
      <x:c r="Z147" s="27"/>
      <x:c r="AA147" s="27"/>
      <x:c r="AB147" s="27"/>
      <x:c r="AC147" s="27"/>
      <x:c r="AD147" s="27"/>
      <x:c r="AE147" s="27"/>
      <x:c r="AF147" s="27"/>
      <x:c r="AG147" s="27"/>
      <x:c r="AH147" s="27"/>
      <x:c r="AI147" s="27"/>
      <x:c r="AJ147" s="27"/>
      <x:c r="AK147" s="27"/>
      <x:c r="AL147" s="27"/>
      <x:c r="AM147" s="27"/>
      <x:c r="AN147" s="27"/>
      <x:c r="AO147" s="27"/>
      <x:c r="AP147" s="27"/>
      <x:c r="AQ147" s="27"/>
      <x:c r="AR147" s="27"/>
      <x:c r="AS147" s="27"/>
      <x:c r="AT147" s="27"/>
      <x:c r="AU147" s="27"/>
      <x:c r="AV147" s="27"/>
      <x:c r="AW147" s="27"/>
      <x:c r="AX147" s="27"/>
      <x:c r="AY147" s="27"/>
      <x:c r="AZ147" s="27"/>
    </x:row>
    <x:row r="148">
      <x:c r="A148" s="27"/>
      <x:c r="B148" s="27"/>
      <x:c r="C148" s="27"/>
      <x:c r="D148" s="27"/>
      <x:c r="E148" s="27"/>
      <x:c r="F148" s="27"/>
      <x:c r="G148" s="27"/>
      <x:c r="H148" s="27"/>
      <x:c r="I148" s="27"/>
      <x:c r="J148" s="27"/>
      <x:c r="K148" s="27"/>
      <x:c r="L148" s="27"/>
      <x:c r="M148" s="27"/>
      <x:c r="N148" s="27"/>
      <x:c r="O148" s="27"/>
      <x:c r="P148" s="27"/>
      <x:c r="Q148" s="27"/>
      <x:c r="R148" s="27"/>
      <x:c r="S148" s="27"/>
      <x:c r="T148" s="27"/>
      <x:c r="U148" s="27"/>
      <x:c r="V148" s="27"/>
      <x:c r="W148" s="27"/>
      <x:c r="X148" s="27"/>
      <x:c r="Y148" s="27"/>
      <x:c r="Z148" s="27"/>
      <x:c r="AA148" s="27"/>
      <x:c r="AB148" s="27"/>
      <x:c r="AC148" s="27"/>
      <x:c r="AD148" s="27"/>
      <x:c r="AE148" s="27"/>
      <x:c r="AF148" s="27"/>
      <x:c r="AG148" s="27"/>
      <x:c r="AH148" s="27"/>
      <x:c r="AI148" s="27"/>
      <x:c r="AJ148" s="27"/>
      <x:c r="AK148" s="27"/>
      <x:c r="AL148" s="27"/>
      <x:c r="AM148" s="27"/>
      <x:c r="AN148" s="27"/>
      <x:c r="AO148" s="27"/>
      <x:c r="AP148" s="27"/>
      <x:c r="AQ148" s="27"/>
      <x:c r="AR148" s="27"/>
      <x:c r="AS148" s="27"/>
      <x:c r="AT148" s="27"/>
      <x:c r="AU148" s="27"/>
      <x:c r="AV148" s="27"/>
      <x:c r="AW148" s="27"/>
      <x:c r="AX148" s="27"/>
      <x:c r="AY148" s="27"/>
      <x:c r="AZ148" s="27"/>
    </x:row>
    <x:row r="149">
      <x:c r="A149" s="27"/>
      <x:c r="B149" s="27"/>
      <x:c r="C149" s="27"/>
      <x:c r="D149" s="27"/>
      <x:c r="E149" s="27"/>
      <x:c r="F149" s="27"/>
      <x:c r="G149" s="27"/>
      <x:c r="H149" s="27"/>
      <x:c r="I149" s="27"/>
      <x:c r="J149" s="27"/>
      <x:c r="K149" s="27"/>
      <x:c r="L149" s="27"/>
      <x:c r="M149" s="27"/>
      <x:c r="N149" s="27"/>
      <x:c r="O149" s="27"/>
      <x:c r="P149" s="27"/>
      <x:c r="Q149" s="27"/>
      <x:c r="R149" s="27"/>
      <x:c r="S149" s="27"/>
      <x:c r="T149" s="27"/>
      <x:c r="U149" s="27"/>
      <x:c r="V149" s="27"/>
      <x:c r="W149" s="27"/>
      <x:c r="X149" s="27"/>
      <x:c r="Y149" s="27"/>
      <x:c r="Z149" s="27"/>
      <x:c r="AA149" s="27"/>
      <x:c r="AB149" s="27"/>
      <x:c r="AC149" s="27"/>
      <x:c r="AD149" s="27"/>
      <x:c r="AE149" s="27"/>
      <x:c r="AF149" s="27"/>
      <x:c r="AG149" s="27"/>
      <x:c r="AH149" s="27"/>
      <x:c r="AI149" s="27"/>
      <x:c r="AJ149" s="27"/>
      <x:c r="AK149" s="27"/>
      <x:c r="AL149" s="27"/>
      <x:c r="AM149" s="27"/>
      <x:c r="AN149" s="27"/>
      <x:c r="AO149" s="27"/>
      <x:c r="AP149" s="27"/>
      <x:c r="AQ149" s="27"/>
      <x:c r="AR149" s="27"/>
      <x:c r="AS149" s="27"/>
      <x:c r="AT149" s="27"/>
      <x:c r="AU149" s="27"/>
      <x:c r="AV149" s="27"/>
      <x:c r="AW149" s="27"/>
      <x:c r="AX149" s="27"/>
      <x:c r="AY149" s="27"/>
      <x:c r="AZ149" s="27"/>
    </x:row>
    <x:row r="150">
      <x:c r="A150" s="27"/>
      <x:c r="B150" s="27"/>
      <x:c r="C150" s="27"/>
      <x:c r="D150" s="27"/>
      <x:c r="E150" s="27"/>
      <x:c r="F150" s="27"/>
      <x:c r="G150" s="27"/>
      <x:c r="H150" s="27"/>
      <x:c r="I150" s="27"/>
      <x:c r="J150" s="27"/>
      <x:c r="K150" s="27"/>
      <x:c r="L150" s="27"/>
      <x:c r="M150" s="27"/>
      <x:c r="N150" s="27"/>
      <x:c r="O150" s="27"/>
      <x:c r="P150" s="27"/>
      <x:c r="Q150" s="27"/>
      <x:c r="R150" s="27"/>
      <x:c r="S150" s="27"/>
      <x:c r="T150" s="27"/>
      <x:c r="U150" s="27"/>
      <x:c r="V150" s="27"/>
      <x:c r="W150" s="27"/>
      <x:c r="X150" s="27"/>
      <x:c r="Y150" s="27"/>
      <x:c r="Z150" s="27"/>
      <x:c r="AA150" s="27"/>
      <x:c r="AB150" s="27"/>
      <x:c r="AC150" s="27"/>
      <x:c r="AD150" s="27"/>
      <x:c r="AE150" s="27"/>
      <x:c r="AF150" s="27"/>
      <x:c r="AG150" s="27"/>
      <x:c r="AH150" s="27"/>
      <x:c r="AI150" s="27"/>
      <x:c r="AJ150" s="27"/>
      <x:c r="AK150" s="27"/>
      <x:c r="AL150" s="27"/>
      <x:c r="AM150" s="27"/>
      <x:c r="AN150" s="27"/>
      <x:c r="AO150" s="27"/>
      <x:c r="AP150" s="27"/>
      <x:c r="AQ150" s="27"/>
      <x:c r="AR150" s="27"/>
      <x:c r="AS150" s="27"/>
      <x:c r="AT150" s="27"/>
      <x:c r="AU150" s="27"/>
      <x:c r="AV150" s="27"/>
      <x:c r="AW150" s="27"/>
      <x:c r="AX150" s="27"/>
      <x:c r="AY150" s="27"/>
      <x:c r="AZ150" s="27"/>
    </x:row>
    <x:row r="151">
      <x:c r="A151" s="27"/>
      <x:c r="B151" s="27"/>
      <x:c r="C151" s="27"/>
      <x:c r="D151" s="27"/>
      <x:c r="E151" s="27"/>
      <x:c r="F151" s="27"/>
      <x:c r="G151" s="27"/>
      <x:c r="H151" s="27"/>
      <x:c r="I151" s="27"/>
      <x:c r="J151" s="27"/>
      <x:c r="K151" s="27"/>
      <x:c r="L151" s="27"/>
      <x:c r="M151" s="27"/>
      <x:c r="N151" s="27"/>
      <x:c r="O151" s="27"/>
      <x:c r="P151" s="27"/>
      <x:c r="Q151" s="27"/>
      <x:c r="R151" s="27"/>
      <x:c r="S151" s="27"/>
      <x:c r="T151" s="27"/>
      <x:c r="U151" s="27"/>
      <x:c r="V151" s="27"/>
      <x:c r="W151" s="27"/>
      <x:c r="X151" s="27"/>
      <x:c r="Y151" s="27"/>
      <x:c r="Z151" s="27"/>
      <x:c r="AA151" s="27"/>
      <x:c r="AB151" s="27"/>
      <x:c r="AC151" s="27"/>
      <x:c r="AD151" s="27"/>
      <x:c r="AE151" s="27"/>
      <x:c r="AF151" s="27"/>
      <x:c r="AG151" s="27"/>
      <x:c r="AH151" s="27"/>
      <x:c r="AI151" s="27"/>
      <x:c r="AJ151" s="27"/>
      <x:c r="AK151" s="27"/>
      <x:c r="AL151" s="27"/>
      <x:c r="AM151" s="27"/>
      <x:c r="AN151" s="27"/>
      <x:c r="AO151" s="27"/>
      <x:c r="AP151" s="27"/>
      <x:c r="AQ151" s="27"/>
      <x:c r="AR151" s="27"/>
      <x:c r="AS151" s="27"/>
      <x:c r="AT151" s="27"/>
      <x:c r="AU151" s="27"/>
      <x:c r="AV151" s="27"/>
      <x:c r="AW151" s="27"/>
      <x:c r="AX151" s="27"/>
      <x:c r="AY151" s="27"/>
      <x:c r="AZ151" s="27"/>
    </x:row>
    <x:row r="152">
      <x:c r="A152" s="27"/>
      <x:c r="B152" s="27"/>
      <x:c r="C152" s="27"/>
      <x:c r="D152" s="27"/>
      <x:c r="E152" s="27"/>
      <x:c r="F152" s="27"/>
      <x:c r="G152" s="27"/>
      <x:c r="H152" s="27"/>
      <x:c r="I152" s="27"/>
      <x:c r="J152" s="27"/>
      <x:c r="K152" s="27"/>
      <x:c r="L152" s="27"/>
      <x:c r="M152" s="27"/>
      <x:c r="N152" s="27"/>
      <x:c r="O152" s="27"/>
      <x:c r="P152" s="27"/>
      <x:c r="Q152" s="27"/>
      <x:c r="R152" s="27"/>
      <x:c r="S152" s="27"/>
      <x:c r="T152" s="27"/>
      <x:c r="U152" s="27"/>
      <x:c r="V152" s="27"/>
      <x:c r="W152" s="27"/>
      <x:c r="X152" s="27"/>
      <x:c r="Y152" s="27"/>
      <x:c r="Z152" s="27"/>
      <x:c r="AA152" s="27"/>
      <x:c r="AB152" s="27"/>
      <x:c r="AC152" s="27"/>
      <x:c r="AD152" s="27"/>
      <x:c r="AE152" s="27"/>
      <x:c r="AF152" s="27"/>
      <x:c r="AG152" s="27"/>
      <x:c r="AH152" s="27"/>
      <x:c r="AI152" s="27"/>
      <x:c r="AJ152" s="27"/>
      <x:c r="AK152" s="27"/>
      <x:c r="AL152" s="27"/>
      <x:c r="AM152" s="27"/>
      <x:c r="AN152" s="27"/>
      <x:c r="AO152" s="27"/>
      <x:c r="AP152" s="27"/>
      <x:c r="AQ152" s="27"/>
      <x:c r="AR152" s="27"/>
      <x:c r="AS152" s="27"/>
      <x:c r="AT152" s="27"/>
      <x:c r="AU152" s="27"/>
      <x:c r="AV152" s="27"/>
      <x:c r="AW152" s="27"/>
      <x:c r="AX152" s="27"/>
      <x:c r="AY152" s="27"/>
      <x:c r="AZ152" s="27"/>
    </x:row>
    <x:row r="153">
      <x:c r="A153" s="27"/>
      <x:c r="B153" s="27"/>
      <x:c r="C153" s="27"/>
      <x:c r="D153" s="27"/>
      <x:c r="E153" s="27"/>
      <x:c r="F153" s="27"/>
      <x:c r="G153" s="27"/>
      <x:c r="H153" s="27"/>
      <x:c r="I153" s="27"/>
      <x:c r="J153" s="27"/>
      <x:c r="K153" s="27"/>
      <x:c r="L153" s="27"/>
      <x:c r="M153" s="27"/>
      <x:c r="N153" s="27"/>
      <x:c r="O153" s="27"/>
      <x:c r="P153" s="27"/>
      <x:c r="Q153" s="27"/>
      <x:c r="R153" s="27"/>
      <x:c r="S153" s="27"/>
      <x:c r="T153" s="27"/>
      <x:c r="U153" s="27"/>
      <x:c r="V153" s="27"/>
      <x:c r="W153" s="27"/>
      <x:c r="X153" s="27"/>
      <x:c r="Y153" s="27"/>
      <x:c r="Z153" s="27"/>
      <x:c r="AA153" s="27"/>
      <x:c r="AB153" s="27"/>
      <x:c r="AC153" s="27"/>
      <x:c r="AD153" s="27"/>
      <x:c r="AE153" s="27"/>
      <x:c r="AF153" s="27"/>
      <x:c r="AG153" s="27"/>
      <x:c r="AH153" s="27"/>
      <x:c r="AI153" s="27"/>
      <x:c r="AJ153" s="27"/>
      <x:c r="AK153" s="27"/>
      <x:c r="AL153" s="27"/>
      <x:c r="AM153" s="27"/>
      <x:c r="AN153" s="27"/>
      <x:c r="AO153" s="27"/>
      <x:c r="AP153" s="27"/>
      <x:c r="AQ153" s="27"/>
      <x:c r="AR153" s="27"/>
      <x:c r="AS153" s="27"/>
      <x:c r="AT153" s="27"/>
      <x:c r="AU153" s="27"/>
      <x:c r="AV153" s="27"/>
      <x:c r="AW153" s="27"/>
      <x:c r="AX153" s="27"/>
      <x:c r="AY153" s="27"/>
      <x:c r="AZ153" s="27"/>
    </x:row>
    <x:row r="154">
      <x:c r="A154" s="27"/>
      <x:c r="B154" s="27"/>
      <x:c r="C154" s="27"/>
      <x:c r="D154" s="27"/>
      <x:c r="E154" s="27"/>
      <x:c r="F154" s="27"/>
      <x:c r="G154" s="27"/>
      <x:c r="H154" s="27"/>
      <x:c r="I154" s="27"/>
      <x:c r="J154" s="27"/>
      <x:c r="K154" s="27"/>
      <x:c r="L154" s="27"/>
      <x:c r="M154" s="27"/>
      <x:c r="N154" s="27"/>
      <x:c r="O154" s="27"/>
      <x:c r="P154" s="27"/>
      <x:c r="Q154" s="27"/>
      <x:c r="R154" s="27"/>
      <x:c r="S154" s="27"/>
      <x:c r="T154" s="27"/>
      <x:c r="U154" s="27"/>
      <x:c r="V154" s="27"/>
      <x:c r="W154" s="27"/>
      <x:c r="X154" s="27"/>
      <x:c r="Y154" s="27"/>
      <x:c r="Z154" s="27"/>
      <x:c r="AA154" s="27"/>
      <x:c r="AB154" s="27"/>
      <x:c r="AC154" s="27"/>
      <x:c r="AD154" s="27"/>
      <x:c r="AE154" s="27"/>
      <x:c r="AF154" s="27"/>
      <x:c r="AG154" s="27"/>
      <x:c r="AH154" s="27"/>
      <x:c r="AI154" s="27"/>
      <x:c r="AJ154" s="27"/>
      <x:c r="AK154" s="27"/>
      <x:c r="AL154" s="27"/>
      <x:c r="AM154" s="27"/>
      <x:c r="AN154" s="27"/>
      <x:c r="AO154" s="27"/>
      <x:c r="AP154" s="27"/>
      <x:c r="AQ154" s="27"/>
      <x:c r="AR154" s="27"/>
      <x:c r="AS154" s="27"/>
      <x:c r="AT154" s="27"/>
      <x:c r="AU154" s="27"/>
      <x:c r="AV154" s="27"/>
      <x:c r="AW154" s="27"/>
      <x:c r="AX154" s="27"/>
      <x:c r="AY154" s="27"/>
      <x:c r="AZ154" s="27"/>
    </x:row>
    <x:row r="155">
      <x:c r="A155" s="27"/>
      <x:c r="B155" s="27"/>
      <x:c r="C155" s="27"/>
      <x:c r="D155" s="27"/>
      <x:c r="E155" s="27"/>
      <x:c r="F155" s="27"/>
      <x:c r="G155" s="27"/>
      <x:c r="H155" s="27"/>
      <x:c r="I155" s="27"/>
      <x:c r="J155" s="27"/>
      <x:c r="K155" s="27"/>
      <x:c r="L155" s="27"/>
      <x:c r="M155" s="27"/>
      <x:c r="N155" s="27"/>
      <x:c r="O155" s="27"/>
      <x:c r="P155" s="27"/>
      <x:c r="Q155" s="27"/>
      <x:c r="R155" s="27"/>
      <x:c r="S155" s="27"/>
      <x:c r="T155" s="27"/>
      <x:c r="U155" s="27"/>
      <x:c r="V155" s="27"/>
      <x:c r="W155" s="27"/>
      <x:c r="X155" s="27"/>
      <x:c r="Y155" s="27"/>
      <x:c r="Z155" s="27"/>
      <x:c r="AA155" s="27"/>
      <x:c r="AB155" s="27"/>
      <x:c r="AC155" s="27"/>
      <x:c r="AD155" s="27"/>
      <x:c r="AE155" s="27"/>
      <x:c r="AF155" s="27"/>
      <x:c r="AG155" s="27"/>
      <x:c r="AH155" s="27"/>
      <x:c r="AI155" s="27"/>
      <x:c r="AJ155" s="27"/>
      <x:c r="AK155" s="27"/>
      <x:c r="AL155" s="27"/>
      <x:c r="AM155" s="27"/>
      <x:c r="AN155" s="27"/>
      <x:c r="AO155" s="27"/>
      <x:c r="AP155" s="27"/>
      <x:c r="AQ155" s="27"/>
      <x:c r="AR155" s="27"/>
      <x:c r="AS155" s="27"/>
      <x:c r="AT155" s="27"/>
      <x:c r="AU155" s="27"/>
      <x:c r="AV155" s="27"/>
      <x:c r="AW155" s="27"/>
      <x:c r="AX155" s="27"/>
      <x:c r="AY155" s="27"/>
      <x:c r="AZ155" s="27"/>
    </x:row>
    <x:row r="156">
      <x:c r="A156" s="27"/>
      <x:c r="B156" s="27"/>
      <x:c r="C156" s="27"/>
      <x:c r="D156" s="27"/>
      <x:c r="E156" s="27"/>
      <x:c r="F156" s="27"/>
      <x:c r="G156" s="27"/>
      <x:c r="H156" s="27"/>
      <x:c r="I156" s="27"/>
      <x:c r="J156" s="27"/>
      <x:c r="K156" s="27"/>
      <x:c r="L156" s="27"/>
      <x:c r="M156" s="27"/>
      <x:c r="N156" s="27"/>
      <x:c r="O156" s="27"/>
      <x:c r="P156" s="27"/>
      <x:c r="Q156" s="27"/>
      <x:c r="R156" s="27"/>
      <x:c r="S156" s="27"/>
      <x:c r="T156" s="27"/>
      <x:c r="U156" s="27"/>
      <x:c r="V156" s="27"/>
      <x:c r="W156" s="27"/>
      <x:c r="X156" s="27"/>
      <x:c r="Y156" s="27"/>
      <x:c r="Z156" s="27"/>
      <x:c r="AA156" s="27"/>
      <x:c r="AB156" s="27"/>
      <x:c r="AC156" s="27"/>
      <x:c r="AD156" s="27"/>
      <x:c r="AE156" s="27"/>
      <x:c r="AF156" s="27"/>
      <x:c r="AG156" s="27"/>
      <x:c r="AH156" s="27"/>
      <x:c r="AI156" s="27"/>
      <x:c r="AJ156" s="27"/>
      <x:c r="AK156" s="27"/>
      <x:c r="AL156" s="27"/>
      <x:c r="AM156" s="27"/>
      <x:c r="AN156" s="27"/>
      <x:c r="AO156" s="27"/>
      <x:c r="AP156" s="27"/>
      <x:c r="AQ156" s="27"/>
      <x:c r="AR156" s="27"/>
      <x:c r="AS156" s="27"/>
      <x:c r="AT156" s="27"/>
      <x:c r="AU156" s="27"/>
      <x:c r="AV156" s="27"/>
      <x:c r="AW156" s="27"/>
      <x:c r="AX156" s="27"/>
      <x:c r="AY156" s="27"/>
      <x:c r="AZ156" s="27"/>
    </x:row>
    <x:row r="157">
      <x:c r="A157" s="27"/>
      <x:c r="B157" s="27"/>
      <x:c r="C157" s="27"/>
      <x:c r="D157" s="27"/>
      <x:c r="E157" s="27"/>
      <x:c r="F157" s="27"/>
      <x:c r="G157" s="27"/>
      <x:c r="H157" s="27"/>
      <x:c r="I157" s="27"/>
      <x:c r="J157" s="27"/>
      <x:c r="K157" s="27"/>
      <x:c r="L157" s="27"/>
      <x:c r="M157" s="27"/>
      <x:c r="N157" s="27"/>
      <x:c r="O157" s="27"/>
      <x:c r="P157" s="27"/>
      <x:c r="Q157" s="27"/>
      <x:c r="R157" s="27"/>
      <x:c r="S157" s="27"/>
      <x:c r="T157" s="27"/>
      <x:c r="U157" s="27"/>
      <x:c r="V157" s="27"/>
      <x:c r="W157" s="27"/>
      <x:c r="X157" s="27"/>
      <x:c r="Y157" s="27"/>
      <x:c r="Z157" s="27"/>
      <x:c r="AA157" s="27"/>
      <x:c r="AB157" s="27"/>
      <x:c r="AC157" s="27"/>
      <x:c r="AD157" s="27"/>
      <x:c r="AE157" s="27"/>
      <x:c r="AF157" s="27"/>
      <x:c r="AG157" s="27"/>
      <x:c r="AH157" s="27"/>
      <x:c r="AI157" s="27"/>
      <x:c r="AJ157" s="27"/>
      <x:c r="AK157" s="27"/>
      <x:c r="AL157" s="27"/>
      <x:c r="AM157" s="27"/>
      <x:c r="AN157" s="27"/>
      <x:c r="AO157" s="27"/>
      <x:c r="AP157" s="27"/>
      <x:c r="AQ157" s="27"/>
      <x:c r="AR157" s="27"/>
      <x:c r="AS157" s="27"/>
      <x:c r="AT157" s="27"/>
      <x:c r="AU157" s="27"/>
      <x:c r="AV157" s="27"/>
      <x:c r="AW157" s="27"/>
      <x:c r="AX157" s="27"/>
      <x:c r="AY157" s="27"/>
      <x:c r="AZ157" s="27"/>
    </x:row>
    <x:row r="158">
      <x:c r="A158" s="27"/>
      <x:c r="B158" s="27"/>
      <x:c r="C158" s="27"/>
      <x:c r="D158" s="27"/>
      <x:c r="E158" s="27"/>
      <x:c r="F158" s="27"/>
      <x:c r="G158" s="27"/>
      <x:c r="H158" s="27"/>
      <x:c r="I158" s="27"/>
      <x:c r="J158" s="27"/>
      <x:c r="K158" s="27"/>
      <x:c r="L158" s="27"/>
      <x:c r="M158" s="27"/>
      <x:c r="N158" s="27"/>
      <x:c r="O158" s="27"/>
      <x:c r="P158" s="27"/>
      <x:c r="Q158" s="27"/>
      <x:c r="R158" s="27"/>
      <x:c r="S158" s="27"/>
      <x:c r="T158" s="27"/>
      <x:c r="U158" s="27"/>
      <x:c r="V158" s="27"/>
      <x:c r="W158" s="27"/>
      <x:c r="X158" s="27"/>
      <x:c r="Y158" s="27"/>
      <x:c r="Z158" s="27"/>
      <x:c r="AA158" s="27"/>
      <x:c r="AB158" s="27"/>
      <x:c r="AC158" s="27"/>
      <x:c r="AD158" s="27"/>
      <x:c r="AE158" s="27"/>
      <x:c r="AF158" s="27"/>
      <x:c r="AG158" s="27"/>
      <x:c r="AH158" s="27"/>
      <x:c r="AI158" s="27"/>
      <x:c r="AJ158" s="27"/>
      <x:c r="AK158" s="27"/>
      <x:c r="AL158" s="27"/>
      <x:c r="AM158" s="27"/>
      <x:c r="AN158" s="27"/>
      <x:c r="AO158" s="27"/>
      <x:c r="AP158" s="27"/>
      <x:c r="AQ158" s="27"/>
      <x:c r="AR158" s="27"/>
      <x:c r="AS158" s="27"/>
      <x:c r="AT158" s="27"/>
      <x:c r="AU158" s="27"/>
      <x:c r="AV158" s="27"/>
      <x:c r="AW158" s="27"/>
      <x:c r="AX158" s="27"/>
      <x:c r="AY158" s="27"/>
      <x:c r="AZ158" s="27"/>
    </x:row>
    <x:row r="159">
      <x:c r="A159" s="27"/>
      <x:c r="B159" s="27"/>
      <x:c r="C159" s="27"/>
      <x:c r="D159" s="27"/>
      <x:c r="E159" s="27"/>
      <x:c r="F159" s="27"/>
      <x:c r="G159" s="27"/>
      <x:c r="H159" s="27"/>
      <x:c r="I159" s="27"/>
      <x:c r="J159" s="27"/>
      <x:c r="K159" s="27"/>
      <x:c r="L159" s="27"/>
      <x:c r="M159" s="27"/>
      <x:c r="N159" s="27"/>
      <x:c r="O159" s="27"/>
      <x:c r="P159" s="27"/>
      <x:c r="Q159" s="27"/>
      <x:c r="R159" s="27"/>
      <x:c r="S159" s="27"/>
      <x:c r="T159" s="27"/>
      <x:c r="U159" s="27"/>
      <x:c r="V159" s="27"/>
      <x:c r="W159" s="27"/>
      <x:c r="X159" s="27"/>
      <x:c r="Y159" s="27"/>
      <x:c r="Z159" s="27"/>
      <x:c r="AA159" s="27"/>
      <x:c r="AB159" s="27"/>
      <x:c r="AC159" s="27"/>
      <x:c r="AD159" s="27"/>
      <x:c r="AE159" s="27"/>
      <x:c r="AF159" s="27"/>
      <x:c r="AG159" s="27"/>
      <x:c r="AH159" s="27"/>
      <x:c r="AI159" s="27"/>
      <x:c r="AJ159" s="27"/>
      <x:c r="AK159" s="27"/>
      <x:c r="AL159" s="27"/>
      <x:c r="AM159" s="27"/>
      <x:c r="AN159" s="27"/>
      <x:c r="AO159" s="27"/>
      <x:c r="AP159" s="27"/>
      <x:c r="AQ159" s="27"/>
      <x:c r="AR159" s="27"/>
      <x:c r="AS159" s="27"/>
      <x:c r="AT159" s="27"/>
      <x:c r="AU159" s="27"/>
      <x:c r="AV159" s="27"/>
      <x:c r="AW159" s="27"/>
      <x:c r="AX159" s="27"/>
      <x:c r="AY159" s="27"/>
      <x:c r="AZ159" s="27"/>
    </x:row>
    <x:row r="160">
      <x:c r="A160" s="27"/>
      <x:c r="B160" s="27"/>
      <x:c r="C160" s="27"/>
      <x:c r="D160" s="27"/>
      <x:c r="E160" s="27"/>
      <x:c r="F160" s="27"/>
      <x:c r="G160" s="27"/>
      <x:c r="H160" s="27"/>
      <x:c r="I160" s="27"/>
      <x:c r="J160" s="27"/>
      <x:c r="K160" s="27"/>
      <x:c r="L160" s="27"/>
      <x:c r="M160" s="27"/>
      <x:c r="N160" s="27"/>
      <x:c r="O160" s="27"/>
      <x:c r="P160" s="27"/>
      <x:c r="Q160" s="27"/>
      <x:c r="R160" s="27"/>
      <x:c r="S160" s="27"/>
      <x:c r="T160" s="27"/>
      <x:c r="U160" s="27"/>
      <x:c r="V160" s="27"/>
      <x:c r="W160" s="27"/>
      <x:c r="X160" s="27"/>
      <x:c r="Y160" s="27"/>
      <x:c r="Z160" s="27"/>
      <x:c r="AA160" s="27"/>
      <x:c r="AB160" s="27"/>
      <x:c r="AC160" s="27"/>
      <x:c r="AD160" s="27"/>
      <x:c r="AE160" s="27"/>
      <x:c r="AF160" s="27"/>
      <x:c r="AG160" s="27"/>
      <x:c r="AH160" s="27"/>
      <x:c r="AI160" s="27"/>
      <x:c r="AJ160" s="27"/>
      <x:c r="AK160" s="27"/>
      <x:c r="AL160" s="27"/>
      <x:c r="AM160" s="27"/>
      <x:c r="AN160" s="27"/>
      <x:c r="AO160" s="27"/>
      <x:c r="AP160" s="27"/>
      <x:c r="AQ160" s="27"/>
      <x:c r="AR160" s="27"/>
      <x:c r="AS160" s="27"/>
      <x:c r="AT160" s="27"/>
      <x:c r="AU160" s="27"/>
      <x:c r="AV160" s="27"/>
      <x:c r="AW160" s="27"/>
      <x:c r="AX160" s="27"/>
      <x:c r="AY160" s="27"/>
      <x:c r="AZ160" s="27"/>
    </x:row>
    <x:row r="161">
      <x:c r="A161" s="27"/>
      <x:c r="B161" s="27"/>
      <x:c r="C161" s="27"/>
      <x:c r="D161" s="27"/>
      <x:c r="E161" s="27"/>
      <x:c r="F161" s="27"/>
      <x:c r="G161" s="27"/>
      <x:c r="H161" s="27"/>
      <x:c r="I161" s="27"/>
      <x:c r="J161" s="27"/>
      <x:c r="K161" s="27"/>
      <x:c r="L161" s="27"/>
      <x:c r="M161" s="27"/>
      <x:c r="N161" s="27"/>
      <x:c r="O161" s="27"/>
      <x:c r="P161" s="27"/>
      <x:c r="Q161" s="27"/>
      <x:c r="R161" s="27"/>
      <x:c r="S161" s="27"/>
      <x:c r="T161" s="27"/>
      <x:c r="U161" s="27"/>
      <x:c r="V161" s="27"/>
      <x:c r="W161" s="27"/>
      <x:c r="X161" s="27"/>
      <x:c r="Y161" s="27"/>
      <x:c r="Z161" s="27"/>
      <x:c r="AA161" s="27"/>
      <x:c r="AB161" s="27"/>
      <x:c r="AC161" s="27"/>
      <x:c r="AD161" s="27"/>
      <x:c r="AE161" s="27"/>
      <x:c r="AF161" s="27"/>
      <x:c r="AG161" s="27"/>
      <x:c r="AH161" s="27"/>
      <x:c r="AI161" s="27"/>
      <x:c r="AJ161" s="27"/>
      <x:c r="AK161" s="27"/>
      <x:c r="AL161" s="27"/>
      <x:c r="AM161" s="27"/>
      <x:c r="AN161" s="27"/>
      <x:c r="AO161" s="27"/>
      <x:c r="AP161" s="27"/>
      <x:c r="AQ161" s="27"/>
      <x:c r="AR161" s="27"/>
      <x:c r="AS161" s="27"/>
      <x:c r="AT161" s="27"/>
      <x:c r="AU161" s="27"/>
      <x:c r="AV161" s="27"/>
      <x:c r="AW161" s="27"/>
      <x:c r="AX161" s="27"/>
      <x:c r="AY161" s="27"/>
      <x:c r="AZ161" s="27"/>
    </x:row>
    <x:row r="162">
      <x:c r="A162" s="27"/>
      <x:c r="B162" s="27"/>
      <x:c r="C162" s="27"/>
      <x:c r="D162" s="27"/>
      <x:c r="E162" s="27"/>
      <x:c r="F162" s="27"/>
      <x:c r="G162" s="27"/>
      <x:c r="H162" s="27"/>
      <x:c r="I162" s="27"/>
      <x:c r="J162" s="27"/>
      <x:c r="K162" s="27"/>
      <x:c r="L162" s="27"/>
      <x:c r="M162" s="27"/>
      <x:c r="N162" s="27"/>
      <x:c r="O162" s="27"/>
      <x:c r="P162" s="27"/>
      <x:c r="Q162" s="27"/>
      <x:c r="R162" s="27"/>
      <x:c r="S162" s="27"/>
      <x:c r="T162" s="27"/>
      <x:c r="U162" s="27"/>
      <x:c r="V162" s="27"/>
      <x:c r="W162" s="27"/>
      <x:c r="X162" s="27"/>
      <x:c r="Y162" s="27"/>
      <x:c r="Z162" s="27"/>
      <x:c r="AA162" s="27"/>
      <x:c r="AB162" s="27"/>
      <x:c r="AC162" s="27"/>
      <x:c r="AD162" s="27"/>
      <x:c r="AE162" s="27"/>
      <x:c r="AF162" s="27"/>
      <x:c r="AG162" s="27"/>
      <x:c r="AH162" s="27"/>
      <x:c r="AI162" s="27"/>
      <x:c r="AJ162" s="27"/>
      <x:c r="AK162" s="27"/>
      <x:c r="AL162" s="27"/>
      <x:c r="AM162" s="27"/>
      <x:c r="AN162" s="27"/>
      <x:c r="AO162" s="27"/>
      <x:c r="AP162" s="27"/>
      <x:c r="AQ162" s="27"/>
      <x:c r="AR162" s="27"/>
      <x:c r="AS162" s="27"/>
      <x:c r="AT162" s="27"/>
      <x:c r="AU162" s="27"/>
      <x:c r="AV162" s="27"/>
      <x:c r="AW162" s="27"/>
      <x:c r="AX162" s="27"/>
      <x:c r="AY162" s="27"/>
      <x:c r="AZ162" s="27"/>
    </x:row>
    <x:row r="163">
      <x:c r="A163" s="27"/>
      <x:c r="B163" s="27"/>
      <x:c r="C163" s="27"/>
      <x:c r="D163" s="27"/>
      <x:c r="E163" s="27"/>
      <x:c r="F163" s="27"/>
      <x:c r="G163" s="27"/>
      <x:c r="H163" s="27"/>
      <x:c r="I163" s="27"/>
      <x:c r="J163" s="27"/>
      <x:c r="K163" s="27"/>
      <x:c r="L163" s="27"/>
      <x:c r="M163" s="27"/>
      <x:c r="N163" s="27"/>
      <x:c r="O163" s="27"/>
      <x:c r="P163" s="27"/>
      <x:c r="Q163" s="27"/>
      <x:c r="R163" s="27"/>
      <x:c r="S163" s="27"/>
      <x:c r="T163" s="27"/>
      <x:c r="U163" s="27"/>
      <x:c r="V163" s="27"/>
      <x:c r="W163" s="27"/>
      <x:c r="X163" s="27"/>
      <x:c r="Y163" s="27"/>
      <x:c r="Z163" s="27"/>
      <x:c r="AA163" s="27"/>
      <x:c r="AB163" s="27"/>
      <x:c r="AC163" s="27"/>
      <x:c r="AD163" s="27"/>
      <x:c r="AE163" s="27"/>
      <x:c r="AF163" s="27"/>
      <x:c r="AG163" s="27"/>
      <x:c r="AH163" s="27"/>
      <x:c r="AI163" s="27"/>
      <x:c r="AJ163" s="27"/>
      <x:c r="AK163" s="27"/>
      <x:c r="AL163" s="27"/>
      <x:c r="AM163" s="27"/>
      <x:c r="AN163" s="27"/>
      <x:c r="AO163" s="27"/>
      <x:c r="AP163" s="27"/>
      <x:c r="AQ163" s="27"/>
      <x:c r="AR163" s="27"/>
      <x:c r="AS163" s="27"/>
      <x:c r="AT163" s="27"/>
      <x:c r="AU163" s="27"/>
      <x:c r="AV163" s="27"/>
      <x:c r="AW163" s="27"/>
      <x:c r="AX163" s="27"/>
      <x:c r="AY163" s="27"/>
      <x:c r="AZ163" s="27"/>
    </x:row>
    <x:row r="164">
      <x:c r="A164" s="27"/>
      <x:c r="B164" s="27"/>
      <x:c r="C164" s="27"/>
      <x:c r="D164" s="27"/>
      <x:c r="E164" s="27"/>
      <x:c r="F164" s="27"/>
      <x:c r="G164" s="27"/>
      <x:c r="H164" s="27"/>
      <x:c r="I164" s="27"/>
      <x:c r="J164" s="27"/>
      <x:c r="K164" s="27"/>
      <x:c r="L164" s="27"/>
      <x:c r="M164" s="27"/>
      <x:c r="N164" s="27"/>
      <x:c r="O164" s="27"/>
      <x:c r="P164" s="27"/>
      <x:c r="Q164" s="27"/>
      <x:c r="R164" s="27"/>
      <x:c r="S164" s="27"/>
      <x:c r="T164" s="27"/>
      <x:c r="U164" s="27"/>
      <x:c r="V164" s="27"/>
      <x:c r="W164" s="27"/>
      <x:c r="X164" s="27"/>
      <x:c r="Y164" s="27"/>
      <x:c r="Z164" s="27"/>
      <x:c r="AA164" s="27"/>
      <x:c r="AB164" s="27"/>
      <x:c r="AC164" s="27"/>
      <x:c r="AD164" s="27"/>
      <x:c r="AE164" s="27"/>
      <x:c r="AF164" s="27"/>
      <x:c r="AG164" s="27"/>
      <x:c r="AH164" s="27"/>
      <x:c r="AI164" s="27"/>
      <x:c r="AJ164" s="27"/>
      <x:c r="AK164" s="27"/>
      <x:c r="AL164" s="27"/>
      <x:c r="AM164" s="27"/>
      <x:c r="AN164" s="27"/>
      <x:c r="AO164" s="27"/>
      <x:c r="AP164" s="27"/>
      <x:c r="AQ164" s="27"/>
      <x:c r="AR164" s="27"/>
      <x:c r="AS164" s="27"/>
      <x:c r="AT164" s="27"/>
      <x:c r="AU164" s="27"/>
      <x:c r="AV164" s="27"/>
      <x:c r="AW164" s="27"/>
      <x:c r="AX164" s="27"/>
      <x:c r="AY164" s="27"/>
      <x:c r="AZ164" s="27"/>
    </x:row>
    <x:row r="165">
      <x:c r="A165" s="27"/>
      <x:c r="B165" s="27"/>
      <x:c r="C165" s="27"/>
      <x:c r="D165" s="27"/>
      <x:c r="E165" s="27"/>
      <x:c r="F165" s="27"/>
      <x:c r="G165" s="27"/>
      <x:c r="H165" s="27"/>
      <x:c r="I165" s="27"/>
      <x:c r="J165" s="27"/>
      <x:c r="K165" s="27"/>
      <x:c r="L165" s="27"/>
      <x:c r="M165" s="27"/>
      <x:c r="N165" s="27"/>
      <x:c r="O165" s="27"/>
      <x:c r="P165" s="27"/>
      <x:c r="Q165" s="27"/>
      <x:c r="R165" s="27"/>
      <x:c r="S165" s="27"/>
      <x:c r="T165" s="27"/>
      <x:c r="U165" s="27"/>
      <x:c r="V165" s="27"/>
      <x:c r="W165" s="27"/>
      <x:c r="X165" s="27"/>
      <x:c r="Y165" s="27"/>
      <x:c r="Z165" s="27"/>
      <x:c r="AA165" s="27"/>
      <x:c r="AB165" s="27"/>
      <x:c r="AC165" s="27"/>
      <x:c r="AD165" s="27"/>
      <x:c r="AE165" s="27"/>
      <x:c r="AF165" s="27"/>
      <x:c r="AG165" s="27"/>
      <x:c r="AH165" s="27"/>
      <x:c r="AI165" s="27"/>
      <x:c r="AJ165" s="27"/>
      <x:c r="AK165" s="27"/>
      <x:c r="AL165" s="27"/>
      <x:c r="AM165" s="27"/>
      <x:c r="AN165" s="27"/>
      <x:c r="AO165" s="27"/>
      <x:c r="AP165" s="27"/>
      <x:c r="AQ165" s="27"/>
      <x:c r="AR165" s="27"/>
      <x:c r="AS165" s="27"/>
      <x:c r="AT165" s="27"/>
      <x:c r="AU165" s="27"/>
      <x:c r="AV165" s="27"/>
      <x:c r="AW165" s="27"/>
      <x:c r="AX165" s="27"/>
      <x:c r="AY165" s="27"/>
      <x:c r="AZ165" s="27"/>
    </x:row>
    <x:row r="166">
      <x:c r="A166" s="27"/>
      <x:c r="B166" s="27"/>
      <x:c r="C166" s="27"/>
      <x:c r="D166" s="27"/>
      <x:c r="E166" s="27"/>
      <x:c r="F166" s="27"/>
      <x:c r="G166" s="27"/>
      <x:c r="H166" s="27"/>
      <x:c r="I166" s="27"/>
      <x:c r="J166" s="27"/>
      <x:c r="K166" s="27"/>
      <x:c r="L166" s="27"/>
      <x:c r="M166" s="27"/>
      <x:c r="N166" s="27"/>
      <x:c r="O166" s="27"/>
      <x:c r="P166" s="27"/>
      <x:c r="Q166" s="27"/>
      <x:c r="R166" s="27"/>
      <x:c r="S166" s="27"/>
      <x:c r="T166" s="27"/>
      <x:c r="U166" s="27"/>
      <x:c r="V166" s="27"/>
      <x:c r="W166" s="27"/>
      <x:c r="X166" s="27"/>
      <x:c r="Y166" s="27"/>
      <x:c r="Z166" s="27"/>
      <x:c r="AA166" s="27"/>
      <x:c r="AB166" s="27"/>
      <x:c r="AC166" s="27"/>
      <x:c r="AD166" s="27"/>
      <x:c r="AE166" s="27"/>
      <x:c r="AF166" s="27"/>
      <x:c r="AG166" s="27"/>
      <x:c r="AH166" s="27"/>
      <x:c r="AI166" s="27"/>
      <x:c r="AJ166" s="27"/>
      <x:c r="AK166" s="27"/>
      <x:c r="AL166" s="27"/>
      <x:c r="AM166" s="27"/>
      <x:c r="AN166" s="27"/>
      <x:c r="AO166" s="27"/>
      <x:c r="AP166" s="27"/>
      <x:c r="AQ166" s="27"/>
      <x:c r="AR166" s="27"/>
      <x:c r="AS166" s="27"/>
      <x:c r="AT166" s="27"/>
      <x:c r="AU166" s="27"/>
      <x:c r="AV166" s="27"/>
      <x:c r="AW166" s="27"/>
      <x:c r="AX166" s="27"/>
      <x:c r="AY166" s="27"/>
      <x:c r="AZ166" s="27"/>
    </x:row>
    <x:row r="167">
      <x:c r="A167" s="27"/>
      <x:c r="B167" s="27"/>
      <x:c r="C167" s="27"/>
      <x:c r="D167" s="27"/>
      <x:c r="E167" s="27"/>
      <x:c r="F167" s="27"/>
      <x:c r="G167" s="27"/>
      <x:c r="H167" s="27"/>
      <x:c r="I167" s="27"/>
      <x:c r="J167" s="27"/>
      <x:c r="K167" s="27"/>
      <x:c r="L167" s="27"/>
      <x:c r="M167" s="27"/>
      <x:c r="N167" s="27"/>
      <x:c r="O167" s="27"/>
      <x:c r="P167" s="27"/>
      <x:c r="Q167" s="27"/>
      <x:c r="R167" s="27"/>
      <x:c r="S167" s="27"/>
      <x:c r="T167" s="27"/>
      <x:c r="U167" s="27"/>
      <x:c r="V167" s="27"/>
      <x:c r="W167" s="27"/>
      <x:c r="X167" s="27"/>
      <x:c r="Y167" s="27"/>
      <x:c r="Z167" s="27"/>
      <x:c r="AA167" s="27"/>
      <x:c r="AB167" s="27"/>
      <x:c r="AC167" s="27"/>
      <x:c r="AD167" s="27"/>
      <x:c r="AE167" s="27"/>
      <x:c r="AF167" s="27"/>
      <x:c r="AG167" s="27"/>
      <x:c r="AH167" s="27"/>
      <x:c r="AI167" s="27"/>
      <x:c r="AJ167" s="27"/>
      <x:c r="AK167" s="27"/>
      <x:c r="AL167" s="27"/>
      <x:c r="AM167" s="27"/>
      <x:c r="AN167" s="27"/>
      <x:c r="AO167" s="27"/>
      <x:c r="AP167" s="27"/>
      <x:c r="AQ167" s="27"/>
      <x:c r="AR167" s="27"/>
      <x:c r="AS167" s="27"/>
      <x:c r="AT167" s="27"/>
      <x:c r="AU167" s="27"/>
      <x:c r="AV167" s="27"/>
      <x:c r="AW167" s="27"/>
      <x:c r="AX167" s="27"/>
      <x:c r="AY167" s="27"/>
      <x:c r="AZ167" s="27"/>
    </x:row>
    <x:row r="168">
      <x:c r="A168" s="27"/>
      <x:c r="B168" s="27"/>
      <x:c r="C168" s="27"/>
      <x:c r="D168" s="27"/>
      <x:c r="E168" s="27"/>
      <x:c r="F168" s="27"/>
      <x:c r="G168" s="27"/>
      <x:c r="H168" s="27"/>
      <x:c r="I168" s="27"/>
      <x:c r="J168" s="27"/>
      <x:c r="K168" s="27"/>
      <x:c r="L168" s="27"/>
      <x:c r="M168" s="27"/>
      <x:c r="N168" s="27"/>
      <x:c r="O168" s="27"/>
      <x:c r="P168" s="27"/>
      <x:c r="Q168" s="27"/>
      <x:c r="R168" s="27"/>
      <x:c r="S168" s="27"/>
      <x:c r="T168" s="27"/>
      <x:c r="U168" s="27"/>
      <x:c r="V168" s="27"/>
      <x:c r="W168" s="27"/>
      <x:c r="X168" s="27"/>
      <x:c r="Y168" s="27"/>
      <x:c r="Z168" s="27"/>
      <x:c r="AA168" s="27"/>
      <x:c r="AB168" s="27"/>
      <x:c r="AC168" s="27"/>
      <x:c r="AD168" s="27"/>
      <x:c r="AE168" s="27"/>
      <x:c r="AF168" s="27"/>
      <x:c r="AG168" s="27"/>
      <x:c r="AH168" s="27"/>
      <x:c r="AI168" s="27"/>
      <x:c r="AJ168" s="27"/>
      <x:c r="AK168" s="27"/>
      <x:c r="AL168" s="27"/>
      <x:c r="AM168" s="27"/>
      <x:c r="AN168" s="27"/>
      <x:c r="AO168" s="27"/>
      <x:c r="AP168" s="27"/>
      <x:c r="AQ168" s="27"/>
      <x:c r="AR168" s="27"/>
      <x:c r="AS168" s="27"/>
      <x:c r="AT168" s="27"/>
      <x:c r="AU168" s="27"/>
      <x:c r="AV168" s="27"/>
      <x:c r="AW168" s="27"/>
      <x:c r="AX168" s="27"/>
      <x:c r="AY168" s="27"/>
      <x:c r="AZ168" s="27"/>
    </x:row>
    <x:row r="169">
      <x:c r="A169" s="27"/>
      <x:c r="B169" s="27"/>
      <x:c r="C169" s="27"/>
      <x:c r="D169" s="27"/>
      <x:c r="E169" s="27"/>
      <x:c r="F169" s="27"/>
      <x:c r="G169" s="27"/>
      <x:c r="H169" s="27"/>
      <x:c r="I169" s="27"/>
      <x:c r="J169" s="27"/>
      <x:c r="K169" s="27"/>
      <x:c r="L169" s="27"/>
      <x:c r="M169" s="27"/>
      <x:c r="N169" s="27"/>
      <x:c r="O169" s="27"/>
      <x:c r="P169" s="27"/>
      <x:c r="Q169" s="27"/>
      <x:c r="R169" s="27"/>
      <x:c r="S169" s="27"/>
      <x:c r="T169" s="27"/>
      <x:c r="U169" s="27"/>
      <x:c r="V169" s="27"/>
      <x:c r="W169" s="27"/>
      <x:c r="X169" s="27"/>
      <x:c r="Y169" s="27"/>
      <x:c r="Z169" s="27"/>
      <x:c r="AA169" s="27"/>
      <x:c r="AB169" s="27"/>
      <x:c r="AC169" s="27"/>
      <x:c r="AD169" s="27"/>
      <x:c r="AE169" s="27"/>
      <x:c r="AF169" s="27"/>
      <x:c r="AG169" s="27"/>
      <x:c r="AH169" s="27"/>
      <x:c r="AI169" s="27"/>
      <x:c r="AJ169" s="27"/>
      <x:c r="AK169" s="27"/>
      <x:c r="AL169" s="27"/>
      <x:c r="AM169" s="27"/>
      <x:c r="AN169" s="27"/>
      <x:c r="AO169" s="27"/>
      <x:c r="AP169" s="27"/>
      <x:c r="AQ169" s="27"/>
      <x:c r="AR169" s="27"/>
      <x:c r="AS169" s="27"/>
      <x:c r="AT169" s="27"/>
      <x:c r="AU169" s="27"/>
      <x:c r="AV169" s="27"/>
      <x:c r="AW169" s="27"/>
      <x:c r="AX169" s="27"/>
      <x:c r="AY169" s="27"/>
      <x:c r="AZ169" s="27"/>
    </x:row>
    <x:row r="170">
      <x:c r="A170" s="27"/>
      <x:c r="B170" s="27"/>
      <x:c r="C170" s="27"/>
      <x:c r="D170" s="27"/>
      <x:c r="E170" s="27"/>
      <x:c r="F170" s="27"/>
      <x:c r="G170" s="27"/>
      <x:c r="H170" s="27"/>
      <x:c r="I170" s="27"/>
      <x:c r="J170" s="27"/>
      <x:c r="K170" s="27"/>
      <x:c r="L170" s="27"/>
      <x:c r="M170" s="27"/>
      <x:c r="N170" s="27"/>
      <x:c r="O170" s="27"/>
      <x:c r="P170" s="27"/>
      <x:c r="Q170" s="27"/>
      <x:c r="R170" s="27"/>
      <x:c r="S170" s="27"/>
      <x:c r="T170" s="27"/>
      <x:c r="U170" s="27"/>
      <x:c r="V170" s="27"/>
      <x:c r="W170" s="27"/>
      <x:c r="X170" s="27"/>
      <x:c r="Y170" s="27"/>
      <x:c r="Z170" s="27"/>
      <x:c r="AA170" s="27"/>
      <x:c r="AB170" s="27"/>
      <x:c r="AC170" s="27"/>
      <x:c r="AD170" s="27"/>
      <x:c r="AE170" s="27"/>
      <x:c r="AF170" s="27"/>
      <x:c r="AG170" s="27"/>
      <x:c r="AH170" s="27"/>
      <x:c r="AI170" s="27"/>
      <x:c r="AJ170" s="27"/>
      <x:c r="AK170" s="27"/>
      <x:c r="AL170" s="27"/>
      <x:c r="AM170" s="27"/>
      <x:c r="AN170" s="27"/>
      <x:c r="AO170" s="27"/>
      <x:c r="AP170" s="27"/>
      <x:c r="AQ170" s="27"/>
      <x:c r="AR170" s="27"/>
      <x:c r="AS170" s="27"/>
      <x:c r="AT170" s="27"/>
      <x:c r="AU170" s="27"/>
      <x:c r="AV170" s="27"/>
      <x:c r="AW170" s="27"/>
      <x:c r="AX170" s="27"/>
      <x:c r="AY170" s="27"/>
      <x:c r="AZ170" s="27"/>
    </x:row>
    <x:row r="171">
      <x:c r="A171" s="27"/>
      <x:c r="B171" s="27"/>
      <x:c r="C171" s="27"/>
      <x:c r="D171" s="27"/>
      <x:c r="E171" s="27"/>
      <x:c r="F171" s="27"/>
      <x:c r="G171" s="27"/>
      <x:c r="H171" s="27"/>
      <x:c r="I171" s="27"/>
      <x:c r="J171" s="27"/>
      <x:c r="K171" s="27"/>
      <x:c r="L171" s="27"/>
      <x:c r="M171" s="27"/>
      <x:c r="N171" s="27"/>
      <x:c r="O171" s="27"/>
      <x:c r="P171" s="27"/>
      <x:c r="Q171" s="27"/>
      <x:c r="R171" s="27"/>
      <x:c r="S171" s="27"/>
      <x:c r="T171" s="27"/>
      <x:c r="U171" s="27"/>
      <x:c r="V171" s="27"/>
      <x:c r="W171" s="27"/>
      <x:c r="X171" s="27"/>
      <x:c r="Y171" s="27"/>
      <x:c r="Z171" s="27"/>
      <x:c r="AA171" s="27"/>
      <x:c r="AB171" s="27"/>
      <x:c r="AC171" s="27"/>
      <x:c r="AD171" s="27"/>
      <x:c r="AE171" s="27"/>
      <x:c r="AF171" s="27"/>
      <x:c r="AG171" s="27"/>
      <x:c r="AH171" s="27"/>
      <x:c r="AI171" s="27"/>
      <x:c r="AJ171" s="27"/>
      <x:c r="AK171" s="27"/>
      <x:c r="AL171" s="27"/>
      <x:c r="AM171" s="27"/>
      <x:c r="AN171" s="27"/>
      <x:c r="AO171" s="27"/>
      <x:c r="AP171" s="27"/>
      <x:c r="AQ171" s="27"/>
      <x:c r="AR171" s="27"/>
      <x:c r="AS171" s="27"/>
      <x:c r="AT171" s="27"/>
      <x:c r="AU171" s="27"/>
      <x:c r="AV171" s="27"/>
      <x:c r="AW171" s="27"/>
      <x:c r="AX171" s="27"/>
      <x:c r="AY171" s="27"/>
      <x:c r="AZ171" s="27"/>
    </x:row>
    <x:row r="172">
      <x:c r="A172" s="27"/>
      <x:c r="B172" s="27"/>
      <x:c r="C172" s="27"/>
      <x:c r="D172" s="27"/>
      <x:c r="E172" s="27"/>
      <x:c r="F172" s="27"/>
      <x:c r="G172" s="27"/>
      <x:c r="H172" s="27"/>
      <x:c r="I172" s="27"/>
      <x:c r="J172" s="27"/>
      <x:c r="K172" s="27"/>
      <x:c r="L172" s="27"/>
      <x:c r="M172" s="27"/>
      <x:c r="N172" s="27"/>
      <x:c r="O172" s="27"/>
      <x:c r="P172" s="27"/>
      <x:c r="Q172" s="27"/>
      <x:c r="R172" s="27"/>
      <x:c r="S172" s="27"/>
      <x:c r="T172" s="27"/>
      <x:c r="U172" s="27"/>
      <x:c r="V172" s="27"/>
      <x:c r="W172" s="27"/>
      <x:c r="X172" s="27"/>
      <x:c r="Y172" s="27"/>
      <x:c r="Z172" s="27"/>
      <x:c r="AA172" s="27"/>
      <x:c r="AB172" s="27"/>
      <x:c r="AC172" s="27"/>
      <x:c r="AD172" s="27"/>
      <x:c r="AE172" s="27"/>
      <x:c r="AF172" s="27"/>
      <x:c r="AG172" s="27"/>
      <x:c r="AH172" s="27"/>
      <x:c r="AI172" s="27"/>
      <x:c r="AJ172" s="27"/>
      <x:c r="AK172" s="27"/>
      <x:c r="AL172" s="27"/>
      <x:c r="AM172" s="27"/>
      <x:c r="AN172" s="27"/>
      <x:c r="AO172" s="27"/>
      <x:c r="AP172" s="27"/>
      <x:c r="AQ172" s="27"/>
      <x:c r="AR172" s="27"/>
      <x:c r="AS172" s="27"/>
      <x:c r="AT172" s="27"/>
      <x:c r="AU172" s="27"/>
      <x:c r="AV172" s="27"/>
      <x:c r="AW172" s="27"/>
      <x:c r="AX172" s="27"/>
      <x:c r="AY172" s="27"/>
      <x:c r="AZ172" s="27"/>
    </x:row>
    <x:row r="173">
      <x:c r="A173" s="27"/>
      <x:c r="B173" s="27"/>
      <x:c r="C173" s="27"/>
      <x:c r="D173" s="27"/>
      <x:c r="E173" s="27"/>
      <x:c r="F173" s="27"/>
      <x:c r="G173" s="27"/>
      <x:c r="H173" s="27"/>
      <x:c r="I173" s="27"/>
      <x:c r="J173" s="27"/>
      <x:c r="K173" s="27"/>
      <x:c r="L173" s="27"/>
      <x:c r="M173" s="27"/>
      <x:c r="N173" s="27"/>
      <x:c r="O173" s="27"/>
      <x:c r="P173" s="27"/>
      <x:c r="Q173" s="27"/>
      <x:c r="R173" s="27"/>
      <x:c r="S173" s="27"/>
      <x:c r="T173" s="27"/>
      <x:c r="U173" s="27"/>
      <x:c r="V173" s="27"/>
      <x:c r="W173" s="27"/>
      <x:c r="X173" s="27"/>
      <x:c r="Y173" s="27"/>
      <x:c r="Z173" s="27"/>
      <x:c r="AA173" s="27"/>
      <x:c r="AB173" s="27"/>
      <x:c r="AC173" s="27"/>
      <x:c r="AD173" s="27"/>
      <x:c r="AE173" s="27"/>
      <x:c r="AF173" s="27"/>
      <x:c r="AG173" s="27"/>
      <x:c r="AH173" s="27"/>
      <x:c r="AI173" s="27"/>
      <x:c r="AJ173" s="27"/>
      <x:c r="AK173" s="27"/>
      <x:c r="AL173" s="27"/>
      <x:c r="AM173" s="27"/>
      <x:c r="AN173" s="27"/>
      <x:c r="AO173" s="27"/>
      <x:c r="AP173" s="27"/>
      <x:c r="AQ173" s="27"/>
      <x:c r="AR173" s="27"/>
      <x:c r="AS173" s="27"/>
      <x:c r="AT173" s="27"/>
      <x:c r="AU173" s="27"/>
      <x:c r="AV173" s="27"/>
      <x:c r="AW173" s="27"/>
      <x:c r="AX173" s="27"/>
      <x:c r="AY173" s="27"/>
      <x:c r="AZ173" s="27"/>
    </x:row>
    <x:row r="174">
      <x:c r="A174" s="27"/>
      <x:c r="B174" s="27"/>
      <x:c r="C174" s="27"/>
      <x:c r="D174" s="27"/>
      <x:c r="E174" s="27"/>
      <x:c r="F174" s="27"/>
      <x:c r="G174" s="27"/>
      <x:c r="H174" s="27"/>
      <x:c r="I174" s="27"/>
      <x:c r="J174" s="27"/>
      <x:c r="K174" s="27"/>
      <x:c r="L174" s="27"/>
      <x:c r="M174" s="27"/>
      <x:c r="N174" s="27"/>
      <x:c r="O174" s="27"/>
      <x:c r="P174" s="27"/>
      <x:c r="Q174" s="27"/>
      <x:c r="R174" s="27"/>
      <x:c r="S174" s="27"/>
      <x:c r="T174" s="27"/>
      <x:c r="U174" s="27"/>
      <x:c r="V174" s="27"/>
      <x:c r="W174" s="27"/>
      <x:c r="X174" s="27"/>
      <x:c r="Y174" s="27"/>
      <x:c r="Z174" s="27"/>
      <x:c r="AA174" s="27"/>
      <x:c r="AB174" s="27"/>
      <x:c r="AC174" s="27"/>
      <x:c r="AD174" s="27"/>
      <x:c r="AE174" s="27"/>
      <x:c r="AF174" s="27"/>
      <x:c r="AG174" s="27"/>
      <x:c r="AH174" s="27"/>
      <x:c r="AI174" s="27"/>
      <x:c r="AJ174" s="27"/>
      <x:c r="AK174" s="27"/>
      <x:c r="AL174" s="27"/>
      <x:c r="AM174" s="27"/>
      <x:c r="AN174" s="27"/>
      <x:c r="AO174" s="27"/>
      <x:c r="AP174" s="27"/>
      <x:c r="AQ174" s="27"/>
      <x:c r="AR174" s="27"/>
      <x:c r="AS174" s="27"/>
      <x:c r="AT174" s="27"/>
      <x:c r="AU174" s="27"/>
      <x:c r="AV174" s="27"/>
      <x:c r="AW174" s="27"/>
      <x:c r="AX174" s="27"/>
      <x:c r="AY174" s="27"/>
      <x:c r="AZ174" s="27"/>
    </x:row>
    <x:row r="175">
      <x:c r="A175" s="27"/>
      <x:c r="B175" s="27"/>
      <x:c r="C175" s="27"/>
      <x:c r="D175" s="27"/>
      <x:c r="E175" s="27"/>
      <x:c r="F175" s="27"/>
      <x:c r="G175" s="27"/>
      <x:c r="H175" s="27"/>
      <x:c r="I175" s="27"/>
      <x:c r="J175" s="27"/>
      <x:c r="K175" s="27"/>
      <x:c r="L175" s="27"/>
      <x:c r="M175" s="27"/>
      <x:c r="N175" s="27"/>
      <x:c r="O175" s="27"/>
      <x:c r="P175" s="27"/>
      <x:c r="Q175" s="27"/>
      <x:c r="R175" s="27"/>
      <x:c r="S175" s="27"/>
      <x:c r="T175" s="27"/>
      <x:c r="U175" s="27"/>
      <x:c r="V175" s="27"/>
      <x:c r="W175" s="27"/>
      <x:c r="X175" s="27"/>
      <x:c r="Y175" s="27"/>
      <x:c r="Z175" s="27"/>
      <x:c r="AA175" s="27"/>
      <x:c r="AB175" s="27"/>
      <x:c r="AC175" s="27"/>
      <x:c r="AD175" s="27"/>
      <x:c r="AE175" s="27"/>
      <x:c r="AF175" s="27"/>
      <x:c r="AG175" s="27"/>
      <x:c r="AH175" s="27"/>
      <x:c r="AI175" s="27"/>
      <x:c r="AJ175" s="27"/>
      <x:c r="AK175" s="27"/>
      <x:c r="AL175" s="27"/>
      <x:c r="AM175" s="27"/>
      <x:c r="AN175" s="27"/>
      <x:c r="AO175" s="27"/>
      <x:c r="AP175" s="27"/>
      <x:c r="AQ175" s="27"/>
      <x:c r="AR175" s="27"/>
      <x:c r="AS175" s="27"/>
      <x:c r="AT175" s="27"/>
      <x:c r="AU175" s="27"/>
      <x:c r="AV175" s="27"/>
      <x:c r="AW175" s="27"/>
      <x:c r="AX175" s="27"/>
      <x:c r="AY175" s="27"/>
      <x:c r="AZ175" s="27"/>
    </x:row>
    <x:row r="176">
      <x:c r="A176" s="27"/>
      <x:c r="B176" s="27"/>
      <x:c r="C176" s="27"/>
      <x:c r="D176" s="27"/>
      <x:c r="E176" s="27"/>
      <x:c r="F176" s="27"/>
      <x:c r="G176" s="27"/>
      <x:c r="H176" s="27"/>
      <x:c r="I176" s="27"/>
      <x:c r="J176" s="27"/>
      <x:c r="K176" s="27"/>
      <x:c r="L176" s="27"/>
      <x:c r="M176" s="27"/>
      <x:c r="N176" s="27"/>
      <x:c r="O176" s="27"/>
      <x:c r="P176" s="27"/>
      <x:c r="Q176" s="27"/>
      <x:c r="R176" s="27"/>
      <x:c r="S176" s="27"/>
      <x:c r="T176" s="27"/>
      <x:c r="U176" s="27"/>
      <x:c r="V176" s="27"/>
      <x:c r="W176" s="27"/>
      <x:c r="X176" s="27"/>
      <x:c r="Y176" s="27"/>
      <x:c r="Z176" s="27"/>
      <x:c r="AA176" s="27"/>
      <x:c r="AB176" s="27"/>
      <x:c r="AC176" s="27"/>
      <x:c r="AD176" s="27"/>
      <x:c r="AE176" s="27"/>
      <x:c r="AF176" s="27"/>
      <x:c r="AG176" s="27"/>
      <x:c r="AH176" s="27"/>
      <x:c r="AI176" s="27"/>
      <x:c r="AJ176" s="27"/>
      <x:c r="AK176" s="27"/>
      <x:c r="AL176" s="27"/>
      <x:c r="AM176" s="27"/>
      <x:c r="AN176" s="27"/>
      <x:c r="AO176" s="27"/>
      <x:c r="AP176" s="27"/>
      <x:c r="AQ176" s="27"/>
      <x:c r="AR176" s="27"/>
      <x:c r="AS176" s="27"/>
      <x:c r="AT176" s="27"/>
      <x:c r="AU176" s="27"/>
      <x:c r="AV176" s="27"/>
      <x:c r="AW176" s="27"/>
      <x:c r="AX176" s="27"/>
      <x:c r="AY176" s="27"/>
      <x:c r="AZ176" s="27"/>
    </x:row>
    <x:row r="177">
      <x:c r="A177" s="27"/>
      <x:c r="B177" s="27"/>
      <x:c r="C177" s="27"/>
      <x:c r="D177" s="27"/>
      <x:c r="E177" s="27"/>
      <x:c r="F177" s="27"/>
      <x:c r="G177" s="27"/>
      <x:c r="H177" s="27"/>
      <x:c r="I177" s="27"/>
      <x:c r="J177" s="27"/>
      <x:c r="K177" s="27"/>
      <x:c r="L177" s="27"/>
      <x:c r="M177" s="27"/>
      <x:c r="N177" s="27"/>
      <x:c r="O177" s="27"/>
      <x:c r="P177" s="27"/>
      <x:c r="Q177" s="27"/>
      <x:c r="R177" s="27"/>
      <x:c r="S177" s="27"/>
      <x:c r="T177" s="27"/>
      <x:c r="U177" s="27"/>
      <x:c r="V177" s="27"/>
      <x:c r="W177" s="27"/>
      <x:c r="X177" s="27"/>
      <x:c r="Y177" s="27"/>
      <x:c r="Z177" s="27"/>
      <x:c r="AA177" s="27"/>
      <x:c r="AB177" s="27"/>
      <x:c r="AC177" s="27"/>
      <x:c r="AD177" s="27"/>
      <x:c r="AE177" s="27"/>
      <x:c r="AF177" s="27"/>
      <x:c r="AG177" s="27"/>
      <x:c r="AH177" s="27"/>
      <x:c r="AI177" s="27"/>
      <x:c r="AJ177" s="27"/>
      <x:c r="AK177" s="27"/>
      <x:c r="AL177" s="27"/>
      <x:c r="AM177" s="27"/>
      <x:c r="AN177" s="27"/>
      <x:c r="AO177" s="27"/>
      <x:c r="AP177" s="27"/>
      <x:c r="AQ177" s="27"/>
      <x:c r="AR177" s="27"/>
      <x:c r="AS177" s="27"/>
      <x:c r="AT177" s="27"/>
      <x:c r="AU177" s="27"/>
      <x:c r="AV177" s="27"/>
      <x:c r="AW177" s="27"/>
      <x:c r="AX177" s="27"/>
      <x:c r="AY177" s="27"/>
      <x:c r="AZ177" s="27"/>
    </x:row>
    <x:row r="178">
      <x:c r="A178" s="27"/>
      <x:c r="B178" s="27"/>
      <x:c r="C178" s="27"/>
      <x:c r="D178" s="27"/>
      <x:c r="E178" s="27"/>
      <x:c r="F178" s="27"/>
      <x:c r="G178" s="27"/>
      <x:c r="H178" s="27"/>
      <x:c r="I178" s="27"/>
      <x:c r="J178" s="27"/>
      <x:c r="K178" s="27"/>
      <x:c r="L178" s="27"/>
      <x:c r="M178" s="27"/>
      <x:c r="N178" s="27"/>
      <x:c r="O178" s="27"/>
      <x:c r="P178" s="27"/>
      <x:c r="Q178" s="27"/>
      <x:c r="R178" s="27"/>
      <x:c r="S178" s="27"/>
      <x:c r="T178" s="27"/>
      <x:c r="U178" s="27"/>
      <x:c r="V178" s="27"/>
      <x:c r="W178" s="27"/>
      <x:c r="X178" s="27"/>
      <x:c r="Y178" s="27"/>
      <x:c r="Z178" s="27"/>
      <x:c r="AA178" s="27"/>
      <x:c r="AB178" s="27"/>
      <x:c r="AC178" s="27"/>
      <x:c r="AD178" s="27"/>
      <x:c r="AE178" s="27"/>
      <x:c r="AF178" s="27"/>
      <x:c r="AG178" s="27"/>
      <x:c r="AH178" s="27"/>
      <x:c r="AI178" s="27"/>
      <x:c r="AJ178" s="27"/>
      <x:c r="AK178" s="27"/>
      <x:c r="AL178" s="27"/>
      <x:c r="AM178" s="27"/>
      <x:c r="AN178" s="27"/>
      <x:c r="AO178" s="27"/>
      <x:c r="AP178" s="27"/>
      <x:c r="AQ178" s="27"/>
      <x:c r="AR178" s="27"/>
      <x:c r="AS178" s="27"/>
      <x:c r="AT178" s="27"/>
      <x:c r="AU178" s="27"/>
      <x:c r="AV178" s="27"/>
      <x:c r="AW178" s="27"/>
      <x:c r="AX178" s="27"/>
      <x:c r="AY178" s="27"/>
      <x:c r="AZ178" s="27"/>
    </x:row>
    <x:row r="179">
      <x:c r="A179" s="27"/>
      <x:c r="B179" s="27"/>
      <x:c r="C179" s="27"/>
      <x:c r="D179" s="27"/>
      <x:c r="E179" s="27"/>
      <x:c r="F179" s="27"/>
      <x:c r="G179" s="27"/>
      <x:c r="H179" s="27"/>
      <x:c r="I179" s="27"/>
      <x:c r="J179" s="27"/>
      <x:c r="K179" s="27"/>
      <x:c r="L179" s="27"/>
      <x:c r="M179" s="27"/>
      <x:c r="N179" s="27"/>
      <x:c r="O179" s="27"/>
      <x:c r="P179" s="27"/>
      <x:c r="Q179" s="27"/>
      <x:c r="R179" s="27"/>
      <x:c r="S179" s="27"/>
      <x:c r="T179" s="27"/>
      <x:c r="U179" s="27"/>
      <x:c r="V179" s="27"/>
      <x:c r="W179" s="27"/>
      <x:c r="X179" s="27"/>
      <x:c r="Y179" s="27"/>
      <x:c r="Z179" s="27"/>
      <x:c r="AA179" s="27"/>
      <x:c r="AB179" s="27"/>
      <x:c r="AC179" s="27"/>
      <x:c r="AD179" s="27"/>
      <x:c r="AE179" s="27"/>
      <x:c r="AF179" s="27"/>
      <x:c r="AG179" s="27"/>
      <x:c r="AH179" s="27"/>
      <x:c r="AI179" s="27"/>
      <x:c r="AJ179" s="27"/>
      <x:c r="AK179" s="27"/>
      <x:c r="AL179" s="27"/>
      <x:c r="AM179" s="27"/>
      <x:c r="AN179" s="27"/>
      <x:c r="AO179" s="27"/>
      <x:c r="AP179" s="27"/>
      <x:c r="AQ179" s="27"/>
      <x:c r="AR179" s="27"/>
      <x:c r="AS179" s="27"/>
      <x:c r="AT179" s="27"/>
      <x:c r="AU179" s="27"/>
      <x:c r="AV179" s="27"/>
      <x:c r="AW179" s="27"/>
      <x:c r="AX179" s="27"/>
      <x:c r="AY179" s="27"/>
      <x:c r="AZ179" s="27"/>
    </x:row>
    <x:row r="180">
      <x:c r="A180" s="27"/>
      <x:c r="B180" s="27"/>
      <x:c r="C180" s="27"/>
      <x:c r="D180" s="27"/>
      <x:c r="E180" s="27"/>
      <x:c r="F180" s="27"/>
      <x:c r="G180" s="27"/>
      <x:c r="H180" s="27"/>
      <x:c r="I180" s="27"/>
      <x:c r="J180" s="27"/>
      <x:c r="K180" s="27"/>
      <x:c r="L180" s="27"/>
      <x:c r="M180" s="27"/>
      <x:c r="N180" s="27"/>
      <x:c r="O180" s="27"/>
      <x:c r="P180" s="27"/>
      <x:c r="Q180" s="27"/>
      <x:c r="R180" s="27"/>
      <x:c r="S180" s="27"/>
      <x:c r="T180" s="27"/>
      <x:c r="U180" s="27"/>
      <x:c r="V180" s="27"/>
      <x:c r="W180" s="27"/>
      <x:c r="X180" s="27"/>
      <x:c r="Y180" s="27"/>
      <x:c r="Z180" s="27"/>
      <x:c r="AA180" s="27"/>
      <x:c r="AB180" s="27"/>
      <x:c r="AC180" s="27"/>
      <x:c r="AD180" s="27"/>
      <x:c r="AE180" s="27"/>
      <x:c r="AF180" s="27"/>
      <x:c r="AG180" s="27"/>
      <x:c r="AH180" s="27"/>
      <x:c r="AI180" s="27"/>
      <x:c r="AJ180" s="27"/>
      <x:c r="AK180" s="27"/>
      <x:c r="AL180" s="27"/>
      <x:c r="AM180" s="27"/>
      <x:c r="AN180" s="27"/>
      <x:c r="AO180" s="27"/>
      <x:c r="AP180" s="27"/>
      <x:c r="AQ180" s="27"/>
      <x:c r="AR180" s="27"/>
      <x:c r="AS180" s="27"/>
      <x:c r="AT180" s="27"/>
      <x:c r="AU180" s="27"/>
      <x:c r="AV180" s="27"/>
      <x:c r="AW180" s="27"/>
      <x:c r="AX180" s="27"/>
      <x:c r="AY180" s="27"/>
      <x:c r="AZ180" s="27"/>
    </x:row>
    <x:row r="181">
      <x:c r="A181" s="27"/>
      <x:c r="B181" s="27"/>
      <x:c r="C181" s="27"/>
      <x:c r="D181" s="27"/>
      <x:c r="E181" s="27"/>
      <x:c r="F181" s="27"/>
      <x:c r="G181" s="27"/>
      <x:c r="H181" s="27"/>
      <x:c r="I181" s="27"/>
      <x:c r="J181" s="27"/>
      <x:c r="K181" s="27"/>
      <x:c r="L181" s="27"/>
      <x:c r="M181" s="27"/>
      <x:c r="N181" s="27"/>
      <x:c r="O181" s="27"/>
      <x:c r="P181" s="27"/>
      <x:c r="Q181" s="27"/>
      <x:c r="R181" s="27"/>
      <x:c r="S181" s="27"/>
      <x:c r="T181" s="27"/>
      <x:c r="U181" s="27"/>
      <x:c r="V181" s="27"/>
      <x:c r="W181" s="27"/>
      <x:c r="X181" s="27"/>
      <x:c r="Y181" s="27"/>
      <x:c r="Z181" s="27"/>
      <x:c r="AA181" s="27"/>
      <x:c r="AB181" s="27"/>
      <x:c r="AC181" s="27"/>
      <x:c r="AD181" s="27"/>
      <x:c r="AE181" s="27"/>
      <x:c r="AF181" s="27"/>
      <x:c r="AG181" s="27"/>
      <x:c r="AH181" s="27"/>
      <x:c r="AI181" s="27"/>
      <x:c r="AJ181" s="27"/>
      <x:c r="AK181" s="27"/>
      <x:c r="AL181" s="27"/>
      <x:c r="AM181" s="27"/>
      <x:c r="AN181" s="27"/>
      <x:c r="AO181" s="27"/>
      <x:c r="AP181" s="27"/>
      <x:c r="AQ181" s="27"/>
      <x:c r="AR181" s="27"/>
      <x:c r="AS181" s="27"/>
      <x:c r="AT181" s="27"/>
      <x:c r="AU181" s="27"/>
      <x:c r="AV181" s="27"/>
      <x:c r="AW181" s="27"/>
      <x:c r="AX181" s="27"/>
      <x:c r="AY181" s="27"/>
      <x:c r="AZ181" s="27"/>
    </x:row>
    <x:row r="182">
      <x:c r="A182" s="27"/>
      <x:c r="B182" s="27"/>
      <x:c r="C182" s="27"/>
      <x:c r="D182" s="27"/>
      <x:c r="E182" s="27"/>
      <x:c r="F182" s="27"/>
      <x:c r="G182" s="27"/>
      <x:c r="H182" s="27"/>
      <x:c r="I182" s="27"/>
      <x:c r="J182" s="27"/>
      <x:c r="K182" s="27"/>
      <x:c r="L182" s="27"/>
      <x:c r="M182" s="27"/>
      <x:c r="N182" s="27"/>
      <x:c r="O182" s="27"/>
      <x:c r="P182" s="27"/>
      <x:c r="Q182" s="27"/>
      <x:c r="R182" s="27"/>
      <x:c r="S182" s="27"/>
      <x:c r="T182" s="27"/>
      <x:c r="U182" s="27"/>
      <x:c r="V182" s="27"/>
      <x:c r="W182" s="27"/>
      <x:c r="X182" s="27"/>
      <x:c r="Y182" s="27"/>
      <x:c r="Z182" s="27"/>
      <x:c r="AA182" s="27"/>
      <x:c r="AB182" s="27"/>
      <x:c r="AC182" s="27"/>
      <x:c r="AD182" s="27"/>
      <x:c r="AE182" s="27"/>
      <x:c r="AF182" s="27"/>
      <x:c r="AG182" s="27"/>
      <x:c r="AH182" s="27"/>
      <x:c r="AI182" s="27"/>
      <x:c r="AJ182" s="27"/>
      <x:c r="AK182" s="27"/>
      <x:c r="AL182" s="27"/>
      <x:c r="AM182" s="27"/>
      <x:c r="AN182" s="27"/>
      <x:c r="AO182" s="27"/>
      <x:c r="AP182" s="27"/>
      <x:c r="AQ182" s="27"/>
      <x:c r="AR182" s="27"/>
      <x:c r="AS182" s="27"/>
      <x:c r="AT182" s="27"/>
      <x:c r="AU182" s="27"/>
      <x:c r="AV182" s="27"/>
      <x:c r="AW182" s="27"/>
      <x:c r="AX182" s="27"/>
      <x:c r="AY182" s="27"/>
      <x:c r="AZ182" s="27"/>
    </x:row>
    <x:row r="183">
      <x:c r="A183" s="27"/>
      <x:c r="B183" s="27"/>
      <x:c r="C183" s="27"/>
      <x:c r="D183" s="27"/>
      <x:c r="E183" s="27"/>
      <x:c r="F183" s="27"/>
      <x:c r="G183" s="27"/>
      <x:c r="H183" s="27"/>
      <x:c r="I183" s="27"/>
      <x:c r="J183" s="27"/>
      <x:c r="K183" s="27"/>
      <x:c r="L183" s="27"/>
      <x:c r="M183" s="27"/>
      <x:c r="N183" s="27"/>
      <x:c r="O183" s="27"/>
      <x:c r="P183" s="27"/>
      <x:c r="Q183" s="27"/>
      <x:c r="R183" s="27"/>
      <x:c r="S183" s="27"/>
      <x:c r="T183" s="27"/>
      <x:c r="U183" s="27"/>
      <x:c r="V183" s="27"/>
      <x:c r="W183" s="27"/>
      <x:c r="X183" s="27"/>
      <x:c r="Y183" s="27"/>
      <x:c r="Z183" s="27"/>
      <x:c r="AA183" s="27"/>
      <x:c r="AB183" s="27"/>
      <x:c r="AC183" s="27"/>
      <x:c r="AD183" s="27"/>
      <x:c r="AE183" s="27"/>
      <x:c r="AF183" s="27"/>
      <x:c r="AG183" s="27"/>
      <x:c r="AH183" s="27"/>
      <x:c r="AI183" s="27"/>
      <x:c r="AJ183" s="27"/>
      <x:c r="AK183" s="27"/>
      <x:c r="AL183" s="27"/>
      <x:c r="AM183" s="27"/>
      <x:c r="AN183" s="27"/>
      <x:c r="AO183" s="27"/>
      <x:c r="AP183" s="27"/>
      <x:c r="AQ183" s="27"/>
      <x:c r="AR183" s="27"/>
      <x:c r="AS183" s="27"/>
      <x:c r="AT183" s="27"/>
      <x:c r="AU183" s="27"/>
      <x:c r="AV183" s="27"/>
      <x:c r="AW183" s="27"/>
      <x:c r="AX183" s="27"/>
      <x:c r="AY183" s="27"/>
      <x:c r="AZ183" s="27"/>
    </x:row>
    <x:row r="184">
      <x:c r="A184" s="27"/>
      <x:c r="B184" s="27"/>
      <x:c r="C184" s="27"/>
      <x:c r="D184" s="27"/>
      <x:c r="E184" s="27"/>
      <x:c r="F184" s="27"/>
      <x:c r="G184" s="27"/>
      <x:c r="H184" s="27"/>
      <x:c r="I184" s="27"/>
      <x:c r="J184" s="27"/>
      <x:c r="K184" s="27"/>
      <x:c r="L184" s="27"/>
      <x:c r="M184" s="27"/>
      <x:c r="N184" s="27"/>
      <x:c r="O184" s="27"/>
      <x:c r="P184" s="27"/>
      <x:c r="Q184" s="27"/>
      <x:c r="R184" s="27"/>
      <x:c r="S184" s="27"/>
      <x:c r="T184" s="27"/>
      <x:c r="U184" s="27"/>
      <x:c r="V184" s="27"/>
      <x:c r="W184" s="27"/>
      <x:c r="X184" s="27"/>
      <x:c r="Y184" s="27"/>
      <x:c r="Z184" s="27"/>
      <x:c r="AA184" s="27"/>
      <x:c r="AB184" s="27"/>
      <x:c r="AC184" s="27"/>
      <x:c r="AD184" s="27"/>
      <x:c r="AE184" s="27"/>
      <x:c r="AF184" s="27"/>
      <x:c r="AG184" s="27"/>
      <x:c r="AH184" s="27"/>
      <x:c r="AI184" s="27"/>
      <x:c r="AJ184" s="27"/>
      <x:c r="AK184" s="27"/>
      <x:c r="AL184" s="27"/>
      <x:c r="AM184" s="27"/>
      <x:c r="AN184" s="27"/>
      <x:c r="AO184" s="27"/>
      <x:c r="AP184" s="27"/>
      <x:c r="AQ184" s="27"/>
      <x:c r="AR184" s="27"/>
      <x:c r="AS184" s="27"/>
      <x:c r="AT184" s="27"/>
      <x:c r="AU184" s="27"/>
      <x:c r="AV184" s="27"/>
      <x:c r="AW184" s="27"/>
      <x:c r="AX184" s="27"/>
      <x:c r="AY184" s="27"/>
      <x:c r="AZ184" s="27"/>
    </x:row>
    <x:row r="185">
      <x:c r="A185" s="27"/>
      <x:c r="B185" s="27"/>
      <x:c r="C185" s="27"/>
      <x:c r="D185" s="27"/>
      <x:c r="E185" s="27"/>
      <x:c r="F185" s="27"/>
      <x:c r="G185" s="27"/>
      <x:c r="H185" s="27"/>
      <x:c r="I185" s="27"/>
      <x:c r="J185" s="27"/>
      <x:c r="K185" s="27"/>
      <x:c r="L185" s="27"/>
      <x:c r="M185" s="27"/>
      <x:c r="N185" s="27"/>
      <x:c r="O185" s="27"/>
      <x:c r="P185" s="27"/>
      <x:c r="Q185" s="27"/>
      <x:c r="R185" s="27"/>
      <x:c r="S185" s="27"/>
      <x:c r="T185" s="27"/>
      <x:c r="U185" s="27"/>
      <x:c r="V185" s="27"/>
      <x:c r="W185" s="27"/>
      <x:c r="X185" s="27"/>
      <x:c r="Y185" s="27"/>
      <x:c r="Z185" s="27"/>
      <x:c r="AA185" s="27"/>
      <x:c r="AB185" s="27"/>
      <x:c r="AC185" s="27"/>
      <x:c r="AD185" s="27"/>
      <x:c r="AE185" s="27"/>
      <x:c r="AF185" s="27"/>
      <x:c r="AG185" s="27"/>
      <x:c r="AH185" s="27"/>
      <x:c r="AI185" s="27"/>
      <x:c r="AJ185" s="27"/>
      <x:c r="AK185" s="27"/>
      <x:c r="AL185" s="27"/>
      <x:c r="AM185" s="27"/>
      <x:c r="AN185" s="27"/>
      <x:c r="AO185" s="27"/>
      <x:c r="AP185" s="27"/>
      <x:c r="AQ185" s="27"/>
      <x:c r="AR185" s="27"/>
      <x:c r="AS185" s="27"/>
      <x:c r="AT185" s="27"/>
      <x:c r="AU185" s="27"/>
      <x:c r="AV185" s="27"/>
      <x:c r="AW185" s="27"/>
      <x:c r="AX185" s="27"/>
      <x:c r="AY185" s="27"/>
      <x:c r="AZ185" s="27"/>
    </x:row>
    <x:row r="186">
      <x:c r="A186" s="27"/>
      <x:c r="B186" s="27"/>
      <x:c r="C186" s="27"/>
      <x:c r="D186" s="27"/>
      <x:c r="E186" s="27"/>
      <x:c r="F186" s="27"/>
      <x:c r="G186" s="27"/>
      <x:c r="H186" s="27"/>
      <x:c r="I186" s="27"/>
      <x:c r="J186" s="27"/>
      <x:c r="K186" s="27"/>
      <x:c r="L186" s="27"/>
      <x:c r="M186" s="27"/>
      <x:c r="N186" s="27"/>
      <x:c r="O186" s="27"/>
      <x:c r="P186" s="27"/>
      <x:c r="Q186" s="27"/>
      <x:c r="R186" s="27"/>
      <x:c r="S186" s="27"/>
      <x:c r="T186" s="27"/>
      <x:c r="U186" s="27"/>
      <x:c r="V186" s="27"/>
      <x:c r="W186" s="27"/>
      <x:c r="X186" s="27"/>
      <x:c r="Y186" s="27"/>
      <x:c r="Z186" s="27"/>
      <x:c r="AA186" s="27"/>
      <x:c r="AB186" s="27"/>
      <x:c r="AC186" s="27"/>
      <x:c r="AD186" s="27"/>
      <x:c r="AE186" s="27"/>
      <x:c r="AF186" s="27"/>
      <x:c r="AG186" s="27"/>
      <x:c r="AH186" s="27"/>
      <x:c r="AI186" s="27"/>
      <x:c r="AJ186" s="27"/>
      <x:c r="AK186" s="27"/>
      <x:c r="AL186" s="27"/>
      <x:c r="AM186" s="27"/>
      <x:c r="AN186" s="27"/>
      <x:c r="AO186" s="27"/>
      <x:c r="AP186" s="27"/>
      <x:c r="AQ186" s="27"/>
      <x:c r="AR186" s="27"/>
      <x:c r="AS186" s="27"/>
      <x:c r="AT186" s="27"/>
      <x:c r="AU186" s="27"/>
      <x:c r="AV186" s="27"/>
      <x:c r="AW186" s="27"/>
      <x:c r="AX186" s="27"/>
      <x:c r="AY186" s="27"/>
      <x:c r="AZ186" s="27"/>
    </x:row>
    <x:row r="187">
      <x:c r="A187" s="27"/>
      <x:c r="B187" s="27"/>
      <x:c r="C187" s="27"/>
      <x:c r="D187" s="27"/>
      <x:c r="E187" s="27"/>
      <x:c r="F187" s="27"/>
      <x:c r="G187" s="27"/>
      <x:c r="H187" s="27"/>
      <x:c r="I187" s="27"/>
      <x:c r="J187" s="27"/>
      <x:c r="K187" s="27"/>
      <x:c r="L187" s="27"/>
      <x:c r="M187" s="27"/>
      <x:c r="N187" s="27"/>
      <x:c r="O187" s="27"/>
      <x:c r="P187" s="27"/>
      <x:c r="Q187" s="27"/>
      <x:c r="R187" s="27"/>
      <x:c r="S187" s="27"/>
      <x:c r="T187" s="27"/>
      <x:c r="U187" s="27"/>
      <x:c r="V187" s="27"/>
      <x:c r="W187" s="27"/>
      <x:c r="X187" s="27"/>
      <x:c r="Y187" s="27"/>
      <x:c r="Z187" s="27"/>
      <x:c r="AA187" s="27"/>
      <x:c r="AB187" s="27"/>
      <x:c r="AC187" s="27"/>
      <x:c r="AD187" s="27"/>
      <x:c r="AE187" s="27"/>
      <x:c r="AF187" s="27"/>
      <x:c r="AG187" s="27"/>
      <x:c r="AH187" s="27"/>
      <x:c r="AI187" s="27"/>
      <x:c r="AJ187" s="27"/>
      <x:c r="AK187" s="27"/>
      <x:c r="AL187" s="27"/>
      <x:c r="AM187" s="27"/>
      <x:c r="AN187" s="27"/>
      <x:c r="AO187" s="27"/>
      <x:c r="AP187" s="27"/>
      <x:c r="AQ187" s="27"/>
      <x:c r="AR187" s="27"/>
      <x:c r="AS187" s="27"/>
      <x:c r="AT187" s="27"/>
      <x:c r="AU187" s="27"/>
      <x:c r="AV187" s="27"/>
      <x:c r="AW187" s="27"/>
      <x:c r="AX187" s="27"/>
      <x:c r="AY187" s="27"/>
      <x:c r="AZ187" s="27"/>
    </x:row>
    <x:row r="188">
      <x:c r="A188" s="27"/>
      <x:c r="B188" s="27"/>
      <x:c r="C188" s="27"/>
      <x:c r="D188" s="27"/>
      <x:c r="E188" s="27"/>
      <x:c r="F188" s="27"/>
      <x:c r="G188" s="27"/>
      <x:c r="H188" s="27"/>
      <x:c r="I188" s="27"/>
      <x:c r="J188" s="27"/>
      <x:c r="K188" s="27"/>
      <x:c r="L188" s="27"/>
      <x:c r="M188" s="27"/>
      <x:c r="N188" s="27"/>
      <x:c r="O188" s="27"/>
      <x:c r="P188" s="27"/>
      <x:c r="Q188" s="27"/>
      <x:c r="R188" s="27"/>
      <x:c r="S188" s="27"/>
      <x:c r="T188" s="27"/>
      <x:c r="U188" s="27"/>
      <x:c r="V188" s="27"/>
      <x:c r="W188" s="27"/>
      <x:c r="X188" s="27"/>
      <x:c r="Y188" s="27"/>
      <x:c r="Z188" s="27"/>
      <x:c r="AA188" s="27"/>
      <x:c r="AB188" s="27"/>
      <x:c r="AC188" s="27"/>
      <x:c r="AD188" s="27"/>
      <x:c r="AE188" s="27"/>
      <x:c r="AF188" s="27"/>
      <x:c r="AG188" s="27"/>
      <x:c r="AH188" s="27"/>
      <x:c r="AI188" s="27"/>
      <x:c r="AJ188" s="27"/>
      <x:c r="AK188" s="27"/>
      <x:c r="AL188" s="27"/>
      <x:c r="AM188" s="27"/>
      <x:c r="AN188" s="27"/>
      <x:c r="AO188" s="27"/>
      <x:c r="AP188" s="27"/>
      <x:c r="AQ188" s="27"/>
      <x:c r="AR188" s="27"/>
      <x:c r="AS188" s="27"/>
      <x:c r="AT188" s="27"/>
      <x:c r="AU188" s="27"/>
      <x:c r="AV188" s="27"/>
      <x:c r="AW188" s="27"/>
      <x:c r="AX188" s="27"/>
      <x:c r="AY188" s="27"/>
      <x:c r="AZ188" s="27"/>
    </x:row>
    <x:row r="189">
      <x:c r="A189" s="27"/>
      <x:c r="B189" s="27"/>
      <x:c r="C189" s="27"/>
      <x:c r="D189" s="27"/>
      <x:c r="E189" s="27"/>
      <x:c r="F189" s="27"/>
      <x:c r="G189" s="27"/>
      <x:c r="H189" s="27"/>
      <x:c r="I189" s="27"/>
      <x:c r="J189" s="27"/>
      <x:c r="K189" s="27"/>
      <x:c r="L189" s="27"/>
      <x:c r="M189" s="27"/>
      <x:c r="N189" s="27"/>
      <x:c r="O189" s="27"/>
      <x:c r="P189" s="27"/>
      <x:c r="Q189" s="27"/>
      <x:c r="R189" s="27"/>
      <x:c r="S189" s="27"/>
      <x:c r="T189" s="27"/>
      <x:c r="U189" s="27"/>
      <x:c r="V189" s="27"/>
      <x:c r="W189" s="27"/>
      <x:c r="X189" s="27"/>
      <x:c r="Y189" s="27"/>
      <x:c r="Z189" s="27"/>
      <x:c r="AA189" s="27"/>
      <x:c r="AB189" s="27"/>
      <x:c r="AC189" s="27"/>
      <x:c r="AD189" s="27"/>
      <x:c r="AE189" s="27"/>
      <x:c r="AF189" s="27"/>
      <x:c r="AG189" s="27"/>
      <x:c r="AH189" s="27"/>
      <x:c r="AI189" s="27"/>
      <x:c r="AJ189" s="27"/>
      <x:c r="AK189" s="27"/>
      <x:c r="AL189" s="27"/>
      <x:c r="AM189" s="27"/>
      <x:c r="AN189" s="27"/>
      <x:c r="AO189" s="27"/>
      <x:c r="AP189" s="27"/>
      <x:c r="AQ189" s="27"/>
      <x:c r="AR189" s="27"/>
      <x:c r="AS189" s="27"/>
      <x:c r="AT189" s="27"/>
      <x:c r="AU189" s="27"/>
      <x:c r="AV189" s="27"/>
      <x:c r="AW189" s="27"/>
      <x:c r="AX189" s="27"/>
      <x:c r="AY189" s="27"/>
      <x:c r="AZ189" s="27"/>
    </x:row>
    <x:row r="190">
      <x:c r="A190" s="27"/>
      <x:c r="B190" s="27"/>
      <x:c r="C190" s="27"/>
      <x:c r="D190" s="27"/>
      <x:c r="E190" s="27"/>
      <x:c r="F190" s="27"/>
      <x:c r="G190" s="27"/>
      <x:c r="H190" s="27"/>
      <x:c r="I190" s="27"/>
      <x:c r="J190" s="27"/>
      <x:c r="K190" s="27"/>
      <x:c r="L190" s="27"/>
      <x:c r="M190" s="27"/>
      <x:c r="N190" s="27"/>
      <x:c r="O190" s="27"/>
      <x:c r="P190" s="27"/>
      <x:c r="Q190" s="27"/>
      <x:c r="R190" s="27"/>
      <x:c r="S190" s="27"/>
      <x:c r="T190" s="27"/>
      <x:c r="U190" s="27"/>
      <x:c r="V190" s="27"/>
      <x:c r="W190" s="27"/>
      <x:c r="X190" s="27"/>
      <x:c r="Y190" s="27"/>
      <x:c r="Z190" s="27"/>
      <x:c r="AA190" s="27"/>
      <x:c r="AB190" s="27"/>
      <x:c r="AC190" s="27"/>
      <x:c r="AD190" s="27"/>
      <x:c r="AE190" s="27"/>
      <x:c r="AF190" s="27"/>
      <x:c r="AG190" s="27"/>
      <x:c r="AH190" s="27"/>
      <x:c r="AI190" s="27"/>
      <x:c r="AJ190" s="27"/>
      <x:c r="AK190" s="27"/>
      <x:c r="AL190" s="27"/>
      <x:c r="AM190" s="27"/>
      <x:c r="AN190" s="27"/>
      <x:c r="AO190" s="27"/>
      <x:c r="AP190" s="27"/>
      <x:c r="AQ190" s="27"/>
      <x:c r="AR190" s="27"/>
      <x:c r="AS190" s="27"/>
      <x:c r="AT190" s="27"/>
      <x:c r="AU190" s="27"/>
      <x:c r="AV190" s="27"/>
      <x:c r="AW190" s="27"/>
      <x:c r="AX190" s="27"/>
      <x:c r="AY190" s="27"/>
      <x:c r="AZ190" s="27"/>
    </x:row>
    <x:row r="191">
      <x:c r="A191" s="27"/>
      <x:c r="B191" s="27"/>
      <x:c r="C191" s="27"/>
      <x:c r="D191" s="27"/>
      <x:c r="E191" s="27"/>
      <x:c r="F191" s="27"/>
      <x:c r="G191" s="27"/>
      <x:c r="H191" s="27"/>
      <x:c r="I191" s="27"/>
      <x:c r="J191" s="27"/>
      <x:c r="K191" s="27"/>
      <x:c r="L191" s="27"/>
      <x:c r="M191" s="27"/>
      <x:c r="N191" s="27"/>
      <x:c r="O191" s="27"/>
      <x:c r="P191" s="27"/>
      <x:c r="Q191" s="27"/>
      <x:c r="R191" s="27"/>
      <x:c r="S191" s="27"/>
      <x:c r="T191" s="27"/>
      <x:c r="U191" s="27"/>
      <x:c r="V191" s="27"/>
      <x:c r="W191" s="27"/>
      <x:c r="X191" s="27"/>
      <x:c r="Y191" s="27"/>
      <x:c r="Z191" s="27"/>
      <x:c r="AA191" s="27"/>
      <x:c r="AB191" s="27"/>
      <x:c r="AC191" s="27"/>
      <x:c r="AD191" s="27"/>
      <x:c r="AE191" s="27"/>
      <x:c r="AF191" s="27"/>
      <x:c r="AG191" s="27"/>
      <x:c r="AH191" s="27"/>
      <x:c r="AI191" s="27"/>
      <x:c r="AJ191" s="27"/>
      <x:c r="AK191" s="27"/>
      <x:c r="AL191" s="27"/>
      <x:c r="AM191" s="27"/>
      <x:c r="AN191" s="27"/>
      <x:c r="AO191" s="27"/>
      <x:c r="AP191" s="27"/>
      <x:c r="AQ191" s="27"/>
      <x:c r="AR191" s="27"/>
      <x:c r="AS191" s="27"/>
      <x:c r="AT191" s="27"/>
      <x:c r="AU191" s="27"/>
      <x:c r="AV191" s="27"/>
      <x:c r="AW191" s="27"/>
      <x:c r="AX191" s="27"/>
      <x:c r="AY191" s="27"/>
      <x:c r="AZ191" s="27"/>
    </x:row>
    <x:row r="192">
      <x:c r="A192" s="27"/>
      <x:c r="B192" s="27"/>
      <x:c r="C192" s="27"/>
      <x:c r="D192" s="27"/>
      <x:c r="E192" s="27"/>
      <x:c r="F192" s="27"/>
      <x:c r="G192" s="27"/>
      <x:c r="H192" s="27"/>
      <x:c r="I192" s="27"/>
      <x:c r="J192" s="27"/>
      <x:c r="K192" s="27"/>
      <x:c r="L192" s="27"/>
      <x:c r="M192" s="27"/>
      <x:c r="N192" s="27"/>
      <x:c r="O192" s="27"/>
      <x:c r="P192" s="27"/>
      <x:c r="Q192" s="27"/>
      <x:c r="R192" s="27"/>
      <x:c r="S192" s="27"/>
      <x:c r="T192" s="27"/>
      <x:c r="U192" s="27"/>
      <x:c r="V192" s="27"/>
      <x:c r="W192" s="27"/>
      <x:c r="X192" s="27"/>
      <x:c r="Y192" s="27"/>
      <x:c r="Z192" s="27"/>
      <x:c r="AA192" s="27"/>
      <x:c r="AB192" s="27"/>
      <x:c r="AC192" s="27"/>
      <x:c r="AD192" s="27"/>
      <x:c r="AE192" s="27"/>
      <x:c r="AF192" s="27"/>
      <x:c r="AG192" s="27"/>
      <x:c r="AH192" s="27"/>
      <x:c r="AI192" s="27"/>
      <x:c r="AJ192" s="27"/>
      <x:c r="AK192" s="27"/>
      <x:c r="AL192" s="27"/>
      <x:c r="AM192" s="27"/>
      <x:c r="AN192" s="27"/>
      <x:c r="AO192" s="27"/>
      <x:c r="AP192" s="27"/>
      <x:c r="AQ192" s="27"/>
      <x:c r="AR192" s="27"/>
      <x:c r="AS192" s="27"/>
      <x:c r="AT192" s="27"/>
      <x:c r="AU192" s="27"/>
      <x:c r="AV192" s="27"/>
      <x:c r="AW192" s="27"/>
      <x:c r="AX192" s="27"/>
      <x:c r="AY192" s="27"/>
      <x:c r="AZ192" s="27"/>
    </x:row>
    <x:row r="193">
      <x:c r="A193" s="27"/>
      <x:c r="B193" s="27"/>
      <x:c r="C193" s="27"/>
      <x:c r="D193" s="27"/>
      <x:c r="E193" s="27"/>
      <x:c r="F193" s="27"/>
      <x:c r="G193" s="27"/>
      <x:c r="H193" s="27"/>
      <x:c r="I193" s="27"/>
      <x:c r="J193" s="27"/>
      <x:c r="K193" s="27"/>
      <x:c r="L193" s="27"/>
      <x:c r="M193" s="27"/>
      <x:c r="N193" s="27"/>
      <x:c r="O193" s="27"/>
      <x:c r="P193" s="27"/>
      <x:c r="Q193" s="27"/>
      <x:c r="R193" s="27"/>
      <x:c r="S193" s="27"/>
      <x:c r="T193" s="27"/>
      <x:c r="U193" s="27"/>
      <x:c r="V193" s="27"/>
      <x:c r="W193" s="27"/>
      <x:c r="X193" s="27"/>
      <x:c r="Y193" s="27"/>
      <x:c r="Z193" s="27"/>
      <x:c r="AA193" s="27"/>
      <x:c r="AB193" s="27"/>
      <x:c r="AC193" s="27"/>
      <x:c r="AD193" s="27"/>
      <x:c r="AE193" s="27"/>
      <x:c r="AF193" s="27"/>
      <x:c r="AG193" s="27"/>
      <x:c r="AH193" s="27"/>
      <x:c r="AI193" s="27"/>
      <x:c r="AJ193" s="27"/>
      <x:c r="AK193" s="27"/>
      <x:c r="AL193" s="27"/>
      <x:c r="AM193" s="27"/>
      <x:c r="AN193" s="27"/>
      <x:c r="AO193" s="27"/>
      <x:c r="AP193" s="27"/>
      <x:c r="AQ193" s="27"/>
      <x:c r="AR193" s="27"/>
      <x:c r="AS193" s="27"/>
      <x:c r="AT193" s="27"/>
      <x:c r="AU193" s="27"/>
      <x:c r="AV193" s="27"/>
      <x:c r="AW193" s="27"/>
      <x:c r="AX193" s="27"/>
      <x:c r="AY193" s="27"/>
      <x:c r="AZ193" s="27"/>
    </x:row>
    <x:row r="194">
      <x:c r="A194" s="27"/>
      <x:c r="B194" s="27"/>
      <x:c r="C194" s="27"/>
      <x:c r="D194" s="27"/>
      <x:c r="E194" s="27"/>
      <x:c r="F194" s="27"/>
      <x:c r="G194" s="27"/>
      <x:c r="H194" s="27"/>
      <x:c r="I194" s="27"/>
      <x:c r="J194" s="27"/>
      <x:c r="K194" s="27"/>
      <x:c r="L194" s="27"/>
      <x:c r="M194" s="27"/>
      <x:c r="N194" s="27"/>
      <x:c r="O194" s="27"/>
      <x:c r="P194" s="27"/>
      <x:c r="Q194" s="27"/>
      <x:c r="R194" s="27"/>
      <x:c r="S194" s="27"/>
      <x:c r="T194" s="27"/>
      <x:c r="U194" s="27"/>
      <x:c r="V194" s="27"/>
      <x:c r="W194" s="27"/>
      <x:c r="X194" s="27"/>
      <x:c r="Y194" s="27"/>
      <x:c r="Z194" s="27"/>
      <x:c r="AA194" s="27"/>
      <x:c r="AB194" s="27"/>
      <x:c r="AC194" s="27"/>
      <x:c r="AD194" s="27"/>
      <x:c r="AE194" s="27"/>
      <x:c r="AF194" s="27"/>
      <x:c r="AG194" s="27"/>
      <x:c r="AH194" s="27"/>
      <x:c r="AI194" s="27"/>
      <x:c r="AJ194" s="27"/>
      <x:c r="AK194" s="27"/>
      <x:c r="AL194" s="27"/>
      <x:c r="AM194" s="27"/>
      <x:c r="AN194" s="27"/>
      <x:c r="AO194" s="27"/>
      <x:c r="AP194" s="27"/>
      <x:c r="AQ194" s="27"/>
      <x:c r="AR194" s="27"/>
      <x:c r="AS194" s="27"/>
      <x:c r="AT194" s="27"/>
      <x:c r="AU194" s="27"/>
      <x:c r="AV194" s="27"/>
      <x:c r="AW194" s="27"/>
      <x:c r="AX194" s="27"/>
      <x:c r="AY194" s="27"/>
      <x:c r="AZ194" s="27"/>
    </x:row>
    <x:row r="195">
      <x:c r="A195" s="27"/>
      <x:c r="B195" s="27"/>
      <x:c r="C195" s="27"/>
      <x:c r="D195" s="27"/>
      <x:c r="E195" s="27"/>
      <x:c r="F195" s="27"/>
      <x:c r="G195" s="27"/>
      <x:c r="H195" s="27"/>
      <x:c r="I195" s="27"/>
      <x:c r="J195" s="27"/>
      <x:c r="K195" s="27"/>
      <x:c r="L195" s="27"/>
      <x:c r="M195" s="27"/>
      <x:c r="N195" s="27"/>
      <x:c r="O195" s="27"/>
      <x:c r="P195" s="27"/>
      <x:c r="Q195" s="27"/>
      <x:c r="R195" s="27"/>
      <x:c r="S195" s="27"/>
      <x:c r="T195" s="27"/>
      <x:c r="U195" s="27"/>
      <x:c r="V195" s="27"/>
      <x:c r="W195" s="27"/>
      <x:c r="X195" s="27"/>
      <x:c r="Y195" s="27"/>
      <x:c r="Z195" s="27"/>
      <x:c r="AA195" s="27"/>
      <x:c r="AB195" s="27"/>
      <x:c r="AC195" s="27"/>
      <x:c r="AD195" s="27"/>
      <x:c r="AE195" s="27"/>
      <x:c r="AF195" s="27"/>
      <x:c r="AG195" s="27"/>
      <x:c r="AH195" s="27"/>
      <x:c r="AI195" s="27"/>
      <x:c r="AJ195" s="27"/>
      <x:c r="AK195" s="27"/>
      <x:c r="AL195" s="27"/>
      <x:c r="AM195" s="27"/>
      <x:c r="AN195" s="27"/>
      <x:c r="AO195" s="27"/>
      <x:c r="AP195" s="27"/>
      <x:c r="AQ195" s="27"/>
      <x:c r="AR195" s="27"/>
      <x:c r="AS195" s="27"/>
      <x:c r="AT195" s="27"/>
      <x:c r="AU195" s="27"/>
      <x:c r="AV195" s="27"/>
      <x:c r="AW195" s="27"/>
      <x:c r="AX195" s="27"/>
      <x:c r="AY195" s="27"/>
      <x:c r="AZ195" s="27"/>
    </x:row>
    <x:row r="196">
      <x:c r="A196" s="27"/>
      <x:c r="B196" s="27"/>
      <x:c r="C196" s="27"/>
      <x:c r="D196" s="27"/>
      <x:c r="E196" s="27"/>
      <x:c r="F196" s="27"/>
      <x:c r="G196" s="27"/>
      <x:c r="H196" s="27"/>
      <x:c r="I196" s="27"/>
      <x:c r="J196" s="27"/>
      <x:c r="K196" s="27"/>
      <x:c r="L196" s="27"/>
      <x:c r="M196" s="27"/>
      <x:c r="N196" s="27"/>
      <x:c r="O196" s="27"/>
      <x:c r="P196" s="27"/>
      <x:c r="Q196" s="27"/>
      <x:c r="R196" s="27"/>
      <x:c r="S196" s="27"/>
      <x:c r="T196" s="27"/>
      <x:c r="U196" s="27"/>
      <x:c r="V196" s="27"/>
      <x:c r="W196" s="27"/>
      <x:c r="X196" s="27"/>
      <x:c r="Y196" s="27"/>
      <x:c r="Z196" s="27"/>
      <x:c r="AA196" s="27"/>
      <x:c r="AB196" s="27"/>
      <x:c r="AC196" s="27"/>
      <x:c r="AD196" s="27"/>
      <x:c r="AE196" s="27"/>
      <x:c r="AF196" s="27"/>
      <x:c r="AG196" s="27"/>
      <x:c r="AH196" s="27"/>
      <x:c r="AI196" s="27"/>
      <x:c r="AJ196" s="27"/>
      <x:c r="AK196" s="27"/>
      <x:c r="AL196" s="27"/>
      <x:c r="AM196" s="27"/>
      <x:c r="AN196" s="27"/>
      <x:c r="AO196" s="27"/>
      <x:c r="AP196" s="27"/>
      <x:c r="AQ196" s="27"/>
      <x:c r="AR196" s="27"/>
      <x:c r="AS196" s="27"/>
      <x:c r="AT196" s="27"/>
      <x:c r="AU196" s="27"/>
      <x:c r="AV196" s="27"/>
      <x:c r="AW196" s="27"/>
      <x:c r="AX196" s="27"/>
      <x:c r="AY196" s="27"/>
      <x:c r="AZ196" s="27"/>
    </x:row>
    <x:row r="197">
      <x:c r="A197" s="27"/>
      <x:c r="B197" s="27"/>
      <x:c r="C197" s="27"/>
      <x:c r="D197" s="27"/>
      <x:c r="E197" s="27"/>
      <x:c r="F197" s="27"/>
      <x:c r="G197" s="27"/>
      <x:c r="H197" s="27"/>
      <x:c r="I197" s="27"/>
      <x:c r="J197" s="27"/>
      <x:c r="K197" s="27"/>
      <x:c r="L197" s="27"/>
      <x:c r="M197" s="27"/>
      <x:c r="N197" s="27"/>
      <x:c r="O197" s="27"/>
      <x:c r="P197" s="27"/>
      <x:c r="Q197" s="27"/>
      <x:c r="R197" s="27"/>
      <x:c r="S197" s="27"/>
      <x:c r="T197" s="27"/>
      <x:c r="U197" s="27"/>
      <x:c r="V197" s="27"/>
      <x:c r="W197" s="27"/>
      <x:c r="X197" s="27"/>
      <x:c r="Y197" s="27"/>
      <x:c r="Z197" s="27"/>
      <x:c r="AA197" s="27"/>
      <x:c r="AB197" s="27"/>
      <x:c r="AC197" s="27"/>
      <x:c r="AD197" s="27"/>
      <x:c r="AE197" s="27"/>
      <x:c r="AF197" s="27"/>
      <x:c r="AG197" s="27"/>
      <x:c r="AH197" s="27"/>
      <x:c r="AI197" s="27"/>
      <x:c r="AJ197" s="27"/>
      <x:c r="AK197" s="27"/>
      <x:c r="AL197" s="27"/>
      <x:c r="AM197" s="27"/>
      <x:c r="AN197" s="27"/>
      <x:c r="AO197" s="27"/>
      <x:c r="AP197" s="27"/>
      <x:c r="AQ197" s="27"/>
      <x:c r="AR197" s="27"/>
      <x:c r="AS197" s="27"/>
      <x:c r="AT197" s="27"/>
      <x:c r="AU197" s="27"/>
      <x:c r="AV197" s="27"/>
      <x:c r="AW197" s="27"/>
      <x:c r="AX197" s="27"/>
      <x:c r="AY197" s="27"/>
      <x:c r="AZ197" s="27"/>
    </x:row>
    <x:row r="198">
      <x:c r="A198" s="27"/>
      <x:c r="B198" s="27"/>
      <x:c r="C198" s="27"/>
      <x:c r="D198" s="27"/>
      <x:c r="E198" s="27"/>
      <x:c r="F198" s="27"/>
      <x:c r="G198" s="27"/>
      <x:c r="H198" s="27"/>
      <x:c r="I198" s="27"/>
      <x:c r="J198" s="27"/>
      <x:c r="K198" s="27"/>
      <x:c r="L198" s="27"/>
      <x:c r="M198" s="27"/>
      <x:c r="N198" s="27"/>
      <x:c r="O198" s="27"/>
      <x:c r="P198" s="27"/>
      <x:c r="Q198" s="27"/>
      <x:c r="R198" s="27"/>
      <x:c r="S198" s="27"/>
      <x:c r="T198" s="27"/>
      <x:c r="U198" s="27"/>
      <x:c r="V198" s="27"/>
      <x:c r="W198" s="27"/>
      <x:c r="X198" s="27"/>
      <x:c r="Y198" s="27"/>
      <x:c r="Z198" s="27"/>
      <x:c r="AA198" s="27"/>
      <x:c r="AB198" s="27"/>
      <x:c r="AC198" s="27"/>
      <x:c r="AD198" s="27"/>
      <x:c r="AE198" s="27"/>
      <x:c r="AF198" s="27"/>
      <x:c r="AG198" s="27"/>
      <x:c r="AH198" s="27"/>
      <x:c r="AI198" s="27"/>
      <x:c r="AJ198" s="27"/>
      <x:c r="AK198" s="27"/>
      <x:c r="AL198" s="27"/>
      <x:c r="AM198" s="27"/>
      <x:c r="AN198" s="27"/>
      <x:c r="AO198" s="27"/>
      <x:c r="AP198" s="27"/>
      <x:c r="AQ198" s="27"/>
      <x:c r="AR198" s="27"/>
      <x:c r="AS198" s="27"/>
      <x:c r="AT198" s="27"/>
      <x:c r="AU198" s="27"/>
      <x:c r="AV198" s="27"/>
      <x:c r="AW198" s="27"/>
      <x:c r="AX198" s="27"/>
      <x:c r="AY198" s="27"/>
      <x:c r="AZ198" s="27"/>
    </x:row>
    <x:row r="199">
      <x:c r="A199" s="27"/>
      <x:c r="B199" s="27"/>
      <x:c r="C199" s="27"/>
      <x:c r="D199" s="27"/>
      <x:c r="E199" s="27"/>
      <x:c r="F199" s="27"/>
      <x:c r="G199" s="27"/>
      <x:c r="H199" s="27"/>
      <x:c r="I199" s="27"/>
      <x:c r="J199" s="27"/>
      <x:c r="K199" s="27"/>
      <x:c r="L199" s="27"/>
      <x:c r="M199" s="27"/>
      <x:c r="N199" s="27"/>
      <x:c r="O199" s="27"/>
      <x:c r="P199" s="27"/>
      <x:c r="Q199" s="27"/>
      <x:c r="R199" s="27"/>
      <x:c r="S199" s="27"/>
      <x:c r="T199" s="27"/>
      <x:c r="U199" s="27"/>
      <x:c r="V199" s="27"/>
      <x:c r="W199" s="27"/>
      <x:c r="X199" s="27"/>
      <x:c r="Y199" s="27"/>
      <x:c r="Z199" s="27"/>
      <x:c r="AA199" s="27"/>
      <x:c r="AB199" s="27"/>
      <x:c r="AC199" s="27"/>
      <x:c r="AD199" s="27"/>
      <x:c r="AE199" s="27"/>
      <x:c r="AF199" s="27"/>
      <x:c r="AG199" s="27"/>
      <x:c r="AH199" s="27"/>
      <x:c r="AI199" s="27"/>
      <x:c r="AJ199" s="27"/>
      <x:c r="AK199" s="27"/>
      <x:c r="AL199" s="27"/>
      <x:c r="AM199" s="27"/>
      <x:c r="AN199" s="27"/>
      <x:c r="AO199" s="27"/>
      <x:c r="AP199" s="27"/>
      <x:c r="AQ199" s="27"/>
      <x:c r="AR199" s="27"/>
      <x:c r="AS199" s="27"/>
      <x:c r="AT199" s="27"/>
      <x:c r="AU199" s="27"/>
      <x:c r="AV199" s="27"/>
      <x:c r="AW199" s="27"/>
      <x:c r="AX199" s="27"/>
      <x:c r="AY199" s="27"/>
      <x:c r="AZ199" s="27"/>
    </x:row>
    <x:row r="200">
      <x:c r="A200" s="27"/>
      <x:c r="B200" s="27"/>
      <x:c r="C200" s="27"/>
      <x:c r="D200" s="27"/>
      <x:c r="E200" s="27"/>
      <x:c r="F200" s="27"/>
      <x:c r="G200" s="27"/>
      <x:c r="H200" s="27"/>
      <x:c r="I200" s="27"/>
      <x:c r="J200" s="27"/>
      <x:c r="K200" s="27"/>
      <x:c r="L200" s="27"/>
      <x:c r="M200" s="27"/>
      <x:c r="N200" s="27"/>
      <x:c r="O200" s="27"/>
      <x:c r="P200" s="27"/>
      <x:c r="Q200" s="27"/>
      <x:c r="R200" s="27"/>
      <x:c r="S200" s="27"/>
      <x:c r="T200" s="27"/>
      <x:c r="U200" s="27"/>
      <x:c r="V200" s="27"/>
      <x:c r="W200" s="27"/>
      <x:c r="X200" s="27"/>
      <x:c r="Y200" s="27"/>
      <x:c r="Z200" s="27"/>
      <x:c r="AA200" s="27"/>
      <x:c r="AB200" s="27"/>
      <x:c r="AC200" s="27"/>
      <x:c r="AD200" s="27"/>
      <x:c r="AE200" s="27"/>
      <x:c r="AF200" s="27"/>
      <x:c r="AG200" s="27"/>
      <x:c r="AH200" s="27"/>
      <x:c r="AI200" s="27"/>
      <x:c r="AJ200" s="27"/>
      <x:c r="AK200" s="27"/>
      <x:c r="AL200" s="27"/>
      <x:c r="AM200" s="27"/>
      <x:c r="AN200" s="27"/>
      <x:c r="AO200" s="27"/>
      <x:c r="AP200" s="27"/>
      <x:c r="AQ200" s="27"/>
      <x:c r="AR200" s="27"/>
      <x:c r="AS200" s="27"/>
      <x:c r="AT200" s="27"/>
      <x:c r="AU200" s="27"/>
      <x:c r="AV200" s="27"/>
      <x:c r="AW200" s="27"/>
      <x:c r="AX200" s="27"/>
      <x:c r="AY200" s="27"/>
      <x:c r="AZ200" s="27"/>
    </x:row>
  </x:sheetData>
  <x:mergeCells>
    <x:mergeCell ref="A1:AI1"/>
    <x:mergeCell ref="A2:AI2"/>
  </x:mergeCells>
  <x:conditionalFormatting sqref="C5:C28">
    <x:cfRule type="dataBar" priority="1">
      <x:dataBar>
        <x:cfvo type="min"/>
        <x:cfvo type="max"/>
        <x:color rgb="FF156082"/>
      </x:dataBar>
      <x:extLst>
        <x:ext xmlns:x14="http://schemas.microsoft.com/office/spreadsheetml/2009/9/main" uri="{B025F937-C7B1-47D3-B67F-A62EFF666E3E}">
          <x14:id>{B86B0897-E770-AE37-25FA-2FF5EF31F3C0}</x14:id>
        </x:ext>
      </x:extLst>
    </x:cfRule>
  </x:conditionalFormatting>
  <x:pageMargins left="0.7" right="0.7" top="0.75" bottom="0.75" header="0.3" footer="0.3"/>
  <x:tableParts count="1">
    <x:tablePart xmlns:r="http://schemas.openxmlformats.org/officeDocument/2006/relationships" r:id="R1e10ff70128a4184"/>
  </x:tableParts>
  <x:extLst>
    <x:ext xmlns:x14="http://schemas.microsoft.com/office/spreadsheetml/2009/9/main" xmlns:xm="http://schemas.microsoft.com/office/excel/2006/main" uri="{78C0D931-6437-407d-A8EE-F0AAD7539E65}">
      <x14:conditionalFormattings>
        <x14:conditionalFormatting>
          <x14:cfRule type="dataBar" priority="1" id="{B86B0897-E770-AE37-25FA-2FF5EF31F3C0}">
            <x14:dataBar gradient="1">
              <x14:cfvo type="min"/>
              <x14:cfvo type="max"/>
              <x14:fillColor rgb="FF156082"/>
            </x14:dataBar>
          </x14:cfRule>
          <xm:sqref>C5:C28</xm:sqref>
        </x14:conditionalFormatting>
      </x14:conditionalFormattings>
    </x:ext>
  </x:extLst>
</x:worksheet>
</file>

<file path=xl/worksheets/sheet4.xml><?xml version="1.0" encoding="utf-8"?>
<x:worksheet xmlns:x="http://schemas.openxmlformats.org/spreadsheetml/2006/main">
  <x:sheetFormatPr defaultRowHeight="15"/>
  <x:cols>
    <x:col min="1" max="1" width="26" hidden="0" customWidth="1"/>
    <x:col min="2" max="2" width="16" hidden="0" customWidth="1"/>
    <x:col min="3" max="3" width="16" hidden="0" customWidth="1"/>
    <x:col min="4" max="4" width="16" hidden="0" customWidth="1"/>
    <x:col min="5" max="5" width="20" hidden="0" customWidth="1"/>
    <x:col min="6" max="6" width="20" hidden="0" customWidth="1"/>
  </x:cols>
  <x:sheetData>
    <x:row r="1" ht="28" customHeight="1">
      <x:c r="A1" s="26" t="str">
        <x:v>Madden 19 Tight End Attribute Weights</x:v>
      </x:c>
      <x:c r="B1" s="26"/>
      <x:c r="C1" s="26"/>
      <x:c r="D1" s="26"/>
      <x:c r="E1" s="26"/>
      <x:c r="F1" s="26"/>
      <x:c r="G1" s="27"/>
      <x:c r="H1" s="27"/>
      <x:c r="I1" s="27"/>
      <x:c r="J1" s="27"/>
      <x:c r="K1" s="27"/>
      <x:c r="L1" s="27"/>
      <x:c r="M1" s="27"/>
      <x:c r="N1" s="27"/>
      <x:c r="O1" s="27"/>
      <x:c r="P1" s="27"/>
      <x:c r="Q1" s="27"/>
      <x:c r="R1" s="27"/>
      <x:c r="S1" s="27"/>
      <x:c r="T1" s="27"/>
      <x:c r="U1" s="27"/>
      <x:c r="V1" s="27"/>
      <x:c r="W1" s="27"/>
      <x:c r="X1" s="27"/>
      <x:c r="Y1" s="27"/>
      <x:c r="Z1" s="27"/>
      <x:c r="AA1" s="27"/>
      <x:c r="AB1" s="27"/>
      <x:c r="AC1" s="27"/>
      <x:c r="AD1" s="27"/>
      <x:c r="AE1" s="27"/>
      <x:c r="AF1" s="27"/>
      <x:c r="AG1" s="27"/>
      <x:c r="AH1" s="27"/>
      <x:c r="AI1" s="27"/>
      <x:c r="AJ1" s="27"/>
      <x:c r="AK1" s="27"/>
      <x:c r="AL1" s="27"/>
      <x:c r="AM1" s="27"/>
      <x:c r="AN1" s="27"/>
      <x:c r="AO1" s="27"/>
      <x:c r="AP1" s="27"/>
      <x:c r="AQ1" s="27"/>
      <x:c r="AR1" s="27"/>
      <x:c r="AS1" s="27"/>
      <x:c r="AT1" s="27"/>
      <x:c r="AU1" s="27"/>
      <x:c r="AV1" s="27"/>
      <x:c r="AW1" s="27"/>
      <x:c r="AX1" s="27"/>
      <x:c r="AY1" s="27"/>
      <x:c r="AZ1" s="27"/>
    </x:row>
    <x:row r="2" ht="34" customHeight="1">
      <x:c r="A2" s="28" t="str">
        <x:v>External historical reference only. Values are percentages transcribed from the Madden 19 XML-derived infographic; do not treat as CFB27 facts.</x:v>
      </x:c>
      <x:c r="B2" s="28"/>
      <x:c r="C2" s="28"/>
      <x:c r="D2" s="28"/>
      <x:c r="E2" s="28"/>
      <x:c r="F2" s="28"/>
      <x:c r="G2" s="27"/>
      <x:c r="H2" s="27"/>
      <x:c r="I2" s="27"/>
      <x:c r="J2" s="27"/>
      <x:c r="K2" s="27"/>
      <x:c r="L2" s="27"/>
      <x:c r="M2" s="27"/>
      <x:c r="N2" s="27"/>
      <x:c r="O2" s="27"/>
      <x:c r="P2" s="27"/>
      <x:c r="Q2" s="27"/>
      <x:c r="R2" s="27"/>
      <x:c r="S2" s="27"/>
      <x:c r="T2" s="27"/>
      <x:c r="U2" s="27"/>
      <x:c r="V2" s="27"/>
      <x:c r="W2" s="27"/>
      <x:c r="X2" s="27"/>
      <x:c r="Y2" s="27"/>
      <x:c r="Z2" s="27"/>
      <x:c r="AA2" s="27"/>
      <x:c r="AB2" s="27"/>
      <x:c r="AC2" s="27"/>
      <x:c r="AD2" s="27"/>
      <x:c r="AE2" s="27"/>
      <x:c r="AF2" s="27"/>
      <x:c r="AG2" s="27"/>
      <x:c r="AH2" s="27"/>
      <x:c r="AI2" s="27"/>
      <x:c r="AJ2" s="27"/>
      <x:c r="AK2" s="27"/>
      <x:c r="AL2" s="27"/>
      <x:c r="AM2" s="27"/>
      <x:c r="AN2" s="27"/>
      <x:c r="AO2" s="27"/>
      <x:c r="AP2" s="27"/>
      <x:c r="AQ2" s="27"/>
      <x:c r="AR2" s="27"/>
      <x:c r="AS2" s="27"/>
      <x:c r="AT2" s="27"/>
      <x:c r="AU2" s="27"/>
      <x:c r="AV2" s="27"/>
      <x:c r="AW2" s="27"/>
      <x:c r="AX2" s="27"/>
      <x:c r="AY2" s="27"/>
      <x:c r="AZ2" s="27"/>
    </x:row>
    <x:row r="3">
      <x:c r="A3" s="27"/>
      <x:c r="B3" s="27"/>
      <x:c r="C3" s="27"/>
      <x:c r="D3" s="27"/>
      <x:c r="E3" s="27"/>
      <x:c r="F3" s="27"/>
      <x:c r="G3" s="27"/>
      <x:c r="H3" s="27"/>
      <x:c r="I3" s="27"/>
      <x:c r="J3" s="27"/>
      <x:c r="K3" s="27"/>
      <x:c r="L3" s="27"/>
      <x:c r="M3" s="27"/>
      <x:c r="N3" s="27"/>
      <x:c r="O3" s="27"/>
      <x:c r="P3" s="27"/>
      <x:c r="Q3" s="27"/>
      <x:c r="R3" s="27"/>
      <x:c r="S3" s="27"/>
      <x:c r="T3" s="27"/>
      <x:c r="U3" s="27"/>
      <x:c r="V3" s="27"/>
      <x:c r="W3" s="27"/>
      <x:c r="X3" s="27"/>
      <x:c r="Y3" s="27"/>
      <x:c r="Z3" s="27"/>
      <x:c r="AA3" s="27"/>
      <x:c r="AB3" s="27"/>
      <x:c r="AC3" s="27"/>
      <x:c r="AD3" s="27"/>
      <x:c r="AE3" s="27"/>
      <x:c r="AF3" s="27"/>
      <x:c r="AG3" s="27"/>
      <x:c r="AH3" s="27"/>
      <x:c r="AI3" s="27"/>
      <x:c r="AJ3" s="27"/>
      <x:c r="AK3" s="27"/>
      <x:c r="AL3" s="27"/>
      <x:c r="AM3" s="27"/>
      <x:c r="AN3" s="27"/>
      <x:c r="AO3" s="27"/>
      <x:c r="AP3" s="27"/>
      <x:c r="AQ3" s="27"/>
      <x:c r="AR3" s="27"/>
      <x:c r="AS3" s="27"/>
      <x:c r="AT3" s="27"/>
      <x:c r="AU3" s="27"/>
      <x:c r="AV3" s="27"/>
      <x:c r="AW3" s="27"/>
      <x:c r="AX3" s="27"/>
      <x:c r="AY3" s="27"/>
      <x:c r="AZ3" s="27"/>
    </x:row>
    <x:row r="4" ht="30" customHeight="1">
      <x:c r="A4" s="29" t="str">
        <x:v>Attribute</x:v>
      </x:c>
      <x:c r="B4" s="29" t="str">
        <x:v>Blocking</x:v>
      </x:c>
      <x:c r="C4" s="29" t="str">
        <x:v>Possession</x:v>
      </x:c>
      <x:c r="D4" s="29" t="str">
        <x:v>Vertical Threat</x:v>
      </x:c>
      <x:c r="E4" s="29" t="str">
        <x:v>Source_ID</x:v>
      </x:c>
      <x:c r="F4" s="29" t="str">
        <x:v>Confidence</x:v>
      </x:c>
      <x:c r="G4" s="27"/>
      <x:c r="H4" s="27"/>
      <x:c r="I4" s="27"/>
      <x:c r="J4" s="27"/>
      <x:c r="K4" s="27"/>
      <x:c r="L4" s="27"/>
      <x:c r="M4" s="27"/>
      <x:c r="N4" s="27"/>
      <x:c r="O4" s="27"/>
      <x:c r="P4" s="27"/>
      <x:c r="Q4" s="27"/>
      <x:c r="R4" s="27"/>
      <x:c r="S4" s="27"/>
      <x:c r="T4" s="27"/>
      <x:c r="U4" s="27"/>
      <x:c r="V4" s="27"/>
      <x:c r="W4" s="27"/>
      <x:c r="X4" s="27"/>
      <x:c r="Y4" s="27"/>
      <x:c r="Z4" s="27"/>
      <x:c r="AA4" s="27"/>
      <x:c r="AB4" s="27"/>
      <x:c r="AC4" s="27"/>
      <x:c r="AD4" s="27"/>
      <x:c r="AE4" s="27"/>
      <x:c r="AF4" s="27"/>
      <x:c r="AG4" s="27"/>
      <x:c r="AH4" s="27"/>
      <x:c r="AI4" s="27"/>
      <x:c r="AJ4" s="27"/>
      <x:c r="AK4" s="27"/>
      <x:c r="AL4" s="27"/>
      <x:c r="AM4" s="27"/>
      <x:c r="AN4" s="27"/>
      <x:c r="AO4" s="27"/>
      <x:c r="AP4" s="27"/>
      <x:c r="AQ4" s="27"/>
      <x:c r="AR4" s="27"/>
      <x:c r="AS4" s="27"/>
      <x:c r="AT4" s="27"/>
      <x:c r="AU4" s="27"/>
      <x:c r="AV4" s="27"/>
      <x:c r="AW4" s="27"/>
      <x:c r="AX4" s="27"/>
      <x:c r="AY4" s="27"/>
      <x:c r="AZ4" s="27"/>
    </x:row>
    <x:row r="5">
      <x:c r="A5" s="30" t="str">
        <x:v>Speed</x:v>
      </x:c>
      <x:c r="B5" s="30" t="n">
        <x:v>0</x:v>
      </x:c>
      <x:c r="C5" s="30" t="n">
        <x:v>3</x:v>
      </x:c>
      <x:c r="D5" s="30" t="n">
        <x:v>7</x:v>
      </x:c>
      <x:c r="E5" s="30" t="str">
        <x:v>SRC-M19-001</x:v>
      </x:c>
      <x:c r="F5" s="30" t="str">
        <x:v>High</x:v>
      </x:c>
      <x:c r="G5" s="27"/>
      <x:c r="H5" s="27"/>
      <x:c r="I5" s="27"/>
      <x:c r="J5" s="27"/>
      <x:c r="K5" s="27"/>
      <x:c r="L5" s="27"/>
      <x:c r="M5" s="27"/>
      <x:c r="N5" s="27"/>
      <x:c r="O5" s="27"/>
      <x:c r="P5" s="27"/>
      <x:c r="Q5" s="27"/>
      <x:c r="R5" s="27"/>
      <x:c r="S5" s="27"/>
      <x:c r="T5" s="27"/>
      <x:c r="U5" s="27"/>
      <x:c r="V5" s="27"/>
      <x:c r="W5" s="27"/>
      <x:c r="X5" s="27"/>
      <x:c r="Y5" s="27"/>
      <x:c r="Z5" s="27"/>
      <x:c r="AA5" s="27"/>
      <x:c r="AB5" s="27"/>
      <x:c r="AC5" s="27"/>
      <x:c r="AD5" s="27"/>
      <x:c r="AE5" s="27"/>
      <x:c r="AF5" s="27"/>
      <x:c r="AG5" s="27"/>
      <x:c r="AH5" s="27"/>
      <x:c r="AI5" s="27"/>
      <x:c r="AJ5" s="27"/>
      <x:c r="AK5" s="27"/>
      <x:c r="AL5" s="27"/>
      <x:c r="AM5" s="27"/>
      <x:c r="AN5" s="27"/>
      <x:c r="AO5" s="27"/>
      <x:c r="AP5" s="27"/>
      <x:c r="AQ5" s="27"/>
      <x:c r="AR5" s="27"/>
      <x:c r="AS5" s="27"/>
      <x:c r="AT5" s="27"/>
      <x:c r="AU5" s="27"/>
      <x:c r="AV5" s="27"/>
      <x:c r="AW5" s="27"/>
      <x:c r="AX5" s="27"/>
      <x:c r="AY5" s="27"/>
      <x:c r="AZ5" s="27"/>
    </x:row>
    <x:row r="6">
      <x:c r="A6" s="30" t="str">
        <x:v>Acceleration</x:v>
      </x:c>
      <x:c r="B6" s="30" t="n">
        <x:v>0</x:v>
      </x:c>
      <x:c r="C6" s="30" t="n">
        <x:v>4</x:v>
      </x:c>
      <x:c r="D6" s="30" t="n">
        <x:v>7</x:v>
      </x:c>
      <x:c r="E6" s="30" t="str">
        <x:v>SRC-M19-001</x:v>
      </x:c>
      <x:c r="F6" s="30" t="str">
        <x:v>High</x:v>
      </x:c>
      <x:c r="G6" s="27"/>
      <x:c r="H6" s="27"/>
      <x:c r="I6" s="27"/>
      <x:c r="J6" s="27"/>
      <x:c r="K6" s="27"/>
      <x:c r="L6" s="27"/>
      <x:c r="M6" s="27"/>
      <x:c r="N6" s="27"/>
      <x:c r="O6" s="27"/>
      <x:c r="P6" s="27"/>
      <x:c r="Q6" s="27"/>
      <x:c r="R6" s="27"/>
      <x:c r="S6" s="27"/>
      <x:c r="T6" s="27"/>
      <x:c r="U6" s="27"/>
      <x:c r="V6" s="27"/>
      <x:c r="W6" s="27"/>
      <x:c r="X6" s="27"/>
      <x:c r="Y6" s="27"/>
      <x:c r="Z6" s="27"/>
      <x:c r="AA6" s="27"/>
      <x:c r="AB6" s="27"/>
      <x:c r="AC6" s="27"/>
      <x:c r="AD6" s="27"/>
      <x:c r="AE6" s="27"/>
      <x:c r="AF6" s="27"/>
      <x:c r="AG6" s="27"/>
      <x:c r="AH6" s="27"/>
      <x:c r="AI6" s="27"/>
      <x:c r="AJ6" s="27"/>
      <x:c r="AK6" s="27"/>
      <x:c r="AL6" s="27"/>
      <x:c r="AM6" s="27"/>
      <x:c r="AN6" s="27"/>
      <x:c r="AO6" s="27"/>
      <x:c r="AP6" s="27"/>
      <x:c r="AQ6" s="27"/>
      <x:c r="AR6" s="27"/>
      <x:c r="AS6" s="27"/>
      <x:c r="AT6" s="27"/>
      <x:c r="AU6" s="27"/>
      <x:c r="AV6" s="27"/>
      <x:c r="AW6" s="27"/>
      <x:c r="AX6" s="27"/>
      <x:c r="AY6" s="27"/>
      <x:c r="AZ6" s="27"/>
    </x:row>
    <x:row r="7">
      <x:c r="A7" s="30" t="str">
        <x:v>Agility</x:v>
      </x:c>
      <x:c r="B7" s="30" t="n">
        <x:v>0</x:v>
      </x:c>
      <x:c r="C7" s="30" t="n">
        <x:v>3</x:v>
      </x:c>
      <x:c r="D7" s="30" t="n">
        <x:v>4</x:v>
      </x:c>
      <x:c r="E7" s="30" t="str">
        <x:v>SRC-M19-001</x:v>
      </x:c>
      <x:c r="F7" s="30" t="str">
        <x:v>High</x:v>
      </x:c>
      <x:c r="G7" s="27"/>
      <x:c r="H7" s="27"/>
      <x:c r="I7" s="27"/>
      <x:c r="J7" s="27"/>
      <x:c r="K7" s="27"/>
      <x:c r="L7" s="27"/>
      <x:c r="M7" s="27"/>
      <x:c r="N7" s="27"/>
      <x:c r="O7" s="27"/>
      <x:c r="P7" s="27"/>
      <x:c r="Q7" s="27"/>
      <x:c r="R7" s="27"/>
      <x:c r="S7" s="27"/>
      <x:c r="T7" s="27"/>
      <x:c r="U7" s="27"/>
      <x:c r="V7" s="27"/>
      <x:c r="W7" s="27"/>
      <x:c r="X7" s="27"/>
      <x:c r="Y7" s="27"/>
      <x:c r="Z7" s="27"/>
      <x:c r="AA7" s="27"/>
      <x:c r="AB7" s="27"/>
      <x:c r="AC7" s="27"/>
      <x:c r="AD7" s="27"/>
      <x:c r="AE7" s="27"/>
      <x:c r="AF7" s="27"/>
      <x:c r="AG7" s="27"/>
      <x:c r="AH7" s="27"/>
      <x:c r="AI7" s="27"/>
      <x:c r="AJ7" s="27"/>
      <x:c r="AK7" s="27"/>
      <x:c r="AL7" s="27"/>
      <x:c r="AM7" s="27"/>
      <x:c r="AN7" s="27"/>
      <x:c r="AO7" s="27"/>
      <x:c r="AP7" s="27"/>
      <x:c r="AQ7" s="27"/>
      <x:c r="AR7" s="27"/>
      <x:c r="AS7" s="27"/>
      <x:c r="AT7" s="27"/>
      <x:c r="AU7" s="27"/>
      <x:c r="AV7" s="27"/>
      <x:c r="AW7" s="27"/>
      <x:c r="AX7" s="27"/>
      <x:c r="AY7" s="27"/>
      <x:c r="AZ7" s="27"/>
    </x:row>
    <x:row r="8">
      <x:c r="A8" s="30" t="str">
        <x:v>Strength</x:v>
      </x:c>
      <x:c r="B8" s="30" t="n">
        <x:v>6</x:v>
      </x:c>
      <x:c r="C8" s="30" t="n">
        <x:v>4</x:v>
      </x:c>
      <x:c r="D8" s="30" t="n">
        <x:v>0</x:v>
      </x:c>
      <x:c r="E8" s="30" t="str">
        <x:v>SRC-M19-001</x:v>
      </x:c>
      <x:c r="F8" s="30" t="str">
        <x:v>High</x:v>
      </x:c>
      <x:c r="G8" s="27"/>
      <x:c r="H8" s="27"/>
      <x:c r="I8" s="27"/>
      <x:c r="J8" s="27"/>
      <x:c r="K8" s="27"/>
      <x:c r="L8" s="27"/>
      <x:c r="M8" s="27"/>
      <x:c r="N8" s="27"/>
      <x:c r="O8" s="27"/>
      <x:c r="P8" s="27"/>
      <x:c r="Q8" s="27"/>
      <x:c r="R8" s="27"/>
      <x:c r="S8" s="27"/>
      <x:c r="T8" s="27"/>
      <x:c r="U8" s="27"/>
      <x:c r="V8" s="27"/>
      <x:c r="W8" s="27"/>
      <x:c r="X8" s="27"/>
      <x:c r="Y8" s="27"/>
      <x:c r="Z8" s="27"/>
      <x:c r="AA8" s="27"/>
      <x:c r="AB8" s="27"/>
      <x:c r="AC8" s="27"/>
      <x:c r="AD8" s="27"/>
      <x:c r="AE8" s="27"/>
      <x:c r="AF8" s="27"/>
      <x:c r="AG8" s="27"/>
      <x:c r="AH8" s="27"/>
      <x:c r="AI8" s="27"/>
      <x:c r="AJ8" s="27"/>
      <x:c r="AK8" s="27"/>
      <x:c r="AL8" s="27"/>
      <x:c r="AM8" s="27"/>
      <x:c r="AN8" s="27"/>
      <x:c r="AO8" s="27"/>
      <x:c r="AP8" s="27"/>
      <x:c r="AQ8" s="27"/>
      <x:c r="AR8" s="27"/>
      <x:c r="AS8" s="27"/>
      <x:c r="AT8" s="27"/>
      <x:c r="AU8" s="27"/>
      <x:c r="AV8" s="27"/>
      <x:c r="AW8" s="27"/>
      <x:c r="AX8" s="27"/>
      <x:c r="AY8" s="27"/>
      <x:c r="AZ8" s="27"/>
    </x:row>
    <x:row r="9">
      <x:c r="A9" s="30" t="str">
        <x:v>Jumping</x:v>
      </x:c>
      <x:c r="B9" s="30" t="n">
        <x:v>0</x:v>
      </x:c>
      <x:c r="C9" s="30" t="n">
        <x:v>0</x:v>
      </x:c>
      <x:c r="D9" s="30" t="n">
        <x:v>3</x:v>
      </x:c>
      <x:c r="E9" s="30" t="str">
        <x:v>SRC-M19-001</x:v>
      </x:c>
      <x:c r="F9" s="30" t="str">
        <x:v>High</x:v>
      </x:c>
      <x:c r="G9" s="27"/>
      <x:c r="H9" s="27"/>
      <x:c r="I9" s="27"/>
      <x:c r="J9" s="27"/>
      <x:c r="K9" s="27"/>
      <x:c r="L9" s="27"/>
      <x:c r="M9" s="27"/>
      <x:c r="N9" s="27"/>
      <x:c r="O9" s="27"/>
      <x:c r="P9" s="27"/>
      <x:c r="Q9" s="27"/>
      <x:c r="R9" s="27"/>
      <x:c r="S9" s="27"/>
      <x:c r="T9" s="27"/>
      <x:c r="U9" s="27"/>
      <x:c r="V9" s="27"/>
      <x:c r="W9" s="27"/>
      <x:c r="X9" s="27"/>
      <x:c r="Y9" s="27"/>
      <x:c r="Z9" s="27"/>
      <x:c r="AA9" s="27"/>
      <x:c r="AB9" s="27"/>
      <x:c r="AC9" s="27"/>
      <x:c r="AD9" s="27"/>
      <x:c r="AE9" s="27"/>
      <x:c r="AF9" s="27"/>
      <x:c r="AG9" s="27"/>
      <x:c r="AH9" s="27"/>
      <x:c r="AI9" s="27"/>
      <x:c r="AJ9" s="27"/>
      <x:c r="AK9" s="27"/>
      <x:c r="AL9" s="27"/>
      <x:c r="AM9" s="27"/>
      <x:c r="AN9" s="27"/>
      <x:c r="AO9" s="27"/>
      <x:c r="AP9" s="27"/>
      <x:c r="AQ9" s="27"/>
      <x:c r="AR9" s="27"/>
      <x:c r="AS9" s="27"/>
      <x:c r="AT9" s="27"/>
      <x:c r="AU9" s="27"/>
      <x:c r="AV9" s="27"/>
      <x:c r="AW9" s="27"/>
      <x:c r="AX9" s="27"/>
      <x:c r="AY9" s="27"/>
      <x:c r="AZ9" s="27"/>
    </x:row>
    <x:row r="10">
      <x:c r="A10" s="30" t="str">
        <x:v>Awareness</x:v>
      </x:c>
      <x:c r="B10" s="30" t="n">
        <x:v>9</x:v>
      </x:c>
      <x:c r="C10" s="30" t="n">
        <x:v>9</x:v>
      </x:c>
      <x:c r="D10" s="30" t="n">
        <x:v>9</x:v>
      </x:c>
      <x:c r="E10" s="30" t="str">
        <x:v>SRC-M19-001</x:v>
      </x:c>
      <x:c r="F10" s="30" t="str">
        <x:v>High</x:v>
      </x:c>
      <x:c r="G10" s="27"/>
      <x:c r="H10" s="27"/>
      <x:c r="I10" s="27"/>
      <x:c r="J10" s="27"/>
      <x:c r="K10" s="27"/>
      <x:c r="L10" s="27"/>
      <x:c r="M10" s="27"/>
      <x:c r="N10" s="27"/>
      <x:c r="O10" s="27"/>
      <x:c r="P10" s="27"/>
      <x:c r="Q10" s="27"/>
      <x:c r="R10" s="27"/>
      <x:c r="S10" s="27"/>
      <x:c r="T10" s="27"/>
      <x:c r="U10" s="27"/>
      <x:c r="V10" s="27"/>
      <x:c r="W10" s="27"/>
      <x:c r="X10" s="27"/>
      <x:c r="Y10" s="27"/>
      <x:c r="Z10" s="27"/>
      <x:c r="AA10" s="27"/>
      <x:c r="AB10" s="27"/>
      <x:c r="AC10" s="27"/>
      <x:c r="AD10" s="27"/>
      <x:c r="AE10" s="27"/>
      <x:c r="AF10" s="27"/>
      <x:c r="AG10" s="27"/>
      <x:c r="AH10" s="27"/>
      <x:c r="AI10" s="27"/>
      <x:c r="AJ10" s="27"/>
      <x:c r="AK10" s="27"/>
      <x:c r="AL10" s="27"/>
      <x:c r="AM10" s="27"/>
      <x:c r="AN10" s="27"/>
      <x:c r="AO10" s="27"/>
      <x:c r="AP10" s="27"/>
      <x:c r="AQ10" s="27"/>
      <x:c r="AR10" s="27"/>
      <x:c r="AS10" s="27"/>
      <x:c r="AT10" s="27"/>
      <x:c r="AU10" s="27"/>
      <x:c r="AV10" s="27"/>
      <x:c r="AW10" s="27"/>
      <x:c r="AX10" s="27"/>
      <x:c r="AY10" s="27"/>
      <x:c r="AZ10" s="27"/>
    </x:row>
    <x:row r="11">
      <x:c r="A11" s="30" t="str">
        <x:v>Ball Carrier Vision</x:v>
      </x:c>
      <x:c r="B11" s="30" t="n">
        <x:v>0</x:v>
      </x:c>
      <x:c r="C11" s="30" t="n">
        <x:v>1</x:v>
      </x:c>
      <x:c r="D11" s="30" t="n">
        <x:v>2</x:v>
      </x:c>
      <x:c r="E11" s="30" t="str">
        <x:v>SRC-M19-001</x:v>
      </x:c>
      <x:c r="F11" s="30" t="str">
        <x:v>High</x:v>
      </x:c>
      <x:c r="G11" s="27"/>
      <x:c r="H11" s="27"/>
      <x:c r="I11" s="27"/>
      <x:c r="J11" s="27"/>
      <x:c r="K11" s="27"/>
      <x:c r="L11" s="27"/>
      <x:c r="M11" s="27"/>
      <x:c r="N11" s="27"/>
      <x:c r="O11" s="27"/>
      <x:c r="P11" s="27"/>
      <x:c r="Q11" s="27"/>
      <x:c r="R11" s="27"/>
      <x:c r="S11" s="27"/>
      <x:c r="T11" s="27"/>
      <x:c r="U11" s="27"/>
      <x:c r="V11" s="27"/>
      <x:c r="W11" s="27"/>
      <x:c r="X11" s="27"/>
      <x:c r="Y11" s="27"/>
      <x:c r="Z11" s="27"/>
      <x:c r="AA11" s="27"/>
      <x:c r="AB11" s="27"/>
      <x:c r="AC11" s="27"/>
      <x:c r="AD11" s="27"/>
      <x:c r="AE11" s="27"/>
      <x:c r="AF11" s="27"/>
      <x:c r="AG11" s="27"/>
      <x:c r="AH11" s="27"/>
      <x:c r="AI11" s="27"/>
      <x:c r="AJ11" s="27"/>
      <x:c r="AK11" s="27"/>
      <x:c r="AL11" s="27"/>
      <x:c r="AM11" s="27"/>
      <x:c r="AN11" s="27"/>
      <x:c r="AO11" s="27"/>
      <x:c r="AP11" s="27"/>
      <x:c r="AQ11" s="27"/>
      <x:c r="AR11" s="27"/>
      <x:c r="AS11" s="27"/>
      <x:c r="AT11" s="27"/>
      <x:c r="AU11" s="27"/>
      <x:c r="AV11" s="27"/>
      <x:c r="AW11" s="27"/>
      <x:c r="AX11" s="27"/>
      <x:c r="AY11" s="27"/>
      <x:c r="AZ11" s="27"/>
    </x:row>
    <x:row r="12">
      <x:c r="A12" s="30" t="str">
        <x:v>Break Tackle</x:v>
      </x:c>
      <x:c r="B12" s="30" t="n">
        <x:v>2</x:v>
      </x:c>
      <x:c r="C12" s="30" t="n">
        <x:v>2</x:v>
      </x:c>
      <x:c r="D12" s="30" t="n">
        <x:v>3</x:v>
      </x:c>
      <x:c r="E12" s="30" t="str">
        <x:v>SRC-M19-001</x:v>
      </x:c>
      <x:c r="F12" s="30" t="str">
        <x:v>High</x:v>
      </x:c>
      <x:c r="G12" s="27"/>
      <x:c r="H12" s="27"/>
      <x:c r="I12" s="27"/>
      <x:c r="J12" s="27"/>
      <x:c r="K12" s="27"/>
      <x:c r="L12" s="27"/>
      <x:c r="M12" s="27"/>
      <x:c r="N12" s="27"/>
      <x:c r="O12" s="27"/>
      <x:c r="P12" s="27"/>
      <x:c r="Q12" s="27"/>
      <x:c r="R12" s="27"/>
      <x:c r="S12" s="27"/>
      <x:c r="T12" s="27"/>
      <x:c r="U12" s="27"/>
      <x:c r="V12" s="27"/>
      <x:c r="W12" s="27"/>
      <x:c r="X12" s="27"/>
      <x:c r="Y12" s="27"/>
      <x:c r="Z12" s="27"/>
      <x:c r="AA12" s="27"/>
      <x:c r="AB12" s="27"/>
      <x:c r="AC12" s="27"/>
      <x:c r="AD12" s="27"/>
      <x:c r="AE12" s="27"/>
      <x:c r="AF12" s="27"/>
      <x:c r="AG12" s="27"/>
      <x:c r="AH12" s="27"/>
      <x:c r="AI12" s="27"/>
      <x:c r="AJ12" s="27"/>
      <x:c r="AK12" s="27"/>
      <x:c r="AL12" s="27"/>
      <x:c r="AM12" s="27"/>
      <x:c r="AN12" s="27"/>
      <x:c r="AO12" s="27"/>
      <x:c r="AP12" s="27"/>
      <x:c r="AQ12" s="27"/>
      <x:c r="AR12" s="27"/>
      <x:c r="AS12" s="27"/>
      <x:c r="AT12" s="27"/>
      <x:c r="AU12" s="27"/>
      <x:c r="AV12" s="27"/>
      <x:c r="AW12" s="27"/>
      <x:c r="AX12" s="27"/>
      <x:c r="AY12" s="27"/>
      <x:c r="AZ12" s="27"/>
    </x:row>
    <x:row r="13">
      <x:c r="A13" s="30" t="str">
        <x:v>Elusiveness</x:v>
      </x:c>
      <x:c r="B13" s="30" t="n">
        <x:v>0</x:v>
      </x:c>
      <x:c r="C13" s="30" t="n">
        <x:v>0</x:v>
      </x:c>
      <x:c r="D13" s="30" t="n">
        <x:v>2</x:v>
      </x:c>
      <x:c r="E13" s="30" t="str">
        <x:v>SRC-M19-001</x:v>
      </x:c>
      <x:c r="F13" s="30" t="str">
        <x:v>High</x:v>
      </x:c>
      <x:c r="G13" s="27"/>
      <x:c r="H13" s="27"/>
      <x:c r="I13" s="27"/>
      <x:c r="J13" s="27"/>
      <x:c r="K13" s="27"/>
      <x:c r="L13" s="27"/>
      <x:c r="M13" s="27"/>
      <x:c r="N13" s="27"/>
      <x:c r="O13" s="27"/>
      <x:c r="P13" s="27"/>
      <x:c r="Q13" s="27"/>
      <x:c r="R13" s="27"/>
      <x:c r="S13" s="27"/>
      <x:c r="T13" s="27"/>
      <x:c r="U13" s="27"/>
      <x:c r="V13" s="27"/>
      <x:c r="W13" s="27"/>
      <x:c r="X13" s="27"/>
      <x:c r="Y13" s="27"/>
      <x:c r="Z13" s="27"/>
      <x:c r="AA13" s="27"/>
      <x:c r="AB13" s="27"/>
      <x:c r="AC13" s="27"/>
      <x:c r="AD13" s="27"/>
      <x:c r="AE13" s="27"/>
      <x:c r="AF13" s="27"/>
      <x:c r="AG13" s="27"/>
      <x:c r="AH13" s="27"/>
      <x:c r="AI13" s="27"/>
      <x:c r="AJ13" s="27"/>
      <x:c r="AK13" s="27"/>
      <x:c r="AL13" s="27"/>
      <x:c r="AM13" s="27"/>
      <x:c r="AN13" s="27"/>
      <x:c r="AO13" s="27"/>
      <x:c r="AP13" s="27"/>
      <x:c r="AQ13" s="27"/>
      <x:c r="AR13" s="27"/>
      <x:c r="AS13" s="27"/>
      <x:c r="AT13" s="27"/>
      <x:c r="AU13" s="27"/>
      <x:c r="AV13" s="27"/>
      <x:c r="AW13" s="27"/>
      <x:c r="AX13" s="27"/>
      <x:c r="AY13" s="27"/>
      <x:c r="AZ13" s="27"/>
    </x:row>
    <x:row r="14">
      <x:c r="A14" s="30" t="str">
        <x:v>Trucking</x:v>
      </x:c>
      <x:c r="B14" s="30" t="n">
        <x:v>1</x:v>
      </x:c>
      <x:c r="C14" s="30" t="n">
        <x:v>1</x:v>
      </x:c>
      <x:c r="D14" s="30" t="n">
        <x:v>1</x:v>
      </x:c>
      <x:c r="E14" s="30" t="str">
        <x:v>SRC-M19-001</x:v>
      </x:c>
      <x:c r="F14" s="30" t="str">
        <x:v>High</x:v>
      </x:c>
      <x:c r="G14" s="27"/>
      <x:c r="H14" s="27"/>
      <x:c r="I14" s="27"/>
      <x:c r="J14" s="27"/>
      <x:c r="K14" s="27"/>
      <x:c r="L14" s="27"/>
      <x:c r="M14" s="27"/>
      <x:c r="N14" s="27"/>
      <x:c r="O14" s="27"/>
      <x:c r="P14" s="27"/>
      <x:c r="Q14" s="27"/>
      <x:c r="R14" s="27"/>
      <x:c r="S14" s="27"/>
      <x:c r="T14" s="27"/>
      <x:c r="U14" s="27"/>
      <x:c r="V14" s="27"/>
      <x:c r="W14" s="27"/>
      <x:c r="X14" s="27"/>
      <x:c r="Y14" s="27"/>
      <x:c r="Z14" s="27"/>
      <x:c r="AA14" s="27"/>
      <x:c r="AB14" s="27"/>
      <x:c r="AC14" s="27"/>
      <x:c r="AD14" s="27"/>
      <x:c r="AE14" s="27"/>
      <x:c r="AF14" s="27"/>
      <x:c r="AG14" s="27"/>
      <x:c r="AH14" s="27"/>
      <x:c r="AI14" s="27"/>
      <x:c r="AJ14" s="27"/>
      <x:c r="AK14" s="27"/>
      <x:c r="AL14" s="27"/>
      <x:c r="AM14" s="27"/>
      <x:c r="AN14" s="27"/>
      <x:c r="AO14" s="27"/>
      <x:c r="AP14" s="27"/>
      <x:c r="AQ14" s="27"/>
      <x:c r="AR14" s="27"/>
      <x:c r="AS14" s="27"/>
      <x:c r="AT14" s="27"/>
      <x:c r="AU14" s="27"/>
      <x:c r="AV14" s="27"/>
      <x:c r="AW14" s="27"/>
      <x:c r="AX14" s="27"/>
      <x:c r="AY14" s="27"/>
      <x:c r="AZ14" s="27"/>
    </x:row>
    <x:row r="15">
      <x:c r="A15" s="30" t="str">
        <x:v>Stiff Arm</x:v>
      </x:c>
      <x:c r="B15" s="30" t="n">
        <x:v>2</x:v>
      </x:c>
      <x:c r="C15" s="30" t="n">
        <x:v>2</x:v>
      </x:c>
      <x:c r="D15" s="30" t="n">
        <x:v>2</x:v>
      </x:c>
      <x:c r="E15" s="30" t="str">
        <x:v>SRC-M19-001</x:v>
      </x:c>
      <x:c r="F15" s="30" t="str">
        <x:v>High</x:v>
      </x:c>
      <x:c r="G15" s="27"/>
      <x:c r="H15" s="27"/>
      <x:c r="I15" s="27"/>
      <x:c r="J15" s="27"/>
      <x:c r="K15" s="27"/>
      <x:c r="L15" s="27"/>
      <x:c r="M15" s="27"/>
      <x:c r="N15" s="27"/>
      <x:c r="O15" s="27"/>
      <x:c r="P15" s="27"/>
      <x:c r="Q15" s="27"/>
      <x:c r="R15" s="27"/>
      <x:c r="S15" s="27"/>
      <x:c r="T15" s="27"/>
      <x:c r="U15" s="27"/>
      <x:c r="V15" s="27"/>
      <x:c r="W15" s="27"/>
      <x:c r="X15" s="27"/>
      <x:c r="Y15" s="27"/>
      <x:c r="Z15" s="27"/>
      <x:c r="AA15" s="27"/>
      <x:c r="AB15" s="27"/>
      <x:c r="AC15" s="27"/>
      <x:c r="AD15" s="27"/>
      <x:c r="AE15" s="27"/>
      <x:c r="AF15" s="27"/>
      <x:c r="AG15" s="27"/>
      <x:c r="AH15" s="27"/>
      <x:c r="AI15" s="27"/>
      <x:c r="AJ15" s="27"/>
      <x:c r="AK15" s="27"/>
      <x:c r="AL15" s="27"/>
      <x:c r="AM15" s="27"/>
      <x:c r="AN15" s="27"/>
      <x:c r="AO15" s="27"/>
      <x:c r="AP15" s="27"/>
      <x:c r="AQ15" s="27"/>
      <x:c r="AR15" s="27"/>
      <x:c r="AS15" s="27"/>
      <x:c r="AT15" s="27"/>
      <x:c r="AU15" s="27"/>
      <x:c r="AV15" s="27"/>
      <x:c r="AW15" s="27"/>
      <x:c r="AX15" s="27"/>
      <x:c r="AY15" s="27"/>
      <x:c r="AZ15" s="27"/>
    </x:row>
    <x:row r="16">
      <x:c r="A16" s="30" t="str">
        <x:v>Catching</x:v>
      </x:c>
      <x:c r="B16" s="30" t="n">
        <x:v>3</x:v>
      </x:c>
      <x:c r="C16" s="30" t="n">
        <x:v>10</x:v>
      </x:c>
      <x:c r="D16" s="30" t="n">
        <x:v>11</x:v>
      </x:c>
      <x:c r="E16" s="30" t="str">
        <x:v>SRC-M19-001</x:v>
      </x:c>
      <x:c r="F16" s="30" t="str">
        <x:v>High</x:v>
      </x:c>
      <x:c r="G16" s="27"/>
      <x:c r="H16" s="27"/>
      <x:c r="I16" s="27"/>
      <x:c r="J16" s="27"/>
      <x:c r="K16" s="27"/>
      <x:c r="L16" s="27"/>
      <x:c r="M16" s="27"/>
      <x:c r="N16" s="27"/>
      <x:c r="O16" s="27"/>
      <x:c r="P16" s="27"/>
      <x:c r="Q16" s="27"/>
      <x:c r="R16" s="27"/>
      <x:c r="S16" s="27"/>
      <x:c r="T16" s="27"/>
      <x:c r="U16" s="27"/>
      <x:c r="V16" s="27"/>
      <x:c r="W16" s="27"/>
      <x:c r="X16" s="27"/>
      <x:c r="Y16" s="27"/>
      <x:c r="Z16" s="27"/>
      <x:c r="AA16" s="27"/>
      <x:c r="AB16" s="27"/>
      <x:c r="AC16" s="27"/>
      <x:c r="AD16" s="27"/>
      <x:c r="AE16" s="27"/>
      <x:c r="AF16" s="27"/>
      <x:c r="AG16" s="27"/>
      <x:c r="AH16" s="27"/>
      <x:c r="AI16" s="27"/>
      <x:c r="AJ16" s="27"/>
      <x:c r="AK16" s="27"/>
      <x:c r="AL16" s="27"/>
      <x:c r="AM16" s="27"/>
      <x:c r="AN16" s="27"/>
      <x:c r="AO16" s="27"/>
      <x:c r="AP16" s="27"/>
      <x:c r="AQ16" s="27"/>
      <x:c r="AR16" s="27"/>
      <x:c r="AS16" s="27"/>
      <x:c r="AT16" s="27"/>
      <x:c r="AU16" s="27"/>
      <x:c r="AV16" s="27"/>
      <x:c r="AW16" s="27"/>
      <x:c r="AX16" s="27"/>
      <x:c r="AY16" s="27"/>
      <x:c r="AZ16" s="27"/>
    </x:row>
    <x:row r="17">
      <x:c r="A17" s="30" t="str">
        <x:v>Catch in Traffic</x:v>
      </x:c>
      <x:c r="B17" s="30" t="n">
        <x:v>3</x:v>
      </x:c>
      <x:c r="C17" s="30" t="n">
        <x:v>14</x:v>
      </x:c>
      <x:c r="D17" s="30" t="n">
        <x:v>8</x:v>
      </x:c>
      <x:c r="E17" s="30" t="str">
        <x:v>SRC-M19-001</x:v>
      </x:c>
      <x:c r="F17" s="30" t="str">
        <x:v>High</x:v>
      </x:c>
      <x:c r="G17" s="27"/>
      <x:c r="H17" s="27"/>
      <x:c r="I17" s="27"/>
      <x:c r="J17" s="27"/>
      <x:c r="K17" s="27"/>
      <x:c r="L17" s="27"/>
      <x:c r="M17" s="27"/>
      <x:c r="N17" s="27"/>
      <x:c r="O17" s="27"/>
      <x:c r="P17" s="27"/>
      <x:c r="Q17" s="27"/>
      <x:c r="R17" s="27"/>
      <x:c r="S17" s="27"/>
      <x:c r="T17" s="27"/>
      <x:c r="U17" s="27"/>
      <x:c r="V17" s="27"/>
      <x:c r="W17" s="27"/>
      <x:c r="X17" s="27"/>
      <x:c r="Y17" s="27"/>
      <x:c r="Z17" s="27"/>
      <x:c r="AA17" s="27"/>
      <x:c r="AB17" s="27"/>
      <x:c r="AC17" s="27"/>
      <x:c r="AD17" s="27"/>
      <x:c r="AE17" s="27"/>
      <x:c r="AF17" s="27"/>
      <x:c r="AG17" s="27"/>
      <x:c r="AH17" s="27"/>
      <x:c r="AI17" s="27"/>
      <x:c r="AJ17" s="27"/>
      <x:c r="AK17" s="27"/>
      <x:c r="AL17" s="27"/>
      <x:c r="AM17" s="27"/>
      <x:c r="AN17" s="27"/>
      <x:c r="AO17" s="27"/>
      <x:c r="AP17" s="27"/>
      <x:c r="AQ17" s="27"/>
      <x:c r="AR17" s="27"/>
      <x:c r="AS17" s="27"/>
      <x:c r="AT17" s="27"/>
      <x:c r="AU17" s="27"/>
      <x:c r="AV17" s="27"/>
      <x:c r="AW17" s="27"/>
      <x:c r="AX17" s="27"/>
      <x:c r="AY17" s="27"/>
      <x:c r="AZ17" s="27"/>
    </x:row>
    <x:row r="18">
      <x:c r="A18" s="30" t="str">
        <x:v>Spectacular Catch</x:v>
      </x:c>
      <x:c r="B18" s="30" t="n">
        <x:v>0</x:v>
      </x:c>
      <x:c r="C18" s="30" t="n">
        <x:v>1</x:v>
      </x:c>
      <x:c r="D18" s="30" t="n">
        <x:v>4</x:v>
      </x:c>
      <x:c r="E18" s="30" t="str">
        <x:v>SRC-M19-001</x:v>
      </x:c>
      <x:c r="F18" s="30" t="str">
        <x:v>Medium - small print</x:v>
      </x:c>
      <x:c r="G18" s="27"/>
      <x:c r="H18" s="27"/>
      <x:c r="I18" s="27"/>
      <x:c r="J18" s="27"/>
      <x:c r="K18" s="27"/>
      <x:c r="L18" s="27"/>
      <x:c r="M18" s="27"/>
      <x:c r="N18" s="27"/>
      <x:c r="O18" s="27"/>
      <x:c r="P18" s="27"/>
      <x:c r="Q18" s="27"/>
      <x:c r="R18" s="27"/>
      <x:c r="S18" s="27"/>
      <x:c r="T18" s="27"/>
      <x:c r="U18" s="27"/>
      <x:c r="V18" s="27"/>
      <x:c r="W18" s="27"/>
      <x:c r="X18" s="27"/>
      <x:c r="Y18" s="27"/>
      <x:c r="Z18" s="27"/>
      <x:c r="AA18" s="27"/>
      <x:c r="AB18" s="27"/>
      <x:c r="AC18" s="27"/>
      <x:c r="AD18" s="27"/>
      <x:c r="AE18" s="27"/>
      <x:c r="AF18" s="27"/>
      <x:c r="AG18" s="27"/>
      <x:c r="AH18" s="27"/>
      <x:c r="AI18" s="27"/>
      <x:c r="AJ18" s="27"/>
      <x:c r="AK18" s="27"/>
      <x:c r="AL18" s="27"/>
      <x:c r="AM18" s="27"/>
      <x:c r="AN18" s="27"/>
      <x:c r="AO18" s="27"/>
      <x:c r="AP18" s="27"/>
      <x:c r="AQ18" s="27"/>
      <x:c r="AR18" s="27"/>
      <x:c r="AS18" s="27"/>
      <x:c r="AT18" s="27"/>
      <x:c r="AU18" s="27"/>
      <x:c r="AV18" s="27"/>
      <x:c r="AW18" s="27"/>
      <x:c r="AX18" s="27"/>
      <x:c r="AY18" s="27"/>
      <x:c r="AZ18" s="27"/>
    </x:row>
    <x:row r="19">
      <x:c r="A19" s="30" t="str">
        <x:v>Release</x:v>
      </x:c>
      <x:c r="B19" s="30" t="n">
        <x:v>0</x:v>
      </x:c>
      <x:c r="C19" s="30" t="n">
        <x:v>2</x:v>
      </x:c>
      <x:c r="D19" s="30" t="n">
        <x:v>3</x:v>
      </x:c>
      <x:c r="E19" s="30" t="str">
        <x:v>SRC-M19-001</x:v>
      </x:c>
      <x:c r="F19" s="30" t="str">
        <x:v>High</x:v>
      </x:c>
      <x:c r="G19" s="27"/>
      <x:c r="H19" s="27"/>
      <x:c r="I19" s="27"/>
      <x:c r="J19" s="27"/>
      <x:c r="K19" s="27"/>
      <x:c r="L19" s="27"/>
      <x:c r="M19" s="27"/>
      <x:c r="N19" s="27"/>
      <x:c r="O19" s="27"/>
      <x:c r="P19" s="27"/>
      <x:c r="Q19" s="27"/>
      <x:c r="R19" s="27"/>
      <x:c r="S19" s="27"/>
      <x:c r="T19" s="27"/>
      <x:c r="U19" s="27"/>
      <x:c r="V19" s="27"/>
      <x:c r="W19" s="27"/>
      <x:c r="X19" s="27"/>
      <x:c r="Y19" s="27"/>
      <x:c r="Z19" s="27"/>
      <x:c r="AA19" s="27"/>
      <x:c r="AB19" s="27"/>
      <x:c r="AC19" s="27"/>
      <x:c r="AD19" s="27"/>
      <x:c r="AE19" s="27"/>
      <x:c r="AF19" s="27"/>
      <x:c r="AG19" s="27"/>
      <x:c r="AH19" s="27"/>
      <x:c r="AI19" s="27"/>
      <x:c r="AJ19" s="27"/>
      <x:c r="AK19" s="27"/>
      <x:c r="AL19" s="27"/>
      <x:c r="AM19" s="27"/>
      <x:c r="AN19" s="27"/>
      <x:c r="AO19" s="27"/>
      <x:c r="AP19" s="27"/>
      <x:c r="AQ19" s="27"/>
      <x:c r="AR19" s="27"/>
      <x:c r="AS19" s="27"/>
      <x:c r="AT19" s="27"/>
      <x:c r="AU19" s="27"/>
      <x:c r="AV19" s="27"/>
      <x:c r="AW19" s="27"/>
      <x:c r="AX19" s="27"/>
      <x:c r="AY19" s="27"/>
      <x:c r="AZ19" s="27"/>
    </x:row>
    <x:row r="20">
      <x:c r="A20" s="30" t="str">
        <x:v>Short Route Running</x:v>
      </x:c>
      <x:c r="B20" s="30" t="n">
        <x:v>5</x:v>
      </x:c>
      <x:c r="C20" s="30" t="n">
        <x:v>12</x:v>
      </x:c>
      <x:c r="D20" s="30" t="n">
        <x:v>7</x:v>
      </x:c>
      <x:c r="E20" s="30" t="str">
        <x:v>SRC-M19-001</x:v>
      </x:c>
      <x:c r="F20" s="30" t="str">
        <x:v>High</x:v>
      </x:c>
      <x:c r="G20" s="27"/>
      <x:c r="H20" s="27"/>
      <x:c r="I20" s="27"/>
      <x:c r="J20" s="27"/>
      <x:c r="K20" s="27"/>
      <x:c r="L20" s="27"/>
      <x:c r="M20" s="27"/>
      <x:c r="N20" s="27"/>
      <x:c r="O20" s="27"/>
      <x:c r="P20" s="27"/>
      <x:c r="Q20" s="27"/>
      <x:c r="R20" s="27"/>
      <x:c r="S20" s="27"/>
      <x:c r="T20" s="27"/>
      <x:c r="U20" s="27"/>
      <x:c r="V20" s="27"/>
      <x:c r="W20" s="27"/>
      <x:c r="X20" s="27"/>
      <x:c r="Y20" s="27"/>
      <x:c r="Z20" s="27"/>
      <x:c r="AA20" s="27"/>
      <x:c r="AB20" s="27"/>
      <x:c r="AC20" s="27"/>
      <x:c r="AD20" s="27"/>
      <x:c r="AE20" s="27"/>
      <x:c r="AF20" s="27"/>
      <x:c r="AG20" s="27"/>
      <x:c r="AH20" s="27"/>
      <x:c r="AI20" s="27"/>
      <x:c r="AJ20" s="27"/>
      <x:c r="AK20" s="27"/>
      <x:c r="AL20" s="27"/>
      <x:c r="AM20" s="27"/>
      <x:c r="AN20" s="27"/>
      <x:c r="AO20" s="27"/>
      <x:c r="AP20" s="27"/>
      <x:c r="AQ20" s="27"/>
      <x:c r="AR20" s="27"/>
      <x:c r="AS20" s="27"/>
      <x:c r="AT20" s="27"/>
      <x:c r="AU20" s="27"/>
      <x:c r="AV20" s="27"/>
      <x:c r="AW20" s="27"/>
      <x:c r="AX20" s="27"/>
      <x:c r="AY20" s="27"/>
      <x:c r="AZ20" s="27"/>
    </x:row>
    <x:row r="21">
      <x:c r="A21" s="30" t="str">
        <x:v>Medium Route Running</x:v>
      </x:c>
      <x:c r="B21" s="30" t="n">
        <x:v>4</x:v>
      </x:c>
      <x:c r="C21" s="30" t="n">
        <x:v>6</x:v>
      </x:c>
      <x:c r="D21" s="30" t="n">
        <x:v>9</x:v>
      </x:c>
      <x:c r="E21" s="30" t="str">
        <x:v>SRC-M19-001</x:v>
      </x:c>
      <x:c r="F21" s="30" t="str">
        <x:v>High</x:v>
      </x:c>
      <x:c r="G21" s="27"/>
      <x:c r="H21" s="27"/>
      <x:c r="I21" s="27"/>
      <x:c r="J21" s="27"/>
      <x:c r="K21" s="27"/>
      <x:c r="L21" s="27"/>
      <x:c r="M21" s="27"/>
      <x:c r="N21" s="27"/>
      <x:c r="O21" s="27"/>
      <x:c r="P21" s="27"/>
      <x:c r="Q21" s="27"/>
      <x:c r="R21" s="27"/>
      <x:c r="S21" s="27"/>
      <x:c r="T21" s="27"/>
      <x:c r="U21" s="27"/>
      <x:c r="V21" s="27"/>
      <x:c r="W21" s="27"/>
      <x:c r="X21" s="27"/>
      <x:c r="Y21" s="27"/>
      <x:c r="Z21" s="27"/>
      <x:c r="AA21" s="27"/>
      <x:c r="AB21" s="27"/>
      <x:c r="AC21" s="27"/>
      <x:c r="AD21" s="27"/>
      <x:c r="AE21" s="27"/>
      <x:c r="AF21" s="27"/>
      <x:c r="AG21" s="27"/>
      <x:c r="AH21" s="27"/>
      <x:c r="AI21" s="27"/>
      <x:c r="AJ21" s="27"/>
      <x:c r="AK21" s="27"/>
      <x:c r="AL21" s="27"/>
      <x:c r="AM21" s="27"/>
      <x:c r="AN21" s="27"/>
      <x:c r="AO21" s="27"/>
      <x:c r="AP21" s="27"/>
      <x:c r="AQ21" s="27"/>
      <x:c r="AR21" s="27"/>
      <x:c r="AS21" s="27"/>
      <x:c r="AT21" s="27"/>
      <x:c r="AU21" s="27"/>
      <x:c r="AV21" s="27"/>
      <x:c r="AW21" s="27"/>
      <x:c r="AX21" s="27"/>
      <x:c r="AY21" s="27"/>
      <x:c r="AZ21" s="27"/>
    </x:row>
    <x:row r="22">
      <x:c r="A22" s="30" t="str">
        <x:v>Deep Route Running</x:v>
      </x:c>
      <x:c r="B22" s="30" t="n">
        <x:v>0</x:v>
      </x:c>
      <x:c r="C22" s="30" t="n">
        <x:v>0</x:v>
      </x:c>
      <x:c r="D22" s="30" t="n">
        <x:v>5</x:v>
      </x:c>
      <x:c r="E22" s="30" t="str">
        <x:v>SRC-M19-001</x:v>
      </x:c>
      <x:c r="F22" s="30" t="str">
        <x:v>High</x:v>
      </x:c>
      <x:c r="G22" s="27"/>
      <x:c r="H22" s="27"/>
      <x:c r="I22" s="27"/>
      <x:c r="J22" s="27"/>
      <x:c r="K22" s="27"/>
      <x:c r="L22" s="27"/>
      <x:c r="M22" s="27"/>
      <x:c r="N22" s="27"/>
      <x:c r="O22" s="27"/>
      <x:c r="P22" s="27"/>
      <x:c r="Q22" s="27"/>
      <x:c r="R22" s="27"/>
      <x:c r="S22" s="27"/>
      <x:c r="T22" s="27"/>
      <x:c r="U22" s="27"/>
      <x:c r="V22" s="27"/>
      <x:c r="W22" s="27"/>
      <x:c r="X22" s="27"/>
      <x:c r="Y22" s="27"/>
      <x:c r="Z22" s="27"/>
      <x:c r="AA22" s="27"/>
      <x:c r="AB22" s="27"/>
      <x:c r="AC22" s="27"/>
      <x:c r="AD22" s="27"/>
      <x:c r="AE22" s="27"/>
      <x:c r="AF22" s="27"/>
      <x:c r="AG22" s="27"/>
      <x:c r="AH22" s="27"/>
      <x:c r="AI22" s="27"/>
      <x:c r="AJ22" s="27"/>
      <x:c r="AK22" s="27"/>
      <x:c r="AL22" s="27"/>
      <x:c r="AM22" s="27"/>
      <x:c r="AN22" s="27"/>
      <x:c r="AO22" s="27"/>
      <x:c r="AP22" s="27"/>
      <x:c r="AQ22" s="27"/>
      <x:c r="AR22" s="27"/>
      <x:c r="AS22" s="27"/>
      <x:c r="AT22" s="27"/>
      <x:c r="AU22" s="27"/>
      <x:c r="AV22" s="27"/>
      <x:c r="AW22" s="27"/>
      <x:c r="AX22" s="27"/>
      <x:c r="AY22" s="27"/>
      <x:c r="AZ22" s="27"/>
    </x:row>
    <x:row r="23">
      <x:c r="A23" s="30" t="str">
        <x:v>Impact Blocking</x:v>
      </x:c>
      <x:c r="B23" s="30" t="n">
        <x:v>9</x:v>
      </x:c>
      <x:c r="C23" s="30" t="n">
        <x:v>4</x:v>
      </x:c>
      <x:c r="D23" s="30" t="n">
        <x:v>0</x:v>
      </x:c>
      <x:c r="E23" s="30" t="str">
        <x:v>SRC-M19-001</x:v>
      </x:c>
      <x:c r="F23" s="30" t="str">
        <x:v>High</x:v>
      </x:c>
      <x:c r="G23" s="27"/>
      <x:c r="H23" s="27"/>
      <x:c r="I23" s="27"/>
      <x:c r="J23" s="27"/>
      <x:c r="K23" s="27"/>
      <x:c r="L23" s="27"/>
      <x:c r="M23" s="27"/>
      <x:c r="N23" s="27"/>
      <x:c r="O23" s="27"/>
      <x:c r="P23" s="27"/>
      <x:c r="Q23" s="27"/>
      <x:c r="R23" s="27"/>
      <x:c r="S23" s="27"/>
      <x:c r="T23" s="27"/>
      <x:c r="U23" s="27"/>
      <x:c r="V23" s="27"/>
      <x:c r="W23" s="27"/>
      <x:c r="X23" s="27"/>
      <x:c r="Y23" s="27"/>
      <x:c r="Z23" s="27"/>
      <x:c r="AA23" s="27"/>
      <x:c r="AB23" s="27"/>
      <x:c r="AC23" s="27"/>
      <x:c r="AD23" s="27"/>
      <x:c r="AE23" s="27"/>
      <x:c r="AF23" s="27"/>
      <x:c r="AG23" s="27"/>
      <x:c r="AH23" s="27"/>
      <x:c r="AI23" s="27"/>
      <x:c r="AJ23" s="27"/>
      <x:c r="AK23" s="27"/>
      <x:c r="AL23" s="27"/>
      <x:c r="AM23" s="27"/>
      <x:c r="AN23" s="27"/>
      <x:c r="AO23" s="27"/>
      <x:c r="AP23" s="27"/>
      <x:c r="AQ23" s="27"/>
      <x:c r="AR23" s="27"/>
      <x:c r="AS23" s="27"/>
      <x:c r="AT23" s="27"/>
      <x:c r="AU23" s="27"/>
      <x:c r="AV23" s="27"/>
      <x:c r="AW23" s="27"/>
      <x:c r="AX23" s="27"/>
      <x:c r="AY23" s="27"/>
      <x:c r="AZ23" s="27"/>
    </x:row>
    <x:row r="24">
      <x:c r="A24" s="30" t="str">
        <x:v>Lead Block</x:v>
      </x:c>
      <x:c r="B24" s="30" t="n">
        <x:v>8</x:v>
      </x:c>
      <x:c r="C24" s="30" t="n">
        <x:v>2</x:v>
      </x:c>
      <x:c r="D24" s="30" t="n">
        <x:v>0</x:v>
      </x:c>
      <x:c r="E24" s="30" t="str">
        <x:v>SRC-M19-001</x:v>
      </x:c>
      <x:c r="F24" s="30" t="str">
        <x:v>High</x:v>
      </x:c>
      <x:c r="G24" s="27"/>
      <x:c r="H24" s="27"/>
      <x:c r="I24" s="27"/>
      <x:c r="J24" s="27"/>
      <x:c r="K24" s="27"/>
      <x:c r="L24" s="27"/>
      <x:c r="M24" s="27"/>
      <x:c r="N24" s="27"/>
      <x:c r="O24" s="27"/>
      <x:c r="P24" s="27"/>
      <x:c r="Q24" s="27"/>
      <x:c r="R24" s="27"/>
      <x:c r="S24" s="27"/>
      <x:c r="T24" s="27"/>
      <x:c r="U24" s="27"/>
      <x:c r="V24" s="27"/>
      <x:c r="W24" s="27"/>
      <x:c r="X24" s="27"/>
      <x:c r="Y24" s="27"/>
      <x:c r="Z24" s="27"/>
      <x:c r="AA24" s="27"/>
      <x:c r="AB24" s="27"/>
      <x:c r="AC24" s="27"/>
      <x:c r="AD24" s="27"/>
      <x:c r="AE24" s="27"/>
      <x:c r="AF24" s="27"/>
      <x:c r="AG24" s="27"/>
      <x:c r="AH24" s="27"/>
      <x:c r="AI24" s="27"/>
      <x:c r="AJ24" s="27"/>
      <x:c r="AK24" s="27"/>
      <x:c r="AL24" s="27"/>
      <x:c r="AM24" s="27"/>
      <x:c r="AN24" s="27"/>
      <x:c r="AO24" s="27"/>
      <x:c r="AP24" s="27"/>
      <x:c r="AQ24" s="27"/>
      <x:c r="AR24" s="27"/>
      <x:c r="AS24" s="27"/>
      <x:c r="AT24" s="27"/>
      <x:c r="AU24" s="27"/>
      <x:c r="AV24" s="27"/>
      <x:c r="AW24" s="27"/>
      <x:c r="AX24" s="27"/>
      <x:c r="AY24" s="27"/>
      <x:c r="AZ24" s="27"/>
    </x:row>
    <x:row r="25">
      <x:c r="A25" s="30" t="str">
        <x:v>Pass Block</x:v>
      </x:c>
      <x:c r="B25" s="30" t="n">
        <x:v>8</x:v>
      </x:c>
      <x:c r="C25" s="30" t="n">
        <x:v>3</x:v>
      </x:c>
      <x:c r="D25" s="30" t="n">
        <x:v>2</x:v>
      </x:c>
      <x:c r="E25" s="30" t="str">
        <x:v>SRC-M19-001</x:v>
      </x:c>
      <x:c r="F25" s="30" t="str">
        <x:v>High</x:v>
      </x:c>
      <x:c r="G25" s="27"/>
      <x:c r="H25" s="27"/>
      <x:c r="I25" s="27"/>
      <x:c r="J25" s="27"/>
      <x:c r="K25" s="27"/>
      <x:c r="L25" s="27"/>
      <x:c r="M25" s="27"/>
      <x:c r="N25" s="27"/>
      <x:c r="O25" s="27"/>
      <x:c r="P25" s="27"/>
      <x:c r="Q25" s="27"/>
      <x:c r="R25" s="27"/>
      <x:c r="S25" s="27"/>
      <x:c r="T25" s="27"/>
      <x:c r="U25" s="27"/>
      <x:c r="V25" s="27"/>
      <x:c r="W25" s="27"/>
      <x:c r="X25" s="27"/>
      <x:c r="Y25" s="27"/>
      <x:c r="Z25" s="27"/>
      <x:c r="AA25" s="27"/>
      <x:c r="AB25" s="27"/>
      <x:c r="AC25" s="27"/>
      <x:c r="AD25" s="27"/>
      <x:c r="AE25" s="27"/>
      <x:c r="AF25" s="27"/>
      <x:c r="AG25" s="27"/>
      <x:c r="AH25" s="27"/>
      <x:c r="AI25" s="27"/>
      <x:c r="AJ25" s="27"/>
      <x:c r="AK25" s="27"/>
      <x:c r="AL25" s="27"/>
      <x:c r="AM25" s="27"/>
      <x:c r="AN25" s="27"/>
      <x:c r="AO25" s="27"/>
      <x:c r="AP25" s="27"/>
      <x:c r="AQ25" s="27"/>
      <x:c r="AR25" s="27"/>
      <x:c r="AS25" s="27"/>
      <x:c r="AT25" s="27"/>
      <x:c r="AU25" s="27"/>
      <x:c r="AV25" s="27"/>
      <x:c r="AW25" s="27"/>
      <x:c r="AX25" s="27"/>
      <x:c r="AY25" s="27"/>
      <x:c r="AZ25" s="27"/>
    </x:row>
    <x:row r="26">
      <x:c r="A26" s="30" t="str">
        <x:v>Pass Block Finesse</x:v>
      </x:c>
      <x:c r="B26" s="30" t="n">
        <x:v>6</x:v>
      </x:c>
      <x:c r="C26" s="30" t="n">
        <x:v>2</x:v>
      </x:c>
      <x:c r="D26" s="30" t="n">
        <x:v>1</x:v>
      </x:c>
      <x:c r="E26" s="30" t="str">
        <x:v>SRC-M19-001</x:v>
      </x:c>
      <x:c r="F26" s="30" t="str">
        <x:v>High</x:v>
      </x:c>
      <x:c r="G26" s="27"/>
      <x:c r="H26" s="27"/>
      <x:c r="I26" s="27"/>
      <x:c r="J26" s="27"/>
      <x:c r="K26" s="27"/>
      <x:c r="L26" s="27"/>
      <x:c r="M26" s="27"/>
      <x:c r="N26" s="27"/>
      <x:c r="O26" s="27"/>
      <x:c r="P26" s="27"/>
      <x:c r="Q26" s="27"/>
      <x:c r="R26" s="27"/>
      <x:c r="S26" s="27"/>
      <x:c r="T26" s="27"/>
      <x:c r="U26" s="27"/>
      <x:c r="V26" s="27"/>
      <x:c r="W26" s="27"/>
      <x:c r="X26" s="27"/>
      <x:c r="Y26" s="27"/>
      <x:c r="Z26" s="27"/>
      <x:c r="AA26" s="27"/>
      <x:c r="AB26" s="27"/>
      <x:c r="AC26" s="27"/>
      <x:c r="AD26" s="27"/>
      <x:c r="AE26" s="27"/>
      <x:c r="AF26" s="27"/>
      <x:c r="AG26" s="27"/>
      <x:c r="AH26" s="27"/>
      <x:c r="AI26" s="27"/>
      <x:c r="AJ26" s="27"/>
      <x:c r="AK26" s="27"/>
      <x:c r="AL26" s="27"/>
      <x:c r="AM26" s="27"/>
      <x:c r="AN26" s="27"/>
      <x:c r="AO26" s="27"/>
      <x:c r="AP26" s="27"/>
      <x:c r="AQ26" s="27"/>
      <x:c r="AR26" s="27"/>
      <x:c r="AS26" s="27"/>
      <x:c r="AT26" s="27"/>
      <x:c r="AU26" s="27"/>
      <x:c r="AV26" s="27"/>
      <x:c r="AW26" s="27"/>
      <x:c r="AX26" s="27"/>
      <x:c r="AY26" s="27"/>
      <x:c r="AZ26" s="27"/>
    </x:row>
    <x:row r="27">
      <x:c r="A27" s="30" t="str">
        <x:v>Pass Block Power</x:v>
      </x:c>
      <x:c r="B27" s="30" t="n">
        <x:v>6</x:v>
      </x:c>
      <x:c r="C27" s="30" t="n">
        <x:v>2</x:v>
      </x:c>
      <x:c r="D27" s="30" t="n">
        <x:v>1</x:v>
      </x:c>
      <x:c r="E27" s="30" t="str">
        <x:v>SRC-M19-001</x:v>
      </x:c>
      <x:c r="F27" s="30" t="str">
        <x:v>High</x:v>
      </x:c>
      <x:c r="G27" s="27"/>
      <x:c r="H27" s="27"/>
      <x:c r="I27" s="27"/>
      <x:c r="J27" s="27"/>
      <x:c r="K27" s="27"/>
      <x:c r="L27" s="27"/>
      <x:c r="M27" s="27"/>
      <x:c r="N27" s="27"/>
      <x:c r="O27" s="27"/>
      <x:c r="P27" s="27"/>
      <x:c r="Q27" s="27"/>
      <x:c r="R27" s="27"/>
      <x:c r="S27" s="27"/>
      <x:c r="T27" s="27"/>
      <x:c r="U27" s="27"/>
      <x:c r="V27" s="27"/>
      <x:c r="W27" s="27"/>
      <x:c r="X27" s="27"/>
      <x:c r="Y27" s="27"/>
      <x:c r="Z27" s="27"/>
      <x:c r="AA27" s="27"/>
      <x:c r="AB27" s="27"/>
      <x:c r="AC27" s="27"/>
      <x:c r="AD27" s="27"/>
      <x:c r="AE27" s="27"/>
      <x:c r="AF27" s="27"/>
      <x:c r="AG27" s="27"/>
      <x:c r="AH27" s="27"/>
      <x:c r="AI27" s="27"/>
      <x:c r="AJ27" s="27"/>
      <x:c r="AK27" s="27"/>
      <x:c r="AL27" s="27"/>
      <x:c r="AM27" s="27"/>
      <x:c r="AN27" s="27"/>
      <x:c r="AO27" s="27"/>
      <x:c r="AP27" s="27"/>
      <x:c r="AQ27" s="27"/>
      <x:c r="AR27" s="27"/>
      <x:c r="AS27" s="27"/>
      <x:c r="AT27" s="27"/>
      <x:c r="AU27" s="27"/>
      <x:c r="AV27" s="27"/>
      <x:c r="AW27" s="27"/>
      <x:c r="AX27" s="27"/>
      <x:c r="AY27" s="27"/>
      <x:c r="AZ27" s="27"/>
    </x:row>
    <x:row r="28">
      <x:c r="A28" s="30" t="str">
        <x:v>Run Block</x:v>
      </x:c>
      <x:c r="B28" s="30" t="n">
        <x:v>10</x:v>
      </x:c>
      <x:c r="C28" s="30" t="n">
        <x:v>5</x:v>
      </x:c>
      <x:c r="D28" s="30" t="n">
        <x:v>3</x:v>
      </x:c>
      <x:c r="E28" s="30" t="str">
        <x:v>SRC-M19-001</x:v>
      </x:c>
      <x:c r="F28" s="30" t="str">
        <x:v>High</x:v>
      </x:c>
      <x:c r="G28" s="27"/>
      <x:c r="H28" s="27"/>
      <x:c r="I28" s="27"/>
      <x:c r="J28" s="27"/>
      <x:c r="K28" s="27"/>
      <x:c r="L28" s="27"/>
      <x:c r="M28" s="27"/>
      <x:c r="N28" s="27"/>
      <x:c r="O28" s="27"/>
      <x:c r="P28" s="27"/>
      <x:c r="Q28" s="27"/>
      <x:c r="R28" s="27"/>
      <x:c r="S28" s="27"/>
      <x:c r="T28" s="27"/>
      <x:c r="U28" s="27"/>
      <x:c r="V28" s="27"/>
      <x:c r="W28" s="27"/>
      <x:c r="X28" s="27"/>
      <x:c r="Y28" s="27"/>
      <x:c r="Z28" s="27"/>
      <x:c r="AA28" s="27"/>
      <x:c r="AB28" s="27"/>
      <x:c r="AC28" s="27"/>
      <x:c r="AD28" s="27"/>
      <x:c r="AE28" s="27"/>
      <x:c r="AF28" s="27"/>
      <x:c r="AG28" s="27"/>
      <x:c r="AH28" s="27"/>
      <x:c r="AI28" s="27"/>
      <x:c r="AJ28" s="27"/>
      <x:c r="AK28" s="27"/>
      <x:c r="AL28" s="27"/>
      <x:c r="AM28" s="27"/>
      <x:c r="AN28" s="27"/>
      <x:c r="AO28" s="27"/>
      <x:c r="AP28" s="27"/>
      <x:c r="AQ28" s="27"/>
      <x:c r="AR28" s="27"/>
      <x:c r="AS28" s="27"/>
      <x:c r="AT28" s="27"/>
      <x:c r="AU28" s="27"/>
      <x:c r="AV28" s="27"/>
      <x:c r="AW28" s="27"/>
      <x:c r="AX28" s="27"/>
      <x:c r="AY28" s="27"/>
      <x:c r="AZ28" s="27"/>
    </x:row>
    <x:row r="29">
      <x:c r="A29" s="30" t="str">
        <x:v>Run Block Finesse</x:v>
      </x:c>
      <x:c r="B29" s="30" t="n">
        <x:v>9</x:v>
      </x:c>
      <x:c r="C29" s="30" t="n">
        <x:v>4</x:v>
      </x:c>
      <x:c r="D29" s="30" t="n">
        <x:v>3</x:v>
      </x:c>
      <x:c r="E29" s="30" t="str">
        <x:v>SRC-M19-001</x:v>
      </x:c>
      <x:c r="F29" s="30" t="str">
        <x:v>High</x:v>
      </x:c>
      <x:c r="G29" s="27"/>
      <x:c r="H29" s="27"/>
      <x:c r="I29" s="27"/>
      <x:c r="J29" s="27"/>
      <x:c r="K29" s="27"/>
      <x:c r="L29" s="27"/>
      <x:c r="M29" s="27"/>
      <x:c r="N29" s="27"/>
      <x:c r="O29" s="27"/>
      <x:c r="P29" s="27"/>
      <x:c r="Q29" s="27"/>
      <x:c r="R29" s="27"/>
      <x:c r="S29" s="27"/>
      <x:c r="T29" s="27"/>
      <x:c r="U29" s="27"/>
      <x:c r="V29" s="27"/>
      <x:c r="W29" s="27"/>
      <x:c r="X29" s="27"/>
      <x:c r="Y29" s="27"/>
      <x:c r="Z29" s="27"/>
      <x:c r="AA29" s="27"/>
      <x:c r="AB29" s="27"/>
      <x:c r="AC29" s="27"/>
      <x:c r="AD29" s="27"/>
      <x:c r="AE29" s="27"/>
      <x:c r="AF29" s="27"/>
      <x:c r="AG29" s="27"/>
      <x:c r="AH29" s="27"/>
      <x:c r="AI29" s="27"/>
      <x:c r="AJ29" s="27"/>
      <x:c r="AK29" s="27"/>
      <x:c r="AL29" s="27"/>
      <x:c r="AM29" s="27"/>
      <x:c r="AN29" s="27"/>
      <x:c r="AO29" s="27"/>
      <x:c r="AP29" s="27"/>
      <x:c r="AQ29" s="27"/>
      <x:c r="AR29" s="27"/>
      <x:c r="AS29" s="27"/>
      <x:c r="AT29" s="27"/>
      <x:c r="AU29" s="27"/>
      <x:c r="AV29" s="27"/>
      <x:c r="AW29" s="27"/>
      <x:c r="AX29" s="27"/>
      <x:c r="AY29" s="27"/>
      <x:c r="AZ29" s="27"/>
    </x:row>
    <x:row r="30">
      <x:c r="A30" s="30" t="str">
        <x:v>Run Block Power</x:v>
      </x:c>
      <x:c r="B30" s="30" t="n">
        <x:v>9</x:v>
      </x:c>
      <x:c r="C30" s="30" t="n">
        <x:v>4</x:v>
      </x:c>
      <x:c r="D30" s="30" t="n">
        <x:v>3</x:v>
      </x:c>
      <x:c r="E30" s="30" t="str">
        <x:v>SRC-M19-001</x:v>
      </x:c>
      <x:c r="F30" s="30" t="str">
        <x:v>High</x:v>
      </x:c>
      <x:c r="G30" s="27"/>
      <x:c r="H30" s="27"/>
      <x:c r="I30" s="27"/>
      <x:c r="J30" s="27"/>
      <x:c r="K30" s="27"/>
      <x:c r="L30" s="27"/>
      <x:c r="M30" s="27"/>
      <x:c r="N30" s="27"/>
      <x:c r="O30" s="27"/>
      <x:c r="P30" s="27"/>
      <x:c r="Q30" s="27"/>
      <x:c r="R30" s="27"/>
      <x:c r="S30" s="27"/>
      <x:c r="T30" s="27"/>
      <x:c r="U30" s="27"/>
      <x:c r="V30" s="27"/>
      <x:c r="W30" s="27"/>
      <x:c r="X30" s="27"/>
      <x:c r="Y30" s="27"/>
      <x:c r="Z30" s="27"/>
      <x:c r="AA30" s="27"/>
      <x:c r="AB30" s="27"/>
      <x:c r="AC30" s="27"/>
      <x:c r="AD30" s="27"/>
      <x:c r="AE30" s="27"/>
      <x:c r="AF30" s="27"/>
      <x:c r="AG30" s="27"/>
      <x:c r="AH30" s="27"/>
      <x:c r="AI30" s="27"/>
      <x:c r="AJ30" s="27"/>
      <x:c r="AK30" s="27"/>
      <x:c r="AL30" s="27"/>
      <x:c r="AM30" s="27"/>
      <x:c r="AN30" s="27"/>
      <x:c r="AO30" s="27"/>
      <x:c r="AP30" s="27"/>
      <x:c r="AQ30" s="27"/>
      <x:c r="AR30" s="27"/>
      <x:c r="AS30" s="27"/>
      <x:c r="AT30" s="27"/>
      <x:c r="AU30" s="27"/>
      <x:c r="AV30" s="27"/>
      <x:c r="AW30" s="27"/>
      <x:c r="AX30" s="27"/>
      <x:c r="AY30" s="27"/>
      <x:c r="AZ30" s="27"/>
    </x:row>
    <x:row r="31">
      <x:c r="A31" s="27"/>
      <x:c r="B31" s="27"/>
      <x:c r="C31" s="27"/>
      <x:c r="D31" s="27"/>
      <x:c r="E31" s="27"/>
      <x:c r="F31" s="27"/>
      <x:c r="G31" s="27"/>
      <x:c r="H31" s="27"/>
      <x:c r="I31" s="27"/>
      <x:c r="J31" s="27"/>
      <x:c r="K31" s="27"/>
      <x:c r="L31" s="27"/>
      <x:c r="M31" s="27"/>
      <x:c r="N31" s="27"/>
      <x:c r="O31" s="27"/>
      <x:c r="P31" s="27"/>
      <x:c r="Q31" s="27"/>
      <x:c r="R31" s="27"/>
      <x:c r="S31" s="27"/>
      <x:c r="T31" s="27"/>
      <x:c r="U31" s="27"/>
      <x:c r="V31" s="27"/>
      <x:c r="W31" s="27"/>
      <x:c r="X31" s="27"/>
      <x:c r="Y31" s="27"/>
      <x:c r="Z31" s="27"/>
      <x:c r="AA31" s="27"/>
      <x:c r="AB31" s="27"/>
      <x:c r="AC31" s="27"/>
      <x:c r="AD31" s="27"/>
      <x:c r="AE31" s="27"/>
      <x:c r="AF31" s="27"/>
      <x:c r="AG31" s="27"/>
      <x:c r="AH31" s="27"/>
      <x:c r="AI31" s="27"/>
      <x:c r="AJ31" s="27"/>
      <x:c r="AK31" s="27"/>
      <x:c r="AL31" s="27"/>
      <x:c r="AM31" s="27"/>
      <x:c r="AN31" s="27"/>
      <x:c r="AO31" s="27"/>
      <x:c r="AP31" s="27"/>
      <x:c r="AQ31" s="27"/>
      <x:c r="AR31" s="27"/>
      <x:c r="AS31" s="27"/>
      <x:c r="AT31" s="27"/>
      <x:c r="AU31" s="27"/>
      <x:c r="AV31" s="27"/>
      <x:c r="AW31" s="27"/>
      <x:c r="AX31" s="27"/>
      <x:c r="AY31" s="27"/>
      <x:c r="AZ31" s="27"/>
    </x:row>
    <x:row r="32">
      <x:c r="A32" s="27"/>
      <x:c r="B32" s="27"/>
      <x:c r="C32" s="27"/>
      <x:c r="D32" s="27"/>
      <x:c r="E32" s="27"/>
      <x:c r="F32" s="27"/>
      <x:c r="G32" s="27"/>
      <x:c r="H32" s="27"/>
      <x:c r="I32" s="27"/>
      <x:c r="J32" s="27"/>
      <x:c r="K32" s="27"/>
      <x:c r="L32" s="27"/>
      <x:c r="M32" s="27"/>
      <x:c r="N32" s="27"/>
      <x:c r="O32" s="27"/>
      <x:c r="P32" s="27"/>
      <x:c r="Q32" s="27"/>
      <x:c r="R32" s="27"/>
      <x:c r="S32" s="27"/>
      <x:c r="T32" s="27"/>
      <x:c r="U32" s="27"/>
      <x:c r="V32" s="27"/>
      <x:c r="W32" s="27"/>
      <x:c r="X32" s="27"/>
      <x:c r="Y32" s="27"/>
      <x:c r="Z32" s="27"/>
      <x:c r="AA32" s="27"/>
      <x:c r="AB32" s="27"/>
      <x:c r="AC32" s="27"/>
      <x:c r="AD32" s="27"/>
      <x:c r="AE32" s="27"/>
      <x:c r="AF32" s="27"/>
      <x:c r="AG32" s="27"/>
      <x:c r="AH32" s="27"/>
      <x:c r="AI32" s="27"/>
      <x:c r="AJ32" s="27"/>
      <x:c r="AK32" s="27"/>
      <x:c r="AL32" s="27"/>
      <x:c r="AM32" s="27"/>
      <x:c r="AN32" s="27"/>
      <x:c r="AO32" s="27"/>
      <x:c r="AP32" s="27"/>
      <x:c r="AQ32" s="27"/>
      <x:c r="AR32" s="27"/>
      <x:c r="AS32" s="27"/>
      <x:c r="AT32" s="27"/>
      <x:c r="AU32" s="27"/>
      <x:c r="AV32" s="27"/>
      <x:c r="AW32" s="27"/>
      <x:c r="AX32" s="27"/>
      <x:c r="AY32" s="27"/>
      <x:c r="AZ32" s="27"/>
    </x:row>
    <x:row r="33">
      <x:c r="A33" s="27"/>
      <x:c r="B33" s="27"/>
      <x:c r="C33" s="27"/>
      <x:c r="D33" s="27"/>
      <x:c r="E33" s="27"/>
      <x:c r="F33" s="27"/>
      <x:c r="G33" s="27"/>
      <x:c r="H33" s="27"/>
      <x:c r="I33" s="27"/>
      <x:c r="J33" s="27"/>
      <x:c r="K33" s="27"/>
      <x:c r="L33" s="27"/>
      <x:c r="M33" s="27"/>
      <x:c r="N33" s="27"/>
      <x:c r="O33" s="27"/>
      <x:c r="P33" s="27"/>
      <x:c r="Q33" s="27"/>
      <x:c r="R33" s="27"/>
      <x:c r="S33" s="27"/>
      <x:c r="T33" s="27"/>
      <x:c r="U33" s="27"/>
      <x:c r="V33" s="27"/>
      <x:c r="W33" s="27"/>
      <x:c r="X33" s="27"/>
      <x:c r="Y33" s="27"/>
      <x:c r="Z33" s="27"/>
      <x:c r="AA33" s="27"/>
      <x:c r="AB33" s="27"/>
      <x:c r="AC33" s="27"/>
      <x:c r="AD33" s="27"/>
      <x:c r="AE33" s="27"/>
      <x:c r="AF33" s="27"/>
      <x:c r="AG33" s="27"/>
      <x:c r="AH33" s="27"/>
      <x:c r="AI33" s="27"/>
      <x:c r="AJ33" s="27"/>
      <x:c r="AK33" s="27"/>
      <x:c r="AL33" s="27"/>
      <x:c r="AM33" s="27"/>
      <x:c r="AN33" s="27"/>
      <x:c r="AO33" s="27"/>
      <x:c r="AP33" s="27"/>
      <x:c r="AQ33" s="27"/>
      <x:c r="AR33" s="27"/>
      <x:c r="AS33" s="27"/>
      <x:c r="AT33" s="27"/>
      <x:c r="AU33" s="27"/>
      <x:c r="AV33" s="27"/>
      <x:c r="AW33" s="27"/>
      <x:c r="AX33" s="27"/>
      <x:c r="AY33" s="27"/>
      <x:c r="AZ33" s="27"/>
    </x:row>
    <x:row r="34">
      <x:c r="A34" s="27"/>
      <x:c r="B34" s="27"/>
      <x:c r="C34" s="27"/>
      <x:c r="D34" s="27"/>
      <x:c r="E34" s="27"/>
      <x:c r="F34" s="27"/>
      <x:c r="G34" s="27"/>
      <x:c r="H34" s="27"/>
      <x:c r="I34" s="27"/>
      <x:c r="J34" s="27"/>
      <x:c r="K34" s="27"/>
      <x:c r="L34" s="27"/>
      <x:c r="M34" s="27"/>
      <x:c r="N34" s="27"/>
      <x:c r="O34" s="27"/>
      <x:c r="P34" s="27"/>
      <x:c r="Q34" s="27"/>
      <x:c r="R34" s="27"/>
      <x:c r="S34" s="27"/>
      <x:c r="T34" s="27"/>
      <x:c r="U34" s="27"/>
      <x:c r="V34" s="27"/>
      <x:c r="W34" s="27"/>
      <x:c r="X34" s="27"/>
      <x:c r="Y34" s="27"/>
      <x:c r="Z34" s="27"/>
      <x:c r="AA34" s="27"/>
      <x:c r="AB34" s="27"/>
      <x:c r="AC34" s="27"/>
      <x:c r="AD34" s="27"/>
      <x:c r="AE34" s="27"/>
      <x:c r="AF34" s="27"/>
      <x:c r="AG34" s="27"/>
      <x:c r="AH34" s="27"/>
      <x:c r="AI34" s="27"/>
      <x:c r="AJ34" s="27"/>
      <x:c r="AK34" s="27"/>
      <x:c r="AL34" s="27"/>
      <x:c r="AM34" s="27"/>
      <x:c r="AN34" s="27"/>
      <x:c r="AO34" s="27"/>
      <x:c r="AP34" s="27"/>
      <x:c r="AQ34" s="27"/>
      <x:c r="AR34" s="27"/>
      <x:c r="AS34" s="27"/>
      <x:c r="AT34" s="27"/>
      <x:c r="AU34" s="27"/>
      <x:c r="AV34" s="27"/>
      <x:c r="AW34" s="27"/>
      <x:c r="AX34" s="27"/>
      <x:c r="AY34" s="27"/>
      <x:c r="AZ34" s="27"/>
    </x:row>
    <x:row r="35">
      <x:c r="A35" s="27"/>
      <x:c r="B35" s="27"/>
      <x:c r="C35" s="27"/>
      <x:c r="D35" s="27"/>
      <x:c r="E35" s="27"/>
      <x:c r="F35" s="27"/>
      <x:c r="G35" s="27"/>
      <x:c r="H35" s="27"/>
      <x:c r="I35" s="27"/>
      <x:c r="J35" s="27"/>
      <x:c r="K35" s="27"/>
      <x:c r="L35" s="27"/>
      <x:c r="M35" s="27"/>
      <x:c r="N35" s="27"/>
      <x:c r="O35" s="27"/>
      <x:c r="P35" s="27"/>
      <x:c r="Q35" s="27"/>
      <x:c r="R35" s="27"/>
      <x:c r="S35" s="27"/>
      <x:c r="T35" s="27"/>
      <x:c r="U35" s="27"/>
      <x:c r="V35" s="27"/>
      <x:c r="W35" s="27"/>
      <x:c r="X35" s="27"/>
      <x:c r="Y35" s="27"/>
      <x:c r="Z35" s="27"/>
      <x:c r="AA35" s="27"/>
      <x:c r="AB35" s="27"/>
      <x:c r="AC35" s="27"/>
      <x:c r="AD35" s="27"/>
      <x:c r="AE35" s="27"/>
      <x:c r="AF35" s="27"/>
      <x:c r="AG35" s="27"/>
      <x:c r="AH35" s="27"/>
      <x:c r="AI35" s="27"/>
      <x:c r="AJ35" s="27"/>
      <x:c r="AK35" s="27"/>
      <x:c r="AL35" s="27"/>
      <x:c r="AM35" s="27"/>
      <x:c r="AN35" s="27"/>
      <x:c r="AO35" s="27"/>
      <x:c r="AP35" s="27"/>
      <x:c r="AQ35" s="27"/>
      <x:c r="AR35" s="27"/>
      <x:c r="AS35" s="27"/>
      <x:c r="AT35" s="27"/>
      <x:c r="AU35" s="27"/>
      <x:c r="AV35" s="27"/>
      <x:c r="AW35" s="27"/>
      <x:c r="AX35" s="27"/>
      <x:c r="AY35" s="27"/>
      <x:c r="AZ35" s="27"/>
    </x:row>
    <x:row r="36">
      <x:c r="A36" s="27"/>
      <x:c r="B36" s="27"/>
      <x:c r="C36" s="27"/>
      <x:c r="D36" s="27"/>
      <x:c r="E36" s="27"/>
      <x:c r="F36" s="27"/>
      <x:c r="G36" s="27"/>
      <x:c r="H36" s="27"/>
      <x:c r="I36" s="27"/>
      <x:c r="J36" s="27"/>
      <x:c r="K36" s="27"/>
      <x:c r="L36" s="27"/>
      <x:c r="M36" s="27"/>
      <x:c r="N36" s="27"/>
      <x:c r="O36" s="27"/>
      <x:c r="P36" s="27"/>
      <x:c r="Q36" s="27"/>
      <x:c r="R36" s="27"/>
      <x:c r="S36" s="27"/>
      <x:c r="T36" s="27"/>
      <x:c r="U36" s="27"/>
      <x:c r="V36" s="27"/>
      <x:c r="W36" s="27"/>
      <x:c r="X36" s="27"/>
      <x:c r="Y36" s="27"/>
      <x:c r="Z36" s="27"/>
      <x:c r="AA36" s="27"/>
      <x:c r="AB36" s="27"/>
      <x:c r="AC36" s="27"/>
      <x:c r="AD36" s="27"/>
      <x:c r="AE36" s="27"/>
      <x:c r="AF36" s="27"/>
      <x:c r="AG36" s="27"/>
      <x:c r="AH36" s="27"/>
      <x:c r="AI36" s="27"/>
      <x:c r="AJ36" s="27"/>
      <x:c r="AK36" s="27"/>
      <x:c r="AL36" s="27"/>
      <x:c r="AM36" s="27"/>
      <x:c r="AN36" s="27"/>
      <x:c r="AO36" s="27"/>
      <x:c r="AP36" s="27"/>
      <x:c r="AQ36" s="27"/>
      <x:c r="AR36" s="27"/>
      <x:c r="AS36" s="27"/>
      <x:c r="AT36" s="27"/>
      <x:c r="AU36" s="27"/>
      <x:c r="AV36" s="27"/>
      <x:c r="AW36" s="27"/>
      <x:c r="AX36" s="27"/>
      <x:c r="AY36" s="27"/>
      <x:c r="AZ36" s="27"/>
    </x:row>
    <x:row r="37">
      <x:c r="A37" s="27"/>
      <x:c r="B37" s="27"/>
      <x:c r="C37" s="27"/>
      <x:c r="D37" s="27"/>
      <x:c r="E37" s="27"/>
      <x:c r="F37" s="27"/>
      <x:c r="G37" s="27"/>
      <x:c r="H37" s="27"/>
      <x:c r="I37" s="27"/>
      <x:c r="J37" s="27"/>
      <x:c r="K37" s="27"/>
      <x:c r="L37" s="27"/>
      <x:c r="M37" s="27"/>
      <x:c r="N37" s="27"/>
      <x:c r="O37" s="27"/>
      <x:c r="P37" s="27"/>
      <x:c r="Q37" s="27"/>
      <x:c r="R37" s="27"/>
      <x:c r="S37" s="27"/>
      <x:c r="T37" s="27"/>
      <x:c r="U37" s="27"/>
      <x:c r="V37" s="27"/>
      <x:c r="W37" s="27"/>
      <x:c r="X37" s="27"/>
      <x:c r="Y37" s="27"/>
      <x:c r="Z37" s="27"/>
      <x:c r="AA37" s="27"/>
      <x:c r="AB37" s="27"/>
      <x:c r="AC37" s="27"/>
      <x:c r="AD37" s="27"/>
      <x:c r="AE37" s="27"/>
      <x:c r="AF37" s="27"/>
      <x:c r="AG37" s="27"/>
      <x:c r="AH37" s="27"/>
      <x:c r="AI37" s="27"/>
      <x:c r="AJ37" s="27"/>
      <x:c r="AK37" s="27"/>
      <x:c r="AL37" s="27"/>
      <x:c r="AM37" s="27"/>
      <x:c r="AN37" s="27"/>
      <x:c r="AO37" s="27"/>
      <x:c r="AP37" s="27"/>
      <x:c r="AQ37" s="27"/>
      <x:c r="AR37" s="27"/>
      <x:c r="AS37" s="27"/>
      <x:c r="AT37" s="27"/>
      <x:c r="AU37" s="27"/>
      <x:c r="AV37" s="27"/>
      <x:c r="AW37" s="27"/>
      <x:c r="AX37" s="27"/>
      <x:c r="AY37" s="27"/>
      <x:c r="AZ37" s="27"/>
    </x:row>
    <x:row r="38">
      <x:c r="A38" s="27"/>
      <x:c r="B38" s="27"/>
      <x:c r="C38" s="27"/>
      <x:c r="D38" s="27"/>
      <x:c r="E38" s="27"/>
      <x:c r="F38" s="27"/>
      <x:c r="G38" s="27"/>
      <x:c r="H38" s="27"/>
      <x:c r="I38" s="27"/>
      <x:c r="J38" s="27"/>
      <x:c r="K38" s="27"/>
      <x:c r="L38" s="27"/>
      <x:c r="M38" s="27"/>
      <x:c r="N38" s="27"/>
      <x:c r="O38" s="27"/>
      <x:c r="P38" s="27"/>
      <x:c r="Q38" s="27"/>
      <x:c r="R38" s="27"/>
      <x:c r="S38" s="27"/>
      <x:c r="T38" s="27"/>
      <x:c r="U38" s="27"/>
      <x:c r="V38" s="27"/>
      <x:c r="W38" s="27"/>
      <x:c r="X38" s="27"/>
      <x:c r="Y38" s="27"/>
      <x:c r="Z38" s="27"/>
      <x:c r="AA38" s="27"/>
      <x:c r="AB38" s="27"/>
      <x:c r="AC38" s="27"/>
      <x:c r="AD38" s="27"/>
      <x:c r="AE38" s="27"/>
      <x:c r="AF38" s="27"/>
      <x:c r="AG38" s="27"/>
      <x:c r="AH38" s="27"/>
      <x:c r="AI38" s="27"/>
      <x:c r="AJ38" s="27"/>
      <x:c r="AK38" s="27"/>
      <x:c r="AL38" s="27"/>
      <x:c r="AM38" s="27"/>
      <x:c r="AN38" s="27"/>
      <x:c r="AO38" s="27"/>
      <x:c r="AP38" s="27"/>
      <x:c r="AQ38" s="27"/>
      <x:c r="AR38" s="27"/>
      <x:c r="AS38" s="27"/>
      <x:c r="AT38" s="27"/>
      <x:c r="AU38" s="27"/>
      <x:c r="AV38" s="27"/>
      <x:c r="AW38" s="27"/>
      <x:c r="AX38" s="27"/>
      <x:c r="AY38" s="27"/>
      <x:c r="AZ38" s="27"/>
    </x:row>
    <x:row r="39">
      <x:c r="A39" s="27"/>
      <x:c r="B39" s="27"/>
      <x:c r="C39" s="27"/>
      <x:c r="D39" s="27"/>
      <x:c r="E39" s="27"/>
      <x:c r="F39" s="27"/>
      <x:c r="G39" s="27"/>
      <x:c r="H39" s="27"/>
      <x:c r="I39" s="27"/>
      <x:c r="J39" s="27"/>
      <x:c r="K39" s="27"/>
      <x:c r="L39" s="27"/>
      <x:c r="M39" s="27"/>
      <x:c r="N39" s="27"/>
      <x:c r="O39" s="27"/>
      <x:c r="P39" s="27"/>
      <x:c r="Q39" s="27"/>
      <x:c r="R39" s="27"/>
      <x:c r="S39" s="27"/>
      <x:c r="T39" s="27"/>
      <x:c r="U39" s="27"/>
      <x:c r="V39" s="27"/>
      <x:c r="W39" s="27"/>
      <x:c r="X39" s="27"/>
      <x:c r="Y39" s="27"/>
      <x:c r="Z39" s="27"/>
      <x:c r="AA39" s="27"/>
      <x:c r="AB39" s="27"/>
      <x:c r="AC39" s="27"/>
      <x:c r="AD39" s="27"/>
      <x:c r="AE39" s="27"/>
      <x:c r="AF39" s="27"/>
      <x:c r="AG39" s="27"/>
      <x:c r="AH39" s="27"/>
      <x:c r="AI39" s="27"/>
      <x:c r="AJ39" s="27"/>
      <x:c r="AK39" s="27"/>
      <x:c r="AL39" s="27"/>
      <x:c r="AM39" s="27"/>
      <x:c r="AN39" s="27"/>
      <x:c r="AO39" s="27"/>
      <x:c r="AP39" s="27"/>
      <x:c r="AQ39" s="27"/>
      <x:c r="AR39" s="27"/>
      <x:c r="AS39" s="27"/>
      <x:c r="AT39" s="27"/>
      <x:c r="AU39" s="27"/>
      <x:c r="AV39" s="27"/>
      <x:c r="AW39" s="27"/>
      <x:c r="AX39" s="27"/>
      <x:c r="AY39" s="27"/>
      <x:c r="AZ39" s="27"/>
    </x:row>
    <x:row r="40">
      <x:c r="A40" s="27"/>
      <x:c r="B40" s="27"/>
      <x:c r="C40" s="27"/>
      <x:c r="D40" s="27"/>
      <x:c r="E40" s="27"/>
      <x:c r="F40" s="27"/>
      <x:c r="G40" s="27"/>
      <x:c r="H40" s="27"/>
      <x:c r="I40" s="27"/>
      <x:c r="J40" s="27"/>
      <x:c r="K40" s="27"/>
      <x:c r="L40" s="27"/>
      <x:c r="M40" s="27"/>
      <x:c r="N40" s="27"/>
      <x:c r="O40" s="27"/>
      <x:c r="P40" s="27"/>
      <x:c r="Q40" s="27"/>
      <x:c r="R40" s="27"/>
      <x:c r="S40" s="27"/>
      <x:c r="T40" s="27"/>
      <x:c r="U40" s="27"/>
      <x:c r="V40" s="27"/>
      <x:c r="W40" s="27"/>
      <x:c r="X40" s="27"/>
      <x:c r="Y40" s="27"/>
      <x:c r="Z40" s="27"/>
      <x:c r="AA40" s="27"/>
      <x:c r="AB40" s="27"/>
      <x:c r="AC40" s="27"/>
      <x:c r="AD40" s="27"/>
      <x:c r="AE40" s="27"/>
      <x:c r="AF40" s="27"/>
      <x:c r="AG40" s="27"/>
      <x:c r="AH40" s="27"/>
      <x:c r="AI40" s="27"/>
      <x:c r="AJ40" s="27"/>
      <x:c r="AK40" s="27"/>
      <x:c r="AL40" s="27"/>
      <x:c r="AM40" s="27"/>
      <x:c r="AN40" s="27"/>
      <x:c r="AO40" s="27"/>
      <x:c r="AP40" s="27"/>
      <x:c r="AQ40" s="27"/>
      <x:c r="AR40" s="27"/>
      <x:c r="AS40" s="27"/>
      <x:c r="AT40" s="27"/>
      <x:c r="AU40" s="27"/>
      <x:c r="AV40" s="27"/>
      <x:c r="AW40" s="27"/>
      <x:c r="AX40" s="27"/>
      <x:c r="AY40" s="27"/>
      <x:c r="AZ40" s="27"/>
    </x:row>
    <x:row r="41">
      <x:c r="A41" s="27"/>
      <x:c r="B41" s="27"/>
      <x:c r="C41" s="27"/>
      <x:c r="D41" s="27"/>
      <x:c r="E41" s="27"/>
      <x:c r="F41" s="27"/>
      <x:c r="G41" s="27"/>
      <x:c r="H41" s="27"/>
      <x:c r="I41" s="27"/>
      <x:c r="J41" s="27"/>
      <x:c r="K41" s="27"/>
      <x:c r="L41" s="27"/>
      <x:c r="M41" s="27"/>
      <x:c r="N41" s="27"/>
      <x:c r="O41" s="27"/>
      <x:c r="P41" s="27"/>
      <x:c r="Q41" s="27"/>
      <x:c r="R41" s="27"/>
      <x:c r="S41" s="27"/>
      <x:c r="T41" s="27"/>
      <x:c r="U41" s="27"/>
      <x:c r="V41" s="27"/>
      <x:c r="W41" s="27"/>
      <x:c r="X41" s="27"/>
      <x:c r="Y41" s="27"/>
      <x:c r="Z41" s="27"/>
      <x:c r="AA41" s="27"/>
      <x:c r="AB41" s="27"/>
      <x:c r="AC41" s="27"/>
      <x:c r="AD41" s="27"/>
      <x:c r="AE41" s="27"/>
      <x:c r="AF41" s="27"/>
      <x:c r="AG41" s="27"/>
      <x:c r="AH41" s="27"/>
      <x:c r="AI41" s="27"/>
      <x:c r="AJ41" s="27"/>
      <x:c r="AK41" s="27"/>
      <x:c r="AL41" s="27"/>
      <x:c r="AM41" s="27"/>
      <x:c r="AN41" s="27"/>
      <x:c r="AO41" s="27"/>
      <x:c r="AP41" s="27"/>
      <x:c r="AQ41" s="27"/>
      <x:c r="AR41" s="27"/>
      <x:c r="AS41" s="27"/>
      <x:c r="AT41" s="27"/>
      <x:c r="AU41" s="27"/>
      <x:c r="AV41" s="27"/>
      <x:c r="AW41" s="27"/>
      <x:c r="AX41" s="27"/>
      <x:c r="AY41" s="27"/>
      <x:c r="AZ41" s="27"/>
    </x:row>
    <x:row r="42">
      <x:c r="A42" s="27"/>
      <x:c r="B42" s="27"/>
      <x:c r="C42" s="27"/>
      <x:c r="D42" s="27"/>
      <x:c r="E42" s="27"/>
      <x:c r="F42" s="27"/>
      <x:c r="G42" s="27"/>
      <x:c r="H42" s="27"/>
      <x:c r="I42" s="27"/>
      <x:c r="J42" s="27"/>
      <x:c r="K42" s="27"/>
      <x:c r="L42" s="27"/>
      <x:c r="M42" s="27"/>
      <x:c r="N42" s="27"/>
      <x:c r="O42" s="27"/>
      <x:c r="P42" s="27"/>
      <x:c r="Q42" s="27"/>
      <x:c r="R42" s="27"/>
      <x:c r="S42" s="27"/>
      <x:c r="T42" s="27"/>
      <x:c r="U42" s="27"/>
      <x:c r="V42" s="27"/>
      <x:c r="W42" s="27"/>
      <x:c r="X42" s="27"/>
      <x:c r="Y42" s="27"/>
      <x:c r="Z42" s="27"/>
      <x:c r="AA42" s="27"/>
      <x:c r="AB42" s="27"/>
      <x:c r="AC42" s="27"/>
      <x:c r="AD42" s="27"/>
      <x:c r="AE42" s="27"/>
      <x:c r="AF42" s="27"/>
      <x:c r="AG42" s="27"/>
      <x:c r="AH42" s="27"/>
      <x:c r="AI42" s="27"/>
      <x:c r="AJ42" s="27"/>
      <x:c r="AK42" s="27"/>
      <x:c r="AL42" s="27"/>
      <x:c r="AM42" s="27"/>
      <x:c r="AN42" s="27"/>
      <x:c r="AO42" s="27"/>
      <x:c r="AP42" s="27"/>
      <x:c r="AQ42" s="27"/>
      <x:c r="AR42" s="27"/>
      <x:c r="AS42" s="27"/>
      <x:c r="AT42" s="27"/>
      <x:c r="AU42" s="27"/>
      <x:c r="AV42" s="27"/>
      <x:c r="AW42" s="27"/>
      <x:c r="AX42" s="27"/>
      <x:c r="AY42" s="27"/>
      <x:c r="AZ42" s="27"/>
    </x:row>
    <x:row r="43">
      <x:c r="A43" s="27"/>
      <x:c r="B43" s="27"/>
      <x:c r="C43" s="27"/>
      <x:c r="D43" s="27"/>
      <x:c r="E43" s="27"/>
      <x:c r="F43" s="27"/>
      <x:c r="G43" s="27"/>
      <x:c r="H43" s="27"/>
      <x:c r="I43" s="27"/>
      <x:c r="J43" s="27"/>
      <x:c r="K43" s="27"/>
      <x:c r="L43" s="27"/>
      <x:c r="M43" s="27"/>
      <x:c r="N43" s="27"/>
      <x:c r="O43" s="27"/>
      <x:c r="P43" s="27"/>
      <x:c r="Q43" s="27"/>
      <x:c r="R43" s="27"/>
      <x:c r="S43" s="27"/>
      <x:c r="T43" s="27"/>
      <x:c r="U43" s="27"/>
      <x:c r="V43" s="27"/>
      <x:c r="W43" s="27"/>
      <x:c r="X43" s="27"/>
      <x:c r="Y43" s="27"/>
      <x:c r="Z43" s="27"/>
      <x:c r="AA43" s="27"/>
      <x:c r="AB43" s="27"/>
      <x:c r="AC43" s="27"/>
      <x:c r="AD43" s="27"/>
      <x:c r="AE43" s="27"/>
      <x:c r="AF43" s="27"/>
      <x:c r="AG43" s="27"/>
      <x:c r="AH43" s="27"/>
      <x:c r="AI43" s="27"/>
      <x:c r="AJ43" s="27"/>
      <x:c r="AK43" s="27"/>
      <x:c r="AL43" s="27"/>
      <x:c r="AM43" s="27"/>
      <x:c r="AN43" s="27"/>
      <x:c r="AO43" s="27"/>
      <x:c r="AP43" s="27"/>
      <x:c r="AQ43" s="27"/>
      <x:c r="AR43" s="27"/>
      <x:c r="AS43" s="27"/>
      <x:c r="AT43" s="27"/>
      <x:c r="AU43" s="27"/>
      <x:c r="AV43" s="27"/>
      <x:c r="AW43" s="27"/>
      <x:c r="AX43" s="27"/>
      <x:c r="AY43" s="27"/>
      <x:c r="AZ43" s="27"/>
    </x:row>
    <x:row r="44">
      <x:c r="A44" s="27"/>
      <x:c r="B44" s="27"/>
      <x:c r="C44" s="27"/>
      <x:c r="D44" s="27"/>
      <x:c r="E44" s="27"/>
      <x:c r="F44" s="27"/>
      <x:c r="G44" s="27"/>
      <x:c r="H44" s="27"/>
      <x:c r="I44" s="27"/>
      <x:c r="J44" s="27"/>
      <x:c r="K44" s="27"/>
      <x:c r="L44" s="27"/>
      <x:c r="M44" s="27"/>
      <x:c r="N44" s="27"/>
      <x:c r="O44" s="27"/>
      <x:c r="P44" s="27"/>
      <x:c r="Q44" s="27"/>
      <x:c r="R44" s="27"/>
      <x:c r="S44" s="27"/>
      <x:c r="T44" s="27"/>
      <x:c r="U44" s="27"/>
      <x:c r="V44" s="27"/>
      <x:c r="W44" s="27"/>
      <x:c r="X44" s="27"/>
      <x:c r="Y44" s="27"/>
      <x:c r="Z44" s="27"/>
      <x:c r="AA44" s="27"/>
      <x:c r="AB44" s="27"/>
      <x:c r="AC44" s="27"/>
      <x:c r="AD44" s="27"/>
      <x:c r="AE44" s="27"/>
      <x:c r="AF44" s="27"/>
      <x:c r="AG44" s="27"/>
      <x:c r="AH44" s="27"/>
      <x:c r="AI44" s="27"/>
      <x:c r="AJ44" s="27"/>
      <x:c r="AK44" s="27"/>
      <x:c r="AL44" s="27"/>
      <x:c r="AM44" s="27"/>
      <x:c r="AN44" s="27"/>
      <x:c r="AO44" s="27"/>
      <x:c r="AP44" s="27"/>
      <x:c r="AQ44" s="27"/>
      <x:c r="AR44" s="27"/>
      <x:c r="AS44" s="27"/>
      <x:c r="AT44" s="27"/>
      <x:c r="AU44" s="27"/>
      <x:c r="AV44" s="27"/>
      <x:c r="AW44" s="27"/>
      <x:c r="AX44" s="27"/>
      <x:c r="AY44" s="27"/>
      <x:c r="AZ44" s="27"/>
    </x:row>
    <x:row r="45">
      <x:c r="A45" s="27"/>
      <x:c r="B45" s="27"/>
      <x:c r="C45" s="27"/>
      <x:c r="D45" s="27"/>
      <x:c r="E45" s="27"/>
      <x:c r="F45" s="27"/>
      <x:c r="G45" s="27"/>
      <x:c r="H45" s="27"/>
      <x:c r="I45" s="27"/>
      <x:c r="J45" s="27"/>
      <x:c r="K45" s="27"/>
      <x:c r="L45" s="27"/>
      <x:c r="M45" s="27"/>
      <x:c r="N45" s="27"/>
      <x:c r="O45" s="27"/>
      <x:c r="P45" s="27"/>
      <x:c r="Q45" s="27"/>
      <x:c r="R45" s="27"/>
      <x:c r="S45" s="27"/>
      <x:c r="T45" s="27"/>
      <x:c r="U45" s="27"/>
      <x:c r="V45" s="27"/>
      <x:c r="W45" s="27"/>
      <x:c r="X45" s="27"/>
      <x:c r="Y45" s="27"/>
      <x:c r="Z45" s="27"/>
      <x:c r="AA45" s="27"/>
      <x:c r="AB45" s="27"/>
      <x:c r="AC45" s="27"/>
      <x:c r="AD45" s="27"/>
      <x:c r="AE45" s="27"/>
      <x:c r="AF45" s="27"/>
      <x:c r="AG45" s="27"/>
      <x:c r="AH45" s="27"/>
      <x:c r="AI45" s="27"/>
      <x:c r="AJ45" s="27"/>
      <x:c r="AK45" s="27"/>
      <x:c r="AL45" s="27"/>
      <x:c r="AM45" s="27"/>
      <x:c r="AN45" s="27"/>
      <x:c r="AO45" s="27"/>
      <x:c r="AP45" s="27"/>
      <x:c r="AQ45" s="27"/>
      <x:c r="AR45" s="27"/>
      <x:c r="AS45" s="27"/>
      <x:c r="AT45" s="27"/>
      <x:c r="AU45" s="27"/>
      <x:c r="AV45" s="27"/>
      <x:c r="AW45" s="27"/>
      <x:c r="AX45" s="27"/>
      <x:c r="AY45" s="27"/>
      <x:c r="AZ45" s="27"/>
    </x:row>
    <x:row r="46">
      <x:c r="A46" s="27"/>
      <x:c r="B46" s="27"/>
      <x:c r="C46" s="27"/>
      <x:c r="D46" s="27"/>
      <x:c r="E46" s="27"/>
      <x:c r="F46" s="27"/>
      <x:c r="G46" s="27"/>
      <x:c r="H46" s="27"/>
      <x:c r="I46" s="27"/>
      <x:c r="J46" s="27"/>
      <x:c r="K46" s="27"/>
      <x:c r="L46" s="27"/>
      <x:c r="M46" s="27"/>
      <x:c r="N46" s="27"/>
      <x:c r="O46" s="27"/>
      <x:c r="P46" s="27"/>
      <x:c r="Q46" s="27"/>
      <x:c r="R46" s="27"/>
      <x:c r="S46" s="27"/>
      <x:c r="T46" s="27"/>
      <x:c r="U46" s="27"/>
      <x:c r="V46" s="27"/>
      <x:c r="W46" s="27"/>
      <x:c r="X46" s="27"/>
      <x:c r="Y46" s="27"/>
      <x:c r="Z46" s="27"/>
      <x:c r="AA46" s="27"/>
      <x:c r="AB46" s="27"/>
      <x:c r="AC46" s="27"/>
      <x:c r="AD46" s="27"/>
      <x:c r="AE46" s="27"/>
      <x:c r="AF46" s="27"/>
      <x:c r="AG46" s="27"/>
      <x:c r="AH46" s="27"/>
      <x:c r="AI46" s="27"/>
      <x:c r="AJ46" s="27"/>
      <x:c r="AK46" s="27"/>
      <x:c r="AL46" s="27"/>
      <x:c r="AM46" s="27"/>
      <x:c r="AN46" s="27"/>
      <x:c r="AO46" s="27"/>
      <x:c r="AP46" s="27"/>
      <x:c r="AQ46" s="27"/>
      <x:c r="AR46" s="27"/>
      <x:c r="AS46" s="27"/>
      <x:c r="AT46" s="27"/>
      <x:c r="AU46" s="27"/>
      <x:c r="AV46" s="27"/>
      <x:c r="AW46" s="27"/>
      <x:c r="AX46" s="27"/>
      <x:c r="AY46" s="27"/>
      <x:c r="AZ46" s="27"/>
    </x:row>
    <x:row r="47">
      <x:c r="A47" s="27"/>
      <x:c r="B47" s="27"/>
      <x:c r="C47" s="27"/>
      <x:c r="D47" s="27"/>
      <x:c r="E47" s="27"/>
      <x:c r="F47" s="27"/>
      <x:c r="G47" s="27"/>
      <x:c r="H47" s="27"/>
      <x:c r="I47" s="27"/>
      <x:c r="J47" s="27"/>
      <x:c r="K47" s="27"/>
      <x:c r="L47" s="27"/>
      <x:c r="M47" s="27"/>
      <x:c r="N47" s="27"/>
      <x:c r="O47" s="27"/>
      <x:c r="P47" s="27"/>
      <x:c r="Q47" s="27"/>
      <x:c r="R47" s="27"/>
      <x:c r="S47" s="27"/>
      <x:c r="T47" s="27"/>
      <x:c r="U47" s="27"/>
      <x:c r="V47" s="27"/>
      <x:c r="W47" s="27"/>
      <x:c r="X47" s="27"/>
      <x:c r="Y47" s="27"/>
      <x:c r="Z47" s="27"/>
      <x:c r="AA47" s="27"/>
      <x:c r="AB47" s="27"/>
      <x:c r="AC47" s="27"/>
      <x:c r="AD47" s="27"/>
      <x:c r="AE47" s="27"/>
      <x:c r="AF47" s="27"/>
      <x:c r="AG47" s="27"/>
      <x:c r="AH47" s="27"/>
      <x:c r="AI47" s="27"/>
      <x:c r="AJ47" s="27"/>
      <x:c r="AK47" s="27"/>
      <x:c r="AL47" s="27"/>
      <x:c r="AM47" s="27"/>
      <x:c r="AN47" s="27"/>
      <x:c r="AO47" s="27"/>
      <x:c r="AP47" s="27"/>
      <x:c r="AQ47" s="27"/>
      <x:c r="AR47" s="27"/>
      <x:c r="AS47" s="27"/>
      <x:c r="AT47" s="27"/>
      <x:c r="AU47" s="27"/>
      <x:c r="AV47" s="27"/>
      <x:c r="AW47" s="27"/>
      <x:c r="AX47" s="27"/>
      <x:c r="AY47" s="27"/>
      <x:c r="AZ47" s="27"/>
    </x:row>
    <x:row r="48">
      <x:c r="A48" s="27"/>
      <x:c r="B48" s="27"/>
      <x:c r="C48" s="27"/>
      <x:c r="D48" s="27"/>
      <x:c r="E48" s="27"/>
      <x:c r="F48" s="27"/>
      <x:c r="G48" s="27"/>
      <x:c r="H48" s="27"/>
      <x:c r="I48" s="27"/>
      <x:c r="J48" s="27"/>
      <x:c r="K48" s="27"/>
      <x:c r="L48" s="27"/>
      <x:c r="M48" s="27"/>
      <x:c r="N48" s="27"/>
      <x:c r="O48" s="27"/>
      <x:c r="P48" s="27"/>
      <x:c r="Q48" s="27"/>
      <x:c r="R48" s="27"/>
      <x:c r="S48" s="27"/>
      <x:c r="T48" s="27"/>
      <x:c r="U48" s="27"/>
      <x:c r="V48" s="27"/>
      <x:c r="W48" s="27"/>
      <x:c r="X48" s="27"/>
      <x:c r="Y48" s="27"/>
      <x:c r="Z48" s="27"/>
      <x:c r="AA48" s="27"/>
      <x:c r="AB48" s="27"/>
      <x:c r="AC48" s="27"/>
      <x:c r="AD48" s="27"/>
      <x:c r="AE48" s="27"/>
      <x:c r="AF48" s="27"/>
      <x:c r="AG48" s="27"/>
      <x:c r="AH48" s="27"/>
      <x:c r="AI48" s="27"/>
      <x:c r="AJ48" s="27"/>
      <x:c r="AK48" s="27"/>
      <x:c r="AL48" s="27"/>
      <x:c r="AM48" s="27"/>
      <x:c r="AN48" s="27"/>
      <x:c r="AO48" s="27"/>
      <x:c r="AP48" s="27"/>
      <x:c r="AQ48" s="27"/>
      <x:c r="AR48" s="27"/>
      <x:c r="AS48" s="27"/>
      <x:c r="AT48" s="27"/>
      <x:c r="AU48" s="27"/>
      <x:c r="AV48" s="27"/>
      <x:c r="AW48" s="27"/>
      <x:c r="AX48" s="27"/>
      <x:c r="AY48" s="27"/>
      <x:c r="AZ48" s="27"/>
    </x:row>
    <x:row r="49">
      <x:c r="A49" s="27"/>
      <x:c r="B49" s="27"/>
      <x:c r="C49" s="27"/>
      <x:c r="D49" s="27"/>
      <x:c r="E49" s="27"/>
      <x:c r="F49" s="27"/>
      <x:c r="G49" s="27"/>
      <x:c r="H49" s="27"/>
      <x:c r="I49" s="27"/>
      <x:c r="J49" s="27"/>
      <x:c r="K49" s="27"/>
      <x:c r="L49" s="27"/>
      <x:c r="M49" s="27"/>
      <x:c r="N49" s="27"/>
      <x:c r="O49" s="27"/>
      <x:c r="P49" s="27"/>
      <x:c r="Q49" s="27"/>
      <x:c r="R49" s="27"/>
      <x:c r="S49" s="27"/>
      <x:c r="T49" s="27"/>
      <x:c r="U49" s="27"/>
      <x:c r="V49" s="27"/>
      <x:c r="W49" s="27"/>
      <x:c r="X49" s="27"/>
      <x:c r="Y49" s="27"/>
      <x:c r="Z49" s="27"/>
      <x:c r="AA49" s="27"/>
      <x:c r="AB49" s="27"/>
      <x:c r="AC49" s="27"/>
      <x:c r="AD49" s="27"/>
      <x:c r="AE49" s="27"/>
      <x:c r="AF49" s="27"/>
      <x:c r="AG49" s="27"/>
      <x:c r="AH49" s="27"/>
      <x:c r="AI49" s="27"/>
      <x:c r="AJ49" s="27"/>
      <x:c r="AK49" s="27"/>
      <x:c r="AL49" s="27"/>
      <x:c r="AM49" s="27"/>
      <x:c r="AN49" s="27"/>
      <x:c r="AO49" s="27"/>
      <x:c r="AP49" s="27"/>
      <x:c r="AQ49" s="27"/>
      <x:c r="AR49" s="27"/>
      <x:c r="AS49" s="27"/>
      <x:c r="AT49" s="27"/>
      <x:c r="AU49" s="27"/>
      <x:c r="AV49" s="27"/>
      <x:c r="AW49" s="27"/>
      <x:c r="AX49" s="27"/>
      <x:c r="AY49" s="27"/>
      <x:c r="AZ49" s="27"/>
    </x:row>
    <x:row r="50">
      <x:c r="A50" s="27"/>
      <x:c r="B50" s="27"/>
      <x:c r="C50" s="27"/>
      <x:c r="D50" s="27"/>
      <x:c r="E50" s="27"/>
      <x:c r="F50" s="27"/>
      <x:c r="G50" s="27"/>
      <x:c r="H50" s="27"/>
      <x:c r="I50" s="27"/>
      <x:c r="J50" s="27"/>
      <x:c r="K50" s="27"/>
      <x:c r="L50" s="27"/>
      <x:c r="M50" s="27"/>
      <x:c r="N50" s="27"/>
      <x:c r="O50" s="27"/>
      <x:c r="P50" s="27"/>
      <x:c r="Q50" s="27"/>
      <x:c r="R50" s="27"/>
      <x:c r="S50" s="27"/>
      <x:c r="T50" s="27"/>
      <x:c r="U50" s="27"/>
      <x:c r="V50" s="27"/>
      <x:c r="W50" s="27"/>
      <x:c r="X50" s="27"/>
      <x:c r="Y50" s="27"/>
      <x:c r="Z50" s="27"/>
      <x:c r="AA50" s="27"/>
      <x:c r="AB50" s="27"/>
      <x:c r="AC50" s="27"/>
      <x:c r="AD50" s="27"/>
      <x:c r="AE50" s="27"/>
      <x:c r="AF50" s="27"/>
      <x:c r="AG50" s="27"/>
      <x:c r="AH50" s="27"/>
      <x:c r="AI50" s="27"/>
      <x:c r="AJ50" s="27"/>
      <x:c r="AK50" s="27"/>
      <x:c r="AL50" s="27"/>
      <x:c r="AM50" s="27"/>
      <x:c r="AN50" s="27"/>
      <x:c r="AO50" s="27"/>
      <x:c r="AP50" s="27"/>
      <x:c r="AQ50" s="27"/>
      <x:c r="AR50" s="27"/>
      <x:c r="AS50" s="27"/>
      <x:c r="AT50" s="27"/>
      <x:c r="AU50" s="27"/>
      <x:c r="AV50" s="27"/>
      <x:c r="AW50" s="27"/>
      <x:c r="AX50" s="27"/>
      <x:c r="AY50" s="27"/>
      <x:c r="AZ50" s="27"/>
    </x:row>
    <x:row r="51">
      <x:c r="A51" s="27"/>
      <x:c r="B51" s="27"/>
      <x:c r="C51" s="27"/>
      <x:c r="D51" s="27"/>
      <x:c r="E51" s="27"/>
      <x:c r="F51" s="27"/>
      <x:c r="G51" s="27"/>
      <x:c r="H51" s="27"/>
      <x:c r="I51" s="27"/>
      <x:c r="J51" s="27"/>
      <x:c r="K51" s="27"/>
      <x:c r="L51" s="27"/>
      <x:c r="M51" s="27"/>
      <x:c r="N51" s="27"/>
      <x:c r="O51" s="27"/>
      <x:c r="P51" s="27"/>
      <x:c r="Q51" s="27"/>
      <x:c r="R51" s="27"/>
      <x:c r="S51" s="27"/>
      <x:c r="T51" s="27"/>
      <x:c r="U51" s="27"/>
      <x:c r="V51" s="27"/>
      <x:c r="W51" s="27"/>
      <x:c r="X51" s="27"/>
      <x:c r="Y51" s="27"/>
      <x:c r="Z51" s="27"/>
      <x:c r="AA51" s="27"/>
      <x:c r="AB51" s="27"/>
      <x:c r="AC51" s="27"/>
      <x:c r="AD51" s="27"/>
      <x:c r="AE51" s="27"/>
      <x:c r="AF51" s="27"/>
      <x:c r="AG51" s="27"/>
      <x:c r="AH51" s="27"/>
      <x:c r="AI51" s="27"/>
      <x:c r="AJ51" s="27"/>
      <x:c r="AK51" s="27"/>
      <x:c r="AL51" s="27"/>
      <x:c r="AM51" s="27"/>
      <x:c r="AN51" s="27"/>
      <x:c r="AO51" s="27"/>
      <x:c r="AP51" s="27"/>
      <x:c r="AQ51" s="27"/>
      <x:c r="AR51" s="27"/>
      <x:c r="AS51" s="27"/>
      <x:c r="AT51" s="27"/>
      <x:c r="AU51" s="27"/>
      <x:c r="AV51" s="27"/>
      <x:c r="AW51" s="27"/>
      <x:c r="AX51" s="27"/>
      <x:c r="AY51" s="27"/>
      <x:c r="AZ51" s="27"/>
    </x:row>
    <x:row r="52">
      <x:c r="A52" s="27"/>
      <x:c r="B52" s="27"/>
      <x:c r="C52" s="27"/>
      <x:c r="D52" s="27"/>
      <x:c r="E52" s="27"/>
      <x:c r="F52" s="27"/>
      <x:c r="G52" s="27"/>
      <x:c r="H52" s="27"/>
      <x:c r="I52" s="27"/>
      <x:c r="J52" s="27"/>
      <x:c r="K52" s="27"/>
      <x:c r="L52" s="27"/>
      <x:c r="M52" s="27"/>
      <x:c r="N52" s="27"/>
      <x:c r="O52" s="27"/>
      <x:c r="P52" s="27"/>
      <x:c r="Q52" s="27"/>
      <x:c r="R52" s="27"/>
      <x:c r="S52" s="27"/>
      <x:c r="T52" s="27"/>
      <x:c r="U52" s="27"/>
      <x:c r="V52" s="27"/>
      <x:c r="W52" s="27"/>
      <x:c r="X52" s="27"/>
      <x:c r="Y52" s="27"/>
      <x:c r="Z52" s="27"/>
      <x:c r="AA52" s="27"/>
      <x:c r="AB52" s="27"/>
      <x:c r="AC52" s="27"/>
      <x:c r="AD52" s="27"/>
      <x:c r="AE52" s="27"/>
      <x:c r="AF52" s="27"/>
      <x:c r="AG52" s="27"/>
      <x:c r="AH52" s="27"/>
      <x:c r="AI52" s="27"/>
      <x:c r="AJ52" s="27"/>
      <x:c r="AK52" s="27"/>
      <x:c r="AL52" s="27"/>
      <x:c r="AM52" s="27"/>
      <x:c r="AN52" s="27"/>
      <x:c r="AO52" s="27"/>
      <x:c r="AP52" s="27"/>
      <x:c r="AQ52" s="27"/>
      <x:c r="AR52" s="27"/>
      <x:c r="AS52" s="27"/>
      <x:c r="AT52" s="27"/>
      <x:c r="AU52" s="27"/>
      <x:c r="AV52" s="27"/>
      <x:c r="AW52" s="27"/>
      <x:c r="AX52" s="27"/>
      <x:c r="AY52" s="27"/>
      <x:c r="AZ52" s="27"/>
    </x:row>
    <x:row r="53">
      <x:c r="A53" s="27"/>
      <x:c r="B53" s="27"/>
      <x:c r="C53" s="27"/>
      <x:c r="D53" s="27"/>
      <x:c r="E53" s="27"/>
      <x:c r="F53" s="27"/>
      <x:c r="G53" s="27"/>
      <x:c r="H53" s="27"/>
      <x:c r="I53" s="27"/>
      <x:c r="J53" s="27"/>
      <x:c r="K53" s="27"/>
      <x:c r="L53" s="27"/>
      <x:c r="M53" s="27"/>
      <x:c r="N53" s="27"/>
      <x:c r="O53" s="27"/>
      <x:c r="P53" s="27"/>
      <x:c r="Q53" s="27"/>
      <x:c r="R53" s="27"/>
      <x:c r="S53" s="27"/>
      <x:c r="T53" s="27"/>
      <x:c r="U53" s="27"/>
      <x:c r="V53" s="27"/>
      <x:c r="W53" s="27"/>
      <x:c r="X53" s="27"/>
      <x:c r="Y53" s="27"/>
      <x:c r="Z53" s="27"/>
      <x:c r="AA53" s="27"/>
      <x:c r="AB53" s="27"/>
      <x:c r="AC53" s="27"/>
      <x:c r="AD53" s="27"/>
      <x:c r="AE53" s="27"/>
      <x:c r="AF53" s="27"/>
      <x:c r="AG53" s="27"/>
      <x:c r="AH53" s="27"/>
      <x:c r="AI53" s="27"/>
      <x:c r="AJ53" s="27"/>
      <x:c r="AK53" s="27"/>
      <x:c r="AL53" s="27"/>
      <x:c r="AM53" s="27"/>
      <x:c r="AN53" s="27"/>
      <x:c r="AO53" s="27"/>
      <x:c r="AP53" s="27"/>
      <x:c r="AQ53" s="27"/>
      <x:c r="AR53" s="27"/>
      <x:c r="AS53" s="27"/>
      <x:c r="AT53" s="27"/>
      <x:c r="AU53" s="27"/>
      <x:c r="AV53" s="27"/>
      <x:c r="AW53" s="27"/>
      <x:c r="AX53" s="27"/>
      <x:c r="AY53" s="27"/>
      <x:c r="AZ53" s="27"/>
    </x:row>
    <x:row r="54">
      <x:c r="A54" s="27"/>
      <x:c r="B54" s="27"/>
      <x:c r="C54" s="27"/>
      <x:c r="D54" s="27"/>
      <x:c r="E54" s="27"/>
      <x:c r="F54" s="27"/>
      <x:c r="G54" s="27"/>
      <x:c r="H54" s="27"/>
      <x:c r="I54" s="27"/>
      <x:c r="J54" s="27"/>
      <x:c r="K54" s="27"/>
      <x:c r="L54" s="27"/>
      <x:c r="M54" s="27"/>
      <x:c r="N54" s="27"/>
      <x:c r="O54" s="27"/>
      <x:c r="P54" s="27"/>
      <x:c r="Q54" s="27"/>
      <x:c r="R54" s="27"/>
      <x:c r="S54" s="27"/>
      <x:c r="T54" s="27"/>
      <x:c r="U54" s="27"/>
      <x:c r="V54" s="27"/>
      <x:c r="W54" s="27"/>
      <x:c r="X54" s="27"/>
      <x:c r="Y54" s="27"/>
      <x:c r="Z54" s="27"/>
      <x:c r="AA54" s="27"/>
      <x:c r="AB54" s="27"/>
      <x:c r="AC54" s="27"/>
      <x:c r="AD54" s="27"/>
      <x:c r="AE54" s="27"/>
      <x:c r="AF54" s="27"/>
      <x:c r="AG54" s="27"/>
      <x:c r="AH54" s="27"/>
      <x:c r="AI54" s="27"/>
      <x:c r="AJ54" s="27"/>
      <x:c r="AK54" s="27"/>
      <x:c r="AL54" s="27"/>
      <x:c r="AM54" s="27"/>
      <x:c r="AN54" s="27"/>
      <x:c r="AO54" s="27"/>
      <x:c r="AP54" s="27"/>
      <x:c r="AQ54" s="27"/>
      <x:c r="AR54" s="27"/>
      <x:c r="AS54" s="27"/>
      <x:c r="AT54" s="27"/>
      <x:c r="AU54" s="27"/>
      <x:c r="AV54" s="27"/>
      <x:c r="AW54" s="27"/>
      <x:c r="AX54" s="27"/>
      <x:c r="AY54" s="27"/>
      <x:c r="AZ54" s="27"/>
    </x:row>
    <x:row r="55">
      <x:c r="A55" s="27"/>
      <x:c r="B55" s="27"/>
      <x:c r="C55" s="27"/>
      <x:c r="D55" s="27"/>
      <x:c r="E55" s="27"/>
      <x:c r="F55" s="27"/>
      <x:c r="G55" s="27"/>
      <x:c r="H55" s="27"/>
      <x:c r="I55" s="27"/>
      <x:c r="J55" s="27"/>
      <x:c r="K55" s="27"/>
      <x:c r="L55" s="27"/>
      <x:c r="M55" s="27"/>
      <x:c r="N55" s="27"/>
      <x:c r="O55" s="27"/>
      <x:c r="P55" s="27"/>
      <x:c r="Q55" s="27"/>
      <x:c r="R55" s="27"/>
      <x:c r="S55" s="27"/>
      <x:c r="T55" s="27"/>
      <x:c r="U55" s="27"/>
      <x:c r="V55" s="27"/>
      <x:c r="W55" s="27"/>
      <x:c r="X55" s="27"/>
      <x:c r="Y55" s="27"/>
      <x:c r="Z55" s="27"/>
      <x:c r="AA55" s="27"/>
      <x:c r="AB55" s="27"/>
      <x:c r="AC55" s="27"/>
      <x:c r="AD55" s="27"/>
      <x:c r="AE55" s="27"/>
      <x:c r="AF55" s="27"/>
      <x:c r="AG55" s="27"/>
      <x:c r="AH55" s="27"/>
      <x:c r="AI55" s="27"/>
      <x:c r="AJ55" s="27"/>
      <x:c r="AK55" s="27"/>
      <x:c r="AL55" s="27"/>
      <x:c r="AM55" s="27"/>
      <x:c r="AN55" s="27"/>
      <x:c r="AO55" s="27"/>
      <x:c r="AP55" s="27"/>
      <x:c r="AQ55" s="27"/>
      <x:c r="AR55" s="27"/>
      <x:c r="AS55" s="27"/>
      <x:c r="AT55" s="27"/>
      <x:c r="AU55" s="27"/>
      <x:c r="AV55" s="27"/>
      <x:c r="AW55" s="27"/>
      <x:c r="AX55" s="27"/>
      <x:c r="AY55" s="27"/>
      <x:c r="AZ55" s="27"/>
    </x:row>
    <x:row r="56">
      <x:c r="A56" s="27"/>
      <x:c r="B56" s="27"/>
      <x:c r="C56" s="27"/>
      <x:c r="D56" s="27"/>
      <x:c r="E56" s="27"/>
      <x:c r="F56" s="27"/>
      <x:c r="G56" s="27"/>
      <x:c r="H56" s="27"/>
      <x:c r="I56" s="27"/>
      <x:c r="J56" s="27"/>
      <x:c r="K56" s="27"/>
      <x:c r="L56" s="27"/>
      <x:c r="M56" s="27"/>
      <x:c r="N56" s="27"/>
      <x:c r="O56" s="27"/>
      <x:c r="P56" s="27"/>
      <x:c r="Q56" s="27"/>
      <x:c r="R56" s="27"/>
      <x:c r="S56" s="27"/>
      <x:c r="T56" s="27"/>
      <x:c r="U56" s="27"/>
      <x:c r="V56" s="27"/>
      <x:c r="W56" s="27"/>
      <x:c r="X56" s="27"/>
      <x:c r="Y56" s="27"/>
      <x:c r="Z56" s="27"/>
      <x:c r="AA56" s="27"/>
      <x:c r="AB56" s="27"/>
      <x:c r="AC56" s="27"/>
      <x:c r="AD56" s="27"/>
      <x:c r="AE56" s="27"/>
      <x:c r="AF56" s="27"/>
      <x:c r="AG56" s="27"/>
      <x:c r="AH56" s="27"/>
      <x:c r="AI56" s="27"/>
      <x:c r="AJ56" s="27"/>
      <x:c r="AK56" s="27"/>
      <x:c r="AL56" s="27"/>
      <x:c r="AM56" s="27"/>
      <x:c r="AN56" s="27"/>
      <x:c r="AO56" s="27"/>
      <x:c r="AP56" s="27"/>
      <x:c r="AQ56" s="27"/>
      <x:c r="AR56" s="27"/>
      <x:c r="AS56" s="27"/>
      <x:c r="AT56" s="27"/>
      <x:c r="AU56" s="27"/>
      <x:c r="AV56" s="27"/>
      <x:c r="AW56" s="27"/>
      <x:c r="AX56" s="27"/>
      <x:c r="AY56" s="27"/>
      <x:c r="AZ56" s="27"/>
    </x:row>
    <x:row r="57">
      <x:c r="A57" s="27"/>
      <x:c r="B57" s="27"/>
      <x:c r="C57" s="27"/>
      <x:c r="D57" s="27"/>
      <x:c r="E57" s="27"/>
      <x:c r="F57" s="27"/>
      <x:c r="G57" s="27"/>
      <x:c r="H57" s="27"/>
      <x:c r="I57" s="27"/>
      <x:c r="J57" s="27"/>
      <x:c r="K57" s="27"/>
      <x:c r="L57" s="27"/>
      <x:c r="M57" s="27"/>
      <x:c r="N57" s="27"/>
      <x:c r="O57" s="27"/>
      <x:c r="P57" s="27"/>
      <x:c r="Q57" s="27"/>
      <x:c r="R57" s="27"/>
      <x:c r="S57" s="27"/>
      <x:c r="T57" s="27"/>
      <x:c r="U57" s="27"/>
      <x:c r="V57" s="27"/>
      <x:c r="W57" s="27"/>
      <x:c r="X57" s="27"/>
      <x:c r="Y57" s="27"/>
      <x:c r="Z57" s="27"/>
      <x:c r="AA57" s="27"/>
      <x:c r="AB57" s="27"/>
      <x:c r="AC57" s="27"/>
      <x:c r="AD57" s="27"/>
      <x:c r="AE57" s="27"/>
      <x:c r="AF57" s="27"/>
      <x:c r="AG57" s="27"/>
      <x:c r="AH57" s="27"/>
      <x:c r="AI57" s="27"/>
      <x:c r="AJ57" s="27"/>
      <x:c r="AK57" s="27"/>
      <x:c r="AL57" s="27"/>
      <x:c r="AM57" s="27"/>
      <x:c r="AN57" s="27"/>
      <x:c r="AO57" s="27"/>
      <x:c r="AP57" s="27"/>
      <x:c r="AQ57" s="27"/>
      <x:c r="AR57" s="27"/>
      <x:c r="AS57" s="27"/>
      <x:c r="AT57" s="27"/>
      <x:c r="AU57" s="27"/>
      <x:c r="AV57" s="27"/>
      <x:c r="AW57" s="27"/>
      <x:c r="AX57" s="27"/>
      <x:c r="AY57" s="27"/>
      <x:c r="AZ57" s="27"/>
    </x:row>
    <x:row r="58">
      <x:c r="A58" s="27"/>
      <x:c r="B58" s="27"/>
      <x:c r="C58" s="27"/>
      <x:c r="D58" s="27"/>
      <x:c r="E58" s="27"/>
      <x:c r="F58" s="27"/>
      <x:c r="G58" s="27"/>
      <x:c r="H58" s="27"/>
      <x:c r="I58" s="27"/>
      <x:c r="J58" s="27"/>
      <x:c r="K58" s="27"/>
      <x:c r="L58" s="27"/>
      <x:c r="M58" s="27"/>
      <x:c r="N58" s="27"/>
      <x:c r="O58" s="27"/>
      <x:c r="P58" s="27"/>
      <x:c r="Q58" s="27"/>
      <x:c r="R58" s="27"/>
      <x:c r="S58" s="27"/>
      <x:c r="T58" s="27"/>
      <x:c r="U58" s="27"/>
      <x:c r="V58" s="27"/>
      <x:c r="W58" s="27"/>
      <x:c r="X58" s="27"/>
      <x:c r="Y58" s="27"/>
      <x:c r="Z58" s="27"/>
      <x:c r="AA58" s="27"/>
      <x:c r="AB58" s="27"/>
      <x:c r="AC58" s="27"/>
      <x:c r="AD58" s="27"/>
      <x:c r="AE58" s="27"/>
      <x:c r="AF58" s="27"/>
      <x:c r="AG58" s="27"/>
      <x:c r="AH58" s="27"/>
      <x:c r="AI58" s="27"/>
      <x:c r="AJ58" s="27"/>
      <x:c r="AK58" s="27"/>
      <x:c r="AL58" s="27"/>
      <x:c r="AM58" s="27"/>
      <x:c r="AN58" s="27"/>
      <x:c r="AO58" s="27"/>
      <x:c r="AP58" s="27"/>
      <x:c r="AQ58" s="27"/>
      <x:c r="AR58" s="27"/>
      <x:c r="AS58" s="27"/>
      <x:c r="AT58" s="27"/>
      <x:c r="AU58" s="27"/>
      <x:c r="AV58" s="27"/>
      <x:c r="AW58" s="27"/>
      <x:c r="AX58" s="27"/>
      <x:c r="AY58" s="27"/>
      <x:c r="AZ58" s="27"/>
    </x:row>
    <x:row r="59">
      <x:c r="A59" s="27"/>
      <x:c r="B59" s="27"/>
      <x:c r="C59" s="27"/>
      <x:c r="D59" s="27"/>
      <x:c r="E59" s="27"/>
      <x:c r="F59" s="27"/>
      <x:c r="G59" s="27"/>
      <x:c r="H59" s="27"/>
      <x:c r="I59" s="27"/>
      <x:c r="J59" s="27"/>
      <x:c r="K59" s="27"/>
      <x:c r="L59" s="27"/>
      <x:c r="M59" s="27"/>
      <x:c r="N59" s="27"/>
      <x:c r="O59" s="27"/>
      <x:c r="P59" s="27"/>
      <x:c r="Q59" s="27"/>
      <x:c r="R59" s="27"/>
      <x:c r="S59" s="27"/>
      <x:c r="T59" s="27"/>
      <x:c r="U59" s="27"/>
      <x:c r="V59" s="27"/>
      <x:c r="W59" s="27"/>
      <x:c r="X59" s="27"/>
      <x:c r="Y59" s="27"/>
      <x:c r="Z59" s="27"/>
      <x:c r="AA59" s="27"/>
      <x:c r="AB59" s="27"/>
      <x:c r="AC59" s="27"/>
      <x:c r="AD59" s="27"/>
      <x:c r="AE59" s="27"/>
      <x:c r="AF59" s="27"/>
      <x:c r="AG59" s="27"/>
      <x:c r="AH59" s="27"/>
      <x:c r="AI59" s="27"/>
      <x:c r="AJ59" s="27"/>
      <x:c r="AK59" s="27"/>
      <x:c r="AL59" s="27"/>
      <x:c r="AM59" s="27"/>
      <x:c r="AN59" s="27"/>
      <x:c r="AO59" s="27"/>
      <x:c r="AP59" s="27"/>
      <x:c r="AQ59" s="27"/>
      <x:c r="AR59" s="27"/>
      <x:c r="AS59" s="27"/>
      <x:c r="AT59" s="27"/>
      <x:c r="AU59" s="27"/>
      <x:c r="AV59" s="27"/>
      <x:c r="AW59" s="27"/>
      <x:c r="AX59" s="27"/>
      <x:c r="AY59" s="27"/>
      <x:c r="AZ59" s="27"/>
    </x:row>
    <x:row r="60">
      <x:c r="A60" s="27"/>
      <x:c r="B60" s="27"/>
      <x:c r="C60" s="27"/>
      <x:c r="D60" s="27"/>
      <x:c r="E60" s="27"/>
      <x:c r="F60" s="27"/>
      <x:c r="G60" s="27"/>
      <x:c r="H60" s="27"/>
      <x:c r="I60" s="27"/>
      <x:c r="J60" s="27"/>
      <x:c r="K60" s="27"/>
      <x:c r="L60" s="27"/>
      <x:c r="M60" s="27"/>
      <x:c r="N60" s="27"/>
      <x:c r="O60" s="27"/>
      <x:c r="P60" s="27"/>
      <x:c r="Q60" s="27"/>
      <x:c r="R60" s="27"/>
      <x:c r="S60" s="27"/>
      <x:c r="T60" s="27"/>
      <x:c r="U60" s="27"/>
      <x:c r="V60" s="27"/>
      <x:c r="W60" s="27"/>
      <x:c r="X60" s="27"/>
      <x:c r="Y60" s="27"/>
      <x:c r="Z60" s="27"/>
      <x:c r="AA60" s="27"/>
      <x:c r="AB60" s="27"/>
      <x:c r="AC60" s="27"/>
      <x:c r="AD60" s="27"/>
      <x:c r="AE60" s="27"/>
      <x:c r="AF60" s="27"/>
      <x:c r="AG60" s="27"/>
      <x:c r="AH60" s="27"/>
      <x:c r="AI60" s="27"/>
      <x:c r="AJ60" s="27"/>
      <x:c r="AK60" s="27"/>
      <x:c r="AL60" s="27"/>
      <x:c r="AM60" s="27"/>
      <x:c r="AN60" s="27"/>
      <x:c r="AO60" s="27"/>
      <x:c r="AP60" s="27"/>
      <x:c r="AQ60" s="27"/>
      <x:c r="AR60" s="27"/>
      <x:c r="AS60" s="27"/>
      <x:c r="AT60" s="27"/>
      <x:c r="AU60" s="27"/>
      <x:c r="AV60" s="27"/>
      <x:c r="AW60" s="27"/>
      <x:c r="AX60" s="27"/>
      <x:c r="AY60" s="27"/>
      <x:c r="AZ60" s="27"/>
    </x:row>
    <x:row r="61">
      <x:c r="A61" s="27"/>
      <x:c r="B61" s="27"/>
      <x:c r="C61" s="27"/>
      <x:c r="D61" s="27"/>
      <x:c r="E61" s="27"/>
      <x:c r="F61" s="27"/>
      <x:c r="G61" s="27"/>
      <x:c r="H61" s="27"/>
      <x:c r="I61" s="27"/>
      <x:c r="J61" s="27"/>
      <x:c r="K61" s="27"/>
      <x:c r="L61" s="27"/>
      <x:c r="M61" s="27"/>
      <x:c r="N61" s="27"/>
      <x:c r="O61" s="27"/>
      <x:c r="P61" s="27"/>
      <x:c r="Q61" s="27"/>
      <x:c r="R61" s="27"/>
      <x:c r="S61" s="27"/>
      <x:c r="T61" s="27"/>
      <x:c r="U61" s="27"/>
      <x:c r="V61" s="27"/>
      <x:c r="W61" s="27"/>
      <x:c r="X61" s="27"/>
      <x:c r="Y61" s="27"/>
      <x:c r="Z61" s="27"/>
      <x:c r="AA61" s="27"/>
      <x:c r="AB61" s="27"/>
      <x:c r="AC61" s="27"/>
      <x:c r="AD61" s="27"/>
      <x:c r="AE61" s="27"/>
      <x:c r="AF61" s="27"/>
      <x:c r="AG61" s="27"/>
      <x:c r="AH61" s="27"/>
      <x:c r="AI61" s="27"/>
      <x:c r="AJ61" s="27"/>
      <x:c r="AK61" s="27"/>
      <x:c r="AL61" s="27"/>
      <x:c r="AM61" s="27"/>
      <x:c r="AN61" s="27"/>
      <x:c r="AO61" s="27"/>
      <x:c r="AP61" s="27"/>
      <x:c r="AQ61" s="27"/>
      <x:c r="AR61" s="27"/>
      <x:c r="AS61" s="27"/>
      <x:c r="AT61" s="27"/>
      <x:c r="AU61" s="27"/>
      <x:c r="AV61" s="27"/>
      <x:c r="AW61" s="27"/>
      <x:c r="AX61" s="27"/>
      <x:c r="AY61" s="27"/>
      <x:c r="AZ61" s="27"/>
    </x:row>
    <x:row r="62">
      <x:c r="A62" s="27"/>
      <x:c r="B62" s="27"/>
      <x:c r="C62" s="27"/>
      <x:c r="D62" s="27"/>
      <x:c r="E62" s="27"/>
      <x:c r="F62" s="27"/>
      <x:c r="G62" s="27"/>
      <x:c r="H62" s="27"/>
      <x:c r="I62" s="27"/>
      <x:c r="J62" s="27"/>
      <x:c r="K62" s="27"/>
      <x:c r="L62" s="27"/>
      <x:c r="M62" s="27"/>
      <x:c r="N62" s="27"/>
      <x:c r="O62" s="27"/>
      <x:c r="P62" s="27"/>
      <x:c r="Q62" s="27"/>
      <x:c r="R62" s="27"/>
      <x:c r="S62" s="27"/>
      <x:c r="T62" s="27"/>
      <x:c r="U62" s="27"/>
      <x:c r="V62" s="27"/>
      <x:c r="W62" s="27"/>
      <x:c r="X62" s="27"/>
      <x:c r="Y62" s="27"/>
      <x:c r="Z62" s="27"/>
      <x:c r="AA62" s="27"/>
      <x:c r="AB62" s="27"/>
      <x:c r="AC62" s="27"/>
      <x:c r="AD62" s="27"/>
      <x:c r="AE62" s="27"/>
      <x:c r="AF62" s="27"/>
      <x:c r="AG62" s="27"/>
      <x:c r="AH62" s="27"/>
      <x:c r="AI62" s="27"/>
      <x:c r="AJ62" s="27"/>
      <x:c r="AK62" s="27"/>
      <x:c r="AL62" s="27"/>
      <x:c r="AM62" s="27"/>
      <x:c r="AN62" s="27"/>
      <x:c r="AO62" s="27"/>
      <x:c r="AP62" s="27"/>
      <x:c r="AQ62" s="27"/>
      <x:c r="AR62" s="27"/>
      <x:c r="AS62" s="27"/>
      <x:c r="AT62" s="27"/>
      <x:c r="AU62" s="27"/>
      <x:c r="AV62" s="27"/>
      <x:c r="AW62" s="27"/>
      <x:c r="AX62" s="27"/>
      <x:c r="AY62" s="27"/>
      <x:c r="AZ62" s="27"/>
    </x:row>
    <x:row r="63">
      <x:c r="A63" s="27"/>
      <x:c r="B63" s="27"/>
      <x:c r="C63" s="27"/>
      <x:c r="D63" s="27"/>
      <x:c r="E63" s="27"/>
      <x:c r="F63" s="27"/>
      <x:c r="G63" s="27"/>
      <x:c r="H63" s="27"/>
      <x:c r="I63" s="27"/>
      <x:c r="J63" s="27"/>
      <x:c r="K63" s="27"/>
      <x:c r="L63" s="27"/>
      <x:c r="M63" s="27"/>
      <x:c r="N63" s="27"/>
      <x:c r="O63" s="27"/>
      <x:c r="P63" s="27"/>
      <x:c r="Q63" s="27"/>
      <x:c r="R63" s="27"/>
      <x:c r="S63" s="27"/>
      <x:c r="T63" s="27"/>
      <x:c r="U63" s="27"/>
      <x:c r="V63" s="27"/>
      <x:c r="W63" s="27"/>
      <x:c r="X63" s="27"/>
      <x:c r="Y63" s="27"/>
      <x:c r="Z63" s="27"/>
      <x:c r="AA63" s="27"/>
      <x:c r="AB63" s="27"/>
      <x:c r="AC63" s="27"/>
      <x:c r="AD63" s="27"/>
      <x:c r="AE63" s="27"/>
      <x:c r="AF63" s="27"/>
      <x:c r="AG63" s="27"/>
      <x:c r="AH63" s="27"/>
      <x:c r="AI63" s="27"/>
      <x:c r="AJ63" s="27"/>
      <x:c r="AK63" s="27"/>
      <x:c r="AL63" s="27"/>
      <x:c r="AM63" s="27"/>
      <x:c r="AN63" s="27"/>
      <x:c r="AO63" s="27"/>
      <x:c r="AP63" s="27"/>
      <x:c r="AQ63" s="27"/>
      <x:c r="AR63" s="27"/>
      <x:c r="AS63" s="27"/>
      <x:c r="AT63" s="27"/>
      <x:c r="AU63" s="27"/>
      <x:c r="AV63" s="27"/>
      <x:c r="AW63" s="27"/>
      <x:c r="AX63" s="27"/>
      <x:c r="AY63" s="27"/>
      <x:c r="AZ63" s="27"/>
    </x:row>
    <x:row r="64">
      <x:c r="A64" s="27"/>
      <x:c r="B64" s="27"/>
      <x:c r="C64" s="27"/>
      <x:c r="D64" s="27"/>
      <x:c r="E64" s="27"/>
      <x:c r="F64" s="27"/>
      <x:c r="G64" s="27"/>
      <x:c r="H64" s="27"/>
      <x:c r="I64" s="27"/>
      <x:c r="J64" s="27"/>
      <x:c r="K64" s="27"/>
      <x:c r="L64" s="27"/>
      <x:c r="M64" s="27"/>
      <x:c r="N64" s="27"/>
      <x:c r="O64" s="27"/>
      <x:c r="P64" s="27"/>
      <x:c r="Q64" s="27"/>
      <x:c r="R64" s="27"/>
      <x:c r="S64" s="27"/>
      <x:c r="T64" s="27"/>
      <x:c r="U64" s="27"/>
      <x:c r="V64" s="27"/>
      <x:c r="W64" s="27"/>
      <x:c r="X64" s="27"/>
      <x:c r="Y64" s="27"/>
      <x:c r="Z64" s="27"/>
      <x:c r="AA64" s="27"/>
      <x:c r="AB64" s="27"/>
      <x:c r="AC64" s="27"/>
      <x:c r="AD64" s="27"/>
      <x:c r="AE64" s="27"/>
      <x:c r="AF64" s="27"/>
      <x:c r="AG64" s="27"/>
      <x:c r="AH64" s="27"/>
      <x:c r="AI64" s="27"/>
      <x:c r="AJ64" s="27"/>
      <x:c r="AK64" s="27"/>
      <x:c r="AL64" s="27"/>
      <x:c r="AM64" s="27"/>
      <x:c r="AN64" s="27"/>
      <x:c r="AO64" s="27"/>
      <x:c r="AP64" s="27"/>
      <x:c r="AQ64" s="27"/>
      <x:c r="AR64" s="27"/>
      <x:c r="AS64" s="27"/>
      <x:c r="AT64" s="27"/>
      <x:c r="AU64" s="27"/>
      <x:c r="AV64" s="27"/>
      <x:c r="AW64" s="27"/>
      <x:c r="AX64" s="27"/>
      <x:c r="AY64" s="27"/>
      <x:c r="AZ64" s="27"/>
    </x:row>
    <x:row r="65">
      <x:c r="A65" s="27"/>
      <x:c r="B65" s="27"/>
      <x:c r="C65" s="27"/>
      <x:c r="D65" s="27"/>
      <x:c r="E65" s="27"/>
      <x:c r="F65" s="27"/>
      <x:c r="G65" s="27"/>
      <x:c r="H65" s="27"/>
      <x:c r="I65" s="27"/>
      <x:c r="J65" s="27"/>
      <x:c r="K65" s="27"/>
      <x:c r="L65" s="27"/>
      <x:c r="M65" s="27"/>
      <x:c r="N65" s="27"/>
      <x:c r="O65" s="27"/>
      <x:c r="P65" s="27"/>
      <x:c r="Q65" s="27"/>
      <x:c r="R65" s="27"/>
      <x:c r="S65" s="27"/>
      <x:c r="T65" s="27"/>
      <x:c r="U65" s="27"/>
      <x:c r="V65" s="27"/>
      <x:c r="W65" s="27"/>
      <x:c r="X65" s="27"/>
      <x:c r="Y65" s="27"/>
      <x:c r="Z65" s="27"/>
      <x:c r="AA65" s="27"/>
      <x:c r="AB65" s="27"/>
      <x:c r="AC65" s="27"/>
      <x:c r="AD65" s="27"/>
      <x:c r="AE65" s="27"/>
      <x:c r="AF65" s="27"/>
      <x:c r="AG65" s="27"/>
      <x:c r="AH65" s="27"/>
      <x:c r="AI65" s="27"/>
      <x:c r="AJ65" s="27"/>
      <x:c r="AK65" s="27"/>
      <x:c r="AL65" s="27"/>
      <x:c r="AM65" s="27"/>
      <x:c r="AN65" s="27"/>
      <x:c r="AO65" s="27"/>
      <x:c r="AP65" s="27"/>
      <x:c r="AQ65" s="27"/>
      <x:c r="AR65" s="27"/>
      <x:c r="AS65" s="27"/>
      <x:c r="AT65" s="27"/>
      <x:c r="AU65" s="27"/>
      <x:c r="AV65" s="27"/>
      <x:c r="AW65" s="27"/>
      <x:c r="AX65" s="27"/>
      <x:c r="AY65" s="27"/>
      <x:c r="AZ65" s="27"/>
    </x:row>
    <x:row r="66">
      <x:c r="A66" s="27"/>
      <x:c r="B66" s="27"/>
      <x:c r="C66" s="27"/>
      <x:c r="D66" s="27"/>
      <x:c r="E66" s="27"/>
      <x:c r="F66" s="27"/>
      <x:c r="G66" s="27"/>
      <x:c r="H66" s="27"/>
      <x:c r="I66" s="27"/>
      <x:c r="J66" s="27"/>
      <x:c r="K66" s="27"/>
      <x:c r="L66" s="27"/>
      <x:c r="M66" s="27"/>
      <x:c r="N66" s="27"/>
      <x:c r="O66" s="27"/>
      <x:c r="P66" s="27"/>
      <x:c r="Q66" s="27"/>
      <x:c r="R66" s="27"/>
      <x:c r="S66" s="27"/>
      <x:c r="T66" s="27"/>
      <x:c r="U66" s="27"/>
      <x:c r="V66" s="27"/>
      <x:c r="W66" s="27"/>
      <x:c r="X66" s="27"/>
      <x:c r="Y66" s="27"/>
      <x:c r="Z66" s="27"/>
      <x:c r="AA66" s="27"/>
      <x:c r="AB66" s="27"/>
      <x:c r="AC66" s="27"/>
      <x:c r="AD66" s="27"/>
      <x:c r="AE66" s="27"/>
      <x:c r="AF66" s="27"/>
      <x:c r="AG66" s="27"/>
      <x:c r="AH66" s="27"/>
      <x:c r="AI66" s="27"/>
      <x:c r="AJ66" s="27"/>
      <x:c r="AK66" s="27"/>
      <x:c r="AL66" s="27"/>
      <x:c r="AM66" s="27"/>
      <x:c r="AN66" s="27"/>
      <x:c r="AO66" s="27"/>
      <x:c r="AP66" s="27"/>
      <x:c r="AQ66" s="27"/>
      <x:c r="AR66" s="27"/>
      <x:c r="AS66" s="27"/>
      <x:c r="AT66" s="27"/>
      <x:c r="AU66" s="27"/>
      <x:c r="AV66" s="27"/>
      <x:c r="AW66" s="27"/>
      <x:c r="AX66" s="27"/>
      <x:c r="AY66" s="27"/>
      <x:c r="AZ66" s="27"/>
    </x:row>
    <x:row r="67">
      <x:c r="A67" s="27"/>
      <x:c r="B67" s="27"/>
      <x:c r="C67" s="27"/>
      <x:c r="D67" s="27"/>
      <x:c r="E67" s="27"/>
      <x:c r="F67" s="27"/>
      <x:c r="G67" s="27"/>
      <x:c r="H67" s="27"/>
      <x:c r="I67" s="27"/>
      <x:c r="J67" s="27"/>
      <x:c r="K67" s="27"/>
      <x:c r="L67" s="27"/>
      <x:c r="M67" s="27"/>
      <x:c r="N67" s="27"/>
      <x:c r="O67" s="27"/>
      <x:c r="P67" s="27"/>
      <x:c r="Q67" s="27"/>
      <x:c r="R67" s="27"/>
      <x:c r="S67" s="27"/>
      <x:c r="T67" s="27"/>
      <x:c r="U67" s="27"/>
      <x:c r="V67" s="27"/>
      <x:c r="W67" s="27"/>
      <x:c r="X67" s="27"/>
      <x:c r="Y67" s="27"/>
      <x:c r="Z67" s="27"/>
      <x:c r="AA67" s="27"/>
      <x:c r="AB67" s="27"/>
      <x:c r="AC67" s="27"/>
      <x:c r="AD67" s="27"/>
      <x:c r="AE67" s="27"/>
      <x:c r="AF67" s="27"/>
      <x:c r="AG67" s="27"/>
      <x:c r="AH67" s="27"/>
      <x:c r="AI67" s="27"/>
      <x:c r="AJ67" s="27"/>
      <x:c r="AK67" s="27"/>
      <x:c r="AL67" s="27"/>
      <x:c r="AM67" s="27"/>
      <x:c r="AN67" s="27"/>
      <x:c r="AO67" s="27"/>
      <x:c r="AP67" s="27"/>
      <x:c r="AQ67" s="27"/>
      <x:c r="AR67" s="27"/>
      <x:c r="AS67" s="27"/>
      <x:c r="AT67" s="27"/>
      <x:c r="AU67" s="27"/>
      <x:c r="AV67" s="27"/>
      <x:c r="AW67" s="27"/>
      <x:c r="AX67" s="27"/>
      <x:c r="AY67" s="27"/>
      <x:c r="AZ67" s="27"/>
    </x:row>
    <x:row r="68">
      <x:c r="A68" s="27"/>
      <x:c r="B68" s="27"/>
      <x:c r="C68" s="27"/>
      <x:c r="D68" s="27"/>
      <x:c r="E68" s="27"/>
      <x:c r="F68" s="27"/>
      <x:c r="G68" s="27"/>
      <x:c r="H68" s="27"/>
      <x:c r="I68" s="27"/>
      <x:c r="J68" s="27"/>
      <x:c r="K68" s="27"/>
      <x:c r="L68" s="27"/>
      <x:c r="M68" s="27"/>
      <x:c r="N68" s="27"/>
      <x:c r="O68" s="27"/>
      <x:c r="P68" s="27"/>
      <x:c r="Q68" s="27"/>
      <x:c r="R68" s="27"/>
      <x:c r="S68" s="27"/>
      <x:c r="T68" s="27"/>
      <x:c r="U68" s="27"/>
      <x:c r="V68" s="27"/>
      <x:c r="W68" s="27"/>
      <x:c r="X68" s="27"/>
      <x:c r="Y68" s="27"/>
      <x:c r="Z68" s="27"/>
      <x:c r="AA68" s="27"/>
      <x:c r="AB68" s="27"/>
      <x:c r="AC68" s="27"/>
      <x:c r="AD68" s="27"/>
      <x:c r="AE68" s="27"/>
      <x:c r="AF68" s="27"/>
      <x:c r="AG68" s="27"/>
      <x:c r="AH68" s="27"/>
      <x:c r="AI68" s="27"/>
      <x:c r="AJ68" s="27"/>
      <x:c r="AK68" s="27"/>
      <x:c r="AL68" s="27"/>
      <x:c r="AM68" s="27"/>
      <x:c r="AN68" s="27"/>
      <x:c r="AO68" s="27"/>
      <x:c r="AP68" s="27"/>
      <x:c r="AQ68" s="27"/>
      <x:c r="AR68" s="27"/>
      <x:c r="AS68" s="27"/>
      <x:c r="AT68" s="27"/>
      <x:c r="AU68" s="27"/>
      <x:c r="AV68" s="27"/>
      <x:c r="AW68" s="27"/>
      <x:c r="AX68" s="27"/>
      <x:c r="AY68" s="27"/>
      <x:c r="AZ68" s="27"/>
    </x:row>
    <x:row r="69">
      <x:c r="A69" s="27"/>
      <x:c r="B69" s="27"/>
      <x:c r="C69" s="27"/>
      <x:c r="D69" s="27"/>
      <x:c r="E69" s="27"/>
      <x:c r="F69" s="27"/>
      <x:c r="G69" s="27"/>
      <x:c r="H69" s="27"/>
      <x:c r="I69" s="27"/>
      <x:c r="J69" s="27"/>
      <x:c r="K69" s="27"/>
      <x:c r="L69" s="27"/>
      <x:c r="M69" s="27"/>
      <x:c r="N69" s="27"/>
      <x:c r="O69" s="27"/>
      <x:c r="P69" s="27"/>
      <x:c r="Q69" s="27"/>
      <x:c r="R69" s="27"/>
      <x:c r="S69" s="27"/>
      <x:c r="T69" s="27"/>
      <x:c r="U69" s="27"/>
      <x:c r="V69" s="27"/>
      <x:c r="W69" s="27"/>
      <x:c r="X69" s="27"/>
      <x:c r="Y69" s="27"/>
      <x:c r="Z69" s="27"/>
      <x:c r="AA69" s="27"/>
      <x:c r="AB69" s="27"/>
      <x:c r="AC69" s="27"/>
      <x:c r="AD69" s="27"/>
      <x:c r="AE69" s="27"/>
      <x:c r="AF69" s="27"/>
      <x:c r="AG69" s="27"/>
      <x:c r="AH69" s="27"/>
      <x:c r="AI69" s="27"/>
      <x:c r="AJ69" s="27"/>
      <x:c r="AK69" s="27"/>
      <x:c r="AL69" s="27"/>
      <x:c r="AM69" s="27"/>
      <x:c r="AN69" s="27"/>
      <x:c r="AO69" s="27"/>
      <x:c r="AP69" s="27"/>
      <x:c r="AQ69" s="27"/>
      <x:c r="AR69" s="27"/>
      <x:c r="AS69" s="27"/>
      <x:c r="AT69" s="27"/>
      <x:c r="AU69" s="27"/>
      <x:c r="AV69" s="27"/>
      <x:c r="AW69" s="27"/>
      <x:c r="AX69" s="27"/>
      <x:c r="AY69" s="27"/>
      <x:c r="AZ69" s="27"/>
    </x:row>
    <x:row r="70">
      <x:c r="A70" s="27"/>
      <x:c r="B70" s="27"/>
      <x:c r="C70" s="27"/>
      <x:c r="D70" s="27"/>
      <x:c r="E70" s="27"/>
      <x:c r="F70" s="27"/>
      <x:c r="G70" s="27"/>
      <x:c r="H70" s="27"/>
      <x:c r="I70" s="27"/>
      <x:c r="J70" s="27"/>
      <x:c r="K70" s="27"/>
      <x:c r="L70" s="27"/>
      <x:c r="M70" s="27"/>
      <x:c r="N70" s="27"/>
      <x:c r="O70" s="27"/>
      <x:c r="P70" s="27"/>
      <x:c r="Q70" s="27"/>
      <x:c r="R70" s="27"/>
      <x:c r="S70" s="27"/>
      <x:c r="T70" s="27"/>
      <x:c r="U70" s="27"/>
      <x:c r="V70" s="27"/>
      <x:c r="W70" s="27"/>
      <x:c r="X70" s="27"/>
      <x:c r="Y70" s="27"/>
      <x:c r="Z70" s="27"/>
      <x:c r="AA70" s="27"/>
      <x:c r="AB70" s="27"/>
      <x:c r="AC70" s="27"/>
      <x:c r="AD70" s="27"/>
      <x:c r="AE70" s="27"/>
      <x:c r="AF70" s="27"/>
      <x:c r="AG70" s="27"/>
      <x:c r="AH70" s="27"/>
      <x:c r="AI70" s="27"/>
      <x:c r="AJ70" s="27"/>
      <x:c r="AK70" s="27"/>
      <x:c r="AL70" s="27"/>
      <x:c r="AM70" s="27"/>
      <x:c r="AN70" s="27"/>
      <x:c r="AO70" s="27"/>
      <x:c r="AP70" s="27"/>
      <x:c r="AQ70" s="27"/>
      <x:c r="AR70" s="27"/>
      <x:c r="AS70" s="27"/>
      <x:c r="AT70" s="27"/>
      <x:c r="AU70" s="27"/>
      <x:c r="AV70" s="27"/>
      <x:c r="AW70" s="27"/>
      <x:c r="AX70" s="27"/>
      <x:c r="AY70" s="27"/>
      <x:c r="AZ70" s="27"/>
    </x:row>
    <x:row r="71">
      <x:c r="A71" s="27"/>
      <x:c r="B71" s="27"/>
      <x:c r="C71" s="27"/>
      <x:c r="D71" s="27"/>
      <x:c r="E71" s="27"/>
      <x:c r="F71" s="27"/>
      <x:c r="G71" s="27"/>
      <x:c r="H71" s="27"/>
      <x:c r="I71" s="27"/>
      <x:c r="J71" s="27"/>
      <x:c r="K71" s="27"/>
      <x:c r="L71" s="27"/>
      <x:c r="M71" s="27"/>
      <x:c r="N71" s="27"/>
      <x:c r="O71" s="27"/>
      <x:c r="P71" s="27"/>
      <x:c r="Q71" s="27"/>
      <x:c r="R71" s="27"/>
      <x:c r="S71" s="27"/>
      <x:c r="T71" s="27"/>
      <x:c r="U71" s="27"/>
      <x:c r="V71" s="27"/>
      <x:c r="W71" s="27"/>
      <x:c r="X71" s="27"/>
      <x:c r="Y71" s="27"/>
      <x:c r="Z71" s="27"/>
      <x:c r="AA71" s="27"/>
      <x:c r="AB71" s="27"/>
      <x:c r="AC71" s="27"/>
      <x:c r="AD71" s="27"/>
      <x:c r="AE71" s="27"/>
      <x:c r="AF71" s="27"/>
      <x:c r="AG71" s="27"/>
      <x:c r="AH71" s="27"/>
      <x:c r="AI71" s="27"/>
      <x:c r="AJ71" s="27"/>
      <x:c r="AK71" s="27"/>
      <x:c r="AL71" s="27"/>
      <x:c r="AM71" s="27"/>
      <x:c r="AN71" s="27"/>
      <x:c r="AO71" s="27"/>
      <x:c r="AP71" s="27"/>
      <x:c r="AQ71" s="27"/>
      <x:c r="AR71" s="27"/>
      <x:c r="AS71" s="27"/>
      <x:c r="AT71" s="27"/>
      <x:c r="AU71" s="27"/>
      <x:c r="AV71" s="27"/>
      <x:c r="AW71" s="27"/>
      <x:c r="AX71" s="27"/>
      <x:c r="AY71" s="27"/>
      <x:c r="AZ71" s="27"/>
    </x:row>
    <x:row r="72">
      <x:c r="A72" s="27"/>
      <x:c r="B72" s="27"/>
      <x:c r="C72" s="27"/>
      <x:c r="D72" s="27"/>
      <x:c r="E72" s="27"/>
      <x:c r="F72" s="27"/>
      <x:c r="G72" s="27"/>
      <x:c r="H72" s="27"/>
      <x:c r="I72" s="27"/>
      <x:c r="J72" s="27"/>
      <x:c r="K72" s="27"/>
      <x:c r="L72" s="27"/>
      <x:c r="M72" s="27"/>
      <x:c r="N72" s="27"/>
      <x:c r="O72" s="27"/>
      <x:c r="P72" s="27"/>
      <x:c r="Q72" s="27"/>
      <x:c r="R72" s="27"/>
      <x:c r="S72" s="27"/>
      <x:c r="T72" s="27"/>
      <x:c r="U72" s="27"/>
      <x:c r="V72" s="27"/>
      <x:c r="W72" s="27"/>
      <x:c r="X72" s="27"/>
      <x:c r="Y72" s="27"/>
      <x:c r="Z72" s="27"/>
      <x:c r="AA72" s="27"/>
      <x:c r="AB72" s="27"/>
      <x:c r="AC72" s="27"/>
      <x:c r="AD72" s="27"/>
      <x:c r="AE72" s="27"/>
      <x:c r="AF72" s="27"/>
      <x:c r="AG72" s="27"/>
      <x:c r="AH72" s="27"/>
      <x:c r="AI72" s="27"/>
      <x:c r="AJ72" s="27"/>
      <x:c r="AK72" s="27"/>
      <x:c r="AL72" s="27"/>
      <x:c r="AM72" s="27"/>
      <x:c r="AN72" s="27"/>
      <x:c r="AO72" s="27"/>
      <x:c r="AP72" s="27"/>
      <x:c r="AQ72" s="27"/>
      <x:c r="AR72" s="27"/>
      <x:c r="AS72" s="27"/>
      <x:c r="AT72" s="27"/>
      <x:c r="AU72" s="27"/>
      <x:c r="AV72" s="27"/>
      <x:c r="AW72" s="27"/>
      <x:c r="AX72" s="27"/>
      <x:c r="AY72" s="27"/>
      <x:c r="AZ72" s="27"/>
    </x:row>
    <x:row r="73">
      <x:c r="A73" s="27"/>
      <x:c r="B73" s="27"/>
      <x:c r="C73" s="27"/>
      <x:c r="D73" s="27"/>
      <x:c r="E73" s="27"/>
      <x:c r="F73" s="27"/>
      <x:c r="G73" s="27"/>
      <x:c r="H73" s="27"/>
      <x:c r="I73" s="27"/>
      <x:c r="J73" s="27"/>
      <x:c r="K73" s="27"/>
      <x:c r="L73" s="27"/>
      <x:c r="M73" s="27"/>
      <x:c r="N73" s="27"/>
      <x:c r="O73" s="27"/>
      <x:c r="P73" s="27"/>
      <x:c r="Q73" s="27"/>
      <x:c r="R73" s="27"/>
      <x:c r="S73" s="27"/>
      <x:c r="T73" s="27"/>
      <x:c r="U73" s="27"/>
      <x:c r="V73" s="27"/>
      <x:c r="W73" s="27"/>
      <x:c r="X73" s="27"/>
      <x:c r="Y73" s="27"/>
      <x:c r="Z73" s="27"/>
      <x:c r="AA73" s="27"/>
      <x:c r="AB73" s="27"/>
      <x:c r="AC73" s="27"/>
      <x:c r="AD73" s="27"/>
      <x:c r="AE73" s="27"/>
      <x:c r="AF73" s="27"/>
      <x:c r="AG73" s="27"/>
      <x:c r="AH73" s="27"/>
      <x:c r="AI73" s="27"/>
      <x:c r="AJ73" s="27"/>
      <x:c r="AK73" s="27"/>
      <x:c r="AL73" s="27"/>
      <x:c r="AM73" s="27"/>
      <x:c r="AN73" s="27"/>
      <x:c r="AO73" s="27"/>
      <x:c r="AP73" s="27"/>
      <x:c r="AQ73" s="27"/>
      <x:c r="AR73" s="27"/>
      <x:c r="AS73" s="27"/>
      <x:c r="AT73" s="27"/>
      <x:c r="AU73" s="27"/>
      <x:c r="AV73" s="27"/>
      <x:c r="AW73" s="27"/>
      <x:c r="AX73" s="27"/>
      <x:c r="AY73" s="27"/>
      <x:c r="AZ73" s="27"/>
    </x:row>
    <x:row r="74">
      <x:c r="A74" s="27"/>
      <x:c r="B74" s="27"/>
      <x:c r="C74" s="27"/>
      <x:c r="D74" s="27"/>
      <x:c r="E74" s="27"/>
      <x:c r="F74" s="27"/>
      <x:c r="G74" s="27"/>
      <x:c r="H74" s="27"/>
      <x:c r="I74" s="27"/>
      <x:c r="J74" s="27"/>
      <x:c r="K74" s="27"/>
      <x:c r="L74" s="27"/>
      <x:c r="M74" s="27"/>
      <x:c r="N74" s="27"/>
      <x:c r="O74" s="27"/>
      <x:c r="P74" s="27"/>
      <x:c r="Q74" s="27"/>
      <x:c r="R74" s="27"/>
      <x:c r="S74" s="27"/>
      <x:c r="T74" s="27"/>
      <x:c r="U74" s="27"/>
      <x:c r="V74" s="27"/>
      <x:c r="W74" s="27"/>
      <x:c r="X74" s="27"/>
      <x:c r="Y74" s="27"/>
      <x:c r="Z74" s="27"/>
      <x:c r="AA74" s="27"/>
      <x:c r="AB74" s="27"/>
      <x:c r="AC74" s="27"/>
      <x:c r="AD74" s="27"/>
      <x:c r="AE74" s="27"/>
      <x:c r="AF74" s="27"/>
      <x:c r="AG74" s="27"/>
      <x:c r="AH74" s="27"/>
      <x:c r="AI74" s="27"/>
      <x:c r="AJ74" s="27"/>
      <x:c r="AK74" s="27"/>
      <x:c r="AL74" s="27"/>
      <x:c r="AM74" s="27"/>
      <x:c r="AN74" s="27"/>
      <x:c r="AO74" s="27"/>
      <x:c r="AP74" s="27"/>
      <x:c r="AQ74" s="27"/>
      <x:c r="AR74" s="27"/>
      <x:c r="AS74" s="27"/>
      <x:c r="AT74" s="27"/>
      <x:c r="AU74" s="27"/>
      <x:c r="AV74" s="27"/>
      <x:c r="AW74" s="27"/>
      <x:c r="AX74" s="27"/>
      <x:c r="AY74" s="27"/>
      <x:c r="AZ74" s="27"/>
    </x:row>
    <x:row r="75">
      <x:c r="A75" s="27"/>
      <x:c r="B75" s="27"/>
      <x:c r="C75" s="27"/>
      <x:c r="D75" s="27"/>
      <x:c r="E75" s="27"/>
      <x:c r="F75" s="27"/>
      <x:c r="G75" s="27"/>
      <x:c r="H75" s="27"/>
      <x:c r="I75" s="27"/>
      <x:c r="J75" s="27"/>
      <x:c r="K75" s="27"/>
      <x:c r="L75" s="27"/>
      <x:c r="M75" s="27"/>
      <x:c r="N75" s="27"/>
      <x:c r="O75" s="27"/>
      <x:c r="P75" s="27"/>
      <x:c r="Q75" s="27"/>
      <x:c r="R75" s="27"/>
      <x:c r="S75" s="27"/>
      <x:c r="T75" s="27"/>
      <x:c r="U75" s="27"/>
      <x:c r="V75" s="27"/>
      <x:c r="W75" s="27"/>
      <x:c r="X75" s="27"/>
      <x:c r="Y75" s="27"/>
      <x:c r="Z75" s="27"/>
      <x:c r="AA75" s="27"/>
      <x:c r="AB75" s="27"/>
      <x:c r="AC75" s="27"/>
      <x:c r="AD75" s="27"/>
      <x:c r="AE75" s="27"/>
      <x:c r="AF75" s="27"/>
      <x:c r="AG75" s="27"/>
      <x:c r="AH75" s="27"/>
      <x:c r="AI75" s="27"/>
      <x:c r="AJ75" s="27"/>
      <x:c r="AK75" s="27"/>
      <x:c r="AL75" s="27"/>
      <x:c r="AM75" s="27"/>
      <x:c r="AN75" s="27"/>
      <x:c r="AO75" s="27"/>
      <x:c r="AP75" s="27"/>
      <x:c r="AQ75" s="27"/>
      <x:c r="AR75" s="27"/>
      <x:c r="AS75" s="27"/>
      <x:c r="AT75" s="27"/>
      <x:c r="AU75" s="27"/>
      <x:c r="AV75" s="27"/>
      <x:c r="AW75" s="27"/>
      <x:c r="AX75" s="27"/>
      <x:c r="AY75" s="27"/>
      <x:c r="AZ75" s="27"/>
    </x:row>
    <x:row r="76">
      <x:c r="A76" s="27"/>
      <x:c r="B76" s="27"/>
      <x:c r="C76" s="27"/>
      <x:c r="D76" s="27"/>
      <x:c r="E76" s="27"/>
      <x:c r="F76" s="27"/>
      <x:c r="G76" s="27"/>
      <x:c r="H76" s="27"/>
      <x:c r="I76" s="27"/>
      <x:c r="J76" s="27"/>
      <x:c r="K76" s="27"/>
      <x:c r="L76" s="27"/>
      <x:c r="M76" s="27"/>
      <x:c r="N76" s="27"/>
      <x:c r="O76" s="27"/>
      <x:c r="P76" s="27"/>
      <x:c r="Q76" s="27"/>
      <x:c r="R76" s="27"/>
      <x:c r="S76" s="27"/>
      <x:c r="T76" s="27"/>
      <x:c r="U76" s="27"/>
      <x:c r="V76" s="27"/>
      <x:c r="W76" s="27"/>
      <x:c r="X76" s="27"/>
      <x:c r="Y76" s="27"/>
      <x:c r="Z76" s="27"/>
      <x:c r="AA76" s="27"/>
      <x:c r="AB76" s="27"/>
      <x:c r="AC76" s="27"/>
      <x:c r="AD76" s="27"/>
      <x:c r="AE76" s="27"/>
      <x:c r="AF76" s="27"/>
      <x:c r="AG76" s="27"/>
      <x:c r="AH76" s="27"/>
      <x:c r="AI76" s="27"/>
      <x:c r="AJ76" s="27"/>
      <x:c r="AK76" s="27"/>
      <x:c r="AL76" s="27"/>
      <x:c r="AM76" s="27"/>
      <x:c r="AN76" s="27"/>
      <x:c r="AO76" s="27"/>
      <x:c r="AP76" s="27"/>
      <x:c r="AQ76" s="27"/>
      <x:c r="AR76" s="27"/>
      <x:c r="AS76" s="27"/>
      <x:c r="AT76" s="27"/>
      <x:c r="AU76" s="27"/>
      <x:c r="AV76" s="27"/>
      <x:c r="AW76" s="27"/>
      <x:c r="AX76" s="27"/>
      <x:c r="AY76" s="27"/>
      <x:c r="AZ76" s="27"/>
    </x:row>
    <x:row r="77">
      <x:c r="A77" s="27"/>
      <x:c r="B77" s="27"/>
      <x:c r="C77" s="27"/>
      <x:c r="D77" s="27"/>
      <x:c r="E77" s="27"/>
      <x:c r="F77" s="27"/>
      <x:c r="G77" s="27"/>
      <x:c r="H77" s="27"/>
      <x:c r="I77" s="27"/>
      <x:c r="J77" s="27"/>
      <x:c r="K77" s="27"/>
      <x:c r="L77" s="27"/>
      <x:c r="M77" s="27"/>
      <x:c r="N77" s="27"/>
      <x:c r="O77" s="27"/>
      <x:c r="P77" s="27"/>
      <x:c r="Q77" s="27"/>
      <x:c r="R77" s="27"/>
      <x:c r="S77" s="27"/>
      <x:c r="T77" s="27"/>
      <x:c r="U77" s="27"/>
      <x:c r="V77" s="27"/>
      <x:c r="W77" s="27"/>
      <x:c r="X77" s="27"/>
      <x:c r="Y77" s="27"/>
      <x:c r="Z77" s="27"/>
      <x:c r="AA77" s="27"/>
      <x:c r="AB77" s="27"/>
      <x:c r="AC77" s="27"/>
      <x:c r="AD77" s="27"/>
      <x:c r="AE77" s="27"/>
      <x:c r="AF77" s="27"/>
      <x:c r="AG77" s="27"/>
      <x:c r="AH77" s="27"/>
      <x:c r="AI77" s="27"/>
      <x:c r="AJ77" s="27"/>
      <x:c r="AK77" s="27"/>
      <x:c r="AL77" s="27"/>
      <x:c r="AM77" s="27"/>
      <x:c r="AN77" s="27"/>
      <x:c r="AO77" s="27"/>
      <x:c r="AP77" s="27"/>
      <x:c r="AQ77" s="27"/>
      <x:c r="AR77" s="27"/>
      <x:c r="AS77" s="27"/>
      <x:c r="AT77" s="27"/>
      <x:c r="AU77" s="27"/>
      <x:c r="AV77" s="27"/>
      <x:c r="AW77" s="27"/>
      <x:c r="AX77" s="27"/>
      <x:c r="AY77" s="27"/>
      <x:c r="AZ77" s="27"/>
    </x:row>
    <x:row r="78">
      <x:c r="A78" s="27"/>
      <x:c r="B78" s="27"/>
      <x:c r="C78" s="27"/>
      <x:c r="D78" s="27"/>
      <x:c r="E78" s="27"/>
      <x:c r="F78" s="27"/>
      <x:c r="G78" s="27"/>
      <x:c r="H78" s="27"/>
      <x:c r="I78" s="27"/>
      <x:c r="J78" s="27"/>
      <x:c r="K78" s="27"/>
      <x:c r="L78" s="27"/>
      <x:c r="M78" s="27"/>
      <x:c r="N78" s="27"/>
      <x:c r="O78" s="27"/>
      <x:c r="P78" s="27"/>
      <x:c r="Q78" s="27"/>
      <x:c r="R78" s="27"/>
      <x:c r="S78" s="27"/>
      <x:c r="T78" s="27"/>
      <x:c r="U78" s="27"/>
      <x:c r="V78" s="27"/>
      <x:c r="W78" s="27"/>
      <x:c r="X78" s="27"/>
      <x:c r="Y78" s="27"/>
      <x:c r="Z78" s="27"/>
      <x:c r="AA78" s="27"/>
      <x:c r="AB78" s="27"/>
      <x:c r="AC78" s="27"/>
      <x:c r="AD78" s="27"/>
      <x:c r="AE78" s="27"/>
      <x:c r="AF78" s="27"/>
      <x:c r="AG78" s="27"/>
      <x:c r="AH78" s="27"/>
      <x:c r="AI78" s="27"/>
      <x:c r="AJ78" s="27"/>
      <x:c r="AK78" s="27"/>
      <x:c r="AL78" s="27"/>
      <x:c r="AM78" s="27"/>
      <x:c r="AN78" s="27"/>
      <x:c r="AO78" s="27"/>
      <x:c r="AP78" s="27"/>
      <x:c r="AQ78" s="27"/>
      <x:c r="AR78" s="27"/>
      <x:c r="AS78" s="27"/>
      <x:c r="AT78" s="27"/>
      <x:c r="AU78" s="27"/>
      <x:c r="AV78" s="27"/>
      <x:c r="AW78" s="27"/>
      <x:c r="AX78" s="27"/>
      <x:c r="AY78" s="27"/>
      <x:c r="AZ78" s="27"/>
    </x:row>
    <x:row r="79">
      <x:c r="A79" s="27"/>
      <x:c r="B79" s="27"/>
      <x:c r="C79" s="27"/>
      <x:c r="D79" s="27"/>
      <x:c r="E79" s="27"/>
      <x:c r="F79" s="27"/>
      <x:c r="G79" s="27"/>
      <x:c r="H79" s="27"/>
      <x:c r="I79" s="27"/>
      <x:c r="J79" s="27"/>
      <x:c r="K79" s="27"/>
      <x:c r="L79" s="27"/>
      <x:c r="M79" s="27"/>
      <x:c r="N79" s="27"/>
      <x:c r="O79" s="27"/>
      <x:c r="P79" s="27"/>
      <x:c r="Q79" s="27"/>
      <x:c r="R79" s="27"/>
      <x:c r="S79" s="27"/>
      <x:c r="T79" s="27"/>
      <x:c r="U79" s="27"/>
      <x:c r="V79" s="27"/>
      <x:c r="W79" s="27"/>
      <x:c r="X79" s="27"/>
      <x:c r="Y79" s="27"/>
      <x:c r="Z79" s="27"/>
      <x:c r="AA79" s="27"/>
      <x:c r="AB79" s="27"/>
      <x:c r="AC79" s="27"/>
      <x:c r="AD79" s="27"/>
      <x:c r="AE79" s="27"/>
      <x:c r="AF79" s="27"/>
      <x:c r="AG79" s="27"/>
      <x:c r="AH79" s="27"/>
      <x:c r="AI79" s="27"/>
      <x:c r="AJ79" s="27"/>
      <x:c r="AK79" s="27"/>
      <x:c r="AL79" s="27"/>
      <x:c r="AM79" s="27"/>
      <x:c r="AN79" s="27"/>
      <x:c r="AO79" s="27"/>
      <x:c r="AP79" s="27"/>
      <x:c r="AQ79" s="27"/>
      <x:c r="AR79" s="27"/>
      <x:c r="AS79" s="27"/>
      <x:c r="AT79" s="27"/>
      <x:c r="AU79" s="27"/>
      <x:c r="AV79" s="27"/>
      <x:c r="AW79" s="27"/>
      <x:c r="AX79" s="27"/>
      <x:c r="AY79" s="27"/>
      <x:c r="AZ79" s="27"/>
    </x:row>
    <x:row r="80">
      <x:c r="A80" s="27"/>
      <x:c r="B80" s="27"/>
      <x:c r="C80" s="27"/>
      <x:c r="D80" s="27"/>
      <x:c r="E80" s="27"/>
      <x:c r="F80" s="27"/>
      <x:c r="G80" s="27"/>
      <x:c r="H80" s="27"/>
      <x:c r="I80" s="27"/>
      <x:c r="J80" s="27"/>
      <x:c r="K80" s="27"/>
      <x:c r="L80" s="27"/>
      <x:c r="M80" s="27"/>
      <x:c r="N80" s="27"/>
      <x:c r="O80" s="27"/>
      <x:c r="P80" s="27"/>
      <x:c r="Q80" s="27"/>
      <x:c r="R80" s="27"/>
      <x:c r="S80" s="27"/>
      <x:c r="T80" s="27"/>
      <x:c r="U80" s="27"/>
      <x:c r="V80" s="27"/>
      <x:c r="W80" s="27"/>
      <x:c r="X80" s="27"/>
      <x:c r="Y80" s="27"/>
      <x:c r="Z80" s="27"/>
      <x:c r="AA80" s="27"/>
      <x:c r="AB80" s="27"/>
      <x:c r="AC80" s="27"/>
      <x:c r="AD80" s="27"/>
      <x:c r="AE80" s="27"/>
      <x:c r="AF80" s="27"/>
      <x:c r="AG80" s="27"/>
      <x:c r="AH80" s="27"/>
      <x:c r="AI80" s="27"/>
      <x:c r="AJ80" s="27"/>
      <x:c r="AK80" s="27"/>
      <x:c r="AL80" s="27"/>
      <x:c r="AM80" s="27"/>
      <x:c r="AN80" s="27"/>
      <x:c r="AO80" s="27"/>
      <x:c r="AP80" s="27"/>
      <x:c r="AQ80" s="27"/>
      <x:c r="AR80" s="27"/>
      <x:c r="AS80" s="27"/>
      <x:c r="AT80" s="27"/>
      <x:c r="AU80" s="27"/>
      <x:c r="AV80" s="27"/>
      <x:c r="AW80" s="27"/>
      <x:c r="AX80" s="27"/>
      <x:c r="AY80" s="27"/>
      <x:c r="AZ80" s="27"/>
    </x:row>
    <x:row r="81">
      <x:c r="A81" s="27"/>
      <x:c r="B81" s="27"/>
      <x:c r="C81" s="27"/>
      <x:c r="D81" s="27"/>
      <x:c r="E81" s="27"/>
      <x:c r="F81" s="27"/>
      <x:c r="G81" s="27"/>
      <x:c r="H81" s="27"/>
      <x:c r="I81" s="27"/>
      <x:c r="J81" s="27"/>
      <x:c r="K81" s="27"/>
      <x:c r="L81" s="27"/>
      <x:c r="M81" s="27"/>
      <x:c r="N81" s="27"/>
      <x:c r="O81" s="27"/>
      <x:c r="P81" s="27"/>
      <x:c r="Q81" s="27"/>
      <x:c r="R81" s="27"/>
      <x:c r="S81" s="27"/>
      <x:c r="T81" s="27"/>
      <x:c r="U81" s="27"/>
      <x:c r="V81" s="27"/>
      <x:c r="W81" s="27"/>
      <x:c r="X81" s="27"/>
      <x:c r="Y81" s="27"/>
      <x:c r="Z81" s="27"/>
      <x:c r="AA81" s="27"/>
      <x:c r="AB81" s="27"/>
      <x:c r="AC81" s="27"/>
      <x:c r="AD81" s="27"/>
      <x:c r="AE81" s="27"/>
      <x:c r="AF81" s="27"/>
      <x:c r="AG81" s="27"/>
      <x:c r="AH81" s="27"/>
      <x:c r="AI81" s="27"/>
      <x:c r="AJ81" s="27"/>
      <x:c r="AK81" s="27"/>
      <x:c r="AL81" s="27"/>
      <x:c r="AM81" s="27"/>
      <x:c r="AN81" s="27"/>
      <x:c r="AO81" s="27"/>
      <x:c r="AP81" s="27"/>
      <x:c r="AQ81" s="27"/>
      <x:c r="AR81" s="27"/>
      <x:c r="AS81" s="27"/>
      <x:c r="AT81" s="27"/>
      <x:c r="AU81" s="27"/>
      <x:c r="AV81" s="27"/>
      <x:c r="AW81" s="27"/>
      <x:c r="AX81" s="27"/>
      <x:c r="AY81" s="27"/>
      <x:c r="AZ81" s="27"/>
    </x:row>
    <x:row r="82">
      <x:c r="A82" s="27"/>
      <x:c r="B82" s="27"/>
      <x:c r="C82" s="27"/>
      <x:c r="D82" s="27"/>
      <x:c r="E82" s="27"/>
      <x:c r="F82" s="27"/>
      <x:c r="G82" s="27"/>
      <x:c r="H82" s="27"/>
      <x:c r="I82" s="27"/>
      <x:c r="J82" s="27"/>
      <x:c r="K82" s="27"/>
      <x:c r="L82" s="27"/>
      <x:c r="M82" s="27"/>
      <x:c r="N82" s="27"/>
      <x:c r="O82" s="27"/>
      <x:c r="P82" s="27"/>
      <x:c r="Q82" s="27"/>
      <x:c r="R82" s="27"/>
      <x:c r="S82" s="27"/>
      <x:c r="T82" s="27"/>
      <x:c r="U82" s="27"/>
      <x:c r="V82" s="27"/>
      <x:c r="W82" s="27"/>
      <x:c r="X82" s="27"/>
      <x:c r="Y82" s="27"/>
      <x:c r="Z82" s="27"/>
      <x:c r="AA82" s="27"/>
      <x:c r="AB82" s="27"/>
      <x:c r="AC82" s="27"/>
      <x:c r="AD82" s="27"/>
      <x:c r="AE82" s="27"/>
      <x:c r="AF82" s="27"/>
      <x:c r="AG82" s="27"/>
      <x:c r="AH82" s="27"/>
      <x:c r="AI82" s="27"/>
      <x:c r="AJ82" s="27"/>
      <x:c r="AK82" s="27"/>
      <x:c r="AL82" s="27"/>
      <x:c r="AM82" s="27"/>
      <x:c r="AN82" s="27"/>
      <x:c r="AO82" s="27"/>
      <x:c r="AP82" s="27"/>
      <x:c r="AQ82" s="27"/>
      <x:c r="AR82" s="27"/>
      <x:c r="AS82" s="27"/>
      <x:c r="AT82" s="27"/>
      <x:c r="AU82" s="27"/>
      <x:c r="AV82" s="27"/>
      <x:c r="AW82" s="27"/>
      <x:c r="AX82" s="27"/>
      <x:c r="AY82" s="27"/>
      <x:c r="AZ82" s="27"/>
    </x:row>
    <x:row r="83">
      <x:c r="A83" s="27"/>
      <x:c r="B83" s="27"/>
      <x:c r="C83" s="27"/>
      <x:c r="D83" s="27"/>
      <x:c r="E83" s="27"/>
      <x:c r="F83" s="27"/>
      <x:c r="G83" s="27"/>
      <x:c r="H83" s="27"/>
      <x:c r="I83" s="27"/>
      <x:c r="J83" s="27"/>
      <x:c r="K83" s="27"/>
      <x:c r="L83" s="27"/>
      <x:c r="M83" s="27"/>
      <x:c r="N83" s="27"/>
      <x:c r="O83" s="27"/>
      <x:c r="P83" s="27"/>
      <x:c r="Q83" s="27"/>
      <x:c r="R83" s="27"/>
      <x:c r="S83" s="27"/>
      <x:c r="T83" s="27"/>
      <x:c r="U83" s="27"/>
      <x:c r="V83" s="27"/>
      <x:c r="W83" s="27"/>
      <x:c r="X83" s="27"/>
      <x:c r="Y83" s="27"/>
      <x:c r="Z83" s="27"/>
      <x:c r="AA83" s="27"/>
      <x:c r="AB83" s="27"/>
      <x:c r="AC83" s="27"/>
      <x:c r="AD83" s="27"/>
      <x:c r="AE83" s="27"/>
      <x:c r="AF83" s="27"/>
      <x:c r="AG83" s="27"/>
      <x:c r="AH83" s="27"/>
      <x:c r="AI83" s="27"/>
      <x:c r="AJ83" s="27"/>
      <x:c r="AK83" s="27"/>
      <x:c r="AL83" s="27"/>
      <x:c r="AM83" s="27"/>
      <x:c r="AN83" s="27"/>
      <x:c r="AO83" s="27"/>
      <x:c r="AP83" s="27"/>
      <x:c r="AQ83" s="27"/>
      <x:c r="AR83" s="27"/>
      <x:c r="AS83" s="27"/>
      <x:c r="AT83" s="27"/>
      <x:c r="AU83" s="27"/>
      <x:c r="AV83" s="27"/>
      <x:c r="AW83" s="27"/>
      <x:c r="AX83" s="27"/>
      <x:c r="AY83" s="27"/>
      <x:c r="AZ83" s="27"/>
    </x:row>
    <x:row r="84">
      <x:c r="A84" s="27"/>
      <x:c r="B84" s="27"/>
      <x:c r="C84" s="27"/>
      <x:c r="D84" s="27"/>
      <x:c r="E84" s="27"/>
      <x:c r="F84" s="27"/>
      <x:c r="G84" s="27"/>
      <x:c r="H84" s="27"/>
      <x:c r="I84" s="27"/>
      <x:c r="J84" s="27"/>
      <x:c r="K84" s="27"/>
      <x:c r="L84" s="27"/>
      <x:c r="M84" s="27"/>
      <x:c r="N84" s="27"/>
      <x:c r="O84" s="27"/>
      <x:c r="P84" s="27"/>
      <x:c r="Q84" s="27"/>
      <x:c r="R84" s="27"/>
      <x:c r="S84" s="27"/>
      <x:c r="T84" s="27"/>
      <x:c r="U84" s="27"/>
      <x:c r="V84" s="27"/>
      <x:c r="W84" s="27"/>
      <x:c r="X84" s="27"/>
      <x:c r="Y84" s="27"/>
      <x:c r="Z84" s="27"/>
      <x:c r="AA84" s="27"/>
      <x:c r="AB84" s="27"/>
      <x:c r="AC84" s="27"/>
      <x:c r="AD84" s="27"/>
      <x:c r="AE84" s="27"/>
      <x:c r="AF84" s="27"/>
      <x:c r="AG84" s="27"/>
      <x:c r="AH84" s="27"/>
      <x:c r="AI84" s="27"/>
      <x:c r="AJ84" s="27"/>
      <x:c r="AK84" s="27"/>
      <x:c r="AL84" s="27"/>
      <x:c r="AM84" s="27"/>
      <x:c r="AN84" s="27"/>
      <x:c r="AO84" s="27"/>
      <x:c r="AP84" s="27"/>
      <x:c r="AQ84" s="27"/>
      <x:c r="AR84" s="27"/>
      <x:c r="AS84" s="27"/>
      <x:c r="AT84" s="27"/>
      <x:c r="AU84" s="27"/>
      <x:c r="AV84" s="27"/>
      <x:c r="AW84" s="27"/>
      <x:c r="AX84" s="27"/>
      <x:c r="AY84" s="27"/>
      <x:c r="AZ84" s="27"/>
    </x:row>
    <x:row r="85">
      <x:c r="A85" s="27"/>
      <x:c r="B85" s="27"/>
      <x:c r="C85" s="27"/>
      <x:c r="D85" s="27"/>
      <x:c r="E85" s="27"/>
      <x:c r="F85" s="27"/>
      <x:c r="G85" s="27"/>
      <x:c r="H85" s="27"/>
      <x:c r="I85" s="27"/>
      <x:c r="J85" s="27"/>
      <x:c r="K85" s="27"/>
      <x:c r="L85" s="27"/>
      <x:c r="M85" s="27"/>
      <x:c r="N85" s="27"/>
      <x:c r="O85" s="27"/>
      <x:c r="P85" s="27"/>
      <x:c r="Q85" s="27"/>
      <x:c r="R85" s="27"/>
      <x:c r="S85" s="27"/>
      <x:c r="T85" s="27"/>
      <x:c r="U85" s="27"/>
      <x:c r="V85" s="27"/>
      <x:c r="W85" s="27"/>
      <x:c r="X85" s="27"/>
      <x:c r="Y85" s="27"/>
      <x:c r="Z85" s="27"/>
      <x:c r="AA85" s="27"/>
      <x:c r="AB85" s="27"/>
      <x:c r="AC85" s="27"/>
      <x:c r="AD85" s="27"/>
      <x:c r="AE85" s="27"/>
      <x:c r="AF85" s="27"/>
      <x:c r="AG85" s="27"/>
      <x:c r="AH85" s="27"/>
      <x:c r="AI85" s="27"/>
      <x:c r="AJ85" s="27"/>
      <x:c r="AK85" s="27"/>
      <x:c r="AL85" s="27"/>
      <x:c r="AM85" s="27"/>
      <x:c r="AN85" s="27"/>
      <x:c r="AO85" s="27"/>
      <x:c r="AP85" s="27"/>
      <x:c r="AQ85" s="27"/>
      <x:c r="AR85" s="27"/>
      <x:c r="AS85" s="27"/>
      <x:c r="AT85" s="27"/>
      <x:c r="AU85" s="27"/>
      <x:c r="AV85" s="27"/>
      <x:c r="AW85" s="27"/>
      <x:c r="AX85" s="27"/>
      <x:c r="AY85" s="27"/>
      <x:c r="AZ85" s="27"/>
    </x:row>
    <x:row r="86">
      <x:c r="A86" s="27"/>
      <x:c r="B86" s="27"/>
      <x:c r="C86" s="27"/>
      <x:c r="D86" s="27"/>
      <x:c r="E86" s="27"/>
      <x:c r="F86" s="27"/>
      <x:c r="G86" s="27"/>
      <x:c r="H86" s="27"/>
      <x:c r="I86" s="27"/>
      <x:c r="J86" s="27"/>
      <x:c r="K86" s="27"/>
      <x:c r="L86" s="27"/>
      <x:c r="M86" s="27"/>
      <x:c r="N86" s="27"/>
      <x:c r="O86" s="27"/>
      <x:c r="P86" s="27"/>
      <x:c r="Q86" s="27"/>
      <x:c r="R86" s="27"/>
      <x:c r="S86" s="27"/>
      <x:c r="T86" s="27"/>
      <x:c r="U86" s="27"/>
      <x:c r="V86" s="27"/>
      <x:c r="W86" s="27"/>
      <x:c r="X86" s="27"/>
      <x:c r="Y86" s="27"/>
      <x:c r="Z86" s="27"/>
      <x:c r="AA86" s="27"/>
      <x:c r="AB86" s="27"/>
      <x:c r="AC86" s="27"/>
      <x:c r="AD86" s="27"/>
      <x:c r="AE86" s="27"/>
      <x:c r="AF86" s="27"/>
      <x:c r="AG86" s="27"/>
      <x:c r="AH86" s="27"/>
      <x:c r="AI86" s="27"/>
      <x:c r="AJ86" s="27"/>
      <x:c r="AK86" s="27"/>
      <x:c r="AL86" s="27"/>
      <x:c r="AM86" s="27"/>
      <x:c r="AN86" s="27"/>
      <x:c r="AO86" s="27"/>
      <x:c r="AP86" s="27"/>
      <x:c r="AQ86" s="27"/>
      <x:c r="AR86" s="27"/>
      <x:c r="AS86" s="27"/>
      <x:c r="AT86" s="27"/>
      <x:c r="AU86" s="27"/>
      <x:c r="AV86" s="27"/>
      <x:c r="AW86" s="27"/>
      <x:c r="AX86" s="27"/>
      <x:c r="AY86" s="27"/>
      <x:c r="AZ86" s="27"/>
    </x:row>
    <x:row r="87">
      <x:c r="A87" s="27"/>
      <x:c r="B87" s="27"/>
      <x:c r="C87" s="27"/>
      <x:c r="D87" s="27"/>
      <x:c r="E87" s="27"/>
      <x:c r="F87" s="27"/>
      <x:c r="G87" s="27"/>
      <x:c r="H87" s="27"/>
      <x:c r="I87" s="27"/>
      <x:c r="J87" s="27"/>
      <x:c r="K87" s="27"/>
      <x:c r="L87" s="27"/>
      <x:c r="M87" s="27"/>
      <x:c r="N87" s="27"/>
      <x:c r="O87" s="27"/>
      <x:c r="P87" s="27"/>
      <x:c r="Q87" s="27"/>
      <x:c r="R87" s="27"/>
      <x:c r="S87" s="27"/>
      <x:c r="T87" s="27"/>
      <x:c r="U87" s="27"/>
      <x:c r="V87" s="27"/>
      <x:c r="W87" s="27"/>
      <x:c r="X87" s="27"/>
      <x:c r="Y87" s="27"/>
      <x:c r="Z87" s="27"/>
      <x:c r="AA87" s="27"/>
      <x:c r="AB87" s="27"/>
      <x:c r="AC87" s="27"/>
      <x:c r="AD87" s="27"/>
      <x:c r="AE87" s="27"/>
      <x:c r="AF87" s="27"/>
      <x:c r="AG87" s="27"/>
      <x:c r="AH87" s="27"/>
      <x:c r="AI87" s="27"/>
      <x:c r="AJ87" s="27"/>
      <x:c r="AK87" s="27"/>
      <x:c r="AL87" s="27"/>
      <x:c r="AM87" s="27"/>
      <x:c r="AN87" s="27"/>
      <x:c r="AO87" s="27"/>
      <x:c r="AP87" s="27"/>
      <x:c r="AQ87" s="27"/>
      <x:c r="AR87" s="27"/>
      <x:c r="AS87" s="27"/>
      <x:c r="AT87" s="27"/>
      <x:c r="AU87" s="27"/>
      <x:c r="AV87" s="27"/>
      <x:c r="AW87" s="27"/>
      <x:c r="AX87" s="27"/>
      <x:c r="AY87" s="27"/>
      <x:c r="AZ87" s="27"/>
    </x:row>
    <x:row r="88">
      <x:c r="A88" s="27"/>
      <x:c r="B88" s="27"/>
      <x:c r="C88" s="27"/>
      <x:c r="D88" s="27"/>
      <x:c r="E88" s="27"/>
      <x:c r="F88" s="27"/>
      <x:c r="G88" s="27"/>
      <x:c r="H88" s="27"/>
      <x:c r="I88" s="27"/>
      <x:c r="J88" s="27"/>
      <x:c r="K88" s="27"/>
      <x:c r="L88" s="27"/>
      <x:c r="M88" s="27"/>
      <x:c r="N88" s="27"/>
      <x:c r="O88" s="27"/>
      <x:c r="P88" s="27"/>
      <x:c r="Q88" s="27"/>
      <x:c r="R88" s="27"/>
      <x:c r="S88" s="27"/>
      <x:c r="T88" s="27"/>
      <x:c r="U88" s="27"/>
      <x:c r="V88" s="27"/>
      <x:c r="W88" s="27"/>
      <x:c r="X88" s="27"/>
      <x:c r="Y88" s="27"/>
      <x:c r="Z88" s="27"/>
      <x:c r="AA88" s="27"/>
      <x:c r="AB88" s="27"/>
      <x:c r="AC88" s="27"/>
      <x:c r="AD88" s="27"/>
      <x:c r="AE88" s="27"/>
      <x:c r="AF88" s="27"/>
      <x:c r="AG88" s="27"/>
      <x:c r="AH88" s="27"/>
      <x:c r="AI88" s="27"/>
      <x:c r="AJ88" s="27"/>
      <x:c r="AK88" s="27"/>
      <x:c r="AL88" s="27"/>
      <x:c r="AM88" s="27"/>
      <x:c r="AN88" s="27"/>
      <x:c r="AO88" s="27"/>
      <x:c r="AP88" s="27"/>
      <x:c r="AQ88" s="27"/>
      <x:c r="AR88" s="27"/>
      <x:c r="AS88" s="27"/>
      <x:c r="AT88" s="27"/>
      <x:c r="AU88" s="27"/>
      <x:c r="AV88" s="27"/>
      <x:c r="AW88" s="27"/>
      <x:c r="AX88" s="27"/>
      <x:c r="AY88" s="27"/>
      <x:c r="AZ88" s="27"/>
    </x:row>
    <x:row r="89">
      <x:c r="A89" s="27"/>
      <x:c r="B89" s="27"/>
      <x:c r="C89" s="27"/>
      <x:c r="D89" s="27"/>
      <x:c r="E89" s="27"/>
      <x:c r="F89" s="27"/>
      <x:c r="G89" s="27"/>
      <x:c r="H89" s="27"/>
      <x:c r="I89" s="27"/>
      <x:c r="J89" s="27"/>
      <x:c r="K89" s="27"/>
      <x:c r="L89" s="27"/>
      <x:c r="M89" s="27"/>
      <x:c r="N89" s="27"/>
      <x:c r="O89" s="27"/>
      <x:c r="P89" s="27"/>
      <x:c r="Q89" s="27"/>
      <x:c r="R89" s="27"/>
      <x:c r="S89" s="27"/>
      <x:c r="T89" s="27"/>
      <x:c r="U89" s="27"/>
      <x:c r="V89" s="27"/>
      <x:c r="W89" s="27"/>
      <x:c r="X89" s="27"/>
      <x:c r="Y89" s="27"/>
      <x:c r="Z89" s="27"/>
      <x:c r="AA89" s="27"/>
      <x:c r="AB89" s="27"/>
      <x:c r="AC89" s="27"/>
      <x:c r="AD89" s="27"/>
      <x:c r="AE89" s="27"/>
      <x:c r="AF89" s="27"/>
      <x:c r="AG89" s="27"/>
      <x:c r="AH89" s="27"/>
      <x:c r="AI89" s="27"/>
      <x:c r="AJ89" s="27"/>
      <x:c r="AK89" s="27"/>
      <x:c r="AL89" s="27"/>
      <x:c r="AM89" s="27"/>
      <x:c r="AN89" s="27"/>
      <x:c r="AO89" s="27"/>
      <x:c r="AP89" s="27"/>
      <x:c r="AQ89" s="27"/>
      <x:c r="AR89" s="27"/>
      <x:c r="AS89" s="27"/>
      <x:c r="AT89" s="27"/>
      <x:c r="AU89" s="27"/>
      <x:c r="AV89" s="27"/>
      <x:c r="AW89" s="27"/>
      <x:c r="AX89" s="27"/>
      <x:c r="AY89" s="27"/>
      <x:c r="AZ89" s="27"/>
    </x:row>
    <x:row r="90">
      <x:c r="A90" s="27"/>
      <x:c r="B90" s="27"/>
      <x:c r="C90" s="27"/>
      <x:c r="D90" s="27"/>
      <x:c r="E90" s="27"/>
      <x:c r="F90" s="27"/>
      <x:c r="G90" s="27"/>
      <x:c r="H90" s="27"/>
      <x:c r="I90" s="27"/>
      <x:c r="J90" s="27"/>
      <x:c r="K90" s="27"/>
      <x:c r="L90" s="27"/>
      <x:c r="M90" s="27"/>
      <x:c r="N90" s="27"/>
      <x:c r="O90" s="27"/>
      <x:c r="P90" s="27"/>
      <x:c r="Q90" s="27"/>
      <x:c r="R90" s="27"/>
      <x:c r="S90" s="27"/>
      <x:c r="T90" s="27"/>
      <x:c r="U90" s="27"/>
      <x:c r="V90" s="27"/>
      <x:c r="W90" s="27"/>
      <x:c r="X90" s="27"/>
      <x:c r="Y90" s="27"/>
      <x:c r="Z90" s="27"/>
      <x:c r="AA90" s="27"/>
      <x:c r="AB90" s="27"/>
      <x:c r="AC90" s="27"/>
      <x:c r="AD90" s="27"/>
      <x:c r="AE90" s="27"/>
      <x:c r="AF90" s="27"/>
      <x:c r="AG90" s="27"/>
      <x:c r="AH90" s="27"/>
      <x:c r="AI90" s="27"/>
      <x:c r="AJ90" s="27"/>
      <x:c r="AK90" s="27"/>
      <x:c r="AL90" s="27"/>
      <x:c r="AM90" s="27"/>
      <x:c r="AN90" s="27"/>
      <x:c r="AO90" s="27"/>
      <x:c r="AP90" s="27"/>
      <x:c r="AQ90" s="27"/>
      <x:c r="AR90" s="27"/>
      <x:c r="AS90" s="27"/>
      <x:c r="AT90" s="27"/>
      <x:c r="AU90" s="27"/>
      <x:c r="AV90" s="27"/>
      <x:c r="AW90" s="27"/>
      <x:c r="AX90" s="27"/>
      <x:c r="AY90" s="27"/>
      <x:c r="AZ90" s="27"/>
    </x:row>
    <x:row r="91">
      <x:c r="A91" s="27"/>
      <x:c r="B91" s="27"/>
      <x:c r="C91" s="27"/>
      <x:c r="D91" s="27"/>
      <x:c r="E91" s="27"/>
      <x:c r="F91" s="27"/>
      <x:c r="G91" s="27"/>
      <x:c r="H91" s="27"/>
      <x:c r="I91" s="27"/>
      <x:c r="J91" s="27"/>
      <x:c r="K91" s="27"/>
      <x:c r="L91" s="27"/>
      <x:c r="M91" s="27"/>
      <x:c r="N91" s="27"/>
      <x:c r="O91" s="27"/>
      <x:c r="P91" s="27"/>
      <x:c r="Q91" s="27"/>
      <x:c r="R91" s="27"/>
      <x:c r="S91" s="27"/>
      <x:c r="T91" s="27"/>
      <x:c r="U91" s="27"/>
      <x:c r="V91" s="27"/>
      <x:c r="W91" s="27"/>
      <x:c r="X91" s="27"/>
      <x:c r="Y91" s="27"/>
      <x:c r="Z91" s="27"/>
      <x:c r="AA91" s="27"/>
      <x:c r="AB91" s="27"/>
      <x:c r="AC91" s="27"/>
      <x:c r="AD91" s="27"/>
      <x:c r="AE91" s="27"/>
      <x:c r="AF91" s="27"/>
      <x:c r="AG91" s="27"/>
      <x:c r="AH91" s="27"/>
      <x:c r="AI91" s="27"/>
      <x:c r="AJ91" s="27"/>
      <x:c r="AK91" s="27"/>
      <x:c r="AL91" s="27"/>
      <x:c r="AM91" s="27"/>
      <x:c r="AN91" s="27"/>
      <x:c r="AO91" s="27"/>
      <x:c r="AP91" s="27"/>
      <x:c r="AQ91" s="27"/>
      <x:c r="AR91" s="27"/>
      <x:c r="AS91" s="27"/>
      <x:c r="AT91" s="27"/>
      <x:c r="AU91" s="27"/>
      <x:c r="AV91" s="27"/>
      <x:c r="AW91" s="27"/>
      <x:c r="AX91" s="27"/>
      <x:c r="AY91" s="27"/>
      <x:c r="AZ91" s="27"/>
    </x:row>
    <x:row r="92">
      <x:c r="A92" s="27"/>
      <x:c r="B92" s="27"/>
      <x:c r="C92" s="27"/>
      <x:c r="D92" s="27"/>
      <x:c r="E92" s="27"/>
      <x:c r="F92" s="27"/>
      <x:c r="G92" s="27"/>
      <x:c r="H92" s="27"/>
      <x:c r="I92" s="27"/>
      <x:c r="J92" s="27"/>
      <x:c r="K92" s="27"/>
      <x:c r="L92" s="27"/>
      <x:c r="M92" s="27"/>
      <x:c r="N92" s="27"/>
      <x:c r="O92" s="27"/>
      <x:c r="P92" s="27"/>
      <x:c r="Q92" s="27"/>
      <x:c r="R92" s="27"/>
      <x:c r="S92" s="27"/>
      <x:c r="T92" s="27"/>
      <x:c r="U92" s="27"/>
      <x:c r="V92" s="27"/>
      <x:c r="W92" s="27"/>
      <x:c r="X92" s="27"/>
      <x:c r="Y92" s="27"/>
      <x:c r="Z92" s="27"/>
      <x:c r="AA92" s="27"/>
      <x:c r="AB92" s="27"/>
      <x:c r="AC92" s="27"/>
      <x:c r="AD92" s="27"/>
      <x:c r="AE92" s="27"/>
      <x:c r="AF92" s="27"/>
      <x:c r="AG92" s="27"/>
      <x:c r="AH92" s="27"/>
      <x:c r="AI92" s="27"/>
      <x:c r="AJ92" s="27"/>
      <x:c r="AK92" s="27"/>
      <x:c r="AL92" s="27"/>
      <x:c r="AM92" s="27"/>
      <x:c r="AN92" s="27"/>
      <x:c r="AO92" s="27"/>
      <x:c r="AP92" s="27"/>
      <x:c r="AQ92" s="27"/>
      <x:c r="AR92" s="27"/>
      <x:c r="AS92" s="27"/>
      <x:c r="AT92" s="27"/>
      <x:c r="AU92" s="27"/>
      <x:c r="AV92" s="27"/>
      <x:c r="AW92" s="27"/>
      <x:c r="AX92" s="27"/>
      <x:c r="AY92" s="27"/>
      <x:c r="AZ92" s="27"/>
    </x:row>
    <x:row r="93">
      <x:c r="A93" s="27"/>
      <x:c r="B93" s="27"/>
      <x:c r="C93" s="27"/>
      <x:c r="D93" s="27"/>
      <x:c r="E93" s="27"/>
      <x:c r="F93" s="27"/>
      <x:c r="G93" s="27"/>
      <x:c r="H93" s="27"/>
      <x:c r="I93" s="27"/>
      <x:c r="J93" s="27"/>
      <x:c r="K93" s="27"/>
      <x:c r="L93" s="27"/>
      <x:c r="M93" s="27"/>
      <x:c r="N93" s="27"/>
      <x:c r="O93" s="27"/>
      <x:c r="P93" s="27"/>
      <x:c r="Q93" s="27"/>
      <x:c r="R93" s="27"/>
      <x:c r="S93" s="27"/>
      <x:c r="T93" s="27"/>
      <x:c r="U93" s="27"/>
      <x:c r="V93" s="27"/>
      <x:c r="W93" s="27"/>
      <x:c r="X93" s="27"/>
      <x:c r="Y93" s="27"/>
      <x:c r="Z93" s="27"/>
      <x:c r="AA93" s="27"/>
      <x:c r="AB93" s="27"/>
      <x:c r="AC93" s="27"/>
      <x:c r="AD93" s="27"/>
      <x:c r="AE93" s="27"/>
      <x:c r="AF93" s="27"/>
      <x:c r="AG93" s="27"/>
      <x:c r="AH93" s="27"/>
      <x:c r="AI93" s="27"/>
      <x:c r="AJ93" s="27"/>
      <x:c r="AK93" s="27"/>
      <x:c r="AL93" s="27"/>
      <x:c r="AM93" s="27"/>
      <x:c r="AN93" s="27"/>
      <x:c r="AO93" s="27"/>
      <x:c r="AP93" s="27"/>
      <x:c r="AQ93" s="27"/>
      <x:c r="AR93" s="27"/>
      <x:c r="AS93" s="27"/>
      <x:c r="AT93" s="27"/>
      <x:c r="AU93" s="27"/>
      <x:c r="AV93" s="27"/>
      <x:c r="AW93" s="27"/>
      <x:c r="AX93" s="27"/>
      <x:c r="AY93" s="27"/>
      <x:c r="AZ93" s="27"/>
    </x:row>
    <x:row r="94">
      <x:c r="A94" s="27"/>
      <x:c r="B94" s="27"/>
      <x:c r="C94" s="27"/>
      <x:c r="D94" s="27"/>
      <x:c r="E94" s="27"/>
      <x:c r="F94" s="27"/>
      <x:c r="G94" s="27"/>
      <x:c r="H94" s="27"/>
      <x:c r="I94" s="27"/>
      <x:c r="J94" s="27"/>
      <x:c r="K94" s="27"/>
      <x:c r="L94" s="27"/>
      <x:c r="M94" s="27"/>
      <x:c r="N94" s="27"/>
      <x:c r="O94" s="27"/>
      <x:c r="P94" s="27"/>
      <x:c r="Q94" s="27"/>
      <x:c r="R94" s="27"/>
      <x:c r="S94" s="27"/>
      <x:c r="T94" s="27"/>
      <x:c r="U94" s="27"/>
      <x:c r="V94" s="27"/>
      <x:c r="W94" s="27"/>
      <x:c r="X94" s="27"/>
      <x:c r="Y94" s="27"/>
      <x:c r="Z94" s="27"/>
      <x:c r="AA94" s="27"/>
      <x:c r="AB94" s="27"/>
      <x:c r="AC94" s="27"/>
      <x:c r="AD94" s="27"/>
      <x:c r="AE94" s="27"/>
      <x:c r="AF94" s="27"/>
      <x:c r="AG94" s="27"/>
      <x:c r="AH94" s="27"/>
      <x:c r="AI94" s="27"/>
      <x:c r="AJ94" s="27"/>
      <x:c r="AK94" s="27"/>
      <x:c r="AL94" s="27"/>
      <x:c r="AM94" s="27"/>
      <x:c r="AN94" s="27"/>
      <x:c r="AO94" s="27"/>
      <x:c r="AP94" s="27"/>
      <x:c r="AQ94" s="27"/>
      <x:c r="AR94" s="27"/>
      <x:c r="AS94" s="27"/>
      <x:c r="AT94" s="27"/>
      <x:c r="AU94" s="27"/>
      <x:c r="AV94" s="27"/>
      <x:c r="AW94" s="27"/>
      <x:c r="AX94" s="27"/>
      <x:c r="AY94" s="27"/>
      <x:c r="AZ94" s="27"/>
    </x:row>
    <x:row r="95">
      <x:c r="A95" s="27"/>
      <x:c r="B95" s="27"/>
      <x:c r="C95" s="27"/>
      <x:c r="D95" s="27"/>
      <x:c r="E95" s="27"/>
      <x:c r="F95" s="27"/>
      <x:c r="G95" s="27"/>
      <x:c r="H95" s="27"/>
      <x:c r="I95" s="27"/>
      <x:c r="J95" s="27"/>
      <x:c r="K95" s="27"/>
      <x:c r="L95" s="27"/>
      <x:c r="M95" s="27"/>
      <x:c r="N95" s="27"/>
      <x:c r="O95" s="27"/>
      <x:c r="P95" s="27"/>
      <x:c r="Q95" s="27"/>
      <x:c r="R95" s="27"/>
      <x:c r="S95" s="27"/>
      <x:c r="T95" s="27"/>
      <x:c r="U95" s="27"/>
      <x:c r="V95" s="27"/>
      <x:c r="W95" s="27"/>
      <x:c r="X95" s="27"/>
      <x:c r="Y95" s="27"/>
      <x:c r="Z95" s="27"/>
      <x:c r="AA95" s="27"/>
      <x:c r="AB95" s="27"/>
      <x:c r="AC95" s="27"/>
      <x:c r="AD95" s="27"/>
      <x:c r="AE95" s="27"/>
      <x:c r="AF95" s="27"/>
      <x:c r="AG95" s="27"/>
      <x:c r="AH95" s="27"/>
      <x:c r="AI95" s="27"/>
      <x:c r="AJ95" s="27"/>
      <x:c r="AK95" s="27"/>
      <x:c r="AL95" s="27"/>
      <x:c r="AM95" s="27"/>
      <x:c r="AN95" s="27"/>
      <x:c r="AO95" s="27"/>
      <x:c r="AP95" s="27"/>
      <x:c r="AQ95" s="27"/>
      <x:c r="AR95" s="27"/>
      <x:c r="AS95" s="27"/>
      <x:c r="AT95" s="27"/>
      <x:c r="AU95" s="27"/>
      <x:c r="AV95" s="27"/>
      <x:c r="AW95" s="27"/>
      <x:c r="AX95" s="27"/>
      <x:c r="AY95" s="27"/>
      <x:c r="AZ95" s="27"/>
    </x:row>
    <x:row r="96">
      <x:c r="A96" s="27"/>
      <x:c r="B96" s="27"/>
      <x:c r="C96" s="27"/>
      <x:c r="D96" s="27"/>
      <x:c r="E96" s="27"/>
      <x:c r="F96" s="27"/>
      <x:c r="G96" s="27"/>
      <x:c r="H96" s="27"/>
      <x:c r="I96" s="27"/>
      <x:c r="J96" s="27"/>
      <x:c r="K96" s="27"/>
      <x:c r="L96" s="27"/>
      <x:c r="M96" s="27"/>
      <x:c r="N96" s="27"/>
      <x:c r="O96" s="27"/>
      <x:c r="P96" s="27"/>
      <x:c r="Q96" s="27"/>
      <x:c r="R96" s="27"/>
      <x:c r="S96" s="27"/>
      <x:c r="T96" s="27"/>
      <x:c r="U96" s="27"/>
      <x:c r="V96" s="27"/>
      <x:c r="W96" s="27"/>
      <x:c r="X96" s="27"/>
      <x:c r="Y96" s="27"/>
      <x:c r="Z96" s="27"/>
      <x:c r="AA96" s="27"/>
      <x:c r="AB96" s="27"/>
      <x:c r="AC96" s="27"/>
      <x:c r="AD96" s="27"/>
      <x:c r="AE96" s="27"/>
      <x:c r="AF96" s="27"/>
      <x:c r="AG96" s="27"/>
      <x:c r="AH96" s="27"/>
      <x:c r="AI96" s="27"/>
      <x:c r="AJ96" s="27"/>
      <x:c r="AK96" s="27"/>
      <x:c r="AL96" s="27"/>
      <x:c r="AM96" s="27"/>
      <x:c r="AN96" s="27"/>
      <x:c r="AO96" s="27"/>
      <x:c r="AP96" s="27"/>
      <x:c r="AQ96" s="27"/>
      <x:c r="AR96" s="27"/>
      <x:c r="AS96" s="27"/>
      <x:c r="AT96" s="27"/>
      <x:c r="AU96" s="27"/>
      <x:c r="AV96" s="27"/>
      <x:c r="AW96" s="27"/>
      <x:c r="AX96" s="27"/>
      <x:c r="AY96" s="27"/>
      <x:c r="AZ96" s="27"/>
    </x:row>
    <x:row r="97">
      <x:c r="A97" s="27"/>
      <x:c r="B97" s="27"/>
      <x:c r="C97" s="27"/>
      <x:c r="D97" s="27"/>
      <x:c r="E97" s="27"/>
      <x:c r="F97" s="27"/>
      <x:c r="G97" s="27"/>
      <x:c r="H97" s="27"/>
      <x:c r="I97" s="27"/>
      <x:c r="J97" s="27"/>
      <x:c r="K97" s="27"/>
      <x:c r="L97" s="27"/>
      <x:c r="M97" s="27"/>
      <x:c r="N97" s="27"/>
      <x:c r="O97" s="27"/>
      <x:c r="P97" s="27"/>
      <x:c r="Q97" s="27"/>
      <x:c r="R97" s="27"/>
      <x:c r="S97" s="27"/>
      <x:c r="T97" s="27"/>
      <x:c r="U97" s="27"/>
      <x:c r="V97" s="27"/>
      <x:c r="W97" s="27"/>
      <x:c r="X97" s="27"/>
      <x:c r="Y97" s="27"/>
      <x:c r="Z97" s="27"/>
      <x:c r="AA97" s="27"/>
      <x:c r="AB97" s="27"/>
      <x:c r="AC97" s="27"/>
      <x:c r="AD97" s="27"/>
      <x:c r="AE97" s="27"/>
      <x:c r="AF97" s="27"/>
      <x:c r="AG97" s="27"/>
      <x:c r="AH97" s="27"/>
      <x:c r="AI97" s="27"/>
      <x:c r="AJ97" s="27"/>
      <x:c r="AK97" s="27"/>
      <x:c r="AL97" s="27"/>
      <x:c r="AM97" s="27"/>
      <x:c r="AN97" s="27"/>
      <x:c r="AO97" s="27"/>
      <x:c r="AP97" s="27"/>
      <x:c r="AQ97" s="27"/>
      <x:c r="AR97" s="27"/>
      <x:c r="AS97" s="27"/>
      <x:c r="AT97" s="27"/>
      <x:c r="AU97" s="27"/>
      <x:c r="AV97" s="27"/>
      <x:c r="AW97" s="27"/>
      <x:c r="AX97" s="27"/>
      <x:c r="AY97" s="27"/>
      <x:c r="AZ97" s="27"/>
    </x:row>
    <x:row r="98">
      <x:c r="A98" s="27"/>
      <x:c r="B98" s="27"/>
      <x:c r="C98" s="27"/>
      <x:c r="D98" s="27"/>
      <x:c r="E98" s="27"/>
      <x:c r="F98" s="27"/>
      <x:c r="G98" s="27"/>
      <x:c r="H98" s="27"/>
      <x:c r="I98" s="27"/>
      <x:c r="J98" s="27"/>
      <x:c r="K98" s="27"/>
      <x:c r="L98" s="27"/>
      <x:c r="M98" s="27"/>
      <x:c r="N98" s="27"/>
      <x:c r="O98" s="27"/>
      <x:c r="P98" s="27"/>
      <x:c r="Q98" s="27"/>
      <x:c r="R98" s="27"/>
      <x:c r="S98" s="27"/>
      <x:c r="T98" s="27"/>
      <x:c r="U98" s="27"/>
      <x:c r="V98" s="27"/>
      <x:c r="W98" s="27"/>
      <x:c r="X98" s="27"/>
      <x:c r="Y98" s="27"/>
      <x:c r="Z98" s="27"/>
      <x:c r="AA98" s="27"/>
      <x:c r="AB98" s="27"/>
      <x:c r="AC98" s="27"/>
      <x:c r="AD98" s="27"/>
      <x:c r="AE98" s="27"/>
      <x:c r="AF98" s="27"/>
      <x:c r="AG98" s="27"/>
      <x:c r="AH98" s="27"/>
      <x:c r="AI98" s="27"/>
      <x:c r="AJ98" s="27"/>
      <x:c r="AK98" s="27"/>
      <x:c r="AL98" s="27"/>
      <x:c r="AM98" s="27"/>
      <x:c r="AN98" s="27"/>
      <x:c r="AO98" s="27"/>
      <x:c r="AP98" s="27"/>
      <x:c r="AQ98" s="27"/>
      <x:c r="AR98" s="27"/>
      <x:c r="AS98" s="27"/>
      <x:c r="AT98" s="27"/>
      <x:c r="AU98" s="27"/>
      <x:c r="AV98" s="27"/>
      <x:c r="AW98" s="27"/>
      <x:c r="AX98" s="27"/>
      <x:c r="AY98" s="27"/>
      <x:c r="AZ98" s="27"/>
    </x:row>
    <x:row r="99">
      <x:c r="A99" s="27"/>
      <x:c r="B99" s="27"/>
      <x:c r="C99" s="27"/>
      <x:c r="D99" s="27"/>
      <x:c r="E99" s="27"/>
      <x:c r="F99" s="27"/>
      <x:c r="G99" s="27"/>
      <x:c r="H99" s="27"/>
      <x:c r="I99" s="27"/>
      <x:c r="J99" s="27"/>
      <x:c r="K99" s="27"/>
      <x:c r="L99" s="27"/>
      <x:c r="M99" s="27"/>
      <x:c r="N99" s="27"/>
      <x:c r="O99" s="27"/>
      <x:c r="P99" s="27"/>
      <x:c r="Q99" s="27"/>
      <x:c r="R99" s="27"/>
      <x:c r="S99" s="27"/>
      <x:c r="T99" s="27"/>
      <x:c r="U99" s="27"/>
      <x:c r="V99" s="27"/>
      <x:c r="W99" s="27"/>
      <x:c r="X99" s="27"/>
      <x:c r="Y99" s="27"/>
      <x:c r="Z99" s="27"/>
      <x:c r="AA99" s="27"/>
      <x:c r="AB99" s="27"/>
      <x:c r="AC99" s="27"/>
      <x:c r="AD99" s="27"/>
      <x:c r="AE99" s="27"/>
      <x:c r="AF99" s="27"/>
      <x:c r="AG99" s="27"/>
      <x:c r="AH99" s="27"/>
      <x:c r="AI99" s="27"/>
      <x:c r="AJ99" s="27"/>
      <x:c r="AK99" s="27"/>
      <x:c r="AL99" s="27"/>
      <x:c r="AM99" s="27"/>
      <x:c r="AN99" s="27"/>
      <x:c r="AO99" s="27"/>
      <x:c r="AP99" s="27"/>
      <x:c r="AQ99" s="27"/>
      <x:c r="AR99" s="27"/>
      <x:c r="AS99" s="27"/>
      <x:c r="AT99" s="27"/>
      <x:c r="AU99" s="27"/>
      <x:c r="AV99" s="27"/>
      <x:c r="AW99" s="27"/>
      <x:c r="AX99" s="27"/>
      <x:c r="AY99" s="27"/>
      <x:c r="AZ99" s="27"/>
    </x:row>
    <x:row r="100">
      <x:c r="A100" s="27"/>
      <x:c r="B100" s="27"/>
      <x:c r="C100" s="27"/>
      <x:c r="D100" s="27"/>
      <x:c r="E100" s="27"/>
      <x:c r="F100" s="27"/>
      <x:c r="G100" s="27"/>
      <x:c r="H100" s="27"/>
      <x:c r="I100" s="27"/>
      <x:c r="J100" s="27"/>
      <x:c r="K100" s="27"/>
      <x:c r="L100" s="27"/>
      <x:c r="M100" s="27"/>
      <x:c r="N100" s="27"/>
      <x:c r="O100" s="27"/>
      <x:c r="P100" s="27"/>
      <x:c r="Q100" s="27"/>
      <x:c r="R100" s="27"/>
      <x:c r="S100" s="27"/>
      <x:c r="T100" s="27"/>
      <x:c r="U100" s="27"/>
      <x:c r="V100" s="27"/>
      <x:c r="W100" s="27"/>
      <x:c r="X100" s="27"/>
      <x:c r="Y100" s="27"/>
      <x:c r="Z100" s="27"/>
      <x:c r="AA100" s="27"/>
      <x:c r="AB100" s="27"/>
      <x:c r="AC100" s="27"/>
      <x:c r="AD100" s="27"/>
      <x:c r="AE100" s="27"/>
      <x:c r="AF100" s="27"/>
      <x:c r="AG100" s="27"/>
      <x:c r="AH100" s="27"/>
      <x:c r="AI100" s="27"/>
      <x:c r="AJ100" s="27"/>
      <x:c r="AK100" s="27"/>
      <x:c r="AL100" s="27"/>
      <x:c r="AM100" s="27"/>
      <x:c r="AN100" s="27"/>
      <x:c r="AO100" s="27"/>
      <x:c r="AP100" s="27"/>
      <x:c r="AQ100" s="27"/>
      <x:c r="AR100" s="27"/>
      <x:c r="AS100" s="27"/>
      <x:c r="AT100" s="27"/>
      <x:c r="AU100" s="27"/>
      <x:c r="AV100" s="27"/>
      <x:c r="AW100" s="27"/>
      <x:c r="AX100" s="27"/>
      <x:c r="AY100" s="27"/>
      <x:c r="AZ100" s="27"/>
    </x:row>
    <x:row r="101">
      <x:c r="A101" s="27"/>
      <x:c r="B101" s="27"/>
      <x:c r="C101" s="27"/>
      <x:c r="D101" s="27"/>
      <x:c r="E101" s="27"/>
      <x:c r="F101" s="27"/>
      <x:c r="G101" s="27"/>
      <x:c r="H101" s="27"/>
      <x:c r="I101" s="27"/>
      <x:c r="J101" s="27"/>
      <x:c r="K101" s="27"/>
      <x:c r="L101" s="27"/>
      <x:c r="M101" s="27"/>
      <x:c r="N101" s="27"/>
      <x:c r="O101" s="27"/>
      <x:c r="P101" s="27"/>
      <x:c r="Q101" s="27"/>
      <x:c r="R101" s="27"/>
      <x:c r="S101" s="27"/>
      <x:c r="T101" s="27"/>
      <x:c r="U101" s="27"/>
      <x:c r="V101" s="27"/>
      <x:c r="W101" s="27"/>
      <x:c r="X101" s="27"/>
      <x:c r="Y101" s="27"/>
      <x:c r="Z101" s="27"/>
      <x:c r="AA101" s="27"/>
      <x:c r="AB101" s="27"/>
      <x:c r="AC101" s="27"/>
      <x:c r="AD101" s="27"/>
      <x:c r="AE101" s="27"/>
      <x:c r="AF101" s="27"/>
      <x:c r="AG101" s="27"/>
      <x:c r="AH101" s="27"/>
      <x:c r="AI101" s="27"/>
      <x:c r="AJ101" s="27"/>
      <x:c r="AK101" s="27"/>
      <x:c r="AL101" s="27"/>
      <x:c r="AM101" s="27"/>
      <x:c r="AN101" s="27"/>
      <x:c r="AO101" s="27"/>
      <x:c r="AP101" s="27"/>
      <x:c r="AQ101" s="27"/>
      <x:c r="AR101" s="27"/>
      <x:c r="AS101" s="27"/>
      <x:c r="AT101" s="27"/>
      <x:c r="AU101" s="27"/>
      <x:c r="AV101" s="27"/>
      <x:c r="AW101" s="27"/>
      <x:c r="AX101" s="27"/>
      <x:c r="AY101" s="27"/>
      <x:c r="AZ101" s="27"/>
    </x:row>
    <x:row r="102">
      <x:c r="A102" s="27"/>
      <x:c r="B102" s="27"/>
      <x:c r="C102" s="27"/>
      <x:c r="D102" s="27"/>
      <x:c r="E102" s="27"/>
      <x:c r="F102" s="27"/>
      <x:c r="G102" s="27"/>
      <x:c r="H102" s="27"/>
      <x:c r="I102" s="27"/>
      <x:c r="J102" s="27"/>
      <x:c r="K102" s="27"/>
      <x:c r="L102" s="27"/>
      <x:c r="M102" s="27"/>
      <x:c r="N102" s="27"/>
      <x:c r="O102" s="27"/>
      <x:c r="P102" s="27"/>
      <x:c r="Q102" s="27"/>
      <x:c r="R102" s="27"/>
      <x:c r="S102" s="27"/>
      <x:c r="T102" s="27"/>
      <x:c r="U102" s="27"/>
      <x:c r="V102" s="27"/>
      <x:c r="W102" s="27"/>
      <x:c r="X102" s="27"/>
      <x:c r="Y102" s="27"/>
      <x:c r="Z102" s="27"/>
      <x:c r="AA102" s="27"/>
      <x:c r="AB102" s="27"/>
      <x:c r="AC102" s="27"/>
      <x:c r="AD102" s="27"/>
      <x:c r="AE102" s="27"/>
      <x:c r="AF102" s="27"/>
      <x:c r="AG102" s="27"/>
      <x:c r="AH102" s="27"/>
      <x:c r="AI102" s="27"/>
      <x:c r="AJ102" s="27"/>
      <x:c r="AK102" s="27"/>
      <x:c r="AL102" s="27"/>
      <x:c r="AM102" s="27"/>
      <x:c r="AN102" s="27"/>
      <x:c r="AO102" s="27"/>
      <x:c r="AP102" s="27"/>
      <x:c r="AQ102" s="27"/>
      <x:c r="AR102" s="27"/>
      <x:c r="AS102" s="27"/>
      <x:c r="AT102" s="27"/>
      <x:c r="AU102" s="27"/>
      <x:c r="AV102" s="27"/>
      <x:c r="AW102" s="27"/>
      <x:c r="AX102" s="27"/>
      <x:c r="AY102" s="27"/>
      <x:c r="AZ102" s="27"/>
    </x:row>
    <x:row r="103">
      <x:c r="A103" s="27"/>
      <x:c r="B103" s="27"/>
      <x:c r="C103" s="27"/>
      <x:c r="D103" s="27"/>
      <x:c r="E103" s="27"/>
      <x:c r="F103" s="27"/>
      <x:c r="G103" s="27"/>
      <x:c r="H103" s="27"/>
      <x:c r="I103" s="27"/>
      <x:c r="J103" s="27"/>
      <x:c r="K103" s="27"/>
      <x:c r="L103" s="27"/>
      <x:c r="M103" s="27"/>
      <x:c r="N103" s="27"/>
      <x:c r="O103" s="27"/>
      <x:c r="P103" s="27"/>
      <x:c r="Q103" s="27"/>
      <x:c r="R103" s="27"/>
      <x:c r="S103" s="27"/>
      <x:c r="T103" s="27"/>
      <x:c r="U103" s="27"/>
      <x:c r="V103" s="27"/>
      <x:c r="W103" s="27"/>
      <x:c r="X103" s="27"/>
      <x:c r="Y103" s="27"/>
      <x:c r="Z103" s="27"/>
      <x:c r="AA103" s="27"/>
      <x:c r="AB103" s="27"/>
      <x:c r="AC103" s="27"/>
      <x:c r="AD103" s="27"/>
      <x:c r="AE103" s="27"/>
      <x:c r="AF103" s="27"/>
      <x:c r="AG103" s="27"/>
      <x:c r="AH103" s="27"/>
      <x:c r="AI103" s="27"/>
      <x:c r="AJ103" s="27"/>
      <x:c r="AK103" s="27"/>
      <x:c r="AL103" s="27"/>
      <x:c r="AM103" s="27"/>
      <x:c r="AN103" s="27"/>
      <x:c r="AO103" s="27"/>
      <x:c r="AP103" s="27"/>
      <x:c r="AQ103" s="27"/>
      <x:c r="AR103" s="27"/>
      <x:c r="AS103" s="27"/>
      <x:c r="AT103" s="27"/>
      <x:c r="AU103" s="27"/>
      <x:c r="AV103" s="27"/>
      <x:c r="AW103" s="27"/>
      <x:c r="AX103" s="27"/>
      <x:c r="AY103" s="27"/>
      <x:c r="AZ103" s="27"/>
    </x:row>
    <x:row r="104">
      <x:c r="A104" s="27"/>
      <x:c r="B104" s="27"/>
      <x:c r="C104" s="27"/>
      <x:c r="D104" s="27"/>
      <x:c r="E104" s="27"/>
      <x:c r="F104" s="27"/>
      <x:c r="G104" s="27"/>
      <x:c r="H104" s="27"/>
      <x:c r="I104" s="27"/>
      <x:c r="J104" s="27"/>
      <x:c r="K104" s="27"/>
      <x:c r="L104" s="27"/>
      <x:c r="M104" s="27"/>
      <x:c r="N104" s="27"/>
      <x:c r="O104" s="27"/>
      <x:c r="P104" s="27"/>
      <x:c r="Q104" s="27"/>
      <x:c r="R104" s="27"/>
      <x:c r="S104" s="27"/>
      <x:c r="T104" s="27"/>
      <x:c r="U104" s="27"/>
      <x:c r="V104" s="27"/>
      <x:c r="W104" s="27"/>
      <x:c r="X104" s="27"/>
      <x:c r="Y104" s="27"/>
      <x:c r="Z104" s="27"/>
      <x:c r="AA104" s="27"/>
      <x:c r="AB104" s="27"/>
      <x:c r="AC104" s="27"/>
      <x:c r="AD104" s="27"/>
      <x:c r="AE104" s="27"/>
      <x:c r="AF104" s="27"/>
      <x:c r="AG104" s="27"/>
      <x:c r="AH104" s="27"/>
      <x:c r="AI104" s="27"/>
      <x:c r="AJ104" s="27"/>
      <x:c r="AK104" s="27"/>
      <x:c r="AL104" s="27"/>
      <x:c r="AM104" s="27"/>
      <x:c r="AN104" s="27"/>
      <x:c r="AO104" s="27"/>
      <x:c r="AP104" s="27"/>
      <x:c r="AQ104" s="27"/>
      <x:c r="AR104" s="27"/>
      <x:c r="AS104" s="27"/>
      <x:c r="AT104" s="27"/>
      <x:c r="AU104" s="27"/>
      <x:c r="AV104" s="27"/>
      <x:c r="AW104" s="27"/>
      <x:c r="AX104" s="27"/>
      <x:c r="AY104" s="27"/>
      <x:c r="AZ104" s="27"/>
    </x:row>
    <x:row r="105">
      <x:c r="A105" s="27"/>
      <x:c r="B105" s="27"/>
      <x:c r="C105" s="27"/>
      <x:c r="D105" s="27"/>
      <x:c r="E105" s="27"/>
      <x:c r="F105" s="27"/>
      <x:c r="G105" s="27"/>
      <x:c r="H105" s="27"/>
      <x:c r="I105" s="27"/>
      <x:c r="J105" s="27"/>
      <x:c r="K105" s="27"/>
      <x:c r="L105" s="27"/>
      <x:c r="M105" s="27"/>
      <x:c r="N105" s="27"/>
      <x:c r="O105" s="27"/>
      <x:c r="P105" s="27"/>
      <x:c r="Q105" s="27"/>
      <x:c r="R105" s="27"/>
      <x:c r="S105" s="27"/>
      <x:c r="T105" s="27"/>
      <x:c r="U105" s="27"/>
      <x:c r="V105" s="27"/>
      <x:c r="W105" s="27"/>
      <x:c r="X105" s="27"/>
      <x:c r="Y105" s="27"/>
      <x:c r="Z105" s="27"/>
      <x:c r="AA105" s="27"/>
      <x:c r="AB105" s="27"/>
      <x:c r="AC105" s="27"/>
      <x:c r="AD105" s="27"/>
      <x:c r="AE105" s="27"/>
      <x:c r="AF105" s="27"/>
      <x:c r="AG105" s="27"/>
      <x:c r="AH105" s="27"/>
      <x:c r="AI105" s="27"/>
      <x:c r="AJ105" s="27"/>
      <x:c r="AK105" s="27"/>
      <x:c r="AL105" s="27"/>
      <x:c r="AM105" s="27"/>
      <x:c r="AN105" s="27"/>
      <x:c r="AO105" s="27"/>
      <x:c r="AP105" s="27"/>
      <x:c r="AQ105" s="27"/>
      <x:c r="AR105" s="27"/>
      <x:c r="AS105" s="27"/>
      <x:c r="AT105" s="27"/>
      <x:c r="AU105" s="27"/>
      <x:c r="AV105" s="27"/>
      <x:c r="AW105" s="27"/>
      <x:c r="AX105" s="27"/>
      <x:c r="AY105" s="27"/>
      <x:c r="AZ105" s="27"/>
    </x:row>
    <x:row r="106">
      <x:c r="A106" s="27"/>
      <x:c r="B106" s="27"/>
      <x:c r="C106" s="27"/>
      <x:c r="D106" s="27"/>
      <x:c r="E106" s="27"/>
      <x:c r="F106" s="27"/>
      <x:c r="G106" s="27"/>
      <x:c r="H106" s="27"/>
      <x:c r="I106" s="27"/>
      <x:c r="J106" s="27"/>
      <x:c r="K106" s="27"/>
      <x:c r="L106" s="27"/>
      <x:c r="M106" s="27"/>
      <x:c r="N106" s="27"/>
      <x:c r="O106" s="27"/>
      <x:c r="P106" s="27"/>
      <x:c r="Q106" s="27"/>
      <x:c r="R106" s="27"/>
      <x:c r="S106" s="27"/>
      <x:c r="T106" s="27"/>
      <x:c r="U106" s="27"/>
      <x:c r="V106" s="27"/>
      <x:c r="W106" s="27"/>
      <x:c r="X106" s="27"/>
      <x:c r="Y106" s="27"/>
      <x:c r="Z106" s="27"/>
      <x:c r="AA106" s="27"/>
      <x:c r="AB106" s="27"/>
      <x:c r="AC106" s="27"/>
      <x:c r="AD106" s="27"/>
      <x:c r="AE106" s="27"/>
      <x:c r="AF106" s="27"/>
      <x:c r="AG106" s="27"/>
      <x:c r="AH106" s="27"/>
      <x:c r="AI106" s="27"/>
      <x:c r="AJ106" s="27"/>
      <x:c r="AK106" s="27"/>
      <x:c r="AL106" s="27"/>
      <x:c r="AM106" s="27"/>
      <x:c r="AN106" s="27"/>
      <x:c r="AO106" s="27"/>
      <x:c r="AP106" s="27"/>
      <x:c r="AQ106" s="27"/>
      <x:c r="AR106" s="27"/>
      <x:c r="AS106" s="27"/>
      <x:c r="AT106" s="27"/>
      <x:c r="AU106" s="27"/>
      <x:c r="AV106" s="27"/>
      <x:c r="AW106" s="27"/>
      <x:c r="AX106" s="27"/>
      <x:c r="AY106" s="27"/>
      <x:c r="AZ106" s="27"/>
    </x:row>
    <x:row r="107">
      <x:c r="A107" s="27"/>
      <x:c r="B107" s="27"/>
      <x:c r="C107" s="27"/>
      <x:c r="D107" s="27"/>
      <x:c r="E107" s="27"/>
      <x:c r="F107" s="27"/>
      <x:c r="G107" s="27"/>
      <x:c r="H107" s="27"/>
      <x:c r="I107" s="27"/>
      <x:c r="J107" s="27"/>
      <x:c r="K107" s="27"/>
      <x:c r="L107" s="27"/>
      <x:c r="M107" s="27"/>
      <x:c r="N107" s="27"/>
      <x:c r="O107" s="27"/>
      <x:c r="P107" s="27"/>
      <x:c r="Q107" s="27"/>
      <x:c r="R107" s="27"/>
      <x:c r="S107" s="27"/>
      <x:c r="T107" s="27"/>
      <x:c r="U107" s="27"/>
      <x:c r="V107" s="27"/>
      <x:c r="W107" s="27"/>
      <x:c r="X107" s="27"/>
      <x:c r="Y107" s="27"/>
      <x:c r="Z107" s="27"/>
      <x:c r="AA107" s="27"/>
      <x:c r="AB107" s="27"/>
      <x:c r="AC107" s="27"/>
      <x:c r="AD107" s="27"/>
      <x:c r="AE107" s="27"/>
      <x:c r="AF107" s="27"/>
      <x:c r="AG107" s="27"/>
      <x:c r="AH107" s="27"/>
      <x:c r="AI107" s="27"/>
      <x:c r="AJ107" s="27"/>
      <x:c r="AK107" s="27"/>
      <x:c r="AL107" s="27"/>
      <x:c r="AM107" s="27"/>
      <x:c r="AN107" s="27"/>
      <x:c r="AO107" s="27"/>
      <x:c r="AP107" s="27"/>
      <x:c r="AQ107" s="27"/>
      <x:c r="AR107" s="27"/>
      <x:c r="AS107" s="27"/>
      <x:c r="AT107" s="27"/>
      <x:c r="AU107" s="27"/>
      <x:c r="AV107" s="27"/>
      <x:c r="AW107" s="27"/>
      <x:c r="AX107" s="27"/>
      <x:c r="AY107" s="27"/>
      <x:c r="AZ107" s="27"/>
    </x:row>
    <x:row r="108">
      <x:c r="A108" s="27"/>
      <x:c r="B108" s="27"/>
      <x:c r="C108" s="27"/>
      <x:c r="D108" s="27"/>
      <x:c r="E108" s="27"/>
      <x:c r="F108" s="27"/>
      <x:c r="G108" s="27"/>
      <x:c r="H108" s="27"/>
      <x:c r="I108" s="27"/>
      <x:c r="J108" s="27"/>
      <x:c r="K108" s="27"/>
      <x:c r="L108" s="27"/>
      <x:c r="M108" s="27"/>
      <x:c r="N108" s="27"/>
      <x:c r="O108" s="27"/>
      <x:c r="P108" s="27"/>
      <x:c r="Q108" s="27"/>
      <x:c r="R108" s="27"/>
      <x:c r="S108" s="27"/>
      <x:c r="T108" s="27"/>
      <x:c r="U108" s="27"/>
      <x:c r="V108" s="27"/>
      <x:c r="W108" s="27"/>
      <x:c r="X108" s="27"/>
      <x:c r="Y108" s="27"/>
      <x:c r="Z108" s="27"/>
      <x:c r="AA108" s="27"/>
      <x:c r="AB108" s="27"/>
      <x:c r="AC108" s="27"/>
      <x:c r="AD108" s="27"/>
      <x:c r="AE108" s="27"/>
      <x:c r="AF108" s="27"/>
      <x:c r="AG108" s="27"/>
      <x:c r="AH108" s="27"/>
      <x:c r="AI108" s="27"/>
      <x:c r="AJ108" s="27"/>
      <x:c r="AK108" s="27"/>
      <x:c r="AL108" s="27"/>
      <x:c r="AM108" s="27"/>
      <x:c r="AN108" s="27"/>
      <x:c r="AO108" s="27"/>
      <x:c r="AP108" s="27"/>
      <x:c r="AQ108" s="27"/>
      <x:c r="AR108" s="27"/>
      <x:c r="AS108" s="27"/>
      <x:c r="AT108" s="27"/>
      <x:c r="AU108" s="27"/>
      <x:c r="AV108" s="27"/>
      <x:c r="AW108" s="27"/>
      <x:c r="AX108" s="27"/>
      <x:c r="AY108" s="27"/>
      <x:c r="AZ108" s="27"/>
    </x:row>
    <x:row r="109">
      <x:c r="A109" s="27"/>
      <x:c r="B109" s="27"/>
      <x:c r="C109" s="27"/>
      <x:c r="D109" s="27"/>
      <x:c r="E109" s="27"/>
      <x:c r="F109" s="27"/>
      <x:c r="G109" s="27"/>
      <x:c r="H109" s="27"/>
      <x:c r="I109" s="27"/>
      <x:c r="J109" s="27"/>
      <x:c r="K109" s="27"/>
      <x:c r="L109" s="27"/>
      <x:c r="M109" s="27"/>
      <x:c r="N109" s="27"/>
      <x:c r="O109" s="27"/>
      <x:c r="P109" s="27"/>
      <x:c r="Q109" s="27"/>
      <x:c r="R109" s="27"/>
      <x:c r="S109" s="27"/>
      <x:c r="T109" s="27"/>
      <x:c r="U109" s="27"/>
      <x:c r="V109" s="27"/>
      <x:c r="W109" s="27"/>
      <x:c r="X109" s="27"/>
      <x:c r="Y109" s="27"/>
      <x:c r="Z109" s="27"/>
      <x:c r="AA109" s="27"/>
      <x:c r="AB109" s="27"/>
      <x:c r="AC109" s="27"/>
      <x:c r="AD109" s="27"/>
      <x:c r="AE109" s="27"/>
      <x:c r="AF109" s="27"/>
      <x:c r="AG109" s="27"/>
      <x:c r="AH109" s="27"/>
      <x:c r="AI109" s="27"/>
      <x:c r="AJ109" s="27"/>
      <x:c r="AK109" s="27"/>
      <x:c r="AL109" s="27"/>
      <x:c r="AM109" s="27"/>
      <x:c r="AN109" s="27"/>
      <x:c r="AO109" s="27"/>
      <x:c r="AP109" s="27"/>
      <x:c r="AQ109" s="27"/>
      <x:c r="AR109" s="27"/>
      <x:c r="AS109" s="27"/>
      <x:c r="AT109" s="27"/>
      <x:c r="AU109" s="27"/>
      <x:c r="AV109" s="27"/>
      <x:c r="AW109" s="27"/>
      <x:c r="AX109" s="27"/>
      <x:c r="AY109" s="27"/>
      <x:c r="AZ109" s="27"/>
    </x:row>
    <x:row r="110">
      <x:c r="A110" s="27"/>
      <x:c r="B110" s="27"/>
      <x:c r="C110" s="27"/>
      <x:c r="D110" s="27"/>
      <x:c r="E110" s="27"/>
      <x:c r="F110" s="27"/>
      <x:c r="G110" s="27"/>
      <x:c r="H110" s="27"/>
      <x:c r="I110" s="27"/>
      <x:c r="J110" s="27"/>
      <x:c r="K110" s="27"/>
      <x:c r="L110" s="27"/>
      <x:c r="M110" s="27"/>
      <x:c r="N110" s="27"/>
      <x:c r="O110" s="27"/>
      <x:c r="P110" s="27"/>
      <x:c r="Q110" s="27"/>
      <x:c r="R110" s="27"/>
      <x:c r="S110" s="27"/>
      <x:c r="T110" s="27"/>
      <x:c r="U110" s="27"/>
      <x:c r="V110" s="27"/>
      <x:c r="W110" s="27"/>
      <x:c r="X110" s="27"/>
      <x:c r="Y110" s="27"/>
      <x:c r="Z110" s="27"/>
      <x:c r="AA110" s="27"/>
      <x:c r="AB110" s="27"/>
      <x:c r="AC110" s="27"/>
      <x:c r="AD110" s="27"/>
      <x:c r="AE110" s="27"/>
      <x:c r="AF110" s="27"/>
      <x:c r="AG110" s="27"/>
      <x:c r="AH110" s="27"/>
      <x:c r="AI110" s="27"/>
      <x:c r="AJ110" s="27"/>
      <x:c r="AK110" s="27"/>
      <x:c r="AL110" s="27"/>
      <x:c r="AM110" s="27"/>
      <x:c r="AN110" s="27"/>
      <x:c r="AO110" s="27"/>
      <x:c r="AP110" s="27"/>
      <x:c r="AQ110" s="27"/>
      <x:c r="AR110" s="27"/>
      <x:c r="AS110" s="27"/>
      <x:c r="AT110" s="27"/>
      <x:c r="AU110" s="27"/>
      <x:c r="AV110" s="27"/>
      <x:c r="AW110" s="27"/>
      <x:c r="AX110" s="27"/>
      <x:c r="AY110" s="27"/>
      <x:c r="AZ110" s="27"/>
    </x:row>
    <x:row r="111">
      <x:c r="A111" s="27"/>
      <x:c r="B111" s="27"/>
      <x:c r="C111" s="27"/>
      <x:c r="D111" s="27"/>
      <x:c r="E111" s="27"/>
      <x:c r="F111" s="27"/>
      <x:c r="G111" s="27"/>
      <x:c r="H111" s="27"/>
      <x:c r="I111" s="27"/>
      <x:c r="J111" s="27"/>
      <x:c r="K111" s="27"/>
      <x:c r="L111" s="27"/>
      <x:c r="M111" s="27"/>
      <x:c r="N111" s="27"/>
      <x:c r="O111" s="27"/>
      <x:c r="P111" s="27"/>
      <x:c r="Q111" s="27"/>
      <x:c r="R111" s="27"/>
      <x:c r="S111" s="27"/>
      <x:c r="T111" s="27"/>
      <x:c r="U111" s="27"/>
      <x:c r="V111" s="27"/>
      <x:c r="W111" s="27"/>
      <x:c r="X111" s="27"/>
      <x:c r="Y111" s="27"/>
      <x:c r="Z111" s="27"/>
      <x:c r="AA111" s="27"/>
      <x:c r="AB111" s="27"/>
      <x:c r="AC111" s="27"/>
      <x:c r="AD111" s="27"/>
      <x:c r="AE111" s="27"/>
      <x:c r="AF111" s="27"/>
      <x:c r="AG111" s="27"/>
      <x:c r="AH111" s="27"/>
      <x:c r="AI111" s="27"/>
      <x:c r="AJ111" s="27"/>
      <x:c r="AK111" s="27"/>
      <x:c r="AL111" s="27"/>
      <x:c r="AM111" s="27"/>
      <x:c r="AN111" s="27"/>
      <x:c r="AO111" s="27"/>
      <x:c r="AP111" s="27"/>
      <x:c r="AQ111" s="27"/>
      <x:c r="AR111" s="27"/>
      <x:c r="AS111" s="27"/>
      <x:c r="AT111" s="27"/>
      <x:c r="AU111" s="27"/>
      <x:c r="AV111" s="27"/>
      <x:c r="AW111" s="27"/>
      <x:c r="AX111" s="27"/>
      <x:c r="AY111" s="27"/>
      <x:c r="AZ111" s="27"/>
    </x:row>
    <x:row r="112">
      <x:c r="A112" s="27"/>
      <x:c r="B112" s="27"/>
      <x:c r="C112" s="27"/>
      <x:c r="D112" s="27"/>
      <x:c r="E112" s="27"/>
      <x:c r="F112" s="27"/>
      <x:c r="G112" s="27"/>
      <x:c r="H112" s="27"/>
      <x:c r="I112" s="27"/>
      <x:c r="J112" s="27"/>
      <x:c r="K112" s="27"/>
      <x:c r="L112" s="27"/>
      <x:c r="M112" s="27"/>
      <x:c r="N112" s="27"/>
      <x:c r="O112" s="27"/>
      <x:c r="P112" s="27"/>
      <x:c r="Q112" s="27"/>
      <x:c r="R112" s="27"/>
      <x:c r="S112" s="27"/>
      <x:c r="T112" s="27"/>
      <x:c r="U112" s="27"/>
      <x:c r="V112" s="27"/>
      <x:c r="W112" s="27"/>
      <x:c r="X112" s="27"/>
      <x:c r="Y112" s="27"/>
      <x:c r="Z112" s="27"/>
      <x:c r="AA112" s="27"/>
      <x:c r="AB112" s="27"/>
      <x:c r="AC112" s="27"/>
      <x:c r="AD112" s="27"/>
      <x:c r="AE112" s="27"/>
      <x:c r="AF112" s="27"/>
      <x:c r="AG112" s="27"/>
      <x:c r="AH112" s="27"/>
      <x:c r="AI112" s="27"/>
      <x:c r="AJ112" s="27"/>
      <x:c r="AK112" s="27"/>
      <x:c r="AL112" s="27"/>
      <x:c r="AM112" s="27"/>
      <x:c r="AN112" s="27"/>
      <x:c r="AO112" s="27"/>
      <x:c r="AP112" s="27"/>
      <x:c r="AQ112" s="27"/>
      <x:c r="AR112" s="27"/>
      <x:c r="AS112" s="27"/>
      <x:c r="AT112" s="27"/>
      <x:c r="AU112" s="27"/>
      <x:c r="AV112" s="27"/>
      <x:c r="AW112" s="27"/>
      <x:c r="AX112" s="27"/>
      <x:c r="AY112" s="27"/>
      <x:c r="AZ112" s="27"/>
    </x:row>
    <x:row r="113">
      <x:c r="A113" s="27"/>
      <x:c r="B113" s="27"/>
      <x:c r="C113" s="27"/>
      <x:c r="D113" s="27"/>
      <x:c r="E113" s="27"/>
      <x:c r="F113" s="27"/>
      <x:c r="G113" s="27"/>
      <x:c r="H113" s="27"/>
      <x:c r="I113" s="27"/>
      <x:c r="J113" s="27"/>
      <x:c r="K113" s="27"/>
      <x:c r="L113" s="27"/>
      <x:c r="M113" s="27"/>
      <x:c r="N113" s="27"/>
      <x:c r="O113" s="27"/>
      <x:c r="P113" s="27"/>
      <x:c r="Q113" s="27"/>
      <x:c r="R113" s="27"/>
      <x:c r="S113" s="27"/>
      <x:c r="T113" s="27"/>
      <x:c r="U113" s="27"/>
      <x:c r="V113" s="27"/>
      <x:c r="W113" s="27"/>
      <x:c r="X113" s="27"/>
      <x:c r="Y113" s="27"/>
      <x:c r="Z113" s="27"/>
      <x:c r="AA113" s="27"/>
      <x:c r="AB113" s="27"/>
      <x:c r="AC113" s="27"/>
      <x:c r="AD113" s="27"/>
      <x:c r="AE113" s="27"/>
      <x:c r="AF113" s="27"/>
      <x:c r="AG113" s="27"/>
      <x:c r="AH113" s="27"/>
      <x:c r="AI113" s="27"/>
      <x:c r="AJ113" s="27"/>
      <x:c r="AK113" s="27"/>
      <x:c r="AL113" s="27"/>
      <x:c r="AM113" s="27"/>
      <x:c r="AN113" s="27"/>
      <x:c r="AO113" s="27"/>
      <x:c r="AP113" s="27"/>
      <x:c r="AQ113" s="27"/>
      <x:c r="AR113" s="27"/>
      <x:c r="AS113" s="27"/>
      <x:c r="AT113" s="27"/>
      <x:c r="AU113" s="27"/>
      <x:c r="AV113" s="27"/>
      <x:c r="AW113" s="27"/>
      <x:c r="AX113" s="27"/>
      <x:c r="AY113" s="27"/>
      <x:c r="AZ113" s="27"/>
    </x:row>
    <x:row r="114">
      <x:c r="A114" s="27"/>
      <x:c r="B114" s="27"/>
      <x:c r="C114" s="27"/>
      <x:c r="D114" s="27"/>
      <x:c r="E114" s="27"/>
      <x:c r="F114" s="27"/>
      <x:c r="G114" s="27"/>
      <x:c r="H114" s="27"/>
      <x:c r="I114" s="27"/>
      <x:c r="J114" s="27"/>
      <x:c r="K114" s="27"/>
      <x:c r="L114" s="27"/>
      <x:c r="M114" s="27"/>
      <x:c r="N114" s="27"/>
      <x:c r="O114" s="27"/>
      <x:c r="P114" s="27"/>
      <x:c r="Q114" s="27"/>
      <x:c r="R114" s="27"/>
      <x:c r="S114" s="27"/>
      <x:c r="T114" s="27"/>
      <x:c r="U114" s="27"/>
      <x:c r="V114" s="27"/>
      <x:c r="W114" s="27"/>
      <x:c r="X114" s="27"/>
      <x:c r="Y114" s="27"/>
      <x:c r="Z114" s="27"/>
      <x:c r="AA114" s="27"/>
      <x:c r="AB114" s="27"/>
      <x:c r="AC114" s="27"/>
      <x:c r="AD114" s="27"/>
      <x:c r="AE114" s="27"/>
      <x:c r="AF114" s="27"/>
      <x:c r="AG114" s="27"/>
      <x:c r="AH114" s="27"/>
      <x:c r="AI114" s="27"/>
      <x:c r="AJ114" s="27"/>
      <x:c r="AK114" s="27"/>
      <x:c r="AL114" s="27"/>
      <x:c r="AM114" s="27"/>
      <x:c r="AN114" s="27"/>
      <x:c r="AO114" s="27"/>
      <x:c r="AP114" s="27"/>
      <x:c r="AQ114" s="27"/>
      <x:c r="AR114" s="27"/>
      <x:c r="AS114" s="27"/>
      <x:c r="AT114" s="27"/>
      <x:c r="AU114" s="27"/>
      <x:c r="AV114" s="27"/>
      <x:c r="AW114" s="27"/>
      <x:c r="AX114" s="27"/>
      <x:c r="AY114" s="27"/>
      <x:c r="AZ114" s="27"/>
    </x:row>
    <x:row r="115">
      <x:c r="A115" s="27"/>
      <x:c r="B115" s="27"/>
      <x:c r="C115" s="27"/>
      <x:c r="D115" s="27"/>
      <x:c r="E115" s="27"/>
      <x:c r="F115" s="27"/>
      <x:c r="G115" s="27"/>
      <x:c r="H115" s="27"/>
      <x:c r="I115" s="27"/>
      <x:c r="J115" s="27"/>
      <x:c r="K115" s="27"/>
      <x:c r="L115" s="27"/>
      <x:c r="M115" s="27"/>
      <x:c r="N115" s="27"/>
      <x:c r="O115" s="27"/>
      <x:c r="P115" s="27"/>
      <x:c r="Q115" s="27"/>
      <x:c r="R115" s="27"/>
      <x:c r="S115" s="27"/>
      <x:c r="T115" s="27"/>
      <x:c r="U115" s="27"/>
      <x:c r="V115" s="27"/>
      <x:c r="W115" s="27"/>
      <x:c r="X115" s="27"/>
      <x:c r="Y115" s="27"/>
      <x:c r="Z115" s="27"/>
      <x:c r="AA115" s="27"/>
      <x:c r="AB115" s="27"/>
      <x:c r="AC115" s="27"/>
      <x:c r="AD115" s="27"/>
      <x:c r="AE115" s="27"/>
      <x:c r="AF115" s="27"/>
      <x:c r="AG115" s="27"/>
      <x:c r="AH115" s="27"/>
      <x:c r="AI115" s="27"/>
      <x:c r="AJ115" s="27"/>
      <x:c r="AK115" s="27"/>
      <x:c r="AL115" s="27"/>
      <x:c r="AM115" s="27"/>
      <x:c r="AN115" s="27"/>
      <x:c r="AO115" s="27"/>
      <x:c r="AP115" s="27"/>
      <x:c r="AQ115" s="27"/>
      <x:c r="AR115" s="27"/>
      <x:c r="AS115" s="27"/>
      <x:c r="AT115" s="27"/>
      <x:c r="AU115" s="27"/>
      <x:c r="AV115" s="27"/>
      <x:c r="AW115" s="27"/>
      <x:c r="AX115" s="27"/>
      <x:c r="AY115" s="27"/>
      <x:c r="AZ115" s="27"/>
    </x:row>
    <x:row r="116">
      <x:c r="A116" s="27"/>
      <x:c r="B116" s="27"/>
      <x:c r="C116" s="27"/>
      <x:c r="D116" s="27"/>
      <x:c r="E116" s="27"/>
      <x:c r="F116" s="27"/>
      <x:c r="G116" s="27"/>
      <x:c r="H116" s="27"/>
      <x:c r="I116" s="27"/>
      <x:c r="J116" s="27"/>
      <x:c r="K116" s="27"/>
      <x:c r="L116" s="27"/>
      <x:c r="M116" s="27"/>
      <x:c r="N116" s="27"/>
      <x:c r="O116" s="27"/>
      <x:c r="P116" s="27"/>
      <x:c r="Q116" s="27"/>
      <x:c r="R116" s="27"/>
      <x:c r="S116" s="27"/>
      <x:c r="T116" s="27"/>
      <x:c r="U116" s="27"/>
      <x:c r="V116" s="27"/>
      <x:c r="W116" s="27"/>
      <x:c r="X116" s="27"/>
      <x:c r="Y116" s="27"/>
      <x:c r="Z116" s="27"/>
      <x:c r="AA116" s="27"/>
      <x:c r="AB116" s="27"/>
      <x:c r="AC116" s="27"/>
      <x:c r="AD116" s="27"/>
      <x:c r="AE116" s="27"/>
      <x:c r="AF116" s="27"/>
      <x:c r="AG116" s="27"/>
      <x:c r="AH116" s="27"/>
      <x:c r="AI116" s="27"/>
      <x:c r="AJ116" s="27"/>
      <x:c r="AK116" s="27"/>
      <x:c r="AL116" s="27"/>
      <x:c r="AM116" s="27"/>
      <x:c r="AN116" s="27"/>
      <x:c r="AO116" s="27"/>
      <x:c r="AP116" s="27"/>
      <x:c r="AQ116" s="27"/>
      <x:c r="AR116" s="27"/>
      <x:c r="AS116" s="27"/>
      <x:c r="AT116" s="27"/>
      <x:c r="AU116" s="27"/>
      <x:c r="AV116" s="27"/>
      <x:c r="AW116" s="27"/>
      <x:c r="AX116" s="27"/>
      <x:c r="AY116" s="27"/>
      <x:c r="AZ116" s="27"/>
    </x:row>
    <x:row r="117">
      <x:c r="A117" s="27"/>
      <x:c r="B117" s="27"/>
      <x:c r="C117" s="27"/>
      <x:c r="D117" s="27"/>
      <x:c r="E117" s="27"/>
      <x:c r="F117" s="27"/>
      <x:c r="G117" s="27"/>
      <x:c r="H117" s="27"/>
      <x:c r="I117" s="27"/>
      <x:c r="J117" s="27"/>
      <x:c r="K117" s="27"/>
      <x:c r="L117" s="27"/>
      <x:c r="M117" s="27"/>
      <x:c r="N117" s="27"/>
      <x:c r="O117" s="27"/>
      <x:c r="P117" s="27"/>
      <x:c r="Q117" s="27"/>
      <x:c r="R117" s="27"/>
      <x:c r="S117" s="27"/>
      <x:c r="T117" s="27"/>
      <x:c r="U117" s="27"/>
      <x:c r="V117" s="27"/>
      <x:c r="W117" s="27"/>
      <x:c r="X117" s="27"/>
      <x:c r="Y117" s="27"/>
      <x:c r="Z117" s="27"/>
      <x:c r="AA117" s="27"/>
      <x:c r="AB117" s="27"/>
      <x:c r="AC117" s="27"/>
      <x:c r="AD117" s="27"/>
      <x:c r="AE117" s="27"/>
      <x:c r="AF117" s="27"/>
      <x:c r="AG117" s="27"/>
      <x:c r="AH117" s="27"/>
      <x:c r="AI117" s="27"/>
      <x:c r="AJ117" s="27"/>
      <x:c r="AK117" s="27"/>
      <x:c r="AL117" s="27"/>
      <x:c r="AM117" s="27"/>
      <x:c r="AN117" s="27"/>
      <x:c r="AO117" s="27"/>
      <x:c r="AP117" s="27"/>
      <x:c r="AQ117" s="27"/>
      <x:c r="AR117" s="27"/>
      <x:c r="AS117" s="27"/>
      <x:c r="AT117" s="27"/>
      <x:c r="AU117" s="27"/>
      <x:c r="AV117" s="27"/>
      <x:c r="AW117" s="27"/>
      <x:c r="AX117" s="27"/>
      <x:c r="AY117" s="27"/>
      <x:c r="AZ117" s="27"/>
    </x:row>
    <x:row r="118">
      <x:c r="A118" s="27"/>
      <x:c r="B118" s="27"/>
      <x:c r="C118" s="27"/>
      <x:c r="D118" s="27"/>
      <x:c r="E118" s="27"/>
      <x:c r="F118" s="27"/>
      <x:c r="G118" s="27"/>
      <x:c r="H118" s="27"/>
      <x:c r="I118" s="27"/>
      <x:c r="J118" s="27"/>
      <x:c r="K118" s="27"/>
      <x:c r="L118" s="27"/>
      <x:c r="M118" s="27"/>
      <x:c r="N118" s="27"/>
      <x:c r="O118" s="27"/>
      <x:c r="P118" s="27"/>
      <x:c r="Q118" s="27"/>
      <x:c r="R118" s="27"/>
      <x:c r="S118" s="27"/>
      <x:c r="T118" s="27"/>
      <x:c r="U118" s="27"/>
      <x:c r="V118" s="27"/>
      <x:c r="W118" s="27"/>
      <x:c r="X118" s="27"/>
      <x:c r="Y118" s="27"/>
      <x:c r="Z118" s="27"/>
      <x:c r="AA118" s="27"/>
      <x:c r="AB118" s="27"/>
      <x:c r="AC118" s="27"/>
      <x:c r="AD118" s="27"/>
      <x:c r="AE118" s="27"/>
      <x:c r="AF118" s="27"/>
      <x:c r="AG118" s="27"/>
      <x:c r="AH118" s="27"/>
      <x:c r="AI118" s="27"/>
      <x:c r="AJ118" s="27"/>
      <x:c r="AK118" s="27"/>
      <x:c r="AL118" s="27"/>
      <x:c r="AM118" s="27"/>
      <x:c r="AN118" s="27"/>
      <x:c r="AO118" s="27"/>
      <x:c r="AP118" s="27"/>
      <x:c r="AQ118" s="27"/>
      <x:c r="AR118" s="27"/>
      <x:c r="AS118" s="27"/>
      <x:c r="AT118" s="27"/>
      <x:c r="AU118" s="27"/>
      <x:c r="AV118" s="27"/>
      <x:c r="AW118" s="27"/>
      <x:c r="AX118" s="27"/>
      <x:c r="AY118" s="27"/>
      <x:c r="AZ118" s="27"/>
    </x:row>
    <x:row r="119">
      <x:c r="A119" s="27"/>
      <x:c r="B119" s="27"/>
      <x:c r="C119" s="27"/>
      <x:c r="D119" s="27"/>
      <x:c r="E119" s="27"/>
      <x:c r="F119" s="27"/>
      <x:c r="G119" s="27"/>
      <x:c r="H119" s="27"/>
      <x:c r="I119" s="27"/>
      <x:c r="J119" s="27"/>
      <x:c r="K119" s="27"/>
      <x:c r="L119" s="27"/>
      <x:c r="M119" s="27"/>
      <x:c r="N119" s="27"/>
      <x:c r="O119" s="27"/>
      <x:c r="P119" s="27"/>
      <x:c r="Q119" s="27"/>
      <x:c r="R119" s="27"/>
      <x:c r="S119" s="27"/>
      <x:c r="T119" s="27"/>
      <x:c r="U119" s="27"/>
      <x:c r="V119" s="27"/>
      <x:c r="W119" s="27"/>
      <x:c r="X119" s="27"/>
      <x:c r="Y119" s="27"/>
      <x:c r="Z119" s="27"/>
      <x:c r="AA119" s="27"/>
      <x:c r="AB119" s="27"/>
      <x:c r="AC119" s="27"/>
      <x:c r="AD119" s="27"/>
      <x:c r="AE119" s="27"/>
      <x:c r="AF119" s="27"/>
      <x:c r="AG119" s="27"/>
      <x:c r="AH119" s="27"/>
      <x:c r="AI119" s="27"/>
      <x:c r="AJ119" s="27"/>
      <x:c r="AK119" s="27"/>
      <x:c r="AL119" s="27"/>
      <x:c r="AM119" s="27"/>
      <x:c r="AN119" s="27"/>
      <x:c r="AO119" s="27"/>
      <x:c r="AP119" s="27"/>
      <x:c r="AQ119" s="27"/>
      <x:c r="AR119" s="27"/>
      <x:c r="AS119" s="27"/>
      <x:c r="AT119" s="27"/>
      <x:c r="AU119" s="27"/>
      <x:c r="AV119" s="27"/>
      <x:c r="AW119" s="27"/>
      <x:c r="AX119" s="27"/>
      <x:c r="AY119" s="27"/>
      <x:c r="AZ119" s="27"/>
    </x:row>
    <x:row r="120">
      <x:c r="A120" s="27"/>
      <x:c r="B120" s="27"/>
      <x:c r="C120" s="27"/>
      <x:c r="D120" s="27"/>
      <x:c r="E120" s="27"/>
      <x:c r="F120" s="27"/>
      <x:c r="G120" s="27"/>
      <x:c r="H120" s="27"/>
      <x:c r="I120" s="27"/>
      <x:c r="J120" s="27"/>
      <x:c r="K120" s="27"/>
      <x:c r="L120" s="27"/>
      <x:c r="M120" s="27"/>
      <x:c r="N120" s="27"/>
      <x:c r="O120" s="27"/>
      <x:c r="P120" s="27"/>
      <x:c r="Q120" s="27"/>
      <x:c r="R120" s="27"/>
      <x:c r="S120" s="27"/>
      <x:c r="T120" s="27"/>
      <x:c r="U120" s="27"/>
      <x:c r="V120" s="27"/>
      <x:c r="W120" s="27"/>
      <x:c r="X120" s="27"/>
      <x:c r="Y120" s="27"/>
      <x:c r="Z120" s="27"/>
      <x:c r="AA120" s="27"/>
      <x:c r="AB120" s="27"/>
      <x:c r="AC120" s="27"/>
      <x:c r="AD120" s="27"/>
      <x:c r="AE120" s="27"/>
      <x:c r="AF120" s="27"/>
      <x:c r="AG120" s="27"/>
      <x:c r="AH120" s="27"/>
      <x:c r="AI120" s="27"/>
      <x:c r="AJ120" s="27"/>
      <x:c r="AK120" s="27"/>
      <x:c r="AL120" s="27"/>
      <x:c r="AM120" s="27"/>
      <x:c r="AN120" s="27"/>
      <x:c r="AO120" s="27"/>
      <x:c r="AP120" s="27"/>
      <x:c r="AQ120" s="27"/>
      <x:c r="AR120" s="27"/>
      <x:c r="AS120" s="27"/>
      <x:c r="AT120" s="27"/>
      <x:c r="AU120" s="27"/>
      <x:c r="AV120" s="27"/>
      <x:c r="AW120" s="27"/>
      <x:c r="AX120" s="27"/>
      <x:c r="AY120" s="27"/>
      <x:c r="AZ120" s="27"/>
    </x:row>
    <x:row r="121">
      <x:c r="A121" s="27"/>
      <x:c r="B121" s="27"/>
      <x:c r="C121" s="27"/>
      <x:c r="D121" s="27"/>
      <x:c r="E121" s="27"/>
      <x:c r="F121" s="27"/>
      <x:c r="G121" s="27"/>
      <x:c r="H121" s="27"/>
      <x:c r="I121" s="27"/>
      <x:c r="J121" s="27"/>
      <x:c r="K121" s="27"/>
      <x:c r="L121" s="27"/>
      <x:c r="M121" s="27"/>
      <x:c r="N121" s="27"/>
      <x:c r="O121" s="27"/>
      <x:c r="P121" s="27"/>
      <x:c r="Q121" s="27"/>
      <x:c r="R121" s="27"/>
      <x:c r="S121" s="27"/>
      <x:c r="T121" s="27"/>
      <x:c r="U121" s="27"/>
      <x:c r="V121" s="27"/>
      <x:c r="W121" s="27"/>
      <x:c r="X121" s="27"/>
      <x:c r="Y121" s="27"/>
      <x:c r="Z121" s="27"/>
      <x:c r="AA121" s="27"/>
      <x:c r="AB121" s="27"/>
      <x:c r="AC121" s="27"/>
      <x:c r="AD121" s="27"/>
      <x:c r="AE121" s="27"/>
      <x:c r="AF121" s="27"/>
      <x:c r="AG121" s="27"/>
      <x:c r="AH121" s="27"/>
      <x:c r="AI121" s="27"/>
      <x:c r="AJ121" s="27"/>
      <x:c r="AK121" s="27"/>
      <x:c r="AL121" s="27"/>
      <x:c r="AM121" s="27"/>
      <x:c r="AN121" s="27"/>
      <x:c r="AO121" s="27"/>
      <x:c r="AP121" s="27"/>
      <x:c r="AQ121" s="27"/>
      <x:c r="AR121" s="27"/>
      <x:c r="AS121" s="27"/>
      <x:c r="AT121" s="27"/>
      <x:c r="AU121" s="27"/>
      <x:c r="AV121" s="27"/>
      <x:c r="AW121" s="27"/>
      <x:c r="AX121" s="27"/>
      <x:c r="AY121" s="27"/>
      <x:c r="AZ121" s="27"/>
    </x:row>
    <x:row r="122">
      <x:c r="A122" s="27"/>
      <x:c r="B122" s="27"/>
      <x:c r="C122" s="27"/>
      <x:c r="D122" s="27"/>
      <x:c r="E122" s="27"/>
      <x:c r="F122" s="27"/>
      <x:c r="G122" s="27"/>
      <x:c r="H122" s="27"/>
      <x:c r="I122" s="27"/>
      <x:c r="J122" s="27"/>
      <x:c r="K122" s="27"/>
      <x:c r="L122" s="27"/>
      <x:c r="M122" s="27"/>
      <x:c r="N122" s="27"/>
      <x:c r="O122" s="27"/>
      <x:c r="P122" s="27"/>
      <x:c r="Q122" s="27"/>
      <x:c r="R122" s="27"/>
      <x:c r="S122" s="27"/>
      <x:c r="T122" s="27"/>
      <x:c r="U122" s="27"/>
      <x:c r="V122" s="27"/>
      <x:c r="W122" s="27"/>
      <x:c r="X122" s="27"/>
      <x:c r="Y122" s="27"/>
      <x:c r="Z122" s="27"/>
      <x:c r="AA122" s="27"/>
      <x:c r="AB122" s="27"/>
      <x:c r="AC122" s="27"/>
      <x:c r="AD122" s="27"/>
      <x:c r="AE122" s="27"/>
      <x:c r="AF122" s="27"/>
      <x:c r="AG122" s="27"/>
      <x:c r="AH122" s="27"/>
      <x:c r="AI122" s="27"/>
      <x:c r="AJ122" s="27"/>
      <x:c r="AK122" s="27"/>
      <x:c r="AL122" s="27"/>
      <x:c r="AM122" s="27"/>
      <x:c r="AN122" s="27"/>
      <x:c r="AO122" s="27"/>
      <x:c r="AP122" s="27"/>
      <x:c r="AQ122" s="27"/>
      <x:c r="AR122" s="27"/>
      <x:c r="AS122" s="27"/>
      <x:c r="AT122" s="27"/>
      <x:c r="AU122" s="27"/>
      <x:c r="AV122" s="27"/>
      <x:c r="AW122" s="27"/>
      <x:c r="AX122" s="27"/>
      <x:c r="AY122" s="27"/>
      <x:c r="AZ122" s="27"/>
    </x:row>
    <x:row r="123">
      <x:c r="A123" s="27"/>
      <x:c r="B123" s="27"/>
      <x:c r="C123" s="27"/>
      <x:c r="D123" s="27"/>
      <x:c r="E123" s="27"/>
      <x:c r="F123" s="27"/>
      <x:c r="G123" s="27"/>
      <x:c r="H123" s="27"/>
      <x:c r="I123" s="27"/>
      <x:c r="J123" s="27"/>
      <x:c r="K123" s="27"/>
      <x:c r="L123" s="27"/>
      <x:c r="M123" s="27"/>
      <x:c r="N123" s="27"/>
      <x:c r="O123" s="27"/>
      <x:c r="P123" s="27"/>
      <x:c r="Q123" s="27"/>
      <x:c r="R123" s="27"/>
      <x:c r="S123" s="27"/>
      <x:c r="T123" s="27"/>
      <x:c r="U123" s="27"/>
      <x:c r="V123" s="27"/>
      <x:c r="W123" s="27"/>
      <x:c r="X123" s="27"/>
      <x:c r="Y123" s="27"/>
      <x:c r="Z123" s="27"/>
      <x:c r="AA123" s="27"/>
      <x:c r="AB123" s="27"/>
      <x:c r="AC123" s="27"/>
      <x:c r="AD123" s="27"/>
      <x:c r="AE123" s="27"/>
      <x:c r="AF123" s="27"/>
      <x:c r="AG123" s="27"/>
      <x:c r="AH123" s="27"/>
      <x:c r="AI123" s="27"/>
      <x:c r="AJ123" s="27"/>
      <x:c r="AK123" s="27"/>
      <x:c r="AL123" s="27"/>
      <x:c r="AM123" s="27"/>
      <x:c r="AN123" s="27"/>
      <x:c r="AO123" s="27"/>
      <x:c r="AP123" s="27"/>
      <x:c r="AQ123" s="27"/>
      <x:c r="AR123" s="27"/>
      <x:c r="AS123" s="27"/>
      <x:c r="AT123" s="27"/>
      <x:c r="AU123" s="27"/>
      <x:c r="AV123" s="27"/>
      <x:c r="AW123" s="27"/>
      <x:c r="AX123" s="27"/>
      <x:c r="AY123" s="27"/>
      <x:c r="AZ123" s="27"/>
    </x:row>
    <x:row r="124">
      <x:c r="A124" s="27"/>
      <x:c r="B124" s="27"/>
      <x:c r="C124" s="27"/>
      <x:c r="D124" s="27"/>
      <x:c r="E124" s="27"/>
      <x:c r="F124" s="27"/>
      <x:c r="G124" s="27"/>
      <x:c r="H124" s="27"/>
      <x:c r="I124" s="27"/>
      <x:c r="J124" s="27"/>
      <x:c r="K124" s="27"/>
      <x:c r="L124" s="27"/>
      <x:c r="M124" s="27"/>
      <x:c r="N124" s="27"/>
      <x:c r="O124" s="27"/>
      <x:c r="P124" s="27"/>
      <x:c r="Q124" s="27"/>
      <x:c r="R124" s="27"/>
      <x:c r="S124" s="27"/>
      <x:c r="T124" s="27"/>
      <x:c r="U124" s="27"/>
      <x:c r="V124" s="27"/>
      <x:c r="W124" s="27"/>
      <x:c r="X124" s="27"/>
      <x:c r="Y124" s="27"/>
      <x:c r="Z124" s="27"/>
      <x:c r="AA124" s="27"/>
      <x:c r="AB124" s="27"/>
      <x:c r="AC124" s="27"/>
      <x:c r="AD124" s="27"/>
      <x:c r="AE124" s="27"/>
      <x:c r="AF124" s="27"/>
      <x:c r="AG124" s="27"/>
      <x:c r="AH124" s="27"/>
      <x:c r="AI124" s="27"/>
      <x:c r="AJ124" s="27"/>
      <x:c r="AK124" s="27"/>
      <x:c r="AL124" s="27"/>
      <x:c r="AM124" s="27"/>
      <x:c r="AN124" s="27"/>
      <x:c r="AO124" s="27"/>
      <x:c r="AP124" s="27"/>
      <x:c r="AQ124" s="27"/>
      <x:c r="AR124" s="27"/>
      <x:c r="AS124" s="27"/>
      <x:c r="AT124" s="27"/>
      <x:c r="AU124" s="27"/>
      <x:c r="AV124" s="27"/>
      <x:c r="AW124" s="27"/>
      <x:c r="AX124" s="27"/>
      <x:c r="AY124" s="27"/>
      <x:c r="AZ124" s="27"/>
    </x:row>
    <x:row r="125">
      <x:c r="A125" s="27"/>
      <x:c r="B125" s="27"/>
      <x:c r="C125" s="27"/>
      <x:c r="D125" s="27"/>
      <x:c r="E125" s="27"/>
      <x:c r="F125" s="27"/>
      <x:c r="G125" s="27"/>
      <x:c r="H125" s="27"/>
      <x:c r="I125" s="27"/>
      <x:c r="J125" s="27"/>
      <x:c r="K125" s="27"/>
      <x:c r="L125" s="27"/>
      <x:c r="M125" s="27"/>
      <x:c r="N125" s="27"/>
      <x:c r="O125" s="27"/>
      <x:c r="P125" s="27"/>
      <x:c r="Q125" s="27"/>
      <x:c r="R125" s="27"/>
      <x:c r="S125" s="27"/>
      <x:c r="T125" s="27"/>
      <x:c r="U125" s="27"/>
      <x:c r="V125" s="27"/>
      <x:c r="W125" s="27"/>
      <x:c r="X125" s="27"/>
      <x:c r="Y125" s="27"/>
      <x:c r="Z125" s="27"/>
      <x:c r="AA125" s="27"/>
      <x:c r="AB125" s="27"/>
      <x:c r="AC125" s="27"/>
      <x:c r="AD125" s="27"/>
      <x:c r="AE125" s="27"/>
      <x:c r="AF125" s="27"/>
      <x:c r="AG125" s="27"/>
      <x:c r="AH125" s="27"/>
      <x:c r="AI125" s="27"/>
      <x:c r="AJ125" s="27"/>
      <x:c r="AK125" s="27"/>
      <x:c r="AL125" s="27"/>
      <x:c r="AM125" s="27"/>
      <x:c r="AN125" s="27"/>
      <x:c r="AO125" s="27"/>
      <x:c r="AP125" s="27"/>
      <x:c r="AQ125" s="27"/>
      <x:c r="AR125" s="27"/>
      <x:c r="AS125" s="27"/>
      <x:c r="AT125" s="27"/>
      <x:c r="AU125" s="27"/>
      <x:c r="AV125" s="27"/>
      <x:c r="AW125" s="27"/>
      <x:c r="AX125" s="27"/>
      <x:c r="AY125" s="27"/>
      <x:c r="AZ125" s="27"/>
    </x:row>
    <x:row r="126">
      <x:c r="A126" s="27"/>
      <x:c r="B126" s="27"/>
      <x:c r="C126" s="27"/>
      <x:c r="D126" s="27"/>
      <x:c r="E126" s="27"/>
      <x:c r="F126" s="27"/>
      <x:c r="G126" s="27"/>
      <x:c r="H126" s="27"/>
      <x:c r="I126" s="27"/>
      <x:c r="J126" s="27"/>
      <x:c r="K126" s="27"/>
      <x:c r="L126" s="27"/>
      <x:c r="M126" s="27"/>
      <x:c r="N126" s="27"/>
      <x:c r="O126" s="27"/>
      <x:c r="P126" s="27"/>
      <x:c r="Q126" s="27"/>
      <x:c r="R126" s="27"/>
      <x:c r="S126" s="27"/>
      <x:c r="T126" s="27"/>
      <x:c r="U126" s="27"/>
      <x:c r="V126" s="27"/>
      <x:c r="W126" s="27"/>
      <x:c r="X126" s="27"/>
      <x:c r="Y126" s="27"/>
      <x:c r="Z126" s="27"/>
      <x:c r="AA126" s="27"/>
      <x:c r="AB126" s="27"/>
      <x:c r="AC126" s="27"/>
      <x:c r="AD126" s="27"/>
      <x:c r="AE126" s="27"/>
      <x:c r="AF126" s="27"/>
      <x:c r="AG126" s="27"/>
      <x:c r="AH126" s="27"/>
      <x:c r="AI126" s="27"/>
      <x:c r="AJ126" s="27"/>
      <x:c r="AK126" s="27"/>
      <x:c r="AL126" s="27"/>
      <x:c r="AM126" s="27"/>
      <x:c r="AN126" s="27"/>
      <x:c r="AO126" s="27"/>
      <x:c r="AP126" s="27"/>
      <x:c r="AQ126" s="27"/>
      <x:c r="AR126" s="27"/>
      <x:c r="AS126" s="27"/>
      <x:c r="AT126" s="27"/>
      <x:c r="AU126" s="27"/>
      <x:c r="AV126" s="27"/>
      <x:c r="AW126" s="27"/>
      <x:c r="AX126" s="27"/>
      <x:c r="AY126" s="27"/>
      <x:c r="AZ126" s="27"/>
    </x:row>
    <x:row r="127">
      <x:c r="A127" s="27"/>
      <x:c r="B127" s="27"/>
      <x:c r="C127" s="27"/>
      <x:c r="D127" s="27"/>
      <x:c r="E127" s="27"/>
      <x:c r="F127" s="27"/>
      <x:c r="G127" s="27"/>
      <x:c r="H127" s="27"/>
      <x:c r="I127" s="27"/>
      <x:c r="J127" s="27"/>
      <x:c r="K127" s="27"/>
      <x:c r="L127" s="27"/>
      <x:c r="M127" s="27"/>
      <x:c r="N127" s="27"/>
      <x:c r="O127" s="27"/>
      <x:c r="P127" s="27"/>
      <x:c r="Q127" s="27"/>
      <x:c r="R127" s="27"/>
      <x:c r="S127" s="27"/>
      <x:c r="T127" s="27"/>
      <x:c r="U127" s="27"/>
      <x:c r="V127" s="27"/>
      <x:c r="W127" s="27"/>
      <x:c r="X127" s="27"/>
      <x:c r="Y127" s="27"/>
      <x:c r="Z127" s="27"/>
      <x:c r="AA127" s="27"/>
      <x:c r="AB127" s="27"/>
      <x:c r="AC127" s="27"/>
      <x:c r="AD127" s="27"/>
      <x:c r="AE127" s="27"/>
      <x:c r="AF127" s="27"/>
      <x:c r="AG127" s="27"/>
      <x:c r="AH127" s="27"/>
      <x:c r="AI127" s="27"/>
      <x:c r="AJ127" s="27"/>
      <x:c r="AK127" s="27"/>
      <x:c r="AL127" s="27"/>
      <x:c r="AM127" s="27"/>
      <x:c r="AN127" s="27"/>
      <x:c r="AO127" s="27"/>
      <x:c r="AP127" s="27"/>
      <x:c r="AQ127" s="27"/>
      <x:c r="AR127" s="27"/>
      <x:c r="AS127" s="27"/>
      <x:c r="AT127" s="27"/>
      <x:c r="AU127" s="27"/>
      <x:c r="AV127" s="27"/>
      <x:c r="AW127" s="27"/>
      <x:c r="AX127" s="27"/>
      <x:c r="AY127" s="27"/>
      <x:c r="AZ127" s="27"/>
    </x:row>
    <x:row r="128">
      <x:c r="A128" s="27"/>
      <x:c r="B128" s="27"/>
      <x:c r="C128" s="27"/>
      <x:c r="D128" s="27"/>
      <x:c r="E128" s="27"/>
      <x:c r="F128" s="27"/>
      <x:c r="G128" s="27"/>
      <x:c r="H128" s="27"/>
      <x:c r="I128" s="27"/>
      <x:c r="J128" s="27"/>
      <x:c r="K128" s="27"/>
      <x:c r="L128" s="27"/>
      <x:c r="M128" s="27"/>
      <x:c r="N128" s="27"/>
      <x:c r="O128" s="27"/>
      <x:c r="P128" s="27"/>
      <x:c r="Q128" s="27"/>
      <x:c r="R128" s="27"/>
      <x:c r="S128" s="27"/>
      <x:c r="T128" s="27"/>
      <x:c r="U128" s="27"/>
      <x:c r="V128" s="27"/>
      <x:c r="W128" s="27"/>
      <x:c r="X128" s="27"/>
      <x:c r="Y128" s="27"/>
      <x:c r="Z128" s="27"/>
      <x:c r="AA128" s="27"/>
      <x:c r="AB128" s="27"/>
      <x:c r="AC128" s="27"/>
      <x:c r="AD128" s="27"/>
      <x:c r="AE128" s="27"/>
      <x:c r="AF128" s="27"/>
      <x:c r="AG128" s="27"/>
      <x:c r="AH128" s="27"/>
      <x:c r="AI128" s="27"/>
      <x:c r="AJ128" s="27"/>
      <x:c r="AK128" s="27"/>
      <x:c r="AL128" s="27"/>
      <x:c r="AM128" s="27"/>
      <x:c r="AN128" s="27"/>
      <x:c r="AO128" s="27"/>
      <x:c r="AP128" s="27"/>
      <x:c r="AQ128" s="27"/>
      <x:c r="AR128" s="27"/>
      <x:c r="AS128" s="27"/>
      <x:c r="AT128" s="27"/>
      <x:c r="AU128" s="27"/>
      <x:c r="AV128" s="27"/>
      <x:c r="AW128" s="27"/>
      <x:c r="AX128" s="27"/>
      <x:c r="AY128" s="27"/>
      <x:c r="AZ128" s="27"/>
    </x:row>
    <x:row r="129">
      <x:c r="A129" s="27"/>
      <x:c r="B129" s="27"/>
      <x:c r="C129" s="27"/>
      <x:c r="D129" s="27"/>
      <x:c r="E129" s="27"/>
      <x:c r="F129" s="27"/>
      <x:c r="G129" s="27"/>
      <x:c r="H129" s="27"/>
      <x:c r="I129" s="27"/>
      <x:c r="J129" s="27"/>
      <x:c r="K129" s="27"/>
      <x:c r="L129" s="27"/>
      <x:c r="M129" s="27"/>
      <x:c r="N129" s="27"/>
      <x:c r="O129" s="27"/>
      <x:c r="P129" s="27"/>
      <x:c r="Q129" s="27"/>
      <x:c r="R129" s="27"/>
      <x:c r="S129" s="27"/>
      <x:c r="T129" s="27"/>
      <x:c r="U129" s="27"/>
      <x:c r="V129" s="27"/>
      <x:c r="W129" s="27"/>
      <x:c r="X129" s="27"/>
      <x:c r="Y129" s="27"/>
      <x:c r="Z129" s="27"/>
      <x:c r="AA129" s="27"/>
      <x:c r="AB129" s="27"/>
      <x:c r="AC129" s="27"/>
      <x:c r="AD129" s="27"/>
      <x:c r="AE129" s="27"/>
      <x:c r="AF129" s="27"/>
      <x:c r="AG129" s="27"/>
      <x:c r="AH129" s="27"/>
      <x:c r="AI129" s="27"/>
      <x:c r="AJ129" s="27"/>
      <x:c r="AK129" s="27"/>
      <x:c r="AL129" s="27"/>
      <x:c r="AM129" s="27"/>
      <x:c r="AN129" s="27"/>
      <x:c r="AO129" s="27"/>
      <x:c r="AP129" s="27"/>
      <x:c r="AQ129" s="27"/>
      <x:c r="AR129" s="27"/>
      <x:c r="AS129" s="27"/>
      <x:c r="AT129" s="27"/>
      <x:c r="AU129" s="27"/>
      <x:c r="AV129" s="27"/>
      <x:c r="AW129" s="27"/>
      <x:c r="AX129" s="27"/>
      <x:c r="AY129" s="27"/>
      <x:c r="AZ129" s="27"/>
    </x:row>
    <x:row r="130">
      <x:c r="A130" s="27"/>
      <x:c r="B130" s="27"/>
      <x:c r="C130" s="27"/>
      <x:c r="D130" s="27"/>
      <x:c r="E130" s="27"/>
      <x:c r="F130" s="27"/>
      <x:c r="G130" s="27"/>
      <x:c r="H130" s="27"/>
      <x:c r="I130" s="27"/>
      <x:c r="J130" s="27"/>
      <x:c r="K130" s="27"/>
      <x:c r="L130" s="27"/>
      <x:c r="M130" s="27"/>
      <x:c r="N130" s="27"/>
      <x:c r="O130" s="27"/>
      <x:c r="P130" s="27"/>
      <x:c r="Q130" s="27"/>
      <x:c r="R130" s="27"/>
      <x:c r="S130" s="27"/>
      <x:c r="T130" s="27"/>
      <x:c r="U130" s="27"/>
      <x:c r="V130" s="27"/>
      <x:c r="W130" s="27"/>
      <x:c r="X130" s="27"/>
      <x:c r="Y130" s="27"/>
      <x:c r="Z130" s="27"/>
      <x:c r="AA130" s="27"/>
      <x:c r="AB130" s="27"/>
      <x:c r="AC130" s="27"/>
      <x:c r="AD130" s="27"/>
      <x:c r="AE130" s="27"/>
      <x:c r="AF130" s="27"/>
      <x:c r="AG130" s="27"/>
      <x:c r="AH130" s="27"/>
      <x:c r="AI130" s="27"/>
      <x:c r="AJ130" s="27"/>
      <x:c r="AK130" s="27"/>
      <x:c r="AL130" s="27"/>
      <x:c r="AM130" s="27"/>
      <x:c r="AN130" s="27"/>
      <x:c r="AO130" s="27"/>
      <x:c r="AP130" s="27"/>
      <x:c r="AQ130" s="27"/>
      <x:c r="AR130" s="27"/>
      <x:c r="AS130" s="27"/>
      <x:c r="AT130" s="27"/>
      <x:c r="AU130" s="27"/>
      <x:c r="AV130" s="27"/>
      <x:c r="AW130" s="27"/>
      <x:c r="AX130" s="27"/>
      <x:c r="AY130" s="27"/>
      <x:c r="AZ130" s="27"/>
    </x:row>
    <x:row r="131">
      <x:c r="A131" s="27"/>
      <x:c r="B131" s="27"/>
      <x:c r="C131" s="27"/>
      <x:c r="D131" s="27"/>
      <x:c r="E131" s="27"/>
      <x:c r="F131" s="27"/>
      <x:c r="G131" s="27"/>
      <x:c r="H131" s="27"/>
      <x:c r="I131" s="27"/>
      <x:c r="J131" s="27"/>
      <x:c r="K131" s="27"/>
      <x:c r="L131" s="27"/>
      <x:c r="M131" s="27"/>
      <x:c r="N131" s="27"/>
      <x:c r="O131" s="27"/>
      <x:c r="P131" s="27"/>
      <x:c r="Q131" s="27"/>
      <x:c r="R131" s="27"/>
      <x:c r="S131" s="27"/>
      <x:c r="T131" s="27"/>
      <x:c r="U131" s="27"/>
      <x:c r="V131" s="27"/>
      <x:c r="W131" s="27"/>
      <x:c r="X131" s="27"/>
      <x:c r="Y131" s="27"/>
      <x:c r="Z131" s="27"/>
      <x:c r="AA131" s="27"/>
      <x:c r="AB131" s="27"/>
      <x:c r="AC131" s="27"/>
      <x:c r="AD131" s="27"/>
      <x:c r="AE131" s="27"/>
      <x:c r="AF131" s="27"/>
      <x:c r="AG131" s="27"/>
      <x:c r="AH131" s="27"/>
      <x:c r="AI131" s="27"/>
      <x:c r="AJ131" s="27"/>
      <x:c r="AK131" s="27"/>
      <x:c r="AL131" s="27"/>
      <x:c r="AM131" s="27"/>
      <x:c r="AN131" s="27"/>
      <x:c r="AO131" s="27"/>
      <x:c r="AP131" s="27"/>
      <x:c r="AQ131" s="27"/>
      <x:c r="AR131" s="27"/>
      <x:c r="AS131" s="27"/>
      <x:c r="AT131" s="27"/>
      <x:c r="AU131" s="27"/>
      <x:c r="AV131" s="27"/>
      <x:c r="AW131" s="27"/>
      <x:c r="AX131" s="27"/>
      <x:c r="AY131" s="27"/>
      <x:c r="AZ131" s="27"/>
    </x:row>
    <x:row r="132">
      <x:c r="A132" s="27"/>
      <x:c r="B132" s="27"/>
      <x:c r="C132" s="27"/>
      <x:c r="D132" s="27"/>
      <x:c r="E132" s="27"/>
      <x:c r="F132" s="27"/>
      <x:c r="G132" s="27"/>
      <x:c r="H132" s="27"/>
      <x:c r="I132" s="27"/>
      <x:c r="J132" s="27"/>
      <x:c r="K132" s="27"/>
      <x:c r="L132" s="27"/>
      <x:c r="M132" s="27"/>
      <x:c r="N132" s="27"/>
      <x:c r="O132" s="27"/>
      <x:c r="P132" s="27"/>
      <x:c r="Q132" s="27"/>
      <x:c r="R132" s="27"/>
      <x:c r="S132" s="27"/>
      <x:c r="T132" s="27"/>
      <x:c r="U132" s="27"/>
      <x:c r="V132" s="27"/>
      <x:c r="W132" s="27"/>
      <x:c r="X132" s="27"/>
      <x:c r="Y132" s="27"/>
      <x:c r="Z132" s="27"/>
      <x:c r="AA132" s="27"/>
      <x:c r="AB132" s="27"/>
      <x:c r="AC132" s="27"/>
      <x:c r="AD132" s="27"/>
      <x:c r="AE132" s="27"/>
      <x:c r="AF132" s="27"/>
      <x:c r="AG132" s="27"/>
      <x:c r="AH132" s="27"/>
      <x:c r="AI132" s="27"/>
      <x:c r="AJ132" s="27"/>
      <x:c r="AK132" s="27"/>
      <x:c r="AL132" s="27"/>
      <x:c r="AM132" s="27"/>
      <x:c r="AN132" s="27"/>
      <x:c r="AO132" s="27"/>
      <x:c r="AP132" s="27"/>
      <x:c r="AQ132" s="27"/>
      <x:c r="AR132" s="27"/>
      <x:c r="AS132" s="27"/>
      <x:c r="AT132" s="27"/>
      <x:c r="AU132" s="27"/>
      <x:c r="AV132" s="27"/>
      <x:c r="AW132" s="27"/>
      <x:c r="AX132" s="27"/>
      <x:c r="AY132" s="27"/>
      <x:c r="AZ132" s="27"/>
    </x:row>
    <x:row r="133">
      <x:c r="A133" s="27"/>
      <x:c r="B133" s="27"/>
      <x:c r="C133" s="27"/>
      <x:c r="D133" s="27"/>
      <x:c r="E133" s="27"/>
      <x:c r="F133" s="27"/>
      <x:c r="G133" s="27"/>
      <x:c r="H133" s="27"/>
      <x:c r="I133" s="27"/>
      <x:c r="J133" s="27"/>
      <x:c r="K133" s="27"/>
      <x:c r="L133" s="27"/>
      <x:c r="M133" s="27"/>
      <x:c r="N133" s="27"/>
      <x:c r="O133" s="27"/>
      <x:c r="P133" s="27"/>
      <x:c r="Q133" s="27"/>
      <x:c r="R133" s="27"/>
      <x:c r="S133" s="27"/>
      <x:c r="T133" s="27"/>
      <x:c r="U133" s="27"/>
      <x:c r="V133" s="27"/>
      <x:c r="W133" s="27"/>
      <x:c r="X133" s="27"/>
      <x:c r="Y133" s="27"/>
      <x:c r="Z133" s="27"/>
      <x:c r="AA133" s="27"/>
      <x:c r="AB133" s="27"/>
      <x:c r="AC133" s="27"/>
      <x:c r="AD133" s="27"/>
      <x:c r="AE133" s="27"/>
      <x:c r="AF133" s="27"/>
      <x:c r="AG133" s="27"/>
      <x:c r="AH133" s="27"/>
      <x:c r="AI133" s="27"/>
      <x:c r="AJ133" s="27"/>
      <x:c r="AK133" s="27"/>
      <x:c r="AL133" s="27"/>
      <x:c r="AM133" s="27"/>
      <x:c r="AN133" s="27"/>
      <x:c r="AO133" s="27"/>
      <x:c r="AP133" s="27"/>
      <x:c r="AQ133" s="27"/>
      <x:c r="AR133" s="27"/>
      <x:c r="AS133" s="27"/>
      <x:c r="AT133" s="27"/>
      <x:c r="AU133" s="27"/>
      <x:c r="AV133" s="27"/>
      <x:c r="AW133" s="27"/>
      <x:c r="AX133" s="27"/>
      <x:c r="AY133" s="27"/>
      <x:c r="AZ133" s="27"/>
    </x:row>
    <x:row r="134">
      <x:c r="A134" s="27"/>
      <x:c r="B134" s="27"/>
      <x:c r="C134" s="27"/>
      <x:c r="D134" s="27"/>
      <x:c r="E134" s="27"/>
      <x:c r="F134" s="27"/>
      <x:c r="G134" s="27"/>
      <x:c r="H134" s="27"/>
      <x:c r="I134" s="27"/>
      <x:c r="J134" s="27"/>
      <x:c r="K134" s="27"/>
      <x:c r="L134" s="27"/>
      <x:c r="M134" s="27"/>
      <x:c r="N134" s="27"/>
      <x:c r="O134" s="27"/>
      <x:c r="P134" s="27"/>
      <x:c r="Q134" s="27"/>
      <x:c r="R134" s="27"/>
      <x:c r="S134" s="27"/>
      <x:c r="T134" s="27"/>
      <x:c r="U134" s="27"/>
      <x:c r="V134" s="27"/>
      <x:c r="W134" s="27"/>
      <x:c r="X134" s="27"/>
      <x:c r="Y134" s="27"/>
      <x:c r="Z134" s="27"/>
      <x:c r="AA134" s="27"/>
      <x:c r="AB134" s="27"/>
      <x:c r="AC134" s="27"/>
      <x:c r="AD134" s="27"/>
      <x:c r="AE134" s="27"/>
      <x:c r="AF134" s="27"/>
      <x:c r="AG134" s="27"/>
      <x:c r="AH134" s="27"/>
      <x:c r="AI134" s="27"/>
      <x:c r="AJ134" s="27"/>
      <x:c r="AK134" s="27"/>
      <x:c r="AL134" s="27"/>
      <x:c r="AM134" s="27"/>
      <x:c r="AN134" s="27"/>
      <x:c r="AO134" s="27"/>
      <x:c r="AP134" s="27"/>
      <x:c r="AQ134" s="27"/>
      <x:c r="AR134" s="27"/>
      <x:c r="AS134" s="27"/>
      <x:c r="AT134" s="27"/>
      <x:c r="AU134" s="27"/>
      <x:c r="AV134" s="27"/>
      <x:c r="AW134" s="27"/>
      <x:c r="AX134" s="27"/>
      <x:c r="AY134" s="27"/>
      <x:c r="AZ134" s="27"/>
    </x:row>
    <x:row r="135">
      <x:c r="A135" s="27"/>
      <x:c r="B135" s="27"/>
      <x:c r="C135" s="27"/>
      <x:c r="D135" s="27"/>
      <x:c r="E135" s="27"/>
      <x:c r="F135" s="27"/>
      <x:c r="G135" s="27"/>
      <x:c r="H135" s="27"/>
      <x:c r="I135" s="27"/>
      <x:c r="J135" s="27"/>
      <x:c r="K135" s="27"/>
      <x:c r="L135" s="27"/>
      <x:c r="M135" s="27"/>
      <x:c r="N135" s="27"/>
      <x:c r="O135" s="27"/>
      <x:c r="P135" s="27"/>
      <x:c r="Q135" s="27"/>
      <x:c r="R135" s="27"/>
      <x:c r="S135" s="27"/>
      <x:c r="T135" s="27"/>
      <x:c r="U135" s="27"/>
      <x:c r="V135" s="27"/>
      <x:c r="W135" s="27"/>
      <x:c r="X135" s="27"/>
      <x:c r="Y135" s="27"/>
      <x:c r="Z135" s="27"/>
      <x:c r="AA135" s="27"/>
      <x:c r="AB135" s="27"/>
      <x:c r="AC135" s="27"/>
      <x:c r="AD135" s="27"/>
      <x:c r="AE135" s="27"/>
      <x:c r="AF135" s="27"/>
      <x:c r="AG135" s="27"/>
      <x:c r="AH135" s="27"/>
      <x:c r="AI135" s="27"/>
      <x:c r="AJ135" s="27"/>
      <x:c r="AK135" s="27"/>
      <x:c r="AL135" s="27"/>
      <x:c r="AM135" s="27"/>
      <x:c r="AN135" s="27"/>
      <x:c r="AO135" s="27"/>
      <x:c r="AP135" s="27"/>
      <x:c r="AQ135" s="27"/>
      <x:c r="AR135" s="27"/>
      <x:c r="AS135" s="27"/>
      <x:c r="AT135" s="27"/>
      <x:c r="AU135" s="27"/>
      <x:c r="AV135" s="27"/>
      <x:c r="AW135" s="27"/>
      <x:c r="AX135" s="27"/>
      <x:c r="AY135" s="27"/>
      <x:c r="AZ135" s="27"/>
    </x:row>
    <x:row r="136">
      <x:c r="A136" s="27"/>
      <x:c r="B136" s="27"/>
      <x:c r="C136" s="27"/>
      <x:c r="D136" s="27"/>
      <x:c r="E136" s="27"/>
      <x:c r="F136" s="27"/>
      <x:c r="G136" s="27"/>
      <x:c r="H136" s="27"/>
      <x:c r="I136" s="27"/>
      <x:c r="J136" s="27"/>
      <x:c r="K136" s="27"/>
      <x:c r="L136" s="27"/>
      <x:c r="M136" s="27"/>
      <x:c r="N136" s="27"/>
      <x:c r="O136" s="27"/>
      <x:c r="P136" s="27"/>
      <x:c r="Q136" s="27"/>
      <x:c r="R136" s="27"/>
      <x:c r="S136" s="27"/>
      <x:c r="T136" s="27"/>
      <x:c r="U136" s="27"/>
      <x:c r="V136" s="27"/>
      <x:c r="W136" s="27"/>
      <x:c r="X136" s="27"/>
      <x:c r="Y136" s="27"/>
      <x:c r="Z136" s="27"/>
      <x:c r="AA136" s="27"/>
      <x:c r="AB136" s="27"/>
      <x:c r="AC136" s="27"/>
      <x:c r="AD136" s="27"/>
      <x:c r="AE136" s="27"/>
      <x:c r="AF136" s="27"/>
      <x:c r="AG136" s="27"/>
      <x:c r="AH136" s="27"/>
      <x:c r="AI136" s="27"/>
      <x:c r="AJ136" s="27"/>
      <x:c r="AK136" s="27"/>
      <x:c r="AL136" s="27"/>
      <x:c r="AM136" s="27"/>
      <x:c r="AN136" s="27"/>
      <x:c r="AO136" s="27"/>
      <x:c r="AP136" s="27"/>
      <x:c r="AQ136" s="27"/>
      <x:c r="AR136" s="27"/>
      <x:c r="AS136" s="27"/>
      <x:c r="AT136" s="27"/>
      <x:c r="AU136" s="27"/>
      <x:c r="AV136" s="27"/>
      <x:c r="AW136" s="27"/>
      <x:c r="AX136" s="27"/>
      <x:c r="AY136" s="27"/>
      <x:c r="AZ136" s="27"/>
    </x:row>
    <x:row r="137">
      <x:c r="A137" s="27"/>
      <x:c r="B137" s="27"/>
      <x:c r="C137" s="27"/>
      <x:c r="D137" s="27"/>
      <x:c r="E137" s="27"/>
      <x:c r="F137" s="27"/>
      <x:c r="G137" s="27"/>
      <x:c r="H137" s="27"/>
      <x:c r="I137" s="27"/>
      <x:c r="J137" s="27"/>
      <x:c r="K137" s="27"/>
      <x:c r="L137" s="27"/>
      <x:c r="M137" s="27"/>
      <x:c r="N137" s="27"/>
      <x:c r="O137" s="27"/>
      <x:c r="P137" s="27"/>
      <x:c r="Q137" s="27"/>
      <x:c r="R137" s="27"/>
      <x:c r="S137" s="27"/>
      <x:c r="T137" s="27"/>
      <x:c r="U137" s="27"/>
      <x:c r="V137" s="27"/>
      <x:c r="W137" s="27"/>
      <x:c r="X137" s="27"/>
      <x:c r="Y137" s="27"/>
      <x:c r="Z137" s="27"/>
      <x:c r="AA137" s="27"/>
      <x:c r="AB137" s="27"/>
      <x:c r="AC137" s="27"/>
      <x:c r="AD137" s="27"/>
      <x:c r="AE137" s="27"/>
      <x:c r="AF137" s="27"/>
      <x:c r="AG137" s="27"/>
      <x:c r="AH137" s="27"/>
      <x:c r="AI137" s="27"/>
      <x:c r="AJ137" s="27"/>
      <x:c r="AK137" s="27"/>
      <x:c r="AL137" s="27"/>
      <x:c r="AM137" s="27"/>
      <x:c r="AN137" s="27"/>
      <x:c r="AO137" s="27"/>
      <x:c r="AP137" s="27"/>
      <x:c r="AQ137" s="27"/>
      <x:c r="AR137" s="27"/>
      <x:c r="AS137" s="27"/>
      <x:c r="AT137" s="27"/>
      <x:c r="AU137" s="27"/>
      <x:c r="AV137" s="27"/>
      <x:c r="AW137" s="27"/>
      <x:c r="AX137" s="27"/>
      <x:c r="AY137" s="27"/>
      <x:c r="AZ137" s="27"/>
    </x:row>
    <x:row r="138">
      <x:c r="A138" s="27"/>
      <x:c r="B138" s="27"/>
      <x:c r="C138" s="27"/>
      <x:c r="D138" s="27"/>
      <x:c r="E138" s="27"/>
      <x:c r="F138" s="27"/>
      <x:c r="G138" s="27"/>
      <x:c r="H138" s="27"/>
      <x:c r="I138" s="27"/>
      <x:c r="J138" s="27"/>
      <x:c r="K138" s="27"/>
      <x:c r="L138" s="27"/>
      <x:c r="M138" s="27"/>
      <x:c r="N138" s="27"/>
      <x:c r="O138" s="27"/>
      <x:c r="P138" s="27"/>
      <x:c r="Q138" s="27"/>
      <x:c r="R138" s="27"/>
      <x:c r="S138" s="27"/>
      <x:c r="T138" s="27"/>
      <x:c r="U138" s="27"/>
      <x:c r="V138" s="27"/>
      <x:c r="W138" s="27"/>
      <x:c r="X138" s="27"/>
      <x:c r="Y138" s="27"/>
      <x:c r="Z138" s="27"/>
      <x:c r="AA138" s="27"/>
      <x:c r="AB138" s="27"/>
      <x:c r="AC138" s="27"/>
      <x:c r="AD138" s="27"/>
      <x:c r="AE138" s="27"/>
      <x:c r="AF138" s="27"/>
      <x:c r="AG138" s="27"/>
      <x:c r="AH138" s="27"/>
      <x:c r="AI138" s="27"/>
      <x:c r="AJ138" s="27"/>
      <x:c r="AK138" s="27"/>
      <x:c r="AL138" s="27"/>
      <x:c r="AM138" s="27"/>
      <x:c r="AN138" s="27"/>
      <x:c r="AO138" s="27"/>
      <x:c r="AP138" s="27"/>
      <x:c r="AQ138" s="27"/>
      <x:c r="AR138" s="27"/>
      <x:c r="AS138" s="27"/>
      <x:c r="AT138" s="27"/>
      <x:c r="AU138" s="27"/>
      <x:c r="AV138" s="27"/>
      <x:c r="AW138" s="27"/>
      <x:c r="AX138" s="27"/>
      <x:c r="AY138" s="27"/>
      <x:c r="AZ138" s="27"/>
    </x:row>
    <x:row r="139">
      <x:c r="A139" s="27"/>
      <x:c r="B139" s="27"/>
      <x:c r="C139" s="27"/>
      <x:c r="D139" s="27"/>
      <x:c r="E139" s="27"/>
      <x:c r="F139" s="27"/>
      <x:c r="G139" s="27"/>
      <x:c r="H139" s="27"/>
      <x:c r="I139" s="27"/>
      <x:c r="J139" s="27"/>
      <x:c r="K139" s="27"/>
      <x:c r="L139" s="27"/>
      <x:c r="M139" s="27"/>
      <x:c r="N139" s="27"/>
      <x:c r="O139" s="27"/>
      <x:c r="P139" s="27"/>
      <x:c r="Q139" s="27"/>
      <x:c r="R139" s="27"/>
      <x:c r="S139" s="27"/>
      <x:c r="T139" s="27"/>
      <x:c r="U139" s="27"/>
      <x:c r="V139" s="27"/>
      <x:c r="W139" s="27"/>
      <x:c r="X139" s="27"/>
      <x:c r="Y139" s="27"/>
      <x:c r="Z139" s="27"/>
      <x:c r="AA139" s="27"/>
      <x:c r="AB139" s="27"/>
      <x:c r="AC139" s="27"/>
      <x:c r="AD139" s="27"/>
      <x:c r="AE139" s="27"/>
      <x:c r="AF139" s="27"/>
      <x:c r="AG139" s="27"/>
      <x:c r="AH139" s="27"/>
      <x:c r="AI139" s="27"/>
      <x:c r="AJ139" s="27"/>
      <x:c r="AK139" s="27"/>
      <x:c r="AL139" s="27"/>
      <x:c r="AM139" s="27"/>
      <x:c r="AN139" s="27"/>
      <x:c r="AO139" s="27"/>
      <x:c r="AP139" s="27"/>
      <x:c r="AQ139" s="27"/>
      <x:c r="AR139" s="27"/>
      <x:c r="AS139" s="27"/>
      <x:c r="AT139" s="27"/>
      <x:c r="AU139" s="27"/>
      <x:c r="AV139" s="27"/>
      <x:c r="AW139" s="27"/>
      <x:c r="AX139" s="27"/>
      <x:c r="AY139" s="27"/>
      <x:c r="AZ139" s="27"/>
    </x:row>
    <x:row r="140">
      <x:c r="A140" s="27"/>
      <x:c r="B140" s="27"/>
      <x:c r="C140" s="27"/>
      <x:c r="D140" s="27"/>
      <x:c r="E140" s="27"/>
      <x:c r="F140" s="27"/>
      <x:c r="G140" s="27"/>
      <x:c r="H140" s="27"/>
      <x:c r="I140" s="27"/>
      <x:c r="J140" s="27"/>
      <x:c r="K140" s="27"/>
      <x:c r="L140" s="27"/>
      <x:c r="M140" s="27"/>
      <x:c r="N140" s="27"/>
      <x:c r="O140" s="27"/>
      <x:c r="P140" s="27"/>
      <x:c r="Q140" s="27"/>
      <x:c r="R140" s="27"/>
      <x:c r="S140" s="27"/>
      <x:c r="T140" s="27"/>
      <x:c r="U140" s="27"/>
      <x:c r="V140" s="27"/>
      <x:c r="W140" s="27"/>
      <x:c r="X140" s="27"/>
      <x:c r="Y140" s="27"/>
      <x:c r="Z140" s="27"/>
      <x:c r="AA140" s="27"/>
      <x:c r="AB140" s="27"/>
      <x:c r="AC140" s="27"/>
      <x:c r="AD140" s="27"/>
      <x:c r="AE140" s="27"/>
      <x:c r="AF140" s="27"/>
      <x:c r="AG140" s="27"/>
      <x:c r="AH140" s="27"/>
      <x:c r="AI140" s="27"/>
      <x:c r="AJ140" s="27"/>
      <x:c r="AK140" s="27"/>
      <x:c r="AL140" s="27"/>
      <x:c r="AM140" s="27"/>
      <x:c r="AN140" s="27"/>
      <x:c r="AO140" s="27"/>
      <x:c r="AP140" s="27"/>
      <x:c r="AQ140" s="27"/>
      <x:c r="AR140" s="27"/>
      <x:c r="AS140" s="27"/>
      <x:c r="AT140" s="27"/>
      <x:c r="AU140" s="27"/>
      <x:c r="AV140" s="27"/>
      <x:c r="AW140" s="27"/>
      <x:c r="AX140" s="27"/>
      <x:c r="AY140" s="27"/>
      <x:c r="AZ140" s="27"/>
    </x:row>
    <x:row r="141">
      <x:c r="A141" s="27"/>
      <x:c r="B141" s="27"/>
      <x:c r="C141" s="27"/>
      <x:c r="D141" s="27"/>
      <x:c r="E141" s="27"/>
      <x:c r="F141" s="27"/>
      <x:c r="G141" s="27"/>
      <x:c r="H141" s="27"/>
      <x:c r="I141" s="27"/>
      <x:c r="J141" s="27"/>
      <x:c r="K141" s="27"/>
      <x:c r="L141" s="27"/>
      <x:c r="M141" s="27"/>
      <x:c r="N141" s="27"/>
      <x:c r="O141" s="27"/>
      <x:c r="P141" s="27"/>
      <x:c r="Q141" s="27"/>
      <x:c r="R141" s="27"/>
      <x:c r="S141" s="27"/>
      <x:c r="T141" s="27"/>
      <x:c r="U141" s="27"/>
      <x:c r="V141" s="27"/>
      <x:c r="W141" s="27"/>
      <x:c r="X141" s="27"/>
      <x:c r="Y141" s="27"/>
      <x:c r="Z141" s="27"/>
      <x:c r="AA141" s="27"/>
      <x:c r="AB141" s="27"/>
      <x:c r="AC141" s="27"/>
      <x:c r="AD141" s="27"/>
      <x:c r="AE141" s="27"/>
      <x:c r="AF141" s="27"/>
      <x:c r="AG141" s="27"/>
      <x:c r="AH141" s="27"/>
      <x:c r="AI141" s="27"/>
      <x:c r="AJ141" s="27"/>
      <x:c r="AK141" s="27"/>
      <x:c r="AL141" s="27"/>
      <x:c r="AM141" s="27"/>
      <x:c r="AN141" s="27"/>
      <x:c r="AO141" s="27"/>
      <x:c r="AP141" s="27"/>
      <x:c r="AQ141" s="27"/>
      <x:c r="AR141" s="27"/>
      <x:c r="AS141" s="27"/>
      <x:c r="AT141" s="27"/>
      <x:c r="AU141" s="27"/>
      <x:c r="AV141" s="27"/>
      <x:c r="AW141" s="27"/>
      <x:c r="AX141" s="27"/>
      <x:c r="AY141" s="27"/>
      <x:c r="AZ141" s="27"/>
    </x:row>
    <x:row r="142">
      <x:c r="A142" s="27"/>
      <x:c r="B142" s="27"/>
      <x:c r="C142" s="27"/>
      <x:c r="D142" s="27"/>
      <x:c r="E142" s="27"/>
      <x:c r="F142" s="27"/>
      <x:c r="G142" s="27"/>
      <x:c r="H142" s="27"/>
      <x:c r="I142" s="27"/>
      <x:c r="J142" s="27"/>
      <x:c r="K142" s="27"/>
      <x:c r="L142" s="27"/>
      <x:c r="M142" s="27"/>
      <x:c r="N142" s="27"/>
      <x:c r="O142" s="27"/>
      <x:c r="P142" s="27"/>
      <x:c r="Q142" s="27"/>
      <x:c r="R142" s="27"/>
      <x:c r="S142" s="27"/>
      <x:c r="T142" s="27"/>
      <x:c r="U142" s="27"/>
      <x:c r="V142" s="27"/>
      <x:c r="W142" s="27"/>
      <x:c r="X142" s="27"/>
      <x:c r="Y142" s="27"/>
      <x:c r="Z142" s="27"/>
      <x:c r="AA142" s="27"/>
      <x:c r="AB142" s="27"/>
      <x:c r="AC142" s="27"/>
      <x:c r="AD142" s="27"/>
      <x:c r="AE142" s="27"/>
      <x:c r="AF142" s="27"/>
      <x:c r="AG142" s="27"/>
      <x:c r="AH142" s="27"/>
      <x:c r="AI142" s="27"/>
      <x:c r="AJ142" s="27"/>
      <x:c r="AK142" s="27"/>
      <x:c r="AL142" s="27"/>
      <x:c r="AM142" s="27"/>
      <x:c r="AN142" s="27"/>
      <x:c r="AO142" s="27"/>
      <x:c r="AP142" s="27"/>
      <x:c r="AQ142" s="27"/>
      <x:c r="AR142" s="27"/>
      <x:c r="AS142" s="27"/>
      <x:c r="AT142" s="27"/>
      <x:c r="AU142" s="27"/>
      <x:c r="AV142" s="27"/>
      <x:c r="AW142" s="27"/>
      <x:c r="AX142" s="27"/>
      <x:c r="AY142" s="27"/>
      <x:c r="AZ142" s="27"/>
    </x:row>
    <x:row r="143">
      <x:c r="A143" s="27"/>
      <x:c r="B143" s="27"/>
      <x:c r="C143" s="27"/>
      <x:c r="D143" s="27"/>
      <x:c r="E143" s="27"/>
      <x:c r="F143" s="27"/>
      <x:c r="G143" s="27"/>
      <x:c r="H143" s="27"/>
      <x:c r="I143" s="27"/>
      <x:c r="J143" s="27"/>
      <x:c r="K143" s="27"/>
      <x:c r="L143" s="27"/>
      <x:c r="M143" s="27"/>
      <x:c r="N143" s="27"/>
      <x:c r="O143" s="27"/>
      <x:c r="P143" s="27"/>
      <x:c r="Q143" s="27"/>
      <x:c r="R143" s="27"/>
      <x:c r="S143" s="27"/>
      <x:c r="T143" s="27"/>
      <x:c r="U143" s="27"/>
      <x:c r="V143" s="27"/>
      <x:c r="W143" s="27"/>
      <x:c r="X143" s="27"/>
      <x:c r="Y143" s="27"/>
      <x:c r="Z143" s="27"/>
      <x:c r="AA143" s="27"/>
      <x:c r="AB143" s="27"/>
      <x:c r="AC143" s="27"/>
      <x:c r="AD143" s="27"/>
      <x:c r="AE143" s="27"/>
      <x:c r="AF143" s="27"/>
      <x:c r="AG143" s="27"/>
      <x:c r="AH143" s="27"/>
      <x:c r="AI143" s="27"/>
      <x:c r="AJ143" s="27"/>
      <x:c r="AK143" s="27"/>
      <x:c r="AL143" s="27"/>
      <x:c r="AM143" s="27"/>
      <x:c r="AN143" s="27"/>
      <x:c r="AO143" s="27"/>
      <x:c r="AP143" s="27"/>
      <x:c r="AQ143" s="27"/>
      <x:c r="AR143" s="27"/>
      <x:c r="AS143" s="27"/>
      <x:c r="AT143" s="27"/>
      <x:c r="AU143" s="27"/>
      <x:c r="AV143" s="27"/>
      <x:c r="AW143" s="27"/>
      <x:c r="AX143" s="27"/>
      <x:c r="AY143" s="27"/>
      <x:c r="AZ143" s="27"/>
    </x:row>
    <x:row r="144">
      <x:c r="A144" s="27"/>
      <x:c r="B144" s="27"/>
      <x:c r="C144" s="27"/>
      <x:c r="D144" s="27"/>
      <x:c r="E144" s="27"/>
      <x:c r="F144" s="27"/>
      <x:c r="G144" s="27"/>
      <x:c r="H144" s="27"/>
      <x:c r="I144" s="27"/>
      <x:c r="J144" s="27"/>
      <x:c r="K144" s="27"/>
      <x:c r="L144" s="27"/>
      <x:c r="M144" s="27"/>
      <x:c r="N144" s="27"/>
      <x:c r="O144" s="27"/>
      <x:c r="P144" s="27"/>
      <x:c r="Q144" s="27"/>
      <x:c r="R144" s="27"/>
      <x:c r="S144" s="27"/>
      <x:c r="T144" s="27"/>
      <x:c r="U144" s="27"/>
      <x:c r="V144" s="27"/>
      <x:c r="W144" s="27"/>
      <x:c r="X144" s="27"/>
      <x:c r="Y144" s="27"/>
      <x:c r="Z144" s="27"/>
      <x:c r="AA144" s="27"/>
      <x:c r="AB144" s="27"/>
      <x:c r="AC144" s="27"/>
      <x:c r="AD144" s="27"/>
      <x:c r="AE144" s="27"/>
      <x:c r="AF144" s="27"/>
      <x:c r="AG144" s="27"/>
      <x:c r="AH144" s="27"/>
      <x:c r="AI144" s="27"/>
      <x:c r="AJ144" s="27"/>
      <x:c r="AK144" s="27"/>
      <x:c r="AL144" s="27"/>
      <x:c r="AM144" s="27"/>
      <x:c r="AN144" s="27"/>
      <x:c r="AO144" s="27"/>
      <x:c r="AP144" s="27"/>
      <x:c r="AQ144" s="27"/>
      <x:c r="AR144" s="27"/>
      <x:c r="AS144" s="27"/>
      <x:c r="AT144" s="27"/>
      <x:c r="AU144" s="27"/>
      <x:c r="AV144" s="27"/>
      <x:c r="AW144" s="27"/>
      <x:c r="AX144" s="27"/>
      <x:c r="AY144" s="27"/>
      <x:c r="AZ144" s="27"/>
    </x:row>
    <x:row r="145">
      <x:c r="A145" s="27"/>
      <x:c r="B145" s="27"/>
      <x:c r="C145" s="27"/>
      <x:c r="D145" s="27"/>
      <x:c r="E145" s="27"/>
      <x:c r="F145" s="27"/>
      <x:c r="G145" s="27"/>
      <x:c r="H145" s="27"/>
      <x:c r="I145" s="27"/>
      <x:c r="J145" s="27"/>
      <x:c r="K145" s="27"/>
      <x:c r="L145" s="27"/>
      <x:c r="M145" s="27"/>
      <x:c r="N145" s="27"/>
      <x:c r="O145" s="27"/>
      <x:c r="P145" s="27"/>
      <x:c r="Q145" s="27"/>
      <x:c r="R145" s="27"/>
      <x:c r="S145" s="27"/>
      <x:c r="T145" s="27"/>
      <x:c r="U145" s="27"/>
      <x:c r="V145" s="27"/>
      <x:c r="W145" s="27"/>
      <x:c r="X145" s="27"/>
      <x:c r="Y145" s="27"/>
      <x:c r="Z145" s="27"/>
      <x:c r="AA145" s="27"/>
      <x:c r="AB145" s="27"/>
      <x:c r="AC145" s="27"/>
      <x:c r="AD145" s="27"/>
      <x:c r="AE145" s="27"/>
      <x:c r="AF145" s="27"/>
      <x:c r="AG145" s="27"/>
      <x:c r="AH145" s="27"/>
      <x:c r="AI145" s="27"/>
      <x:c r="AJ145" s="27"/>
      <x:c r="AK145" s="27"/>
      <x:c r="AL145" s="27"/>
      <x:c r="AM145" s="27"/>
      <x:c r="AN145" s="27"/>
      <x:c r="AO145" s="27"/>
      <x:c r="AP145" s="27"/>
      <x:c r="AQ145" s="27"/>
      <x:c r="AR145" s="27"/>
      <x:c r="AS145" s="27"/>
      <x:c r="AT145" s="27"/>
      <x:c r="AU145" s="27"/>
      <x:c r="AV145" s="27"/>
      <x:c r="AW145" s="27"/>
      <x:c r="AX145" s="27"/>
      <x:c r="AY145" s="27"/>
      <x:c r="AZ145" s="27"/>
    </x:row>
    <x:row r="146">
      <x:c r="A146" s="27"/>
      <x:c r="B146" s="27"/>
      <x:c r="C146" s="27"/>
      <x:c r="D146" s="27"/>
      <x:c r="E146" s="27"/>
      <x:c r="F146" s="27"/>
      <x:c r="G146" s="27"/>
      <x:c r="H146" s="27"/>
      <x:c r="I146" s="27"/>
      <x:c r="J146" s="27"/>
      <x:c r="K146" s="27"/>
      <x:c r="L146" s="27"/>
      <x:c r="M146" s="27"/>
      <x:c r="N146" s="27"/>
      <x:c r="O146" s="27"/>
      <x:c r="P146" s="27"/>
      <x:c r="Q146" s="27"/>
      <x:c r="R146" s="27"/>
      <x:c r="S146" s="27"/>
      <x:c r="T146" s="27"/>
      <x:c r="U146" s="27"/>
      <x:c r="V146" s="27"/>
      <x:c r="W146" s="27"/>
      <x:c r="X146" s="27"/>
      <x:c r="Y146" s="27"/>
      <x:c r="Z146" s="27"/>
      <x:c r="AA146" s="27"/>
      <x:c r="AB146" s="27"/>
      <x:c r="AC146" s="27"/>
      <x:c r="AD146" s="27"/>
      <x:c r="AE146" s="27"/>
      <x:c r="AF146" s="27"/>
      <x:c r="AG146" s="27"/>
      <x:c r="AH146" s="27"/>
      <x:c r="AI146" s="27"/>
      <x:c r="AJ146" s="27"/>
      <x:c r="AK146" s="27"/>
      <x:c r="AL146" s="27"/>
      <x:c r="AM146" s="27"/>
      <x:c r="AN146" s="27"/>
      <x:c r="AO146" s="27"/>
      <x:c r="AP146" s="27"/>
      <x:c r="AQ146" s="27"/>
      <x:c r="AR146" s="27"/>
      <x:c r="AS146" s="27"/>
      <x:c r="AT146" s="27"/>
      <x:c r="AU146" s="27"/>
      <x:c r="AV146" s="27"/>
      <x:c r="AW146" s="27"/>
      <x:c r="AX146" s="27"/>
      <x:c r="AY146" s="27"/>
      <x:c r="AZ146" s="27"/>
    </x:row>
    <x:row r="147">
      <x:c r="A147" s="27"/>
      <x:c r="B147" s="27"/>
      <x:c r="C147" s="27"/>
      <x:c r="D147" s="27"/>
      <x:c r="E147" s="27"/>
      <x:c r="F147" s="27"/>
      <x:c r="G147" s="27"/>
      <x:c r="H147" s="27"/>
      <x:c r="I147" s="27"/>
      <x:c r="J147" s="27"/>
      <x:c r="K147" s="27"/>
      <x:c r="L147" s="27"/>
      <x:c r="M147" s="27"/>
      <x:c r="N147" s="27"/>
      <x:c r="O147" s="27"/>
      <x:c r="P147" s="27"/>
      <x:c r="Q147" s="27"/>
      <x:c r="R147" s="27"/>
      <x:c r="S147" s="27"/>
      <x:c r="T147" s="27"/>
      <x:c r="U147" s="27"/>
      <x:c r="V147" s="27"/>
      <x:c r="W147" s="27"/>
      <x:c r="X147" s="27"/>
      <x:c r="Y147" s="27"/>
      <x:c r="Z147" s="27"/>
      <x:c r="AA147" s="27"/>
      <x:c r="AB147" s="27"/>
      <x:c r="AC147" s="27"/>
      <x:c r="AD147" s="27"/>
      <x:c r="AE147" s="27"/>
      <x:c r="AF147" s="27"/>
      <x:c r="AG147" s="27"/>
      <x:c r="AH147" s="27"/>
      <x:c r="AI147" s="27"/>
      <x:c r="AJ147" s="27"/>
      <x:c r="AK147" s="27"/>
      <x:c r="AL147" s="27"/>
      <x:c r="AM147" s="27"/>
      <x:c r="AN147" s="27"/>
      <x:c r="AO147" s="27"/>
      <x:c r="AP147" s="27"/>
      <x:c r="AQ147" s="27"/>
      <x:c r="AR147" s="27"/>
      <x:c r="AS147" s="27"/>
      <x:c r="AT147" s="27"/>
      <x:c r="AU147" s="27"/>
      <x:c r="AV147" s="27"/>
      <x:c r="AW147" s="27"/>
      <x:c r="AX147" s="27"/>
      <x:c r="AY147" s="27"/>
      <x:c r="AZ147" s="27"/>
    </x:row>
    <x:row r="148">
      <x:c r="A148" s="27"/>
      <x:c r="B148" s="27"/>
      <x:c r="C148" s="27"/>
      <x:c r="D148" s="27"/>
      <x:c r="E148" s="27"/>
      <x:c r="F148" s="27"/>
      <x:c r="G148" s="27"/>
      <x:c r="H148" s="27"/>
      <x:c r="I148" s="27"/>
      <x:c r="J148" s="27"/>
      <x:c r="K148" s="27"/>
      <x:c r="L148" s="27"/>
      <x:c r="M148" s="27"/>
      <x:c r="N148" s="27"/>
      <x:c r="O148" s="27"/>
      <x:c r="P148" s="27"/>
      <x:c r="Q148" s="27"/>
      <x:c r="R148" s="27"/>
      <x:c r="S148" s="27"/>
      <x:c r="T148" s="27"/>
      <x:c r="U148" s="27"/>
      <x:c r="V148" s="27"/>
      <x:c r="W148" s="27"/>
      <x:c r="X148" s="27"/>
      <x:c r="Y148" s="27"/>
      <x:c r="Z148" s="27"/>
      <x:c r="AA148" s="27"/>
      <x:c r="AB148" s="27"/>
      <x:c r="AC148" s="27"/>
      <x:c r="AD148" s="27"/>
      <x:c r="AE148" s="27"/>
      <x:c r="AF148" s="27"/>
      <x:c r="AG148" s="27"/>
      <x:c r="AH148" s="27"/>
      <x:c r="AI148" s="27"/>
      <x:c r="AJ148" s="27"/>
      <x:c r="AK148" s="27"/>
      <x:c r="AL148" s="27"/>
      <x:c r="AM148" s="27"/>
      <x:c r="AN148" s="27"/>
      <x:c r="AO148" s="27"/>
      <x:c r="AP148" s="27"/>
      <x:c r="AQ148" s="27"/>
      <x:c r="AR148" s="27"/>
      <x:c r="AS148" s="27"/>
      <x:c r="AT148" s="27"/>
      <x:c r="AU148" s="27"/>
      <x:c r="AV148" s="27"/>
      <x:c r="AW148" s="27"/>
      <x:c r="AX148" s="27"/>
      <x:c r="AY148" s="27"/>
      <x:c r="AZ148" s="27"/>
    </x:row>
    <x:row r="149">
      <x:c r="A149" s="27"/>
      <x:c r="B149" s="27"/>
      <x:c r="C149" s="27"/>
      <x:c r="D149" s="27"/>
      <x:c r="E149" s="27"/>
      <x:c r="F149" s="27"/>
      <x:c r="G149" s="27"/>
      <x:c r="H149" s="27"/>
      <x:c r="I149" s="27"/>
      <x:c r="J149" s="27"/>
      <x:c r="K149" s="27"/>
      <x:c r="L149" s="27"/>
      <x:c r="M149" s="27"/>
      <x:c r="N149" s="27"/>
      <x:c r="O149" s="27"/>
      <x:c r="P149" s="27"/>
      <x:c r="Q149" s="27"/>
      <x:c r="R149" s="27"/>
      <x:c r="S149" s="27"/>
      <x:c r="T149" s="27"/>
      <x:c r="U149" s="27"/>
      <x:c r="V149" s="27"/>
      <x:c r="W149" s="27"/>
      <x:c r="X149" s="27"/>
      <x:c r="Y149" s="27"/>
      <x:c r="Z149" s="27"/>
      <x:c r="AA149" s="27"/>
      <x:c r="AB149" s="27"/>
      <x:c r="AC149" s="27"/>
      <x:c r="AD149" s="27"/>
      <x:c r="AE149" s="27"/>
      <x:c r="AF149" s="27"/>
      <x:c r="AG149" s="27"/>
      <x:c r="AH149" s="27"/>
      <x:c r="AI149" s="27"/>
      <x:c r="AJ149" s="27"/>
      <x:c r="AK149" s="27"/>
      <x:c r="AL149" s="27"/>
      <x:c r="AM149" s="27"/>
      <x:c r="AN149" s="27"/>
      <x:c r="AO149" s="27"/>
      <x:c r="AP149" s="27"/>
      <x:c r="AQ149" s="27"/>
      <x:c r="AR149" s="27"/>
      <x:c r="AS149" s="27"/>
      <x:c r="AT149" s="27"/>
      <x:c r="AU149" s="27"/>
      <x:c r="AV149" s="27"/>
      <x:c r="AW149" s="27"/>
      <x:c r="AX149" s="27"/>
      <x:c r="AY149" s="27"/>
      <x:c r="AZ149" s="27"/>
    </x:row>
    <x:row r="150">
      <x:c r="A150" s="27"/>
      <x:c r="B150" s="27"/>
      <x:c r="C150" s="27"/>
      <x:c r="D150" s="27"/>
      <x:c r="E150" s="27"/>
      <x:c r="F150" s="27"/>
      <x:c r="G150" s="27"/>
      <x:c r="H150" s="27"/>
      <x:c r="I150" s="27"/>
      <x:c r="J150" s="27"/>
      <x:c r="K150" s="27"/>
      <x:c r="L150" s="27"/>
      <x:c r="M150" s="27"/>
      <x:c r="N150" s="27"/>
      <x:c r="O150" s="27"/>
      <x:c r="P150" s="27"/>
      <x:c r="Q150" s="27"/>
      <x:c r="R150" s="27"/>
      <x:c r="S150" s="27"/>
      <x:c r="T150" s="27"/>
      <x:c r="U150" s="27"/>
      <x:c r="V150" s="27"/>
      <x:c r="W150" s="27"/>
      <x:c r="X150" s="27"/>
      <x:c r="Y150" s="27"/>
      <x:c r="Z150" s="27"/>
      <x:c r="AA150" s="27"/>
      <x:c r="AB150" s="27"/>
      <x:c r="AC150" s="27"/>
      <x:c r="AD150" s="27"/>
      <x:c r="AE150" s="27"/>
      <x:c r="AF150" s="27"/>
      <x:c r="AG150" s="27"/>
      <x:c r="AH150" s="27"/>
      <x:c r="AI150" s="27"/>
      <x:c r="AJ150" s="27"/>
      <x:c r="AK150" s="27"/>
      <x:c r="AL150" s="27"/>
      <x:c r="AM150" s="27"/>
      <x:c r="AN150" s="27"/>
      <x:c r="AO150" s="27"/>
      <x:c r="AP150" s="27"/>
      <x:c r="AQ150" s="27"/>
      <x:c r="AR150" s="27"/>
      <x:c r="AS150" s="27"/>
      <x:c r="AT150" s="27"/>
      <x:c r="AU150" s="27"/>
      <x:c r="AV150" s="27"/>
      <x:c r="AW150" s="27"/>
      <x:c r="AX150" s="27"/>
      <x:c r="AY150" s="27"/>
      <x:c r="AZ150" s="27"/>
    </x:row>
    <x:row r="151">
      <x:c r="A151" s="27"/>
      <x:c r="B151" s="27"/>
      <x:c r="C151" s="27"/>
      <x:c r="D151" s="27"/>
      <x:c r="E151" s="27"/>
      <x:c r="F151" s="27"/>
      <x:c r="G151" s="27"/>
      <x:c r="H151" s="27"/>
      <x:c r="I151" s="27"/>
      <x:c r="J151" s="27"/>
      <x:c r="K151" s="27"/>
      <x:c r="L151" s="27"/>
      <x:c r="M151" s="27"/>
      <x:c r="N151" s="27"/>
      <x:c r="O151" s="27"/>
      <x:c r="P151" s="27"/>
      <x:c r="Q151" s="27"/>
      <x:c r="R151" s="27"/>
      <x:c r="S151" s="27"/>
      <x:c r="T151" s="27"/>
      <x:c r="U151" s="27"/>
      <x:c r="V151" s="27"/>
      <x:c r="W151" s="27"/>
      <x:c r="X151" s="27"/>
      <x:c r="Y151" s="27"/>
      <x:c r="Z151" s="27"/>
      <x:c r="AA151" s="27"/>
      <x:c r="AB151" s="27"/>
      <x:c r="AC151" s="27"/>
      <x:c r="AD151" s="27"/>
      <x:c r="AE151" s="27"/>
      <x:c r="AF151" s="27"/>
      <x:c r="AG151" s="27"/>
      <x:c r="AH151" s="27"/>
      <x:c r="AI151" s="27"/>
      <x:c r="AJ151" s="27"/>
      <x:c r="AK151" s="27"/>
      <x:c r="AL151" s="27"/>
      <x:c r="AM151" s="27"/>
      <x:c r="AN151" s="27"/>
      <x:c r="AO151" s="27"/>
      <x:c r="AP151" s="27"/>
      <x:c r="AQ151" s="27"/>
      <x:c r="AR151" s="27"/>
      <x:c r="AS151" s="27"/>
      <x:c r="AT151" s="27"/>
      <x:c r="AU151" s="27"/>
      <x:c r="AV151" s="27"/>
      <x:c r="AW151" s="27"/>
      <x:c r="AX151" s="27"/>
      <x:c r="AY151" s="27"/>
      <x:c r="AZ151" s="27"/>
    </x:row>
    <x:row r="152">
      <x:c r="A152" s="27"/>
      <x:c r="B152" s="27"/>
      <x:c r="C152" s="27"/>
      <x:c r="D152" s="27"/>
      <x:c r="E152" s="27"/>
      <x:c r="F152" s="27"/>
      <x:c r="G152" s="27"/>
      <x:c r="H152" s="27"/>
      <x:c r="I152" s="27"/>
      <x:c r="J152" s="27"/>
      <x:c r="K152" s="27"/>
      <x:c r="L152" s="27"/>
      <x:c r="M152" s="27"/>
      <x:c r="N152" s="27"/>
      <x:c r="O152" s="27"/>
      <x:c r="P152" s="27"/>
      <x:c r="Q152" s="27"/>
      <x:c r="R152" s="27"/>
      <x:c r="S152" s="27"/>
      <x:c r="T152" s="27"/>
      <x:c r="U152" s="27"/>
      <x:c r="V152" s="27"/>
      <x:c r="W152" s="27"/>
      <x:c r="X152" s="27"/>
      <x:c r="Y152" s="27"/>
      <x:c r="Z152" s="27"/>
      <x:c r="AA152" s="27"/>
      <x:c r="AB152" s="27"/>
      <x:c r="AC152" s="27"/>
      <x:c r="AD152" s="27"/>
      <x:c r="AE152" s="27"/>
      <x:c r="AF152" s="27"/>
      <x:c r="AG152" s="27"/>
      <x:c r="AH152" s="27"/>
      <x:c r="AI152" s="27"/>
      <x:c r="AJ152" s="27"/>
      <x:c r="AK152" s="27"/>
      <x:c r="AL152" s="27"/>
      <x:c r="AM152" s="27"/>
      <x:c r="AN152" s="27"/>
      <x:c r="AO152" s="27"/>
      <x:c r="AP152" s="27"/>
      <x:c r="AQ152" s="27"/>
      <x:c r="AR152" s="27"/>
      <x:c r="AS152" s="27"/>
      <x:c r="AT152" s="27"/>
      <x:c r="AU152" s="27"/>
      <x:c r="AV152" s="27"/>
      <x:c r="AW152" s="27"/>
      <x:c r="AX152" s="27"/>
      <x:c r="AY152" s="27"/>
      <x:c r="AZ152" s="27"/>
    </x:row>
    <x:row r="153">
      <x:c r="A153" s="27"/>
      <x:c r="B153" s="27"/>
      <x:c r="C153" s="27"/>
      <x:c r="D153" s="27"/>
      <x:c r="E153" s="27"/>
      <x:c r="F153" s="27"/>
      <x:c r="G153" s="27"/>
      <x:c r="H153" s="27"/>
      <x:c r="I153" s="27"/>
      <x:c r="J153" s="27"/>
      <x:c r="K153" s="27"/>
      <x:c r="L153" s="27"/>
      <x:c r="M153" s="27"/>
      <x:c r="N153" s="27"/>
      <x:c r="O153" s="27"/>
      <x:c r="P153" s="27"/>
      <x:c r="Q153" s="27"/>
      <x:c r="R153" s="27"/>
      <x:c r="S153" s="27"/>
      <x:c r="T153" s="27"/>
      <x:c r="U153" s="27"/>
      <x:c r="V153" s="27"/>
      <x:c r="W153" s="27"/>
      <x:c r="X153" s="27"/>
      <x:c r="Y153" s="27"/>
      <x:c r="Z153" s="27"/>
      <x:c r="AA153" s="27"/>
      <x:c r="AB153" s="27"/>
      <x:c r="AC153" s="27"/>
      <x:c r="AD153" s="27"/>
      <x:c r="AE153" s="27"/>
      <x:c r="AF153" s="27"/>
      <x:c r="AG153" s="27"/>
      <x:c r="AH153" s="27"/>
      <x:c r="AI153" s="27"/>
      <x:c r="AJ153" s="27"/>
      <x:c r="AK153" s="27"/>
      <x:c r="AL153" s="27"/>
      <x:c r="AM153" s="27"/>
      <x:c r="AN153" s="27"/>
      <x:c r="AO153" s="27"/>
      <x:c r="AP153" s="27"/>
      <x:c r="AQ153" s="27"/>
      <x:c r="AR153" s="27"/>
      <x:c r="AS153" s="27"/>
      <x:c r="AT153" s="27"/>
      <x:c r="AU153" s="27"/>
      <x:c r="AV153" s="27"/>
      <x:c r="AW153" s="27"/>
      <x:c r="AX153" s="27"/>
      <x:c r="AY153" s="27"/>
      <x:c r="AZ153" s="27"/>
    </x:row>
    <x:row r="154">
      <x:c r="A154" s="27"/>
      <x:c r="B154" s="27"/>
      <x:c r="C154" s="27"/>
      <x:c r="D154" s="27"/>
      <x:c r="E154" s="27"/>
      <x:c r="F154" s="27"/>
      <x:c r="G154" s="27"/>
      <x:c r="H154" s="27"/>
      <x:c r="I154" s="27"/>
      <x:c r="J154" s="27"/>
      <x:c r="K154" s="27"/>
      <x:c r="L154" s="27"/>
      <x:c r="M154" s="27"/>
      <x:c r="N154" s="27"/>
      <x:c r="O154" s="27"/>
      <x:c r="P154" s="27"/>
      <x:c r="Q154" s="27"/>
      <x:c r="R154" s="27"/>
      <x:c r="S154" s="27"/>
      <x:c r="T154" s="27"/>
      <x:c r="U154" s="27"/>
      <x:c r="V154" s="27"/>
      <x:c r="W154" s="27"/>
      <x:c r="X154" s="27"/>
      <x:c r="Y154" s="27"/>
      <x:c r="Z154" s="27"/>
      <x:c r="AA154" s="27"/>
      <x:c r="AB154" s="27"/>
      <x:c r="AC154" s="27"/>
      <x:c r="AD154" s="27"/>
      <x:c r="AE154" s="27"/>
      <x:c r="AF154" s="27"/>
      <x:c r="AG154" s="27"/>
      <x:c r="AH154" s="27"/>
      <x:c r="AI154" s="27"/>
      <x:c r="AJ154" s="27"/>
      <x:c r="AK154" s="27"/>
      <x:c r="AL154" s="27"/>
      <x:c r="AM154" s="27"/>
      <x:c r="AN154" s="27"/>
      <x:c r="AO154" s="27"/>
      <x:c r="AP154" s="27"/>
      <x:c r="AQ154" s="27"/>
      <x:c r="AR154" s="27"/>
      <x:c r="AS154" s="27"/>
      <x:c r="AT154" s="27"/>
      <x:c r="AU154" s="27"/>
      <x:c r="AV154" s="27"/>
      <x:c r="AW154" s="27"/>
      <x:c r="AX154" s="27"/>
      <x:c r="AY154" s="27"/>
      <x:c r="AZ154" s="27"/>
    </x:row>
    <x:row r="155">
      <x:c r="A155" s="27"/>
      <x:c r="B155" s="27"/>
      <x:c r="C155" s="27"/>
      <x:c r="D155" s="27"/>
      <x:c r="E155" s="27"/>
      <x:c r="F155" s="27"/>
      <x:c r="G155" s="27"/>
      <x:c r="H155" s="27"/>
      <x:c r="I155" s="27"/>
      <x:c r="J155" s="27"/>
      <x:c r="K155" s="27"/>
      <x:c r="L155" s="27"/>
      <x:c r="M155" s="27"/>
      <x:c r="N155" s="27"/>
      <x:c r="O155" s="27"/>
      <x:c r="P155" s="27"/>
      <x:c r="Q155" s="27"/>
      <x:c r="R155" s="27"/>
      <x:c r="S155" s="27"/>
      <x:c r="T155" s="27"/>
      <x:c r="U155" s="27"/>
      <x:c r="V155" s="27"/>
      <x:c r="W155" s="27"/>
      <x:c r="X155" s="27"/>
      <x:c r="Y155" s="27"/>
      <x:c r="Z155" s="27"/>
      <x:c r="AA155" s="27"/>
      <x:c r="AB155" s="27"/>
      <x:c r="AC155" s="27"/>
      <x:c r="AD155" s="27"/>
      <x:c r="AE155" s="27"/>
      <x:c r="AF155" s="27"/>
      <x:c r="AG155" s="27"/>
      <x:c r="AH155" s="27"/>
      <x:c r="AI155" s="27"/>
      <x:c r="AJ155" s="27"/>
      <x:c r="AK155" s="27"/>
      <x:c r="AL155" s="27"/>
      <x:c r="AM155" s="27"/>
      <x:c r="AN155" s="27"/>
      <x:c r="AO155" s="27"/>
      <x:c r="AP155" s="27"/>
      <x:c r="AQ155" s="27"/>
      <x:c r="AR155" s="27"/>
      <x:c r="AS155" s="27"/>
      <x:c r="AT155" s="27"/>
      <x:c r="AU155" s="27"/>
      <x:c r="AV155" s="27"/>
      <x:c r="AW155" s="27"/>
      <x:c r="AX155" s="27"/>
      <x:c r="AY155" s="27"/>
      <x:c r="AZ155" s="27"/>
    </x:row>
    <x:row r="156">
      <x:c r="A156" s="27"/>
      <x:c r="B156" s="27"/>
      <x:c r="C156" s="27"/>
      <x:c r="D156" s="27"/>
      <x:c r="E156" s="27"/>
      <x:c r="F156" s="27"/>
      <x:c r="G156" s="27"/>
      <x:c r="H156" s="27"/>
      <x:c r="I156" s="27"/>
      <x:c r="J156" s="27"/>
      <x:c r="K156" s="27"/>
      <x:c r="L156" s="27"/>
      <x:c r="M156" s="27"/>
      <x:c r="N156" s="27"/>
      <x:c r="O156" s="27"/>
      <x:c r="P156" s="27"/>
      <x:c r="Q156" s="27"/>
      <x:c r="R156" s="27"/>
      <x:c r="S156" s="27"/>
      <x:c r="T156" s="27"/>
      <x:c r="U156" s="27"/>
      <x:c r="V156" s="27"/>
      <x:c r="W156" s="27"/>
      <x:c r="X156" s="27"/>
      <x:c r="Y156" s="27"/>
      <x:c r="Z156" s="27"/>
      <x:c r="AA156" s="27"/>
      <x:c r="AB156" s="27"/>
      <x:c r="AC156" s="27"/>
      <x:c r="AD156" s="27"/>
      <x:c r="AE156" s="27"/>
      <x:c r="AF156" s="27"/>
      <x:c r="AG156" s="27"/>
      <x:c r="AH156" s="27"/>
      <x:c r="AI156" s="27"/>
      <x:c r="AJ156" s="27"/>
      <x:c r="AK156" s="27"/>
      <x:c r="AL156" s="27"/>
      <x:c r="AM156" s="27"/>
      <x:c r="AN156" s="27"/>
      <x:c r="AO156" s="27"/>
      <x:c r="AP156" s="27"/>
      <x:c r="AQ156" s="27"/>
      <x:c r="AR156" s="27"/>
      <x:c r="AS156" s="27"/>
      <x:c r="AT156" s="27"/>
      <x:c r="AU156" s="27"/>
      <x:c r="AV156" s="27"/>
      <x:c r="AW156" s="27"/>
      <x:c r="AX156" s="27"/>
      <x:c r="AY156" s="27"/>
      <x:c r="AZ156" s="27"/>
    </x:row>
    <x:row r="157">
      <x:c r="A157" s="27"/>
      <x:c r="B157" s="27"/>
      <x:c r="C157" s="27"/>
      <x:c r="D157" s="27"/>
      <x:c r="E157" s="27"/>
      <x:c r="F157" s="27"/>
      <x:c r="G157" s="27"/>
      <x:c r="H157" s="27"/>
      <x:c r="I157" s="27"/>
      <x:c r="J157" s="27"/>
      <x:c r="K157" s="27"/>
      <x:c r="L157" s="27"/>
      <x:c r="M157" s="27"/>
      <x:c r="N157" s="27"/>
      <x:c r="O157" s="27"/>
      <x:c r="P157" s="27"/>
      <x:c r="Q157" s="27"/>
      <x:c r="R157" s="27"/>
      <x:c r="S157" s="27"/>
      <x:c r="T157" s="27"/>
      <x:c r="U157" s="27"/>
      <x:c r="V157" s="27"/>
      <x:c r="W157" s="27"/>
      <x:c r="X157" s="27"/>
      <x:c r="Y157" s="27"/>
      <x:c r="Z157" s="27"/>
      <x:c r="AA157" s="27"/>
      <x:c r="AB157" s="27"/>
      <x:c r="AC157" s="27"/>
      <x:c r="AD157" s="27"/>
      <x:c r="AE157" s="27"/>
      <x:c r="AF157" s="27"/>
      <x:c r="AG157" s="27"/>
      <x:c r="AH157" s="27"/>
      <x:c r="AI157" s="27"/>
      <x:c r="AJ157" s="27"/>
      <x:c r="AK157" s="27"/>
      <x:c r="AL157" s="27"/>
      <x:c r="AM157" s="27"/>
      <x:c r="AN157" s="27"/>
      <x:c r="AO157" s="27"/>
      <x:c r="AP157" s="27"/>
      <x:c r="AQ157" s="27"/>
      <x:c r="AR157" s="27"/>
      <x:c r="AS157" s="27"/>
      <x:c r="AT157" s="27"/>
      <x:c r="AU157" s="27"/>
      <x:c r="AV157" s="27"/>
      <x:c r="AW157" s="27"/>
      <x:c r="AX157" s="27"/>
      <x:c r="AY157" s="27"/>
      <x:c r="AZ157" s="27"/>
    </x:row>
    <x:row r="158">
      <x:c r="A158" s="27"/>
      <x:c r="B158" s="27"/>
      <x:c r="C158" s="27"/>
      <x:c r="D158" s="27"/>
      <x:c r="E158" s="27"/>
      <x:c r="F158" s="27"/>
      <x:c r="G158" s="27"/>
      <x:c r="H158" s="27"/>
      <x:c r="I158" s="27"/>
      <x:c r="J158" s="27"/>
      <x:c r="K158" s="27"/>
      <x:c r="L158" s="27"/>
      <x:c r="M158" s="27"/>
      <x:c r="N158" s="27"/>
      <x:c r="O158" s="27"/>
      <x:c r="P158" s="27"/>
      <x:c r="Q158" s="27"/>
      <x:c r="R158" s="27"/>
      <x:c r="S158" s="27"/>
      <x:c r="T158" s="27"/>
      <x:c r="U158" s="27"/>
      <x:c r="V158" s="27"/>
      <x:c r="W158" s="27"/>
      <x:c r="X158" s="27"/>
      <x:c r="Y158" s="27"/>
      <x:c r="Z158" s="27"/>
      <x:c r="AA158" s="27"/>
      <x:c r="AB158" s="27"/>
      <x:c r="AC158" s="27"/>
      <x:c r="AD158" s="27"/>
      <x:c r="AE158" s="27"/>
      <x:c r="AF158" s="27"/>
      <x:c r="AG158" s="27"/>
      <x:c r="AH158" s="27"/>
      <x:c r="AI158" s="27"/>
      <x:c r="AJ158" s="27"/>
      <x:c r="AK158" s="27"/>
      <x:c r="AL158" s="27"/>
      <x:c r="AM158" s="27"/>
      <x:c r="AN158" s="27"/>
      <x:c r="AO158" s="27"/>
      <x:c r="AP158" s="27"/>
      <x:c r="AQ158" s="27"/>
      <x:c r="AR158" s="27"/>
      <x:c r="AS158" s="27"/>
      <x:c r="AT158" s="27"/>
      <x:c r="AU158" s="27"/>
      <x:c r="AV158" s="27"/>
      <x:c r="AW158" s="27"/>
      <x:c r="AX158" s="27"/>
      <x:c r="AY158" s="27"/>
      <x:c r="AZ158" s="27"/>
    </x:row>
    <x:row r="159">
      <x:c r="A159" s="27"/>
      <x:c r="B159" s="27"/>
      <x:c r="C159" s="27"/>
      <x:c r="D159" s="27"/>
      <x:c r="E159" s="27"/>
      <x:c r="F159" s="27"/>
      <x:c r="G159" s="27"/>
      <x:c r="H159" s="27"/>
      <x:c r="I159" s="27"/>
      <x:c r="J159" s="27"/>
      <x:c r="K159" s="27"/>
      <x:c r="L159" s="27"/>
      <x:c r="M159" s="27"/>
      <x:c r="N159" s="27"/>
      <x:c r="O159" s="27"/>
      <x:c r="P159" s="27"/>
      <x:c r="Q159" s="27"/>
      <x:c r="R159" s="27"/>
      <x:c r="S159" s="27"/>
      <x:c r="T159" s="27"/>
      <x:c r="U159" s="27"/>
      <x:c r="V159" s="27"/>
      <x:c r="W159" s="27"/>
      <x:c r="X159" s="27"/>
      <x:c r="Y159" s="27"/>
      <x:c r="Z159" s="27"/>
      <x:c r="AA159" s="27"/>
      <x:c r="AB159" s="27"/>
      <x:c r="AC159" s="27"/>
      <x:c r="AD159" s="27"/>
      <x:c r="AE159" s="27"/>
      <x:c r="AF159" s="27"/>
      <x:c r="AG159" s="27"/>
      <x:c r="AH159" s="27"/>
      <x:c r="AI159" s="27"/>
      <x:c r="AJ159" s="27"/>
      <x:c r="AK159" s="27"/>
      <x:c r="AL159" s="27"/>
      <x:c r="AM159" s="27"/>
      <x:c r="AN159" s="27"/>
      <x:c r="AO159" s="27"/>
      <x:c r="AP159" s="27"/>
      <x:c r="AQ159" s="27"/>
      <x:c r="AR159" s="27"/>
      <x:c r="AS159" s="27"/>
      <x:c r="AT159" s="27"/>
      <x:c r="AU159" s="27"/>
      <x:c r="AV159" s="27"/>
      <x:c r="AW159" s="27"/>
      <x:c r="AX159" s="27"/>
      <x:c r="AY159" s="27"/>
      <x:c r="AZ159" s="27"/>
    </x:row>
    <x:row r="160">
      <x:c r="A160" s="27"/>
      <x:c r="B160" s="27"/>
      <x:c r="C160" s="27"/>
      <x:c r="D160" s="27"/>
      <x:c r="E160" s="27"/>
      <x:c r="F160" s="27"/>
      <x:c r="G160" s="27"/>
      <x:c r="H160" s="27"/>
      <x:c r="I160" s="27"/>
      <x:c r="J160" s="27"/>
      <x:c r="K160" s="27"/>
      <x:c r="L160" s="27"/>
      <x:c r="M160" s="27"/>
      <x:c r="N160" s="27"/>
      <x:c r="O160" s="27"/>
      <x:c r="P160" s="27"/>
      <x:c r="Q160" s="27"/>
      <x:c r="R160" s="27"/>
      <x:c r="S160" s="27"/>
      <x:c r="T160" s="27"/>
      <x:c r="U160" s="27"/>
      <x:c r="V160" s="27"/>
      <x:c r="W160" s="27"/>
      <x:c r="X160" s="27"/>
      <x:c r="Y160" s="27"/>
      <x:c r="Z160" s="27"/>
      <x:c r="AA160" s="27"/>
      <x:c r="AB160" s="27"/>
      <x:c r="AC160" s="27"/>
      <x:c r="AD160" s="27"/>
      <x:c r="AE160" s="27"/>
      <x:c r="AF160" s="27"/>
      <x:c r="AG160" s="27"/>
      <x:c r="AH160" s="27"/>
      <x:c r="AI160" s="27"/>
      <x:c r="AJ160" s="27"/>
      <x:c r="AK160" s="27"/>
      <x:c r="AL160" s="27"/>
      <x:c r="AM160" s="27"/>
      <x:c r="AN160" s="27"/>
      <x:c r="AO160" s="27"/>
      <x:c r="AP160" s="27"/>
      <x:c r="AQ160" s="27"/>
      <x:c r="AR160" s="27"/>
      <x:c r="AS160" s="27"/>
      <x:c r="AT160" s="27"/>
      <x:c r="AU160" s="27"/>
      <x:c r="AV160" s="27"/>
      <x:c r="AW160" s="27"/>
      <x:c r="AX160" s="27"/>
      <x:c r="AY160" s="27"/>
      <x:c r="AZ160" s="27"/>
    </x:row>
    <x:row r="161">
      <x:c r="A161" s="27"/>
      <x:c r="B161" s="27"/>
      <x:c r="C161" s="27"/>
      <x:c r="D161" s="27"/>
      <x:c r="E161" s="27"/>
      <x:c r="F161" s="27"/>
      <x:c r="G161" s="27"/>
      <x:c r="H161" s="27"/>
      <x:c r="I161" s="27"/>
      <x:c r="J161" s="27"/>
      <x:c r="K161" s="27"/>
      <x:c r="L161" s="27"/>
      <x:c r="M161" s="27"/>
      <x:c r="N161" s="27"/>
      <x:c r="O161" s="27"/>
      <x:c r="P161" s="27"/>
      <x:c r="Q161" s="27"/>
      <x:c r="R161" s="27"/>
      <x:c r="S161" s="27"/>
      <x:c r="T161" s="27"/>
      <x:c r="U161" s="27"/>
      <x:c r="V161" s="27"/>
      <x:c r="W161" s="27"/>
      <x:c r="X161" s="27"/>
      <x:c r="Y161" s="27"/>
      <x:c r="Z161" s="27"/>
      <x:c r="AA161" s="27"/>
      <x:c r="AB161" s="27"/>
      <x:c r="AC161" s="27"/>
      <x:c r="AD161" s="27"/>
      <x:c r="AE161" s="27"/>
      <x:c r="AF161" s="27"/>
      <x:c r="AG161" s="27"/>
      <x:c r="AH161" s="27"/>
      <x:c r="AI161" s="27"/>
      <x:c r="AJ161" s="27"/>
      <x:c r="AK161" s="27"/>
      <x:c r="AL161" s="27"/>
      <x:c r="AM161" s="27"/>
      <x:c r="AN161" s="27"/>
      <x:c r="AO161" s="27"/>
      <x:c r="AP161" s="27"/>
      <x:c r="AQ161" s="27"/>
      <x:c r="AR161" s="27"/>
      <x:c r="AS161" s="27"/>
      <x:c r="AT161" s="27"/>
      <x:c r="AU161" s="27"/>
      <x:c r="AV161" s="27"/>
      <x:c r="AW161" s="27"/>
      <x:c r="AX161" s="27"/>
      <x:c r="AY161" s="27"/>
      <x:c r="AZ161" s="27"/>
    </x:row>
    <x:row r="162">
      <x:c r="A162" s="27"/>
      <x:c r="B162" s="27"/>
      <x:c r="C162" s="27"/>
      <x:c r="D162" s="27"/>
      <x:c r="E162" s="27"/>
      <x:c r="F162" s="27"/>
      <x:c r="G162" s="27"/>
      <x:c r="H162" s="27"/>
      <x:c r="I162" s="27"/>
      <x:c r="J162" s="27"/>
      <x:c r="K162" s="27"/>
      <x:c r="L162" s="27"/>
      <x:c r="M162" s="27"/>
      <x:c r="N162" s="27"/>
      <x:c r="O162" s="27"/>
      <x:c r="P162" s="27"/>
      <x:c r="Q162" s="27"/>
      <x:c r="R162" s="27"/>
      <x:c r="S162" s="27"/>
      <x:c r="T162" s="27"/>
      <x:c r="U162" s="27"/>
      <x:c r="V162" s="27"/>
      <x:c r="W162" s="27"/>
      <x:c r="X162" s="27"/>
      <x:c r="Y162" s="27"/>
      <x:c r="Z162" s="27"/>
      <x:c r="AA162" s="27"/>
      <x:c r="AB162" s="27"/>
      <x:c r="AC162" s="27"/>
      <x:c r="AD162" s="27"/>
      <x:c r="AE162" s="27"/>
      <x:c r="AF162" s="27"/>
      <x:c r="AG162" s="27"/>
      <x:c r="AH162" s="27"/>
      <x:c r="AI162" s="27"/>
      <x:c r="AJ162" s="27"/>
      <x:c r="AK162" s="27"/>
      <x:c r="AL162" s="27"/>
      <x:c r="AM162" s="27"/>
      <x:c r="AN162" s="27"/>
      <x:c r="AO162" s="27"/>
      <x:c r="AP162" s="27"/>
      <x:c r="AQ162" s="27"/>
      <x:c r="AR162" s="27"/>
      <x:c r="AS162" s="27"/>
      <x:c r="AT162" s="27"/>
      <x:c r="AU162" s="27"/>
      <x:c r="AV162" s="27"/>
      <x:c r="AW162" s="27"/>
      <x:c r="AX162" s="27"/>
      <x:c r="AY162" s="27"/>
      <x:c r="AZ162" s="27"/>
    </x:row>
    <x:row r="163">
      <x:c r="A163" s="27"/>
      <x:c r="B163" s="27"/>
      <x:c r="C163" s="27"/>
      <x:c r="D163" s="27"/>
      <x:c r="E163" s="27"/>
      <x:c r="F163" s="27"/>
      <x:c r="G163" s="27"/>
      <x:c r="H163" s="27"/>
      <x:c r="I163" s="27"/>
      <x:c r="J163" s="27"/>
      <x:c r="K163" s="27"/>
      <x:c r="L163" s="27"/>
      <x:c r="M163" s="27"/>
      <x:c r="N163" s="27"/>
      <x:c r="O163" s="27"/>
      <x:c r="P163" s="27"/>
      <x:c r="Q163" s="27"/>
      <x:c r="R163" s="27"/>
      <x:c r="S163" s="27"/>
      <x:c r="T163" s="27"/>
      <x:c r="U163" s="27"/>
      <x:c r="V163" s="27"/>
      <x:c r="W163" s="27"/>
      <x:c r="X163" s="27"/>
      <x:c r="Y163" s="27"/>
      <x:c r="Z163" s="27"/>
      <x:c r="AA163" s="27"/>
      <x:c r="AB163" s="27"/>
      <x:c r="AC163" s="27"/>
      <x:c r="AD163" s="27"/>
      <x:c r="AE163" s="27"/>
      <x:c r="AF163" s="27"/>
      <x:c r="AG163" s="27"/>
      <x:c r="AH163" s="27"/>
      <x:c r="AI163" s="27"/>
      <x:c r="AJ163" s="27"/>
      <x:c r="AK163" s="27"/>
      <x:c r="AL163" s="27"/>
      <x:c r="AM163" s="27"/>
      <x:c r="AN163" s="27"/>
      <x:c r="AO163" s="27"/>
      <x:c r="AP163" s="27"/>
      <x:c r="AQ163" s="27"/>
      <x:c r="AR163" s="27"/>
      <x:c r="AS163" s="27"/>
      <x:c r="AT163" s="27"/>
      <x:c r="AU163" s="27"/>
      <x:c r="AV163" s="27"/>
      <x:c r="AW163" s="27"/>
      <x:c r="AX163" s="27"/>
      <x:c r="AY163" s="27"/>
      <x:c r="AZ163" s="27"/>
    </x:row>
    <x:row r="164">
      <x:c r="A164" s="27"/>
      <x:c r="B164" s="27"/>
      <x:c r="C164" s="27"/>
      <x:c r="D164" s="27"/>
      <x:c r="E164" s="27"/>
      <x:c r="F164" s="27"/>
      <x:c r="G164" s="27"/>
      <x:c r="H164" s="27"/>
      <x:c r="I164" s="27"/>
      <x:c r="J164" s="27"/>
      <x:c r="K164" s="27"/>
      <x:c r="L164" s="27"/>
      <x:c r="M164" s="27"/>
      <x:c r="N164" s="27"/>
      <x:c r="O164" s="27"/>
      <x:c r="P164" s="27"/>
      <x:c r="Q164" s="27"/>
      <x:c r="R164" s="27"/>
      <x:c r="S164" s="27"/>
      <x:c r="T164" s="27"/>
      <x:c r="U164" s="27"/>
      <x:c r="V164" s="27"/>
      <x:c r="W164" s="27"/>
      <x:c r="X164" s="27"/>
      <x:c r="Y164" s="27"/>
      <x:c r="Z164" s="27"/>
      <x:c r="AA164" s="27"/>
      <x:c r="AB164" s="27"/>
      <x:c r="AC164" s="27"/>
      <x:c r="AD164" s="27"/>
      <x:c r="AE164" s="27"/>
      <x:c r="AF164" s="27"/>
      <x:c r="AG164" s="27"/>
      <x:c r="AH164" s="27"/>
      <x:c r="AI164" s="27"/>
      <x:c r="AJ164" s="27"/>
      <x:c r="AK164" s="27"/>
      <x:c r="AL164" s="27"/>
      <x:c r="AM164" s="27"/>
      <x:c r="AN164" s="27"/>
      <x:c r="AO164" s="27"/>
      <x:c r="AP164" s="27"/>
      <x:c r="AQ164" s="27"/>
      <x:c r="AR164" s="27"/>
      <x:c r="AS164" s="27"/>
      <x:c r="AT164" s="27"/>
      <x:c r="AU164" s="27"/>
      <x:c r="AV164" s="27"/>
      <x:c r="AW164" s="27"/>
      <x:c r="AX164" s="27"/>
      <x:c r="AY164" s="27"/>
      <x:c r="AZ164" s="27"/>
    </x:row>
    <x:row r="165">
      <x:c r="A165" s="27"/>
      <x:c r="B165" s="27"/>
      <x:c r="C165" s="27"/>
      <x:c r="D165" s="27"/>
      <x:c r="E165" s="27"/>
      <x:c r="F165" s="27"/>
      <x:c r="G165" s="27"/>
      <x:c r="H165" s="27"/>
      <x:c r="I165" s="27"/>
      <x:c r="J165" s="27"/>
      <x:c r="K165" s="27"/>
      <x:c r="L165" s="27"/>
      <x:c r="M165" s="27"/>
      <x:c r="N165" s="27"/>
      <x:c r="O165" s="27"/>
      <x:c r="P165" s="27"/>
      <x:c r="Q165" s="27"/>
      <x:c r="R165" s="27"/>
      <x:c r="S165" s="27"/>
      <x:c r="T165" s="27"/>
      <x:c r="U165" s="27"/>
      <x:c r="V165" s="27"/>
      <x:c r="W165" s="27"/>
      <x:c r="X165" s="27"/>
      <x:c r="Y165" s="27"/>
      <x:c r="Z165" s="27"/>
      <x:c r="AA165" s="27"/>
      <x:c r="AB165" s="27"/>
      <x:c r="AC165" s="27"/>
      <x:c r="AD165" s="27"/>
      <x:c r="AE165" s="27"/>
      <x:c r="AF165" s="27"/>
      <x:c r="AG165" s="27"/>
      <x:c r="AH165" s="27"/>
      <x:c r="AI165" s="27"/>
      <x:c r="AJ165" s="27"/>
      <x:c r="AK165" s="27"/>
      <x:c r="AL165" s="27"/>
      <x:c r="AM165" s="27"/>
      <x:c r="AN165" s="27"/>
      <x:c r="AO165" s="27"/>
      <x:c r="AP165" s="27"/>
      <x:c r="AQ165" s="27"/>
      <x:c r="AR165" s="27"/>
      <x:c r="AS165" s="27"/>
      <x:c r="AT165" s="27"/>
      <x:c r="AU165" s="27"/>
      <x:c r="AV165" s="27"/>
      <x:c r="AW165" s="27"/>
      <x:c r="AX165" s="27"/>
      <x:c r="AY165" s="27"/>
      <x:c r="AZ165" s="27"/>
    </x:row>
    <x:row r="166">
      <x:c r="A166" s="27"/>
      <x:c r="B166" s="27"/>
      <x:c r="C166" s="27"/>
      <x:c r="D166" s="27"/>
      <x:c r="E166" s="27"/>
      <x:c r="F166" s="27"/>
      <x:c r="G166" s="27"/>
      <x:c r="H166" s="27"/>
      <x:c r="I166" s="27"/>
      <x:c r="J166" s="27"/>
      <x:c r="K166" s="27"/>
      <x:c r="L166" s="27"/>
      <x:c r="M166" s="27"/>
      <x:c r="N166" s="27"/>
      <x:c r="O166" s="27"/>
      <x:c r="P166" s="27"/>
      <x:c r="Q166" s="27"/>
      <x:c r="R166" s="27"/>
      <x:c r="S166" s="27"/>
      <x:c r="T166" s="27"/>
      <x:c r="U166" s="27"/>
      <x:c r="V166" s="27"/>
      <x:c r="W166" s="27"/>
      <x:c r="X166" s="27"/>
      <x:c r="Y166" s="27"/>
      <x:c r="Z166" s="27"/>
      <x:c r="AA166" s="27"/>
      <x:c r="AB166" s="27"/>
      <x:c r="AC166" s="27"/>
      <x:c r="AD166" s="27"/>
      <x:c r="AE166" s="27"/>
      <x:c r="AF166" s="27"/>
      <x:c r="AG166" s="27"/>
      <x:c r="AH166" s="27"/>
      <x:c r="AI166" s="27"/>
      <x:c r="AJ166" s="27"/>
      <x:c r="AK166" s="27"/>
      <x:c r="AL166" s="27"/>
      <x:c r="AM166" s="27"/>
      <x:c r="AN166" s="27"/>
      <x:c r="AO166" s="27"/>
      <x:c r="AP166" s="27"/>
      <x:c r="AQ166" s="27"/>
      <x:c r="AR166" s="27"/>
      <x:c r="AS166" s="27"/>
      <x:c r="AT166" s="27"/>
      <x:c r="AU166" s="27"/>
      <x:c r="AV166" s="27"/>
      <x:c r="AW166" s="27"/>
      <x:c r="AX166" s="27"/>
      <x:c r="AY166" s="27"/>
      <x:c r="AZ166" s="27"/>
    </x:row>
    <x:row r="167">
      <x:c r="A167" s="27"/>
      <x:c r="B167" s="27"/>
      <x:c r="C167" s="27"/>
      <x:c r="D167" s="27"/>
      <x:c r="E167" s="27"/>
      <x:c r="F167" s="27"/>
      <x:c r="G167" s="27"/>
      <x:c r="H167" s="27"/>
      <x:c r="I167" s="27"/>
      <x:c r="J167" s="27"/>
      <x:c r="K167" s="27"/>
      <x:c r="L167" s="27"/>
      <x:c r="M167" s="27"/>
      <x:c r="N167" s="27"/>
      <x:c r="O167" s="27"/>
      <x:c r="P167" s="27"/>
      <x:c r="Q167" s="27"/>
      <x:c r="R167" s="27"/>
      <x:c r="S167" s="27"/>
      <x:c r="T167" s="27"/>
      <x:c r="U167" s="27"/>
      <x:c r="V167" s="27"/>
      <x:c r="W167" s="27"/>
      <x:c r="X167" s="27"/>
      <x:c r="Y167" s="27"/>
      <x:c r="Z167" s="27"/>
      <x:c r="AA167" s="27"/>
      <x:c r="AB167" s="27"/>
      <x:c r="AC167" s="27"/>
      <x:c r="AD167" s="27"/>
      <x:c r="AE167" s="27"/>
      <x:c r="AF167" s="27"/>
      <x:c r="AG167" s="27"/>
      <x:c r="AH167" s="27"/>
      <x:c r="AI167" s="27"/>
      <x:c r="AJ167" s="27"/>
      <x:c r="AK167" s="27"/>
      <x:c r="AL167" s="27"/>
      <x:c r="AM167" s="27"/>
      <x:c r="AN167" s="27"/>
      <x:c r="AO167" s="27"/>
      <x:c r="AP167" s="27"/>
      <x:c r="AQ167" s="27"/>
      <x:c r="AR167" s="27"/>
      <x:c r="AS167" s="27"/>
      <x:c r="AT167" s="27"/>
      <x:c r="AU167" s="27"/>
      <x:c r="AV167" s="27"/>
      <x:c r="AW167" s="27"/>
      <x:c r="AX167" s="27"/>
      <x:c r="AY167" s="27"/>
      <x:c r="AZ167" s="27"/>
    </x:row>
    <x:row r="168">
      <x:c r="A168" s="27"/>
      <x:c r="B168" s="27"/>
      <x:c r="C168" s="27"/>
      <x:c r="D168" s="27"/>
      <x:c r="E168" s="27"/>
      <x:c r="F168" s="27"/>
      <x:c r="G168" s="27"/>
      <x:c r="H168" s="27"/>
      <x:c r="I168" s="27"/>
      <x:c r="J168" s="27"/>
      <x:c r="K168" s="27"/>
      <x:c r="L168" s="27"/>
      <x:c r="M168" s="27"/>
      <x:c r="N168" s="27"/>
      <x:c r="O168" s="27"/>
      <x:c r="P168" s="27"/>
      <x:c r="Q168" s="27"/>
      <x:c r="R168" s="27"/>
      <x:c r="S168" s="27"/>
      <x:c r="T168" s="27"/>
      <x:c r="U168" s="27"/>
      <x:c r="V168" s="27"/>
      <x:c r="W168" s="27"/>
      <x:c r="X168" s="27"/>
      <x:c r="Y168" s="27"/>
      <x:c r="Z168" s="27"/>
      <x:c r="AA168" s="27"/>
      <x:c r="AB168" s="27"/>
      <x:c r="AC168" s="27"/>
      <x:c r="AD168" s="27"/>
      <x:c r="AE168" s="27"/>
      <x:c r="AF168" s="27"/>
      <x:c r="AG168" s="27"/>
      <x:c r="AH168" s="27"/>
      <x:c r="AI168" s="27"/>
      <x:c r="AJ168" s="27"/>
      <x:c r="AK168" s="27"/>
      <x:c r="AL168" s="27"/>
      <x:c r="AM168" s="27"/>
      <x:c r="AN168" s="27"/>
      <x:c r="AO168" s="27"/>
      <x:c r="AP168" s="27"/>
      <x:c r="AQ168" s="27"/>
      <x:c r="AR168" s="27"/>
      <x:c r="AS168" s="27"/>
      <x:c r="AT168" s="27"/>
      <x:c r="AU168" s="27"/>
      <x:c r="AV168" s="27"/>
      <x:c r="AW168" s="27"/>
      <x:c r="AX168" s="27"/>
      <x:c r="AY168" s="27"/>
      <x:c r="AZ168" s="27"/>
    </x:row>
    <x:row r="169">
      <x:c r="A169" s="27"/>
      <x:c r="B169" s="27"/>
      <x:c r="C169" s="27"/>
      <x:c r="D169" s="27"/>
      <x:c r="E169" s="27"/>
      <x:c r="F169" s="27"/>
      <x:c r="G169" s="27"/>
      <x:c r="H169" s="27"/>
      <x:c r="I169" s="27"/>
      <x:c r="J169" s="27"/>
      <x:c r="K169" s="27"/>
      <x:c r="L169" s="27"/>
      <x:c r="M169" s="27"/>
      <x:c r="N169" s="27"/>
      <x:c r="O169" s="27"/>
      <x:c r="P169" s="27"/>
      <x:c r="Q169" s="27"/>
      <x:c r="R169" s="27"/>
      <x:c r="S169" s="27"/>
      <x:c r="T169" s="27"/>
      <x:c r="U169" s="27"/>
      <x:c r="V169" s="27"/>
      <x:c r="W169" s="27"/>
      <x:c r="X169" s="27"/>
      <x:c r="Y169" s="27"/>
      <x:c r="Z169" s="27"/>
      <x:c r="AA169" s="27"/>
      <x:c r="AB169" s="27"/>
      <x:c r="AC169" s="27"/>
      <x:c r="AD169" s="27"/>
      <x:c r="AE169" s="27"/>
      <x:c r="AF169" s="27"/>
      <x:c r="AG169" s="27"/>
      <x:c r="AH169" s="27"/>
      <x:c r="AI169" s="27"/>
      <x:c r="AJ169" s="27"/>
      <x:c r="AK169" s="27"/>
      <x:c r="AL169" s="27"/>
      <x:c r="AM169" s="27"/>
      <x:c r="AN169" s="27"/>
      <x:c r="AO169" s="27"/>
      <x:c r="AP169" s="27"/>
      <x:c r="AQ169" s="27"/>
      <x:c r="AR169" s="27"/>
      <x:c r="AS169" s="27"/>
      <x:c r="AT169" s="27"/>
      <x:c r="AU169" s="27"/>
      <x:c r="AV169" s="27"/>
      <x:c r="AW169" s="27"/>
      <x:c r="AX169" s="27"/>
      <x:c r="AY169" s="27"/>
      <x:c r="AZ169" s="27"/>
    </x:row>
    <x:row r="170">
      <x:c r="A170" s="27"/>
      <x:c r="B170" s="27"/>
      <x:c r="C170" s="27"/>
      <x:c r="D170" s="27"/>
      <x:c r="E170" s="27"/>
      <x:c r="F170" s="27"/>
      <x:c r="G170" s="27"/>
      <x:c r="H170" s="27"/>
      <x:c r="I170" s="27"/>
      <x:c r="J170" s="27"/>
      <x:c r="K170" s="27"/>
      <x:c r="L170" s="27"/>
      <x:c r="M170" s="27"/>
      <x:c r="N170" s="27"/>
      <x:c r="O170" s="27"/>
      <x:c r="P170" s="27"/>
      <x:c r="Q170" s="27"/>
      <x:c r="R170" s="27"/>
      <x:c r="S170" s="27"/>
      <x:c r="T170" s="27"/>
      <x:c r="U170" s="27"/>
      <x:c r="V170" s="27"/>
      <x:c r="W170" s="27"/>
      <x:c r="X170" s="27"/>
      <x:c r="Y170" s="27"/>
      <x:c r="Z170" s="27"/>
      <x:c r="AA170" s="27"/>
      <x:c r="AB170" s="27"/>
      <x:c r="AC170" s="27"/>
      <x:c r="AD170" s="27"/>
      <x:c r="AE170" s="27"/>
      <x:c r="AF170" s="27"/>
      <x:c r="AG170" s="27"/>
      <x:c r="AH170" s="27"/>
      <x:c r="AI170" s="27"/>
      <x:c r="AJ170" s="27"/>
      <x:c r="AK170" s="27"/>
      <x:c r="AL170" s="27"/>
      <x:c r="AM170" s="27"/>
      <x:c r="AN170" s="27"/>
      <x:c r="AO170" s="27"/>
      <x:c r="AP170" s="27"/>
      <x:c r="AQ170" s="27"/>
      <x:c r="AR170" s="27"/>
      <x:c r="AS170" s="27"/>
      <x:c r="AT170" s="27"/>
      <x:c r="AU170" s="27"/>
      <x:c r="AV170" s="27"/>
      <x:c r="AW170" s="27"/>
      <x:c r="AX170" s="27"/>
      <x:c r="AY170" s="27"/>
      <x:c r="AZ170" s="27"/>
    </x:row>
    <x:row r="171">
      <x:c r="A171" s="27"/>
      <x:c r="B171" s="27"/>
      <x:c r="C171" s="27"/>
      <x:c r="D171" s="27"/>
      <x:c r="E171" s="27"/>
      <x:c r="F171" s="27"/>
      <x:c r="G171" s="27"/>
      <x:c r="H171" s="27"/>
      <x:c r="I171" s="27"/>
      <x:c r="J171" s="27"/>
      <x:c r="K171" s="27"/>
      <x:c r="L171" s="27"/>
      <x:c r="M171" s="27"/>
      <x:c r="N171" s="27"/>
      <x:c r="O171" s="27"/>
      <x:c r="P171" s="27"/>
      <x:c r="Q171" s="27"/>
      <x:c r="R171" s="27"/>
      <x:c r="S171" s="27"/>
      <x:c r="T171" s="27"/>
      <x:c r="U171" s="27"/>
      <x:c r="V171" s="27"/>
      <x:c r="W171" s="27"/>
      <x:c r="X171" s="27"/>
      <x:c r="Y171" s="27"/>
      <x:c r="Z171" s="27"/>
      <x:c r="AA171" s="27"/>
      <x:c r="AB171" s="27"/>
      <x:c r="AC171" s="27"/>
      <x:c r="AD171" s="27"/>
      <x:c r="AE171" s="27"/>
      <x:c r="AF171" s="27"/>
      <x:c r="AG171" s="27"/>
      <x:c r="AH171" s="27"/>
      <x:c r="AI171" s="27"/>
      <x:c r="AJ171" s="27"/>
      <x:c r="AK171" s="27"/>
      <x:c r="AL171" s="27"/>
      <x:c r="AM171" s="27"/>
      <x:c r="AN171" s="27"/>
      <x:c r="AO171" s="27"/>
      <x:c r="AP171" s="27"/>
      <x:c r="AQ171" s="27"/>
      <x:c r="AR171" s="27"/>
      <x:c r="AS171" s="27"/>
      <x:c r="AT171" s="27"/>
      <x:c r="AU171" s="27"/>
      <x:c r="AV171" s="27"/>
      <x:c r="AW171" s="27"/>
      <x:c r="AX171" s="27"/>
      <x:c r="AY171" s="27"/>
      <x:c r="AZ171" s="27"/>
    </x:row>
    <x:row r="172">
      <x:c r="A172" s="27"/>
      <x:c r="B172" s="27"/>
      <x:c r="C172" s="27"/>
      <x:c r="D172" s="27"/>
      <x:c r="E172" s="27"/>
      <x:c r="F172" s="27"/>
      <x:c r="G172" s="27"/>
      <x:c r="H172" s="27"/>
      <x:c r="I172" s="27"/>
      <x:c r="J172" s="27"/>
      <x:c r="K172" s="27"/>
      <x:c r="L172" s="27"/>
      <x:c r="M172" s="27"/>
      <x:c r="N172" s="27"/>
      <x:c r="O172" s="27"/>
      <x:c r="P172" s="27"/>
      <x:c r="Q172" s="27"/>
      <x:c r="R172" s="27"/>
      <x:c r="S172" s="27"/>
      <x:c r="T172" s="27"/>
      <x:c r="U172" s="27"/>
      <x:c r="V172" s="27"/>
      <x:c r="W172" s="27"/>
      <x:c r="X172" s="27"/>
      <x:c r="Y172" s="27"/>
      <x:c r="Z172" s="27"/>
      <x:c r="AA172" s="27"/>
      <x:c r="AB172" s="27"/>
      <x:c r="AC172" s="27"/>
      <x:c r="AD172" s="27"/>
      <x:c r="AE172" s="27"/>
      <x:c r="AF172" s="27"/>
      <x:c r="AG172" s="27"/>
      <x:c r="AH172" s="27"/>
      <x:c r="AI172" s="27"/>
      <x:c r="AJ172" s="27"/>
      <x:c r="AK172" s="27"/>
      <x:c r="AL172" s="27"/>
      <x:c r="AM172" s="27"/>
      <x:c r="AN172" s="27"/>
      <x:c r="AO172" s="27"/>
      <x:c r="AP172" s="27"/>
      <x:c r="AQ172" s="27"/>
      <x:c r="AR172" s="27"/>
      <x:c r="AS172" s="27"/>
      <x:c r="AT172" s="27"/>
      <x:c r="AU172" s="27"/>
      <x:c r="AV172" s="27"/>
      <x:c r="AW172" s="27"/>
      <x:c r="AX172" s="27"/>
      <x:c r="AY172" s="27"/>
      <x:c r="AZ172" s="27"/>
    </x:row>
    <x:row r="173">
      <x:c r="A173" s="27"/>
      <x:c r="B173" s="27"/>
      <x:c r="C173" s="27"/>
      <x:c r="D173" s="27"/>
      <x:c r="E173" s="27"/>
      <x:c r="F173" s="27"/>
      <x:c r="G173" s="27"/>
      <x:c r="H173" s="27"/>
      <x:c r="I173" s="27"/>
      <x:c r="J173" s="27"/>
      <x:c r="K173" s="27"/>
      <x:c r="L173" s="27"/>
      <x:c r="M173" s="27"/>
      <x:c r="N173" s="27"/>
      <x:c r="O173" s="27"/>
      <x:c r="P173" s="27"/>
      <x:c r="Q173" s="27"/>
      <x:c r="R173" s="27"/>
      <x:c r="S173" s="27"/>
      <x:c r="T173" s="27"/>
      <x:c r="U173" s="27"/>
      <x:c r="V173" s="27"/>
      <x:c r="W173" s="27"/>
      <x:c r="X173" s="27"/>
      <x:c r="Y173" s="27"/>
      <x:c r="Z173" s="27"/>
      <x:c r="AA173" s="27"/>
      <x:c r="AB173" s="27"/>
      <x:c r="AC173" s="27"/>
      <x:c r="AD173" s="27"/>
      <x:c r="AE173" s="27"/>
      <x:c r="AF173" s="27"/>
      <x:c r="AG173" s="27"/>
      <x:c r="AH173" s="27"/>
      <x:c r="AI173" s="27"/>
      <x:c r="AJ173" s="27"/>
      <x:c r="AK173" s="27"/>
      <x:c r="AL173" s="27"/>
      <x:c r="AM173" s="27"/>
      <x:c r="AN173" s="27"/>
      <x:c r="AO173" s="27"/>
      <x:c r="AP173" s="27"/>
      <x:c r="AQ173" s="27"/>
      <x:c r="AR173" s="27"/>
      <x:c r="AS173" s="27"/>
      <x:c r="AT173" s="27"/>
      <x:c r="AU173" s="27"/>
      <x:c r="AV173" s="27"/>
      <x:c r="AW173" s="27"/>
      <x:c r="AX173" s="27"/>
      <x:c r="AY173" s="27"/>
      <x:c r="AZ173" s="27"/>
    </x:row>
    <x:row r="174">
      <x:c r="A174" s="27"/>
      <x:c r="B174" s="27"/>
      <x:c r="C174" s="27"/>
      <x:c r="D174" s="27"/>
      <x:c r="E174" s="27"/>
      <x:c r="F174" s="27"/>
      <x:c r="G174" s="27"/>
      <x:c r="H174" s="27"/>
      <x:c r="I174" s="27"/>
      <x:c r="J174" s="27"/>
      <x:c r="K174" s="27"/>
      <x:c r="L174" s="27"/>
      <x:c r="M174" s="27"/>
      <x:c r="N174" s="27"/>
      <x:c r="O174" s="27"/>
      <x:c r="P174" s="27"/>
      <x:c r="Q174" s="27"/>
      <x:c r="R174" s="27"/>
      <x:c r="S174" s="27"/>
      <x:c r="T174" s="27"/>
      <x:c r="U174" s="27"/>
      <x:c r="V174" s="27"/>
      <x:c r="W174" s="27"/>
      <x:c r="X174" s="27"/>
      <x:c r="Y174" s="27"/>
      <x:c r="Z174" s="27"/>
      <x:c r="AA174" s="27"/>
      <x:c r="AB174" s="27"/>
      <x:c r="AC174" s="27"/>
      <x:c r="AD174" s="27"/>
      <x:c r="AE174" s="27"/>
      <x:c r="AF174" s="27"/>
      <x:c r="AG174" s="27"/>
      <x:c r="AH174" s="27"/>
      <x:c r="AI174" s="27"/>
      <x:c r="AJ174" s="27"/>
      <x:c r="AK174" s="27"/>
      <x:c r="AL174" s="27"/>
      <x:c r="AM174" s="27"/>
      <x:c r="AN174" s="27"/>
      <x:c r="AO174" s="27"/>
      <x:c r="AP174" s="27"/>
      <x:c r="AQ174" s="27"/>
      <x:c r="AR174" s="27"/>
      <x:c r="AS174" s="27"/>
      <x:c r="AT174" s="27"/>
      <x:c r="AU174" s="27"/>
      <x:c r="AV174" s="27"/>
      <x:c r="AW174" s="27"/>
      <x:c r="AX174" s="27"/>
      <x:c r="AY174" s="27"/>
      <x:c r="AZ174" s="27"/>
    </x:row>
    <x:row r="175">
      <x:c r="A175" s="27"/>
      <x:c r="B175" s="27"/>
      <x:c r="C175" s="27"/>
      <x:c r="D175" s="27"/>
      <x:c r="E175" s="27"/>
      <x:c r="F175" s="27"/>
      <x:c r="G175" s="27"/>
      <x:c r="H175" s="27"/>
      <x:c r="I175" s="27"/>
      <x:c r="J175" s="27"/>
      <x:c r="K175" s="27"/>
      <x:c r="L175" s="27"/>
      <x:c r="M175" s="27"/>
      <x:c r="N175" s="27"/>
      <x:c r="O175" s="27"/>
      <x:c r="P175" s="27"/>
      <x:c r="Q175" s="27"/>
      <x:c r="R175" s="27"/>
      <x:c r="S175" s="27"/>
      <x:c r="T175" s="27"/>
      <x:c r="U175" s="27"/>
      <x:c r="V175" s="27"/>
      <x:c r="W175" s="27"/>
      <x:c r="X175" s="27"/>
      <x:c r="Y175" s="27"/>
      <x:c r="Z175" s="27"/>
      <x:c r="AA175" s="27"/>
      <x:c r="AB175" s="27"/>
      <x:c r="AC175" s="27"/>
      <x:c r="AD175" s="27"/>
      <x:c r="AE175" s="27"/>
      <x:c r="AF175" s="27"/>
      <x:c r="AG175" s="27"/>
      <x:c r="AH175" s="27"/>
      <x:c r="AI175" s="27"/>
      <x:c r="AJ175" s="27"/>
      <x:c r="AK175" s="27"/>
      <x:c r="AL175" s="27"/>
      <x:c r="AM175" s="27"/>
      <x:c r="AN175" s="27"/>
      <x:c r="AO175" s="27"/>
      <x:c r="AP175" s="27"/>
      <x:c r="AQ175" s="27"/>
      <x:c r="AR175" s="27"/>
      <x:c r="AS175" s="27"/>
      <x:c r="AT175" s="27"/>
      <x:c r="AU175" s="27"/>
      <x:c r="AV175" s="27"/>
      <x:c r="AW175" s="27"/>
      <x:c r="AX175" s="27"/>
      <x:c r="AY175" s="27"/>
      <x:c r="AZ175" s="27"/>
    </x:row>
    <x:row r="176">
      <x:c r="A176" s="27"/>
      <x:c r="B176" s="27"/>
      <x:c r="C176" s="27"/>
      <x:c r="D176" s="27"/>
      <x:c r="E176" s="27"/>
      <x:c r="F176" s="27"/>
      <x:c r="G176" s="27"/>
      <x:c r="H176" s="27"/>
      <x:c r="I176" s="27"/>
      <x:c r="J176" s="27"/>
      <x:c r="K176" s="27"/>
      <x:c r="L176" s="27"/>
      <x:c r="M176" s="27"/>
      <x:c r="N176" s="27"/>
      <x:c r="O176" s="27"/>
      <x:c r="P176" s="27"/>
      <x:c r="Q176" s="27"/>
      <x:c r="R176" s="27"/>
      <x:c r="S176" s="27"/>
      <x:c r="T176" s="27"/>
      <x:c r="U176" s="27"/>
      <x:c r="V176" s="27"/>
      <x:c r="W176" s="27"/>
      <x:c r="X176" s="27"/>
      <x:c r="Y176" s="27"/>
      <x:c r="Z176" s="27"/>
      <x:c r="AA176" s="27"/>
      <x:c r="AB176" s="27"/>
      <x:c r="AC176" s="27"/>
      <x:c r="AD176" s="27"/>
      <x:c r="AE176" s="27"/>
      <x:c r="AF176" s="27"/>
      <x:c r="AG176" s="27"/>
      <x:c r="AH176" s="27"/>
      <x:c r="AI176" s="27"/>
      <x:c r="AJ176" s="27"/>
      <x:c r="AK176" s="27"/>
      <x:c r="AL176" s="27"/>
      <x:c r="AM176" s="27"/>
      <x:c r="AN176" s="27"/>
      <x:c r="AO176" s="27"/>
      <x:c r="AP176" s="27"/>
      <x:c r="AQ176" s="27"/>
      <x:c r="AR176" s="27"/>
      <x:c r="AS176" s="27"/>
      <x:c r="AT176" s="27"/>
      <x:c r="AU176" s="27"/>
      <x:c r="AV176" s="27"/>
      <x:c r="AW176" s="27"/>
      <x:c r="AX176" s="27"/>
      <x:c r="AY176" s="27"/>
      <x:c r="AZ176" s="27"/>
    </x:row>
    <x:row r="177">
      <x:c r="A177" s="27"/>
      <x:c r="B177" s="27"/>
      <x:c r="C177" s="27"/>
      <x:c r="D177" s="27"/>
      <x:c r="E177" s="27"/>
      <x:c r="F177" s="27"/>
      <x:c r="G177" s="27"/>
      <x:c r="H177" s="27"/>
      <x:c r="I177" s="27"/>
      <x:c r="J177" s="27"/>
      <x:c r="K177" s="27"/>
      <x:c r="L177" s="27"/>
      <x:c r="M177" s="27"/>
      <x:c r="N177" s="27"/>
      <x:c r="O177" s="27"/>
      <x:c r="P177" s="27"/>
      <x:c r="Q177" s="27"/>
      <x:c r="R177" s="27"/>
      <x:c r="S177" s="27"/>
      <x:c r="T177" s="27"/>
      <x:c r="U177" s="27"/>
      <x:c r="V177" s="27"/>
      <x:c r="W177" s="27"/>
      <x:c r="X177" s="27"/>
      <x:c r="Y177" s="27"/>
      <x:c r="Z177" s="27"/>
      <x:c r="AA177" s="27"/>
      <x:c r="AB177" s="27"/>
      <x:c r="AC177" s="27"/>
      <x:c r="AD177" s="27"/>
      <x:c r="AE177" s="27"/>
      <x:c r="AF177" s="27"/>
      <x:c r="AG177" s="27"/>
      <x:c r="AH177" s="27"/>
      <x:c r="AI177" s="27"/>
      <x:c r="AJ177" s="27"/>
      <x:c r="AK177" s="27"/>
      <x:c r="AL177" s="27"/>
      <x:c r="AM177" s="27"/>
      <x:c r="AN177" s="27"/>
      <x:c r="AO177" s="27"/>
      <x:c r="AP177" s="27"/>
      <x:c r="AQ177" s="27"/>
      <x:c r="AR177" s="27"/>
      <x:c r="AS177" s="27"/>
      <x:c r="AT177" s="27"/>
      <x:c r="AU177" s="27"/>
      <x:c r="AV177" s="27"/>
      <x:c r="AW177" s="27"/>
      <x:c r="AX177" s="27"/>
      <x:c r="AY177" s="27"/>
      <x:c r="AZ177" s="27"/>
    </x:row>
    <x:row r="178">
      <x:c r="A178" s="27"/>
      <x:c r="B178" s="27"/>
      <x:c r="C178" s="27"/>
      <x:c r="D178" s="27"/>
      <x:c r="E178" s="27"/>
      <x:c r="F178" s="27"/>
      <x:c r="G178" s="27"/>
      <x:c r="H178" s="27"/>
      <x:c r="I178" s="27"/>
      <x:c r="J178" s="27"/>
      <x:c r="K178" s="27"/>
      <x:c r="L178" s="27"/>
      <x:c r="M178" s="27"/>
      <x:c r="N178" s="27"/>
      <x:c r="O178" s="27"/>
      <x:c r="P178" s="27"/>
      <x:c r="Q178" s="27"/>
      <x:c r="R178" s="27"/>
      <x:c r="S178" s="27"/>
      <x:c r="T178" s="27"/>
      <x:c r="U178" s="27"/>
      <x:c r="V178" s="27"/>
      <x:c r="W178" s="27"/>
      <x:c r="X178" s="27"/>
      <x:c r="Y178" s="27"/>
      <x:c r="Z178" s="27"/>
      <x:c r="AA178" s="27"/>
      <x:c r="AB178" s="27"/>
      <x:c r="AC178" s="27"/>
      <x:c r="AD178" s="27"/>
      <x:c r="AE178" s="27"/>
      <x:c r="AF178" s="27"/>
      <x:c r="AG178" s="27"/>
      <x:c r="AH178" s="27"/>
      <x:c r="AI178" s="27"/>
      <x:c r="AJ178" s="27"/>
      <x:c r="AK178" s="27"/>
      <x:c r="AL178" s="27"/>
      <x:c r="AM178" s="27"/>
      <x:c r="AN178" s="27"/>
      <x:c r="AO178" s="27"/>
      <x:c r="AP178" s="27"/>
      <x:c r="AQ178" s="27"/>
      <x:c r="AR178" s="27"/>
      <x:c r="AS178" s="27"/>
      <x:c r="AT178" s="27"/>
      <x:c r="AU178" s="27"/>
      <x:c r="AV178" s="27"/>
      <x:c r="AW178" s="27"/>
      <x:c r="AX178" s="27"/>
      <x:c r="AY178" s="27"/>
      <x:c r="AZ178" s="27"/>
    </x:row>
    <x:row r="179">
      <x:c r="A179" s="27"/>
      <x:c r="B179" s="27"/>
      <x:c r="C179" s="27"/>
      <x:c r="D179" s="27"/>
      <x:c r="E179" s="27"/>
      <x:c r="F179" s="27"/>
      <x:c r="G179" s="27"/>
      <x:c r="H179" s="27"/>
      <x:c r="I179" s="27"/>
      <x:c r="J179" s="27"/>
      <x:c r="K179" s="27"/>
      <x:c r="L179" s="27"/>
      <x:c r="M179" s="27"/>
      <x:c r="N179" s="27"/>
      <x:c r="O179" s="27"/>
      <x:c r="P179" s="27"/>
      <x:c r="Q179" s="27"/>
      <x:c r="R179" s="27"/>
      <x:c r="S179" s="27"/>
      <x:c r="T179" s="27"/>
      <x:c r="U179" s="27"/>
      <x:c r="V179" s="27"/>
      <x:c r="W179" s="27"/>
      <x:c r="X179" s="27"/>
      <x:c r="Y179" s="27"/>
      <x:c r="Z179" s="27"/>
      <x:c r="AA179" s="27"/>
      <x:c r="AB179" s="27"/>
      <x:c r="AC179" s="27"/>
      <x:c r="AD179" s="27"/>
      <x:c r="AE179" s="27"/>
      <x:c r="AF179" s="27"/>
      <x:c r="AG179" s="27"/>
      <x:c r="AH179" s="27"/>
      <x:c r="AI179" s="27"/>
      <x:c r="AJ179" s="27"/>
      <x:c r="AK179" s="27"/>
      <x:c r="AL179" s="27"/>
      <x:c r="AM179" s="27"/>
      <x:c r="AN179" s="27"/>
      <x:c r="AO179" s="27"/>
      <x:c r="AP179" s="27"/>
      <x:c r="AQ179" s="27"/>
      <x:c r="AR179" s="27"/>
      <x:c r="AS179" s="27"/>
      <x:c r="AT179" s="27"/>
      <x:c r="AU179" s="27"/>
      <x:c r="AV179" s="27"/>
      <x:c r="AW179" s="27"/>
      <x:c r="AX179" s="27"/>
      <x:c r="AY179" s="27"/>
      <x:c r="AZ179" s="27"/>
    </x:row>
    <x:row r="180">
      <x:c r="A180" s="27"/>
      <x:c r="B180" s="27"/>
      <x:c r="C180" s="27"/>
      <x:c r="D180" s="27"/>
      <x:c r="E180" s="27"/>
      <x:c r="F180" s="27"/>
      <x:c r="G180" s="27"/>
      <x:c r="H180" s="27"/>
      <x:c r="I180" s="27"/>
      <x:c r="J180" s="27"/>
      <x:c r="K180" s="27"/>
      <x:c r="L180" s="27"/>
      <x:c r="M180" s="27"/>
      <x:c r="N180" s="27"/>
      <x:c r="O180" s="27"/>
      <x:c r="P180" s="27"/>
      <x:c r="Q180" s="27"/>
      <x:c r="R180" s="27"/>
      <x:c r="S180" s="27"/>
      <x:c r="T180" s="27"/>
      <x:c r="U180" s="27"/>
      <x:c r="V180" s="27"/>
      <x:c r="W180" s="27"/>
      <x:c r="X180" s="27"/>
      <x:c r="Y180" s="27"/>
      <x:c r="Z180" s="27"/>
      <x:c r="AA180" s="27"/>
      <x:c r="AB180" s="27"/>
      <x:c r="AC180" s="27"/>
      <x:c r="AD180" s="27"/>
      <x:c r="AE180" s="27"/>
      <x:c r="AF180" s="27"/>
      <x:c r="AG180" s="27"/>
      <x:c r="AH180" s="27"/>
      <x:c r="AI180" s="27"/>
      <x:c r="AJ180" s="27"/>
      <x:c r="AK180" s="27"/>
      <x:c r="AL180" s="27"/>
      <x:c r="AM180" s="27"/>
      <x:c r="AN180" s="27"/>
      <x:c r="AO180" s="27"/>
      <x:c r="AP180" s="27"/>
      <x:c r="AQ180" s="27"/>
      <x:c r="AR180" s="27"/>
      <x:c r="AS180" s="27"/>
      <x:c r="AT180" s="27"/>
      <x:c r="AU180" s="27"/>
      <x:c r="AV180" s="27"/>
      <x:c r="AW180" s="27"/>
      <x:c r="AX180" s="27"/>
      <x:c r="AY180" s="27"/>
      <x:c r="AZ180" s="27"/>
    </x:row>
    <x:row r="181">
      <x:c r="A181" s="27"/>
      <x:c r="B181" s="27"/>
      <x:c r="C181" s="27"/>
      <x:c r="D181" s="27"/>
      <x:c r="E181" s="27"/>
      <x:c r="F181" s="27"/>
      <x:c r="G181" s="27"/>
      <x:c r="H181" s="27"/>
      <x:c r="I181" s="27"/>
      <x:c r="J181" s="27"/>
      <x:c r="K181" s="27"/>
      <x:c r="L181" s="27"/>
      <x:c r="M181" s="27"/>
      <x:c r="N181" s="27"/>
      <x:c r="O181" s="27"/>
      <x:c r="P181" s="27"/>
      <x:c r="Q181" s="27"/>
      <x:c r="R181" s="27"/>
      <x:c r="S181" s="27"/>
      <x:c r="T181" s="27"/>
      <x:c r="U181" s="27"/>
      <x:c r="V181" s="27"/>
      <x:c r="W181" s="27"/>
      <x:c r="X181" s="27"/>
      <x:c r="Y181" s="27"/>
      <x:c r="Z181" s="27"/>
      <x:c r="AA181" s="27"/>
      <x:c r="AB181" s="27"/>
      <x:c r="AC181" s="27"/>
      <x:c r="AD181" s="27"/>
      <x:c r="AE181" s="27"/>
      <x:c r="AF181" s="27"/>
      <x:c r="AG181" s="27"/>
      <x:c r="AH181" s="27"/>
      <x:c r="AI181" s="27"/>
      <x:c r="AJ181" s="27"/>
      <x:c r="AK181" s="27"/>
      <x:c r="AL181" s="27"/>
      <x:c r="AM181" s="27"/>
      <x:c r="AN181" s="27"/>
      <x:c r="AO181" s="27"/>
      <x:c r="AP181" s="27"/>
      <x:c r="AQ181" s="27"/>
      <x:c r="AR181" s="27"/>
      <x:c r="AS181" s="27"/>
      <x:c r="AT181" s="27"/>
      <x:c r="AU181" s="27"/>
      <x:c r="AV181" s="27"/>
      <x:c r="AW181" s="27"/>
      <x:c r="AX181" s="27"/>
      <x:c r="AY181" s="27"/>
      <x:c r="AZ181" s="27"/>
    </x:row>
    <x:row r="182">
      <x:c r="A182" s="27"/>
      <x:c r="B182" s="27"/>
      <x:c r="C182" s="27"/>
      <x:c r="D182" s="27"/>
      <x:c r="E182" s="27"/>
      <x:c r="F182" s="27"/>
      <x:c r="G182" s="27"/>
      <x:c r="H182" s="27"/>
      <x:c r="I182" s="27"/>
      <x:c r="J182" s="27"/>
      <x:c r="K182" s="27"/>
      <x:c r="L182" s="27"/>
      <x:c r="M182" s="27"/>
      <x:c r="N182" s="27"/>
      <x:c r="O182" s="27"/>
      <x:c r="P182" s="27"/>
      <x:c r="Q182" s="27"/>
      <x:c r="R182" s="27"/>
      <x:c r="S182" s="27"/>
      <x:c r="T182" s="27"/>
      <x:c r="U182" s="27"/>
      <x:c r="V182" s="27"/>
      <x:c r="W182" s="27"/>
      <x:c r="X182" s="27"/>
      <x:c r="Y182" s="27"/>
      <x:c r="Z182" s="27"/>
      <x:c r="AA182" s="27"/>
      <x:c r="AB182" s="27"/>
      <x:c r="AC182" s="27"/>
      <x:c r="AD182" s="27"/>
      <x:c r="AE182" s="27"/>
      <x:c r="AF182" s="27"/>
      <x:c r="AG182" s="27"/>
      <x:c r="AH182" s="27"/>
      <x:c r="AI182" s="27"/>
      <x:c r="AJ182" s="27"/>
      <x:c r="AK182" s="27"/>
      <x:c r="AL182" s="27"/>
      <x:c r="AM182" s="27"/>
      <x:c r="AN182" s="27"/>
      <x:c r="AO182" s="27"/>
      <x:c r="AP182" s="27"/>
      <x:c r="AQ182" s="27"/>
      <x:c r="AR182" s="27"/>
      <x:c r="AS182" s="27"/>
      <x:c r="AT182" s="27"/>
      <x:c r="AU182" s="27"/>
      <x:c r="AV182" s="27"/>
      <x:c r="AW182" s="27"/>
      <x:c r="AX182" s="27"/>
      <x:c r="AY182" s="27"/>
      <x:c r="AZ182" s="27"/>
    </x:row>
    <x:row r="183">
      <x:c r="A183" s="27"/>
      <x:c r="B183" s="27"/>
      <x:c r="C183" s="27"/>
      <x:c r="D183" s="27"/>
      <x:c r="E183" s="27"/>
      <x:c r="F183" s="27"/>
      <x:c r="G183" s="27"/>
      <x:c r="H183" s="27"/>
      <x:c r="I183" s="27"/>
      <x:c r="J183" s="27"/>
      <x:c r="K183" s="27"/>
      <x:c r="L183" s="27"/>
      <x:c r="M183" s="27"/>
      <x:c r="N183" s="27"/>
      <x:c r="O183" s="27"/>
      <x:c r="P183" s="27"/>
      <x:c r="Q183" s="27"/>
      <x:c r="R183" s="27"/>
      <x:c r="S183" s="27"/>
      <x:c r="T183" s="27"/>
      <x:c r="U183" s="27"/>
      <x:c r="V183" s="27"/>
      <x:c r="W183" s="27"/>
      <x:c r="X183" s="27"/>
      <x:c r="Y183" s="27"/>
      <x:c r="Z183" s="27"/>
      <x:c r="AA183" s="27"/>
      <x:c r="AB183" s="27"/>
      <x:c r="AC183" s="27"/>
      <x:c r="AD183" s="27"/>
      <x:c r="AE183" s="27"/>
      <x:c r="AF183" s="27"/>
      <x:c r="AG183" s="27"/>
      <x:c r="AH183" s="27"/>
      <x:c r="AI183" s="27"/>
      <x:c r="AJ183" s="27"/>
      <x:c r="AK183" s="27"/>
      <x:c r="AL183" s="27"/>
      <x:c r="AM183" s="27"/>
      <x:c r="AN183" s="27"/>
      <x:c r="AO183" s="27"/>
      <x:c r="AP183" s="27"/>
      <x:c r="AQ183" s="27"/>
      <x:c r="AR183" s="27"/>
      <x:c r="AS183" s="27"/>
      <x:c r="AT183" s="27"/>
      <x:c r="AU183" s="27"/>
      <x:c r="AV183" s="27"/>
      <x:c r="AW183" s="27"/>
      <x:c r="AX183" s="27"/>
      <x:c r="AY183" s="27"/>
      <x:c r="AZ183" s="27"/>
    </x:row>
    <x:row r="184">
      <x:c r="A184" s="27"/>
      <x:c r="B184" s="27"/>
      <x:c r="C184" s="27"/>
      <x:c r="D184" s="27"/>
      <x:c r="E184" s="27"/>
      <x:c r="F184" s="27"/>
      <x:c r="G184" s="27"/>
      <x:c r="H184" s="27"/>
      <x:c r="I184" s="27"/>
      <x:c r="J184" s="27"/>
      <x:c r="K184" s="27"/>
      <x:c r="L184" s="27"/>
      <x:c r="M184" s="27"/>
      <x:c r="N184" s="27"/>
      <x:c r="O184" s="27"/>
      <x:c r="P184" s="27"/>
      <x:c r="Q184" s="27"/>
      <x:c r="R184" s="27"/>
      <x:c r="S184" s="27"/>
      <x:c r="T184" s="27"/>
      <x:c r="U184" s="27"/>
      <x:c r="V184" s="27"/>
      <x:c r="W184" s="27"/>
      <x:c r="X184" s="27"/>
      <x:c r="Y184" s="27"/>
      <x:c r="Z184" s="27"/>
      <x:c r="AA184" s="27"/>
      <x:c r="AB184" s="27"/>
      <x:c r="AC184" s="27"/>
      <x:c r="AD184" s="27"/>
      <x:c r="AE184" s="27"/>
      <x:c r="AF184" s="27"/>
      <x:c r="AG184" s="27"/>
      <x:c r="AH184" s="27"/>
      <x:c r="AI184" s="27"/>
      <x:c r="AJ184" s="27"/>
      <x:c r="AK184" s="27"/>
      <x:c r="AL184" s="27"/>
      <x:c r="AM184" s="27"/>
      <x:c r="AN184" s="27"/>
      <x:c r="AO184" s="27"/>
      <x:c r="AP184" s="27"/>
      <x:c r="AQ184" s="27"/>
      <x:c r="AR184" s="27"/>
      <x:c r="AS184" s="27"/>
      <x:c r="AT184" s="27"/>
      <x:c r="AU184" s="27"/>
      <x:c r="AV184" s="27"/>
      <x:c r="AW184" s="27"/>
      <x:c r="AX184" s="27"/>
      <x:c r="AY184" s="27"/>
      <x:c r="AZ184" s="27"/>
    </x:row>
    <x:row r="185">
      <x:c r="A185" s="27"/>
      <x:c r="B185" s="27"/>
      <x:c r="C185" s="27"/>
      <x:c r="D185" s="27"/>
      <x:c r="E185" s="27"/>
      <x:c r="F185" s="27"/>
      <x:c r="G185" s="27"/>
      <x:c r="H185" s="27"/>
      <x:c r="I185" s="27"/>
      <x:c r="J185" s="27"/>
      <x:c r="K185" s="27"/>
      <x:c r="L185" s="27"/>
      <x:c r="M185" s="27"/>
      <x:c r="N185" s="27"/>
      <x:c r="O185" s="27"/>
      <x:c r="P185" s="27"/>
      <x:c r="Q185" s="27"/>
      <x:c r="R185" s="27"/>
      <x:c r="S185" s="27"/>
      <x:c r="T185" s="27"/>
      <x:c r="U185" s="27"/>
      <x:c r="V185" s="27"/>
      <x:c r="W185" s="27"/>
      <x:c r="X185" s="27"/>
      <x:c r="Y185" s="27"/>
      <x:c r="Z185" s="27"/>
      <x:c r="AA185" s="27"/>
      <x:c r="AB185" s="27"/>
      <x:c r="AC185" s="27"/>
      <x:c r="AD185" s="27"/>
      <x:c r="AE185" s="27"/>
      <x:c r="AF185" s="27"/>
      <x:c r="AG185" s="27"/>
      <x:c r="AH185" s="27"/>
      <x:c r="AI185" s="27"/>
      <x:c r="AJ185" s="27"/>
      <x:c r="AK185" s="27"/>
      <x:c r="AL185" s="27"/>
      <x:c r="AM185" s="27"/>
      <x:c r="AN185" s="27"/>
      <x:c r="AO185" s="27"/>
      <x:c r="AP185" s="27"/>
      <x:c r="AQ185" s="27"/>
      <x:c r="AR185" s="27"/>
      <x:c r="AS185" s="27"/>
      <x:c r="AT185" s="27"/>
      <x:c r="AU185" s="27"/>
      <x:c r="AV185" s="27"/>
      <x:c r="AW185" s="27"/>
      <x:c r="AX185" s="27"/>
      <x:c r="AY185" s="27"/>
      <x:c r="AZ185" s="27"/>
    </x:row>
    <x:row r="186">
      <x:c r="A186" s="27"/>
      <x:c r="B186" s="27"/>
      <x:c r="C186" s="27"/>
      <x:c r="D186" s="27"/>
      <x:c r="E186" s="27"/>
      <x:c r="F186" s="27"/>
      <x:c r="G186" s="27"/>
      <x:c r="H186" s="27"/>
      <x:c r="I186" s="27"/>
      <x:c r="J186" s="27"/>
      <x:c r="K186" s="27"/>
      <x:c r="L186" s="27"/>
      <x:c r="M186" s="27"/>
      <x:c r="N186" s="27"/>
      <x:c r="O186" s="27"/>
      <x:c r="P186" s="27"/>
      <x:c r="Q186" s="27"/>
      <x:c r="R186" s="27"/>
      <x:c r="S186" s="27"/>
      <x:c r="T186" s="27"/>
      <x:c r="U186" s="27"/>
      <x:c r="V186" s="27"/>
      <x:c r="W186" s="27"/>
      <x:c r="X186" s="27"/>
      <x:c r="Y186" s="27"/>
      <x:c r="Z186" s="27"/>
      <x:c r="AA186" s="27"/>
      <x:c r="AB186" s="27"/>
      <x:c r="AC186" s="27"/>
      <x:c r="AD186" s="27"/>
      <x:c r="AE186" s="27"/>
      <x:c r="AF186" s="27"/>
      <x:c r="AG186" s="27"/>
      <x:c r="AH186" s="27"/>
      <x:c r="AI186" s="27"/>
      <x:c r="AJ186" s="27"/>
      <x:c r="AK186" s="27"/>
      <x:c r="AL186" s="27"/>
      <x:c r="AM186" s="27"/>
      <x:c r="AN186" s="27"/>
      <x:c r="AO186" s="27"/>
      <x:c r="AP186" s="27"/>
      <x:c r="AQ186" s="27"/>
      <x:c r="AR186" s="27"/>
      <x:c r="AS186" s="27"/>
      <x:c r="AT186" s="27"/>
      <x:c r="AU186" s="27"/>
      <x:c r="AV186" s="27"/>
      <x:c r="AW186" s="27"/>
      <x:c r="AX186" s="27"/>
      <x:c r="AY186" s="27"/>
      <x:c r="AZ186" s="27"/>
    </x:row>
    <x:row r="187">
      <x:c r="A187" s="27"/>
      <x:c r="B187" s="27"/>
      <x:c r="C187" s="27"/>
      <x:c r="D187" s="27"/>
      <x:c r="E187" s="27"/>
      <x:c r="F187" s="27"/>
      <x:c r="G187" s="27"/>
      <x:c r="H187" s="27"/>
      <x:c r="I187" s="27"/>
      <x:c r="J187" s="27"/>
      <x:c r="K187" s="27"/>
      <x:c r="L187" s="27"/>
      <x:c r="M187" s="27"/>
      <x:c r="N187" s="27"/>
      <x:c r="O187" s="27"/>
      <x:c r="P187" s="27"/>
      <x:c r="Q187" s="27"/>
      <x:c r="R187" s="27"/>
      <x:c r="S187" s="27"/>
      <x:c r="T187" s="27"/>
      <x:c r="U187" s="27"/>
      <x:c r="V187" s="27"/>
      <x:c r="W187" s="27"/>
      <x:c r="X187" s="27"/>
      <x:c r="Y187" s="27"/>
      <x:c r="Z187" s="27"/>
      <x:c r="AA187" s="27"/>
      <x:c r="AB187" s="27"/>
      <x:c r="AC187" s="27"/>
      <x:c r="AD187" s="27"/>
      <x:c r="AE187" s="27"/>
      <x:c r="AF187" s="27"/>
      <x:c r="AG187" s="27"/>
      <x:c r="AH187" s="27"/>
      <x:c r="AI187" s="27"/>
      <x:c r="AJ187" s="27"/>
      <x:c r="AK187" s="27"/>
      <x:c r="AL187" s="27"/>
      <x:c r="AM187" s="27"/>
      <x:c r="AN187" s="27"/>
      <x:c r="AO187" s="27"/>
      <x:c r="AP187" s="27"/>
      <x:c r="AQ187" s="27"/>
      <x:c r="AR187" s="27"/>
      <x:c r="AS187" s="27"/>
      <x:c r="AT187" s="27"/>
      <x:c r="AU187" s="27"/>
      <x:c r="AV187" s="27"/>
      <x:c r="AW187" s="27"/>
      <x:c r="AX187" s="27"/>
      <x:c r="AY187" s="27"/>
      <x:c r="AZ187" s="27"/>
    </x:row>
    <x:row r="188">
      <x:c r="A188" s="27"/>
      <x:c r="B188" s="27"/>
      <x:c r="C188" s="27"/>
      <x:c r="D188" s="27"/>
      <x:c r="E188" s="27"/>
      <x:c r="F188" s="27"/>
      <x:c r="G188" s="27"/>
      <x:c r="H188" s="27"/>
      <x:c r="I188" s="27"/>
      <x:c r="J188" s="27"/>
      <x:c r="K188" s="27"/>
      <x:c r="L188" s="27"/>
      <x:c r="M188" s="27"/>
      <x:c r="N188" s="27"/>
      <x:c r="O188" s="27"/>
      <x:c r="P188" s="27"/>
      <x:c r="Q188" s="27"/>
      <x:c r="R188" s="27"/>
      <x:c r="S188" s="27"/>
      <x:c r="T188" s="27"/>
      <x:c r="U188" s="27"/>
      <x:c r="V188" s="27"/>
      <x:c r="W188" s="27"/>
      <x:c r="X188" s="27"/>
      <x:c r="Y188" s="27"/>
      <x:c r="Z188" s="27"/>
      <x:c r="AA188" s="27"/>
      <x:c r="AB188" s="27"/>
      <x:c r="AC188" s="27"/>
      <x:c r="AD188" s="27"/>
      <x:c r="AE188" s="27"/>
      <x:c r="AF188" s="27"/>
      <x:c r="AG188" s="27"/>
      <x:c r="AH188" s="27"/>
      <x:c r="AI188" s="27"/>
      <x:c r="AJ188" s="27"/>
      <x:c r="AK188" s="27"/>
      <x:c r="AL188" s="27"/>
      <x:c r="AM188" s="27"/>
      <x:c r="AN188" s="27"/>
      <x:c r="AO188" s="27"/>
      <x:c r="AP188" s="27"/>
      <x:c r="AQ188" s="27"/>
      <x:c r="AR188" s="27"/>
      <x:c r="AS188" s="27"/>
      <x:c r="AT188" s="27"/>
      <x:c r="AU188" s="27"/>
      <x:c r="AV188" s="27"/>
      <x:c r="AW188" s="27"/>
      <x:c r="AX188" s="27"/>
      <x:c r="AY188" s="27"/>
      <x:c r="AZ188" s="27"/>
    </x:row>
    <x:row r="189">
      <x:c r="A189" s="27"/>
      <x:c r="B189" s="27"/>
      <x:c r="C189" s="27"/>
      <x:c r="D189" s="27"/>
      <x:c r="E189" s="27"/>
      <x:c r="F189" s="27"/>
      <x:c r="G189" s="27"/>
      <x:c r="H189" s="27"/>
      <x:c r="I189" s="27"/>
      <x:c r="J189" s="27"/>
      <x:c r="K189" s="27"/>
      <x:c r="L189" s="27"/>
      <x:c r="M189" s="27"/>
      <x:c r="N189" s="27"/>
      <x:c r="O189" s="27"/>
      <x:c r="P189" s="27"/>
      <x:c r="Q189" s="27"/>
      <x:c r="R189" s="27"/>
      <x:c r="S189" s="27"/>
      <x:c r="T189" s="27"/>
      <x:c r="U189" s="27"/>
      <x:c r="V189" s="27"/>
      <x:c r="W189" s="27"/>
      <x:c r="X189" s="27"/>
      <x:c r="Y189" s="27"/>
      <x:c r="Z189" s="27"/>
      <x:c r="AA189" s="27"/>
      <x:c r="AB189" s="27"/>
      <x:c r="AC189" s="27"/>
      <x:c r="AD189" s="27"/>
      <x:c r="AE189" s="27"/>
      <x:c r="AF189" s="27"/>
      <x:c r="AG189" s="27"/>
      <x:c r="AH189" s="27"/>
      <x:c r="AI189" s="27"/>
      <x:c r="AJ189" s="27"/>
      <x:c r="AK189" s="27"/>
      <x:c r="AL189" s="27"/>
      <x:c r="AM189" s="27"/>
      <x:c r="AN189" s="27"/>
      <x:c r="AO189" s="27"/>
      <x:c r="AP189" s="27"/>
      <x:c r="AQ189" s="27"/>
      <x:c r="AR189" s="27"/>
      <x:c r="AS189" s="27"/>
      <x:c r="AT189" s="27"/>
      <x:c r="AU189" s="27"/>
      <x:c r="AV189" s="27"/>
      <x:c r="AW189" s="27"/>
      <x:c r="AX189" s="27"/>
      <x:c r="AY189" s="27"/>
      <x:c r="AZ189" s="27"/>
    </x:row>
    <x:row r="190">
      <x:c r="A190" s="27"/>
      <x:c r="B190" s="27"/>
      <x:c r="C190" s="27"/>
      <x:c r="D190" s="27"/>
      <x:c r="E190" s="27"/>
      <x:c r="F190" s="27"/>
      <x:c r="G190" s="27"/>
      <x:c r="H190" s="27"/>
      <x:c r="I190" s="27"/>
      <x:c r="J190" s="27"/>
      <x:c r="K190" s="27"/>
      <x:c r="L190" s="27"/>
      <x:c r="M190" s="27"/>
      <x:c r="N190" s="27"/>
      <x:c r="O190" s="27"/>
      <x:c r="P190" s="27"/>
      <x:c r="Q190" s="27"/>
      <x:c r="R190" s="27"/>
      <x:c r="S190" s="27"/>
      <x:c r="T190" s="27"/>
      <x:c r="U190" s="27"/>
      <x:c r="V190" s="27"/>
      <x:c r="W190" s="27"/>
      <x:c r="X190" s="27"/>
      <x:c r="Y190" s="27"/>
      <x:c r="Z190" s="27"/>
      <x:c r="AA190" s="27"/>
      <x:c r="AB190" s="27"/>
      <x:c r="AC190" s="27"/>
      <x:c r="AD190" s="27"/>
      <x:c r="AE190" s="27"/>
      <x:c r="AF190" s="27"/>
      <x:c r="AG190" s="27"/>
      <x:c r="AH190" s="27"/>
      <x:c r="AI190" s="27"/>
      <x:c r="AJ190" s="27"/>
      <x:c r="AK190" s="27"/>
      <x:c r="AL190" s="27"/>
      <x:c r="AM190" s="27"/>
      <x:c r="AN190" s="27"/>
      <x:c r="AO190" s="27"/>
      <x:c r="AP190" s="27"/>
      <x:c r="AQ190" s="27"/>
      <x:c r="AR190" s="27"/>
      <x:c r="AS190" s="27"/>
      <x:c r="AT190" s="27"/>
      <x:c r="AU190" s="27"/>
      <x:c r="AV190" s="27"/>
      <x:c r="AW190" s="27"/>
      <x:c r="AX190" s="27"/>
      <x:c r="AY190" s="27"/>
      <x:c r="AZ190" s="27"/>
    </x:row>
    <x:row r="191">
      <x:c r="A191" s="27"/>
      <x:c r="B191" s="27"/>
      <x:c r="C191" s="27"/>
      <x:c r="D191" s="27"/>
      <x:c r="E191" s="27"/>
      <x:c r="F191" s="27"/>
      <x:c r="G191" s="27"/>
      <x:c r="H191" s="27"/>
      <x:c r="I191" s="27"/>
      <x:c r="J191" s="27"/>
      <x:c r="K191" s="27"/>
      <x:c r="L191" s="27"/>
      <x:c r="M191" s="27"/>
      <x:c r="N191" s="27"/>
      <x:c r="O191" s="27"/>
      <x:c r="P191" s="27"/>
      <x:c r="Q191" s="27"/>
      <x:c r="R191" s="27"/>
      <x:c r="S191" s="27"/>
      <x:c r="T191" s="27"/>
      <x:c r="U191" s="27"/>
      <x:c r="V191" s="27"/>
      <x:c r="W191" s="27"/>
      <x:c r="X191" s="27"/>
      <x:c r="Y191" s="27"/>
      <x:c r="Z191" s="27"/>
      <x:c r="AA191" s="27"/>
      <x:c r="AB191" s="27"/>
      <x:c r="AC191" s="27"/>
      <x:c r="AD191" s="27"/>
      <x:c r="AE191" s="27"/>
      <x:c r="AF191" s="27"/>
      <x:c r="AG191" s="27"/>
      <x:c r="AH191" s="27"/>
      <x:c r="AI191" s="27"/>
      <x:c r="AJ191" s="27"/>
      <x:c r="AK191" s="27"/>
      <x:c r="AL191" s="27"/>
      <x:c r="AM191" s="27"/>
      <x:c r="AN191" s="27"/>
      <x:c r="AO191" s="27"/>
      <x:c r="AP191" s="27"/>
      <x:c r="AQ191" s="27"/>
      <x:c r="AR191" s="27"/>
      <x:c r="AS191" s="27"/>
      <x:c r="AT191" s="27"/>
      <x:c r="AU191" s="27"/>
      <x:c r="AV191" s="27"/>
      <x:c r="AW191" s="27"/>
      <x:c r="AX191" s="27"/>
      <x:c r="AY191" s="27"/>
      <x:c r="AZ191" s="27"/>
    </x:row>
    <x:row r="192">
      <x:c r="A192" s="27"/>
      <x:c r="B192" s="27"/>
      <x:c r="C192" s="27"/>
      <x:c r="D192" s="27"/>
      <x:c r="E192" s="27"/>
      <x:c r="F192" s="27"/>
      <x:c r="G192" s="27"/>
      <x:c r="H192" s="27"/>
      <x:c r="I192" s="27"/>
      <x:c r="J192" s="27"/>
      <x:c r="K192" s="27"/>
      <x:c r="L192" s="27"/>
      <x:c r="M192" s="27"/>
      <x:c r="N192" s="27"/>
      <x:c r="O192" s="27"/>
      <x:c r="P192" s="27"/>
      <x:c r="Q192" s="27"/>
      <x:c r="R192" s="27"/>
      <x:c r="S192" s="27"/>
      <x:c r="T192" s="27"/>
      <x:c r="U192" s="27"/>
      <x:c r="V192" s="27"/>
      <x:c r="W192" s="27"/>
      <x:c r="X192" s="27"/>
      <x:c r="Y192" s="27"/>
      <x:c r="Z192" s="27"/>
      <x:c r="AA192" s="27"/>
      <x:c r="AB192" s="27"/>
      <x:c r="AC192" s="27"/>
      <x:c r="AD192" s="27"/>
      <x:c r="AE192" s="27"/>
      <x:c r="AF192" s="27"/>
      <x:c r="AG192" s="27"/>
      <x:c r="AH192" s="27"/>
      <x:c r="AI192" s="27"/>
      <x:c r="AJ192" s="27"/>
      <x:c r="AK192" s="27"/>
      <x:c r="AL192" s="27"/>
      <x:c r="AM192" s="27"/>
      <x:c r="AN192" s="27"/>
      <x:c r="AO192" s="27"/>
      <x:c r="AP192" s="27"/>
      <x:c r="AQ192" s="27"/>
      <x:c r="AR192" s="27"/>
      <x:c r="AS192" s="27"/>
      <x:c r="AT192" s="27"/>
      <x:c r="AU192" s="27"/>
      <x:c r="AV192" s="27"/>
      <x:c r="AW192" s="27"/>
      <x:c r="AX192" s="27"/>
      <x:c r="AY192" s="27"/>
      <x:c r="AZ192" s="27"/>
    </x:row>
    <x:row r="193">
      <x:c r="A193" s="27"/>
      <x:c r="B193" s="27"/>
      <x:c r="C193" s="27"/>
      <x:c r="D193" s="27"/>
      <x:c r="E193" s="27"/>
      <x:c r="F193" s="27"/>
      <x:c r="G193" s="27"/>
      <x:c r="H193" s="27"/>
      <x:c r="I193" s="27"/>
      <x:c r="J193" s="27"/>
      <x:c r="K193" s="27"/>
      <x:c r="L193" s="27"/>
      <x:c r="M193" s="27"/>
      <x:c r="N193" s="27"/>
      <x:c r="O193" s="27"/>
      <x:c r="P193" s="27"/>
      <x:c r="Q193" s="27"/>
      <x:c r="R193" s="27"/>
      <x:c r="S193" s="27"/>
      <x:c r="T193" s="27"/>
      <x:c r="U193" s="27"/>
      <x:c r="V193" s="27"/>
      <x:c r="W193" s="27"/>
      <x:c r="X193" s="27"/>
      <x:c r="Y193" s="27"/>
      <x:c r="Z193" s="27"/>
      <x:c r="AA193" s="27"/>
      <x:c r="AB193" s="27"/>
      <x:c r="AC193" s="27"/>
      <x:c r="AD193" s="27"/>
      <x:c r="AE193" s="27"/>
      <x:c r="AF193" s="27"/>
      <x:c r="AG193" s="27"/>
      <x:c r="AH193" s="27"/>
      <x:c r="AI193" s="27"/>
      <x:c r="AJ193" s="27"/>
      <x:c r="AK193" s="27"/>
      <x:c r="AL193" s="27"/>
      <x:c r="AM193" s="27"/>
      <x:c r="AN193" s="27"/>
      <x:c r="AO193" s="27"/>
      <x:c r="AP193" s="27"/>
      <x:c r="AQ193" s="27"/>
      <x:c r="AR193" s="27"/>
      <x:c r="AS193" s="27"/>
      <x:c r="AT193" s="27"/>
      <x:c r="AU193" s="27"/>
      <x:c r="AV193" s="27"/>
      <x:c r="AW193" s="27"/>
      <x:c r="AX193" s="27"/>
      <x:c r="AY193" s="27"/>
      <x:c r="AZ193" s="27"/>
    </x:row>
    <x:row r="194">
      <x:c r="A194" s="27"/>
      <x:c r="B194" s="27"/>
      <x:c r="C194" s="27"/>
      <x:c r="D194" s="27"/>
      <x:c r="E194" s="27"/>
      <x:c r="F194" s="27"/>
      <x:c r="G194" s="27"/>
      <x:c r="H194" s="27"/>
      <x:c r="I194" s="27"/>
      <x:c r="J194" s="27"/>
      <x:c r="K194" s="27"/>
      <x:c r="L194" s="27"/>
      <x:c r="M194" s="27"/>
      <x:c r="N194" s="27"/>
      <x:c r="O194" s="27"/>
      <x:c r="P194" s="27"/>
      <x:c r="Q194" s="27"/>
      <x:c r="R194" s="27"/>
      <x:c r="S194" s="27"/>
      <x:c r="T194" s="27"/>
      <x:c r="U194" s="27"/>
      <x:c r="V194" s="27"/>
      <x:c r="W194" s="27"/>
      <x:c r="X194" s="27"/>
      <x:c r="Y194" s="27"/>
      <x:c r="Z194" s="27"/>
      <x:c r="AA194" s="27"/>
      <x:c r="AB194" s="27"/>
      <x:c r="AC194" s="27"/>
      <x:c r="AD194" s="27"/>
      <x:c r="AE194" s="27"/>
      <x:c r="AF194" s="27"/>
      <x:c r="AG194" s="27"/>
      <x:c r="AH194" s="27"/>
      <x:c r="AI194" s="27"/>
      <x:c r="AJ194" s="27"/>
      <x:c r="AK194" s="27"/>
      <x:c r="AL194" s="27"/>
      <x:c r="AM194" s="27"/>
      <x:c r="AN194" s="27"/>
      <x:c r="AO194" s="27"/>
      <x:c r="AP194" s="27"/>
      <x:c r="AQ194" s="27"/>
      <x:c r="AR194" s="27"/>
      <x:c r="AS194" s="27"/>
      <x:c r="AT194" s="27"/>
      <x:c r="AU194" s="27"/>
      <x:c r="AV194" s="27"/>
      <x:c r="AW194" s="27"/>
      <x:c r="AX194" s="27"/>
      <x:c r="AY194" s="27"/>
      <x:c r="AZ194" s="27"/>
    </x:row>
    <x:row r="195">
      <x:c r="A195" s="27"/>
      <x:c r="B195" s="27"/>
      <x:c r="C195" s="27"/>
      <x:c r="D195" s="27"/>
      <x:c r="E195" s="27"/>
      <x:c r="F195" s="27"/>
      <x:c r="G195" s="27"/>
      <x:c r="H195" s="27"/>
      <x:c r="I195" s="27"/>
      <x:c r="J195" s="27"/>
      <x:c r="K195" s="27"/>
      <x:c r="L195" s="27"/>
      <x:c r="M195" s="27"/>
      <x:c r="N195" s="27"/>
      <x:c r="O195" s="27"/>
      <x:c r="P195" s="27"/>
      <x:c r="Q195" s="27"/>
      <x:c r="R195" s="27"/>
      <x:c r="S195" s="27"/>
      <x:c r="T195" s="27"/>
      <x:c r="U195" s="27"/>
      <x:c r="V195" s="27"/>
      <x:c r="W195" s="27"/>
      <x:c r="X195" s="27"/>
      <x:c r="Y195" s="27"/>
      <x:c r="Z195" s="27"/>
      <x:c r="AA195" s="27"/>
      <x:c r="AB195" s="27"/>
      <x:c r="AC195" s="27"/>
      <x:c r="AD195" s="27"/>
      <x:c r="AE195" s="27"/>
      <x:c r="AF195" s="27"/>
      <x:c r="AG195" s="27"/>
      <x:c r="AH195" s="27"/>
      <x:c r="AI195" s="27"/>
      <x:c r="AJ195" s="27"/>
      <x:c r="AK195" s="27"/>
      <x:c r="AL195" s="27"/>
      <x:c r="AM195" s="27"/>
      <x:c r="AN195" s="27"/>
      <x:c r="AO195" s="27"/>
      <x:c r="AP195" s="27"/>
      <x:c r="AQ195" s="27"/>
      <x:c r="AR195" s="27"/>
      <x:c r="AS195" s="27"/>
      <x:c r="AT195" s="27"/>
      <x:c r="AU195" s="27"/>
      <x:c r="AV195" s="27"/>
      <x:c r="AW195" s="27"/>
      <x:c r="AX195" s="27"/>
      <x:c r="AY195" s="27"/>
      <x:c r="AZ195" s="27"/>
    </x:row>
    <x:row r="196">
      <x:c r="A196" s="27"/>
      <x:c r="B196" s="27"/>
      <x:c r="C196" s="27"/>
      <x:c r="D196" s="27"/>
      <x:c r="E196" s="27"/>
      <x:c r="F196" s="27"/>
      <x:c r="G196" s="27"/>
      <x:c r="H196" s="27"/>
      <x:c r="I196" s="27"/>
      <x:c r="J196" s="27"/>
      <x:c r="K196" s="27"/>
      <x:c r="L196" s="27"/>
      <x:c r="M196" s="27"/>
      <x:c r="N196" s="27"/>
      <x:c r="O196" s="27"/>
      <x:c r="P196" s="27"/>
      <x:c r="Q196" s="27"/>
      <x:c r="R196" s="27"/>
      <x:c r="S196" s="27"/>
      <x:c r="T196" s="27"/>
      <x:c r="U196" s="27"/>
      <x:c r="V196" s="27"/>
      <x:c r="W196" s="27"/>
      <x:c r="X196" s="27"/>
      <x:c r="Y196" s="27"/>
      <x:c r="Z196" s="27"/>
      <x:c r="AA196" s="27"/>
      <x:c r="AB196" s="27"/>
      <x:c r="AC196" s="27"/>
      <x:c r="AD196" s="27"/>
      <x:c r="AE196" s="27"/>
      <x:c r="AF196" s="27"/>
      <x:c r="AG196" s="27"/>
      <x:c r="AH196" s="27"/>
      <x:c r="AI196" s="27"/>
      <x:c r="AJ196" s="27"/>
      <x:c r="AK196" s="27"/>
      <x:c r="AL196" s="27"/>
      <x:c r="AM196" s="27"/>
      <x:c r="AN196" s="27"/>
      <x:c r="AO196" s="27"/>
      <x:c r="AP196" s="27"/>
      <x:c r="AQ196" s="27"/>
      <x:c r="AR196" s="27"/>
      <x:c r="AS196" s="27"/>
      <x:c r="AT196" s="27"/>
      <x:c r="AU196" s="27"/>
      <x:c r="AV196" s="27"/>
      <x:c r="AW196" s="27"/>
      <x:c r="AX196" s="27"/>
      <x:c r="AY196" s="27"/>
      <x:c r="AZ196" s="27"/>
    </x:row>
    <x:row r="197">
      <x:c r="A197" s="27"/>
      <x:c r="B197" s="27"/>
      <x:c r="C197" s="27"/>
      <x:c r="D197" s="27"/>
      <x:c r="E197" s="27"/>
      <x:c r="F197" s="27"/>
      <x:c r="G197" s="27"/>
      <x:c r="H197" s="27"/>
      <x:c r="I197" s="27"/>
      <x:c r="J197" s="27"/>
      <x:c r="K197" s="27"/>
      <x:c r="L197" s="27"/>
      <x:c r="M197" s="27"/>
      <x:c r="N197" s="27"/>
      <x:c r="O197" s="27"/>
      <x:c r="P197" s="27"/>
      <x:c r="Q197" s="27"/>
      <x:c r="R197" s="27"/>
      <x:c r="S197" s="27"/>
      <x:c r="T197" s="27"/>
      <x:c r="U197" s="27"/>
      <x:c r="V197" s="27"/>
      <x:c r="W197" s="27"/>
      <x:c r="X197" s="27"/>
      <x:c r="Y197" s="27"/>
      <x:c r="Z197" s="27"/>
      <x:c r="AA197" s="27"/>
      <x:c r="AB197" s="27"/>
      <x:c r="AC197" s="27"/>
      <x:c r="AD197" s="27"/>
      <x:c r="AE197" s="27"/>
      <x:c r="AF197" s="27"/>
      <x:c r="AG197" s="27"/>
      <x:c r="AH197" s="27"/>
      <x:c r="AI197" s="27"/>
      <x:c r="AJ197" s="27"/>
      <x:c r="AK197" s="27"/>
      <x:c r="AL197" s="27"/>
      <x:c r="AM197" s="27"/>
      <x:c r="AN197" s="27"/>
      <x:c r="AO197" s="27"/>
      <x:c r="AP197" s="27"/>
      <x:c r="AQ197" s="27"/>
      <x:c r="AR197" s="27"/>
      <x:c r="AS197" s="27"/>
      <x:c r="AT197" s="27"/>
      <x:c r="AU197" s="27"/>
      <x:c r="AV197" s="27"/>
      <x:c r="AW197" s="27"/>
      <x:c r="AX197" s="27"/>
      <x:c r="AY197" s="27"/>
      <x:c r="AZ197" s="27"/>
    </x:row>
    <x:row r="198">
      <x:c r="A198" s="27"/>
      <x:c r="B198" s="27"/>
      <x:c r="C198" s="27"/>
      <x:c r="D198" s="27"/>
      <x:c r="E198" s="27"/>
      <x:c r="F198" s="27"/>
      <x:c r="G198" s="27"/>
      <x:c r="H198" s="27"/>
      <x:c r="I198" s="27"/>
      <x:c r="J198" s="27"/>
      <x:c r="K198" s="27"/>
      <x:c r="L198" s="27"/>
      <x:c r="M198" s="27"/>
      <x:c r="N198" s="27"/>
      <x:c r="O198" s="27"/>
      <x:c r="P198" s="27"/>
      <x:c r="Q198" s="27"/>
      <x:c r="R198" s="27"/>
      <x:c r="S198" s="27"/>
      <x:c r="T198" s="27"/>
      <x:c r="U198" s="27"/>
      <x:c r="V198" s="27"/>
      <x:c r="W198" s="27"/>
      <x:c r="X198" s="27"/>
      <x:c r="Y198" s="27"/>
      <x:c r="Z198" s="27"/>
      <x:c r="AA198" s="27"/>
      <x:c r="AB198" s="27"/>
      <x:c r="AC198" s="27"/>
      <x:c r="AD198" s="27"/>
      <x:c r="AE198" s="27"/>
      <x:c r="AF198" s="27"/>
      <x:c r="AG198" s="27"/>
      <x:c r="AH198" s="27"/>
      <x:c r="AI198" s="27"/>
      <x:c r="AJ198" s="27"/>
      <x:c r="AK198" s="27"/>
      <x:c r="AL198" s="27"/>
      <x:c r="AM198" s="27"/>
      <x:c r="AN198" s="27"/>
      <x:c r="AO198" s="27"/>
      <x:c r="AP198" s="27"/>
      <x:c r="AQ198" s="27"/>
      <x:c r="AR198" s="27"/>
      <x:c r="AS198" s="27"/>
      <x:c r="AT198" s="27"/>
      <x:c r="AU198" s="27"/>
      <x:c r="AV198" s="27"/>
      <x:c r="AW198" s="27"/>
      <x:c r="AX198" s="27"/>
      <x:c r="AY198" s="27"/>
      <x:c r="AZ198" s="27"/>
    </x:row>
    <x:row r="199">
      <x:c r="A199" s="27"/>
      <x:c r="B199" s="27"/>
      <x:c r="C199" s="27"/>
      <x:c r="D199" s="27"/>
      <x:c r="E199" s="27"/>
      <x:c r="F199" s="27"/>
      <x:c r="G199" s="27"/>
      <x:c r="H199" s="27"/>
      <x:c r="I199" s="27"/>
      <x:c r="J199" s="27"/>
      <x:c r="K199" s="27"/>
      <x:c r="L199" s="27"/>
      <x:c r="M199" s="27"/>
      <x:c r="N199" s="27"/>
      <x:c r="O199" s="27"/>
      <x:c r="P199" s="27"/>
      <x:c r="Q199" s="27"/>
      <x:c r="R199" s="27"/>
      <x:c r="S199" s="27"/>
      <x:c r="T199" s="27"/>
      <x:c r="U199" s="27"/>
      <x:c r="V199" s="27"/>
      <x:c r="W199" s="27"/>
      <x:c r="X199" s="27"/>
      <x:c r="Y199" s="27"/>
      <x:c r="Z199" s="27"/>
      <x:c r="AA199" s="27"/>
      <x:c r="AB199" s="27"/>
      <x:c r="AC199" s="27"/>
      <x:c r="AD199" s="27"/>
      <x:c r="AE199" s="27"/>
      <x:c r="AF199" s="27"/>
      <x:c r="AG199" s="27"/>
      <x:c r="AH199" s="27"/>
      <x:c r="AI199" s="27"/>
      <x:c r="AJ199" s="27"/>
      <x:c r="AK199" s="27"/>
      <x:c r="AL199" s="27"/>
      <x:c r="AM199" s="27"/>
      <x:c r="AN199" s="27"/>
      <x:c r="AO199" s="27"/>
      <x:c r="AP199" s="27"/>
      <x:c r="AQ199" s="27"/>
      <x:c r="AR199" s="27"/>
      <x:c r="AS199" s="27"/>
      <x:c r="AT199" s="27"/>
      <x:c r="AU199" s="27"/>
      <x:c r="AV199" s="27"/>
      <x:c r="AW199" s="27"/>
      <x:c r="AX199" s="27"/>
      <x:c r="AY199" s="27"/>
      <x:c r="AZ199" s="27"/>
    </x:row>
    <x:row r="200">
      <x:c r="A200" s="27"/>
      <x:c r="B200" s="27"/>
      <x:c r="C200" s="27"/>
      <x:c r="D200" s="27"/>
      <x:c r="E200" s="27"/>
      <x:c r="F200" s="27"/>
      <x:c r="G200" s="27"/>
      <x:c r="H200" s="27"/>
      <x:c r="I200" s="27"/>
      <x:c r="J200" s="27"/>
      <x:c r="K200" s="27"/>
      <x:c r="L200" s="27"/>
      <x:c r="M200" s="27"/>
      <x:c r="N200" s="27"/>
      <x:c r="O200" s="27"/>
      <x:c r="P200" s="27"/>
      <x:c r="Q200" s="27"/>
      <x:c r="R200" s="27"/>
      <x:c r="S200" s="27"/>
      <x:c r="T200" s="27"/>
      <x:c r="U200" s="27"/>
      <x:c r="V200" s="27"/>
      <x:c r="W200" s="27"/>
      <x:c r="X200" s="27"/>
      <x:c r="Y200" s="27"/>
      <x:c r="Z200" s="27"/>
      <x:c r="AA200" s="27"/>
      <x:c r="AB200" s="27"/>
      <x:c r="AC200" s="27"/>
      <x:c r="AD200" s="27"/>
      <x:c r="AE200" s="27"/>
      <x:c r="AF200" s="27"/>
      <x:c r="AG200" s="27"/>
      <x:c r="AH200" s="27"/>
      <x:c r="AI200" s="27"/>
      <x:c r="AJ200" s="27"/>
      <x:c r="AK200" s="27"/>
      <x:c r="AL200" s="27"/>
      <x:c r="AM200" s="27"/>
      <x:c r="AN200" s="27"/>
      <x:c r="AO200" s="27"/>
      <x:c r="AP200" s="27"/>
      <x:c r="AQ200" s="27"/>
      <x:c r="AR200" s="27"/>
      <x:c r="AS200" s="27"/>
      <x:c r="AT200" s="27"/>
      <x:c r="AU200" s="27"/>
      <x:c r="AV200" s="27"/>
      <x:c r="AW200" s="27"/>
      <x:c r="AX200" s="27"/>
      <x:c r="AY200" s="27"/>
      <x:c r="AZ200" s="27"/>
    </x:row>
  </x:sheetData>
  <x:mergeCells>
    <x:mergeCell ref="A1:F1"/>
    <x:mergeCell ref="A2:F2"/>
  </x:mergeCells>
  <x:pageMargins left="0.7" right="0.7" top="0.75" bottom="0.75" header="0.3" footer="0.3"/>
  <x:tableParts count="1">
    <x:tablePart xmlns:r="http://schemas.openxmlformats.org/officeDocument/2006/relationships" r:id="R47f45c4219bd49b4"/>
  </x:tableParts>
</x:worksheet>
</file>

<file path=xl/worksheets/sheet5.xml><?xml version="1.0" encoding="utf-8"?>
<x:worksheet xmlns:x="http://schemas.openxmlformats.org/spreadsheetml/2006/main">
  <x:sheetFormatPr defaultRowHeight="15"/>
  <x:cols>
    <x:col min="1" max="1" width="18" hidden="0" customWidth="1"/>
    <x:col min="2" max="2" width="22" hidden="0" customWidth="1"/>
    <x:col min="3" max="3" width="12" hidden="0" customWidth="1"/>
    <x:col min="4" max="4" width="12" hidden="0" customWidth="1"/>
    <x:col min="5" max="5" width="80" hidden="0" customWidth="1"/>
    <x:col min="6" max="6" width="18" hidden="0" customWidth="1"/>
    <x:col min="7" max="7" width="14" hidden="0" customWidth="1"/>
    <x:col min="8" max="8" width="20" hidden="0" customWidth="1"/>
    <x:col min="9" max="9" width="52" hidden="0" customWidth="1"/>
  </x:cols>
  <x:sheetData>
    <x:row r="1" ht="28" customHeight="1">
      <x:c r="A1" s="26" t="str">
        <x:v>Progression &amp; Saturday Reset Logs</x:v>
      </x:c>
      <x:c r="B1" s="26"/>
      <x:c r="C1" s="26"/>
      <x:c r="D1" s="26"/>
      <x:c r="E1" s="26"/>
      <x:c r="F1" s="26"/>
      <x:c r="G1" s="26"/>
      <x:c r="H1" s="26"/>
      <x:c r="I1" s="26"/>
      <x:c r="J1" s="27"/>
      <x:c r="K1" s="27"/>
      <x:c r="L1" s="27"/>
      <x:c r="M1" s="27"/>
      <x:c r="N1" s="27"/>
      <x:c r="O1" s="27"/>
      <x:c r="P1" s="27"/>
      <x:c r="Q1" s="27"/>
      <x:c r="R1" s="27"/>
      <x:c r="S1" s="27"/>
      <x:c r="T1" s="27"/>
      <x:c r="U1" s="27"/>
      <x:c r="V1" s="27"/>
      <x:c r="W1" s="27"/>
      <x:c r="X1" s="27"/>
      <x:c r="Y1" s="27"/>
      <x:c r="Z1" s="27"/>
      <x:c r="AA1" s="27"/>
      <x:c r="AB1" s="27"/>
      <x:c r="AC1" s="27"/>
      <x:c r="AD1" s="27"/>
      <x:c r="AE1" s="27"/>
      <x:c r="AF1" s="27"/>
      <x:c r="AG1" s="27"/>
      <x:c r="AH1" s="27"/>
      <x:c r="AI1" s="27"/>
      <x:c r="AJ1" s="27"/>
      <x:c r="AK1" s="27"/>
      <x:c r="AL1" s="27"/>
      <x:c r="AM1" s="27"/>
      <x:c r="AN1" s="27"/>
      <x:c r="AO1" s="27"/>
      <x:c r="AP1" s="27"/>
      <x:c r="AQ1" s="27"/>
      <x:c r="AR1" s="27"/>
      <x:c r="AS1" s="27"/>
      <x:c r="AT1" s="27"/>
      <x:c r="AU1" s="27"/>
      <x:c r="AV1" s="27"/>
      <x:c r="AW1" s="27"/>
      <x:c r="AX1" s="27"/>
      <x:c r="AY1" s="27"/>
      <x:c r="AZ1" s="27"/>
    </x:row>
    <x:row r="2" ht="34" customHeight="1">
      <x:c r="A2" s="28" t="str">
        <x:v>Research artifacts. Upgrade deltas are retained exactly as observed/reported; blanks are not inferred.</x:v>
      </x:c>
      <x:c r="B2" s="28"/>
      <x:c r="C2" s="28"/>
      <x:c r="D2" s="28"/>
      <x:c r="E2" s="28"/>
      <x:c r="F2" s="28"/>
      <x:c r="G2" s="28"/>
      <x:c r="H2" s="28"/>
      <x:c r="I2" s="28"/>
      <x:c r="J2" s="27"/>
      <x:c r="K2" s="27"/>
      <x:c r="L2" s="27"/>
      <x:c r="M2" s="27"/>
      <x:c r="N2" s="27"/>
      <x:c r="O2" s="27"/>
      <x:c r="P2" s="27"/>
      <x:c r="Q2" s="27"/>
      <x:c r="R2" s="27"/>
      <x:c r="S2" s="27"/>
      <x:c r="T2" s="27"/>
      <x:c r="U2" s="27"/>
      <x:c r="V2" s="27"/>
      <x:c r="W2" s="27"/>
      <x:c r="X2" s="27"/>
      <x:c r="Y2" s="27"/>
      <x:c r="Z2" s="27"/>
      <x:c r="AA2" s="27"/>
      <x:c r="AB2" s="27"/>
      <x:c r="AC2" s="27"/>
      <x:c r="AD2" s="27"/>
      <x:c r="AE2" s="27"/>
      <x:c r="AF2" s="27"/>
      <x:c r="AG2" s="27"/>
      <x:c r="AH2" s="27"/>
      <x:c r="AI2" s="27"/>
      <x:c r="AJ2" s="27"/>
      <x:c r="AK2" s="27"/>
      <x:c r="AL2" s="27"/>
      <x:c r="AM2" s="27"/>
      <x:c r="AN2" s="27"/>
      <x:c r="AO2" s="27"/>
      <x:c r="AP2" s="27"/>
      <x:c r="AQ2" s="27"/>
      <x:c r="AR2" s="27"/>
      <x:c r="AS2" s="27"/>
      <x:c r="AT2" s="27"/>
      <x:c r="AU2" s="27"/>
      <x:c r="AV2" s="27"/>
      <x:c r="AW2" s="27"/>
      <x:c r="AX2" s="27"/>
      <x:c r="AY2" s="27"/>
      <x:c r="AZ2" s="27"/>
    </x:row>
    <x:row r="3">
      <x:c r="A3" s="27"/>
      <x:c r="B3" s="27"/>
      <x:c r="C3" s="27"/>
      <x:c r="D3" s="27"/>
      <x:c r="E3" s="27"/>
      <x:c r="F3" s="27"/>
      <x:c r="G3" s="27"/>
      <x:c r="H3" s="27"/>
      <x:c r="I3" s="27"/>
      <x:c r="J3" s="27"/>
      <x:c r="K3" s="27"/>
      <x:c r="L3" s="27"/>
      <x:c r="M3" s="27"/>
      <x:c r="N3" s="27"/>
      <x:c r="O3" s="27"/>
      <x:c r="P3" s="27"/>
      <x:c r="Q3" s="27"/>
      <x:c r="R3" s="27"/>
      <x:c r="S3" s="27"/>
      <x:c r="T3" s="27"/>
      <x:c r="U3" s="27"/>
      <x:c r="V3" s="27"/>
      <x:c r="W3" s="27"/>
      <x:c r="X3" s="27"/>
      <x:c r="Y3" s="27"/>
      <x:c r="Z3" s="27"/>
      <x:c r="AA3" s="27"/>
      <x:c r="AB3" s="27"/>
      <x:c r="AC3" s="27"/>
      <x:c r="AD3" s="27"/>
      <x:c r="AE3" s="27"/>
      <x:c r="AF3" s="27"/>
      <x:c r="AG3" s="27"/>
      <x:c r="AH3" s="27"/>
      <x:c r="AI3" s="27"/>
      <x:c r="AJ3" s="27"/>
      <x:c r="AK3" s="27"/>
      <x:c r="AL3" s="27"/>
      <x:c r="AM3" s="27"/>
      <x:c r="AN3" s="27"/>
      <x:c r="AO3" s="27"/>
      <x:c r="AP3" s="27"/>
      <x:c r="AQ3" s="27"/>
      <x:c r="AR3" s="27"/>
      <x:c r="AS3" s="27"/>
      <x:c r="AT3" s="27"/>
      <x:c r="AU3" s="27"/>
      <x:c r="AV3" s="27"/>
      <x:c r="AW3" s="27"/>
      <x:c r="AX3" s="27"/>
      <x:c r="AY3" s="27"/>
      <x:c r="AZ3" s="27"/>
    </x:row>
    <x:row r="4" ht="30" customHeight="1">
      <x:c r="A4" s="29" t="str">
        <x:v>Record_ID</x:v>
      </x:c>
      <x:c r="B4" s="29" t="str">
        <x:v>Entity</x:v>
      </x:c>
      <x:c r="C4" s="29" t="str">
        <x:v>Start_OVR</x:v>
      </x:c>
      <x:c r="D4" s="29" t="str">
        <x:v>End_OVR</x:v>
      </x:c>
      <x:c r="E4" s="29" t="str">
        <x:v>Upgrade_Deltas</x:v>
      </x:c>
      <x:c r="F4" s="29" t="str">
        <x:v>Source_ID</x:v>
      </x:c>
      <x:c r="G4" s="29" t="str">
        <x:v>Source_Page</x:v>
      </x:c>
      <x:c r="H4" s="29" t="str">
        <x:v>Evidence_Type</x:v>
      </x:c>
      <x:c r="I4" s="29" t="str">
        <x:v>Notes</x:v>
      </x:c>
      <x:c r="J4" s="27"/>
      <x:c r="K4" s="27"/>
      <x:c r="L4" s="27"/>
      <x:c r="M4" s="27"/>
      <x:c r="N4" s="27"/>
      <x:c r="O4" s="27"/>
      <x:c r="P4" s="27"/>
      <x:c r="Q4" s="27"/>
      <x:c r="R4" s="27"/>
      <x:c r="S4" s="27"/>
      <x:c r="T4" s="27"/>
      <x:c r="U4" s="27"/>
      <x:c r="V4" s="27"/>
      <x:c r="W4" s="27"/>
      <x:c r="X4" s="27"/>
      <x:c r="Y4" s="27"/>
      <x:c r="Z4" s="27"/>
      <x:c r="AA4" s="27"/>
      <x:c r="AB4" s="27"/>
      <x:c r="AC4" s="27"/>
      <x:c r="AD4" s="27"/>
      <x:c r="AE4" s="27"/>
      <x:c r="AF4" s="27"/>
      <x:c r="AG4" s="27"/>
      <x:c r="AH4" s="27"/>
      <x:c r="AI4" s="27"/>
      <x:c r="AJ4" s="27"/>
      <x:c r="AK4" s="27"/>
      <x:c r="AL4" s="27"/>
      <x:c r="AM4" s="27"/>
      <x:c r="AN4" s="27"/>
      <x:c r="AO4" s="27"/>
      <x:c r="AP4" s="27"/>
      <x:c r="AQ4" s="27"/>
      <x:c r="AR4" s="27"/>
      <x:c r="AS4" s="27"/>
      <x:c r="AT4" s="27"/>
      <x:c r="AU4" s="27"/>
      <x:c r="AV4" s="27"/>
      <x:c r="AW4" s="27"/>
      <x:c r="AX4" s="27"/>
      <x:c r="AY4" s="27"/>
      <x:c r="AZ4" s="27"/>
    </x:row>
    <x:row r="5">
      <x:c r="A5" s="30" t="str">
        <x:v>SAT-01</x:v>
      </x:c>
      <x:c r="B5" s="30" t="str">
        <x:v>Saturday Reset</x:v>
      </x:c>
      <x:c r="C5" s="30" t="n">
        <x:v>80</x:v>
      </x:c>
      <x:c r="D5" s="30" t="n">
        <x:v>81</x:v>
      </x:c>
      <x:c r="E5" s="30" t="str">
        <x:v>+5 PBF; +2 STR; +5 SPD</x:v>
      </x:c>
      <x:c r="F5" s="30" t="str">
        <x:v>SRC-HIST-001</x:v>
      </x:c>
      <x:c r="G5" s="30" t="n">
        <x:v>4</x:v>
      </x:c>
      <x:c r="H5" s="30" t="str">
        <x:v>Controlled reset</x:v>
      </x:c>
      <x:c r="I5" s="30" t="str"/>
      <x:c r="J5" s="27"/>
      <x:c r="K5" s="27"/>
      <x:c r="L5" s="27"/>
      <x:c r="M5" s="27"/>
      <x:c r="N5" s="27"/>
      <x:c r="O5" s="27"/>
      <x:c r="P5" s="27"/>
      <x:c r="Q5" s="27"/>
      <x:c r="R5" s="27"/>
      <x:c r="S5" s="27"/>
      <x:c r="T5" s="27"/>
      <x:c r="U5" s="27"/>
      <x:c r="V5" s="27"/>
      <x:c r="W5" s="27"/>
      <x:c r="X5" s="27"/>
      <x:c r="Y5" s="27"/>
      <x:c r="Z5" s="27"/>
      <x:c r="AA5" s="27"/>
      <x:c r="AB5" s="27"/>
      <x:c r="AC5" s="27"/>
      <x:c r="AD5" s="27"/>
      <x:c r="AE5" s="27"/>
      <x:c r="AF5" s="27"/>
      <x:c r="AG5" s="27"/>
      <x:c r="AH5" s="27"/>
      <x:c r="AI5" s="27"/>
      <x:c r="AJ5" s="27"/>
      <x:c r="AK5" s="27"/>
      <x:c r="AL5" s="27"/>
      <x:c r="AM5" s="27"/>
      <x:c r="AN5" s="27"/>
      <x:c r="AO5" s="27"/>
      <x:c r="AP5" s="27"/>
      <x:c r="AQ5" s="27"/>
      <x:c r="AR5" s="27"/>
      <x:c r="AS5" s="27"/>
      <x:c r="AT5" s="27"/>
      <x:c r="AU5" s="27"/>
      <x:c r="AV5" s="27"/>
      <x:c r="AW5" s="27"/>
      <x:c r="AX5" s="27"/>
      <x:c r="AY5" s="27"/>
      <x:c r="AZ5" s="27"/>
    </x:row>
    <x:row r="6">
      <x:c r="A6" s="30" t="str">
        <x:v>SAT-01B</x:v>
      </x:c>
      <x:c r="B6" s="30" t="str">
        <x:v>Saturday Reset</x:v>
      </x:c>
      <x:c r="C6" s="30" t="n">
        <x:v>81</x:v>
      </x:c>
      <x:c r="D6" s="30" t="n">
        <x:v>82</x:v>
      </x:c>
      <x:c r="E6" s="30" t="str">
        <x:v>+1 PBF</x:v>
      </x:c>
      <x:c r="F6" s="30" t="str">
        <x:v>SRC-HIST-001</x:v>
      </x:c>
      <x:c r="G6" s="30" t="n">
        <x:v>4</x:v>
      </x:c>
      <x:c r="H6" s="30" t="str">
        <x:v>Controlled reset</x:v>
      </x:c>
      <x:c r="I6" s="30" t="str"/>
      <x:c r="J6" s="27"/>
      <x:c r="K6" s="27"/>
      <x:c r="L6" s="27"/>
      <x:c r="M6" s="27"/>
      <x:c r="N6" s="27"/>
      <x:c r="O6" s="27"/>
      <x:c r="P6" s="27"/>
      <x:c r="Q6" s="27"/>
      <x:c r="R6" s="27"/>
      <x:c r="S6" s="27"/>
      <x:c r="T6" s="27"/>
      <x:c r="U6" s="27"/>
      <x:c r="V6" s="27"/>
      <x:c r="W6" s="27"/>
      <x:c r="X6" s="27"/>
      <x:c r="Y6" s="27"/>
      <x:c r="Z6" s="27"/>
      <x:c r="AA6" s="27"/>
      <x:c r="AB6" s="27"/>
      <x:c r="AC6" s="27"/>
      <x:c r="AD6" s="27"/>
      <x:c r="AE6" s="27"/>
      <x:c r="AF6" s="27"/>
      <x:c r="AG6" s="27"/>
      <x:c r="AH6" s="27"/>
      <x:c r="AI6" s="27"/>
      <x:c r="AJ6" s="27"/>
      <x:c r="AK6" s="27"/>
      <x:c r="AL6" s="27"/>
      <x:c r="AM6" s="27"/>
      <x:c r="AN6" s="27"/>
      <x:c r="AO6" s="27"/>
      <x:c r="AP6" s="27"/>
      <x:c r="AQ6" s="27"/>
      <x:c r="AR6" s="27"/>
      <x:c r="AS6" s="27"/>
      <x:c r="AT6" s="27"/>
      <x:c r="AU6" s="27"/>
      <x:c r="AV6" s="27"/>
      <x:c r="AW6" s="27"/>
      <x:c r="AX6" s="27"/>
      <x:c r="AY6" s="27"/>
      <x:c r="AZ6" s="27"/>
    </x:row>
    <x:row r="7">
      <x:c r="A7" s="30" t="str">
        <x:v>SAT-02</x:v>
      </x:c>
      <x:c r="B7" s="30" t="str">
        <x:v>Saturday Reset</x:v>
      </x:c>
      <x:c r="C7" s="30" t="n">
        <x:v>80</x:v>
      </x:c>
      <x:c r="D7" s="30" t="n">
        <x:v>81</x:v>
      </x:c>
      <x:c r="E7" s="30" t="str">
        <x:v>+2 PBP</x:v>
      </x:c>
      <x:c r="F7" s="30" t="str">
        <x:v>SRC-HIST-001</x:v>
      </x:c>
      <x:c r="G7" s="30" t="n">
        <x:v>4</x:v>
      </x:c>
      <x:c r="H7" s="30" t="str">
        <x:v>Controlled reset</x:v>
      </x:c>
      <x:c r="I7" s="30" t="str"/>
      <x:c r="J7" s="27"/>
      <x:c r="K7" s="27"/>
      <x:c r="L7" s="27"/>
      <x:c r="M7" s="27"/>
      <x:c r="N7" s="27"/>
      <x:c r="O7" s="27"/>
      <x:c r="P7" s="27"/>
      <x:c r="Q7" s="27"/>
      <x:c r="R7" s="27"/>
      <x:c r="S7" s="27"/>
      <x:c r="T7" s="27"/>
      <x:c r="U7" s="27"/>
      <x:c r="V7" s="27"/>
      <x:c r="W7" s="27"/>
      <x:c r="X7" s="27"/>
      <x:c r="Y7" s="27"/>
      <x:c r="Z7" s="27"/>
      <x:c r="AA7" s="27"/>
      <x:c r="AB7" s="27"/>
      <x:c r="AC7" s="27"/>
      <x:c r="AD7" s="27"/>
      <x:c r="AE7" s="27"/>
      <x:c r="AF7" s="27"/>
      <x:c r="AG7" s="27"/>
      <x:c r="AH7" s="27"/>
      <x:c r="AI7" s="27"/>
      <x:c r="AJ7" s="27"/>
      <x:c r="AK7" s="27"/>
      <x:c r="AL7" s="27"/>
      <x:c r="AM7" s="27"/>
      <x:c r="AN7" s="27"/>
      <x:c r="AO7" s="27"/>
      <x:c r="AP7" s="27"/>
      <x:c r="AQ7" s="27"/>
      <x:c r="AR7" s="27"/>
      <x:c r="AS7" s="27"/>
      <x:c r="AT7" s="27"/>
      <x:c r="AU7" s="27"/>
      <x:c r="AV7" s="27"/>
      <x:c r="AW7" s="27"/>
      <x:c r="AX7" s="27"/>
      <x:c r="AY7" s="27"/>
      <x:c r="AZ7" s="27"/>
    </x:row>
    <x:row r="8">
      <x:c r="A8" s="30" t="str">
        <x:v>SAT-02B</x:v>
      </x:c>
      <x:c r="B8" s="30" t="str">
        <x:v>Saturday Reset</x:v>
      </x:c>
      <x:c r="C8" s="30" t="n">
        <x:v>81</x:v>
      </x:c>
      <x:c r="D8" s="30" t="n">
        <x:v>82</x:v>
      </x:c>
      <x:c r="E8" s="30" t="str">
        <x:v>+6 STR; +1 PBK; +6 RBF</x:v>
      </x:c>
      <x:c r="F8" s="30" t="str">
        <x:v>SRC-HIST-001</x:v>
      </x:c>
      <x:c r="G8" s="30" t="n">
        <x:v>4</x:v>
      </x:c>
      <x:c r="H8" s="30" t="str">
        <x:v>Controlled reset</x:v>
      </x:c>
      <x:c r="I8" s="30" t="str"/>
      <x:c r="J8" s="27"/>
      <x:c r="K8" s="27"/>
      <x:c r="L8" s="27"/>
      <x:c r="M8" s="27"/>
      <x:c r="N8" s="27"/>
      <x:c r="O8" s="27"/>
      <x:c r="P8" s="27"/>
      <x:c r="Q8" s="27"/>
      <x:c r="R8" s="27"/>
      <x:c r="S8" s="27"/>
      <x:c r="T8" s="27"/>
      <x:c r="U8" s="27"/>
      <x:c r="V8" s="27"/>
      <x:c r="W8" s="27"/>
      <x:c r="X8" s="27"/>
      <x:c r="Y8" s="27"/>
      <x:c r="Z8" s="27"/>
      <x:c r="AA8" s="27"/>
      <x:c r="AB8" s="27"/>
      <x:c r="AC8" s="27"/>
      <x:c r="AD8" s="27"/>
      <x:c r="AE8" s="27"/>
      <x:c r="AF8" s="27"/>
      <x:c r="AG8" s="27"/>
      <x:c r="AH8" s="27"/>
      <x:c r="AI8" s="27"/>
      <x:c r="AJ8" s="27"/>
      <x:c r="AK8" s="27"/>
      <x:c r="AL8" s="27"/>
      <x:c r="AM8" s="27"/>
      <x:c r="AN8" s="27"/>
      <x:c r="AO8" s="27"/>
      <x:c r="AP8" s="27"/>
      <x:c r="AQ8" s="27"/>
      <x:c r="AR8" s="27"/>
      <x:c r="AS8" s="27"/>
      <x:c r="AT8" s="27"/>
      <x:c r="AU8" s="27"/>
      <x:c r="AV8" s="27"/>
      <x:c r="AW8" s="27"/>
      <x:c r="AX8" s="27"/>
      <x:c r="AY8" s="27"/>
      <x:c r="AZ8" s="27"/>
    </x:row>
    <x:row r="9">
      <x:c r="A9" s="30" t="str">
        <x:v>SAT-03</x:v>
      </x:c>
      <x:c r="B9" s="30" t="str">
        <x:v>Saturday Reset</x:v>
      </x:c>
      <x:c r="C9" s="30" t="n">
        <x:v>80</x:v>
      </x:c>
      <x:c r="D9" s="30" t="n">
        <x:v>81</x:v>
      </x:c>
      <x:c r="E9" s="30" t="str">
        <x:v>+4 IBL; +3 COD; +5 AGI; +2 RBF; +2 SPD; +5 ACC</x:v>
      </x:c>
      <x:c r="F9" s="30" t="str">
        <x:v>SRC-HIST-001</x:v>
      </x:c>
      <x:c r="G9" s="30" t="n">
        <x:v>4</x:v>
      </x:c>
      <x:c r="H9" s="30" t="str">
        <x:v>Controlled reset</x:v>
      </x:c>
      <x:c r="I9" s="30" t="str"/>
      <x:c r="J9" s="27"/>
      <x:c r="K9" s="27"/>
      <x:c r="L9" s="27"/>
      <x:c r="M9" s="27"/>
      <x:c r="N9" s="27"/>
      <x:c r="O9" s="27"/>
      <x:c r="P9" s="27"/>
      <x:c r="Q9" s="27"/>
      <x:c r="R9" s="27"/>
      <x:c r="S9" s="27"/>
      <x:c r="T9" s="27"/>
      <x:c r="U9" s="27"/>
      <x:c r="V9" s="27"/>
      <x:c r="W9" s="27"/>
      <x:c r="X9" s="27"/>
      <x:c r="Y9" s="27"/>
      <x:c r="Z9" s="27"/>
      <x:c r="AA9" s="27"/>
      <x:c r="AB9" s="27"/>
      <x:c r="AC9" s="27"/>
      <x:c r="AD9" s="27"/>
      <x:c r="AE9" s="27"/>
      <x:c r="AF9" s="27"/>
      <x:c r="AG9" s="27"/>
      <x:c r="AH9" s="27"/>
      <x:c r="AI9" s="27"/>
      <x:c r="AJ9" s="27"/>
      <x:c r="AK9" s="27"/>
      <x:c r="AL9" s="27"/>
      <x:c r="AM9" s="27"/>
      <x:c r="AN9" s="27"/>
      <x:c r="AO9" s="27"/>
      <x:c r="AP9" s="27"/>
      <x:c r="AQ9" s="27"/>
      <x:c r="AR9" s="27"/>
      <x:c r="AS9" s="27"/>
      <x:c r="AT9" s="27"/>
      <x:c r="AU9" s="27"/>
      <x:c r="AV9" s="27"/>
      <x:c r="AW9" s="27"/>
      <x:c r="AX9" s="27"/>
      <x:c r="AY9" s="27"/>
      <x:c r="AZ9" s="27"/>
    </x:row>
    <x:row r="10">
      <x:c r="A10" s="30" t="str">
        <x:v>SAT-03B</x:v>
      </x:c>
      <x:c r="B10" s="30" t="str">
        <x:v>Saturday Reset</x:v>
      </x:c>
      <x:c r="C10" s="30" t="n">
        <x:v>81</x:v>
      </x:c>
      <x:c r="D10" s="30" t="n">
        <x:v>82</x:v>
      </x:c>
      <x:c r="E10" s="30" t="str">
        <x:v>+5 COD; +5 PBF; +2 PBK; +2 RBK; +2 RBF</x:v>
      </x:c>
      <x:c r="F10" s="30" t="str">
        <x:v>SRC-HIST-001</x:v>
      </x:c>
      <x:c r="G10" s="30" t="n">
        <x:v>4</x:v>
      </x:c>
      <x:c r="H10" s="30" t="str">
        <x:v>Controlled reset</x:v>
      </x:c>
      <x:c r="I10" s="30" t="str"/>
      <x:c r="J10" s="27"/>
      <x:c r="K10" s="27"/>
      <x:c r="L10" s="27"/>
      <x:c r="M10" s="27"/>
      <x:c r="N10" s="27"/>
      <x:c r="O10" s="27"/>
      <x:c r="P10" s="27"/>
      <x:c r="Q10" s="27"/>
      <x:c r="R10" s="27"/>
      <x:c r="S10" s="27"/>
      <x:c r="T10" s="27"/>
      <x:c r="U10" s="27"/>
      <x:c r="V10" s="27"/>
      <x:c r="W10" s="27"/>
      <x:c r="X10" s="27"/>
      <x:c r="Y10" s="27"/>
      <x:c r="Z10" s="27"/>
      <x:c r="AA10" s="27"/>
      <x:c r="AB10" s="27"/>
      <x:c r="AC10" s="27"/>
      <x:c r="AD10" s="27"/>
      <x:c r="AE10" s="27"/>
      <x:c r="AF10" s="27"/>
      <x:c r="AG10" s="27"/>
      <x:c r="AH10" s="27"/>
      <x:c r="AI10" s="27"/>
      <x:c r="AJ10" s="27"/>
      <x:c r="AK10" s="27"/>
      <x:c r="AL10" s="27"/>
      <x:c r="AM10" s="27"/>
      <x:c r="AN10" s="27"/>
      <x:c r="AO10" s="27"/>
      <x:c r="AP10" s="27"/>
      <x:c r="AQ10" s="27"/>
      <x:c r="AR10" s="27"/>
      <x:c r="AS10" s="27"/>
      <x:c r="AT10" s="27"/>
      <x:c r="AU10" s="27"/>
      <x:c r="AV10" s="27"/>
      <x:c r="AW10" s="27"/>
      <x:c r="AX10" s="27"/>
      <x:c r="AY10" s="27"/>
      <x:c r="AZ10" s="27"/>
    </x:row>
    <x:row r="11">
      <x:c r="A11" s="30" t="str">
        <x:v>SAT-04</x:v>
      </x:c>
      <x:c r="B11" s="30" t="str">
        <x:v>Saturday Reset</x:v>
      </x:c>
      <x:c r="C11" s="30" t="n">
        <x:v>80</x:v>
      </x:c>
      <x:c r="D11" s="30" t="n">
        <x:v>81</x:v>
      </x:c>
      <x:c r="E11" s="30" t="str">
        <x:v>+6 PBF</x:v>
      </x:c>
      <x:c r="F11" s="30" t="str">
        <x:v>SRC-HIST-001</x:v>
      </x:c>
      <x:c r="G11" s="30" t="n">
        <x:v>4</x:v>
      </x:c>
      <x:c r="H11" s="30" t="str">
        <x:v>Controlled reset</x:v>
      </x:c>
      <x:c r="I11" s="30" t="str"/>
      <x:c r="J11" s="27"/>
      <x:c r="K11" s="27"/>
      <x:c r="L11" s="27"/>
      <x:c r="M11" s="27"/>
      <x:c r="N11" s="27"/>
      <x:c r="O11" s="27"/>
      <x:c r="P11" s="27"/>
      <x:c r="Q11" s="27"/>
      <x:c r="R11" s="27"/>
      <x:c r="S11" s="27"/>
      <x:c r="T11" s="27"/>
      <x:c r="U11" s="27"/>
      <x:c r="V11" s="27"/>
      <x:c r="W11" s="27"/>
      <x:c r="X11" s="27"/>
      <x:c r="Y11" s="27"/>
      <x:c r="Z11" s="27"/>
      <x:c r="AA11" s="27"/>
      <x:c r="AB11" s="27"/>
      <x:c r="AC11" s="27"/>
      <x:c r="AD11" s="27"/>
      <x:c r="AE11" s="27"/>
      <x:c r="AF11" s="27"/>
      <x:c r="AG11" s="27"/>
      <x:c r="AH11" s="27"/>
      <x:c r="AI11" s="27"/>
      <x:c r="AJ11" s="27"/>
      <x:c r="AK11" s="27"/>
      <x:c r="AL11" s="27"/>
      <x:c r="AM11" s="27"/>
      <x:c r="AN11" s="27"/>
      <x:c r="AO11" s="27"/>
      <x:c r="AP11" s="27"/>
      <x:c r="AQ11" s="27"/>
      <x:c r="AR11" s="27"/>
      <x:c r="AS11" s="27"/>
      <x:c r="AT11" s="27"/>
      <x:c r="AU11" s="27"/>
      <x:c r="AV11" s="27"/>
      <x:c r="AW11" s="27"/>
      <x:c r="AX11" s="27"/>
      <x:c r="AY11" s="27"/>
      <x:c r="AZ11" s="27"/>
    </x:row>
    <x:row r="12">
      <x:c r="A12" s="30" t="str">
        <x:v>SAT-04B</x:v>
      </x:c>
      <x:c r="B12" s="30" t="str">
        <x:v>Saturday Reset</x:v>
      </x:c>
      <x:c r="C12" s="30" t="n">
        <x:v>81</x:v>
      </x:c>
      <x:c r="D12" s="30" t="n">
        <x:v>82</x:v>
      </x:c>
      <x:c r="E12" s="30" t="str">
        <x:v>+4 PBP</x:v>
      </x:c>
      <x:c r="F12" s="30" t="str">
        <x:v>SRC-HIST-001</x:v>
      </x:c>
      <x:c r="G12" s="30" t="n">
        <x:v>4</x:v>
      </x:c>
      <x:c r="H12" s="30" t="str">
        <x:v>Controlled reset</x:v>
      </x:c>
      <x:c r="I12" s="30" t="str"/>
      <x:c r="J12" s="27"/>
      <x:c r="K12" s="27"/>
      <x:c r="L12" s="27"/>
      <x:c r="M12" s="27"/>
      <x:c r="N12" s="27"/>
      <x:c r="O12" s="27"/>
      <x:c r="P12" s="27"/>
      <x:c r="Q12" s="27"/>
      <x:c r="R12" s="27"/>
      <x:c r="S12" s="27"/>
      <x:c r="T12" s="27"/>
      <x:c r="U12" s="27"/>
      <x:c r="V12" s="27"/>
      <x:c r="W12" s="27"/>
      <x:c r="X12" s="27"/>
      <x:c r="Y12" s="27"/>
      <x:c r="Z12" s="27"/>
      <x:c r="AA12" s="27"/>
      <x:c r="AB12" s="27"/>
      <x:c r="AC12" s="27"/>
      <x:c r="AD12" s="27"/>
      <x:c r="AE12" s="27"/>
      <x:c r="AF12" s="27"/>
      <x:c r="AG12" s="27"/>
      <x:c r="AH12" s="27"/>
      <x:c r="AI12" s="27"/>
      <x:c r="AJ12" s="27"/>
      <x:c r="AK12" s="27"/>
      <x:c r="AL12" s="27"/>
      <x:c r="AM12" s="27"/>
      <x:c r="AN12" s="27"/>
      <x:c r="AO12" s="27"/>
      <x:c r="AP12" s="27"/>
      <x:c r="AQ12" s="27"/>
      <x:c r="AR12" s="27"/>
      <x:c r="AS12" s="27"/>
      <x:c r="AT12" s="27"/>
      <x:c r="AU12" s="27"/>
      <x:c r="AV12" s="27"/>
      <x:c r="AW12" s="27"/>
      <x:c r="AX12" s="27"/>
      <x:c r="AY12" s="27"/>
      <x:c r="AZ12" s="27"/>
    </x:row>
    <x:row r="13">
      <x:c r="A13" s="30" t="str">
        <x:v>SAT-05</x:v>
      </x:c>
      <x:c r="B13" s="30" t="str">
        <x:v>Saturday Reset</x:v>
      </x:c>
      <x:c r="C13" s="30" t="n">
        <x:v>80</x:v>
      </x:c>
      <x:c r="D13" s="30" t="n">
        <x:v>81</x:v>
      </x:c>
      <x:c r="E13" s="30" t="str">
        <x:v>+2 PBP</x:v>
      </x:c>
      <x:c r="F13" s="30" t="str">
        <x:v>SRC-HIST-001</x:v>
      </x:c>
      <x:c r="G13" s="30" t="n">
        <x:v>4</x:v>
      </x:c>
      <x:c r="H13" s="30" t="str">
        <x:v>Controlled reset</x:v>
      </x:c>
      <x:c r="I13" s="30" t="str"/>
      <x:c r="J13" s="27"/>
      <x:c r="K13" s="27"/>
      <x:c r="L13" s="27"/>
      <x:c r="M13" s="27"/>
      <x:c r="N13" s="27"/>
      <x:c r="O13" s="27"/>
      <x:c r="P13" s="27"/>
      <x:c r="Q13" s="27"/>
      <x:c r="R13" s="27"/>
      <x:c r="S13" s="27"/>
      <x:c r="T13" s="27"/>
      <x:c r="U13" s="27"/>
      <x:c r="V13" s="27"/>
      <x:c r="W13" s="27"/>
      <x:c r="X13" s="27"/>
      <x:c r="Y13" s="27"/>
      <x:c r="Z13" s="27"/>
      <x:c r="AA13" s="27"/>
      <x:c r="AB13" s="27"/>
      <x:c r="AC13" s="27"/>
      <x:c r="AD13" s="27"/>
      <x:c r="AE13" s="27"/>
      <x:c r="AF13" s="27"/>
      <x:c r="AG13" s="27"/>
      <x:c r="AH13" s="27"/>
      <x:c r="AI13" s="27"/>
      <x:c r="AJ13" s="27"/>
      <x:c r="AK13" s="27"/>
      <x:c r="AL13" s="27"/>
      <x:c r="AM13" s="27"/>
      <x:c r="AN13" s="27"/>
      <x:c r="AO13" s="27"/>
      <x:c r="AP13" s="27"/>
      <x:c r="AQ13" s="27"/>
      <x:c r="AR13" s="27"/>
      <x:c r="AS13" s="27"/>
      <x:c r="AT13" s="27"/>
      <x:c r="AU13" s="27"/>
      <x:c r="AV13" s="27"/>
      <x:c r="AW13" s="27"/>
      <x:c r="AX13" s="27"/>
      <x:c r="AY13" s="27"/>
      <x:c r="AZ13" s="27"/>
    </x:row>
    <x:row r="14">
      <x:c r="A14" s="30" t="str">
        <x:v>SAT-05B</x:v>
      </x:c>
      <x:c r="B14" s="30" t="str">
        <x:v>Saturday Reset</x:v>
      </x:c>
      <x:c r="C14" s="30" t="n">
        <x:v>81</x:v>
      </x:c>
      <x:c r="D14" s="30" t="n">
        <x:v>82</x:v>
      </x:c>
      <x:c r="E14" s="30" t="str">
        <x:v>+6 AWR; +4 PBF</x:v>
      </x:c>
      <x:c r="F14" s="30" t="str">
        <x:v>SRC-HIST-001</x:v>
      </x:c>
      <x:c r="G14" s="30" t="n">
        <x:v>4</x:v>
      </x:c>
      <x:c r="H14" s="30" t="str">
        <x:v>Controlled reset</x:v>
      </x:c>
      <x:c r="I14" s="30" t="str"/>
      <x:c r="J14" s="27"/>
      <x:c r="K14" s="27"/>
      <x:c r="L14" s="27"/>
      <x:c r="M14" s="27"/>
      <x:c r="N14" s="27"/>
      <x:c r="O14" s="27"/>
      <x:c r="P14" s="27"/>
      <x:c r="Q14" s="27"/>
      <x:c r="R14" s="27"/>
      <x:c r="S14" s="27"/>
      <x:c r="T14" s="27"/>
      <x:c r="U14" s="27"/>
      <x:c r="V14" s="27"/>
      <x:c r="W14" s="27"/>
      <x:c r="X14" s="27"/>
      <x:c r="Y14" s="27"/>
      <x:c r="Z14" s="27"/>
      <x:c r="AA14" s="27"/>
      <x:c r="AB14" s="27"/>
      <x:c r="AC14" s="27"/>
      <x:c r="AD14" s="27"/>
      <x:c r="AE14" s="27"/>
      <x:c r="AF14" s="27"/>
      <x:c r="AG14" s="27"/>
      <x:c r="AH14" s="27"/>
      <x:c r="AI14" s="27"/>
      <x:c r="AJ14" s="27"/>
      <x:c r="AK14" s="27"/>
      <x:c r="AL14" s="27"/>
      <x:c r="AM14" s="27"/>
      <x:c r="AN14" s="27"/>
      <x:c r="AO14" s="27"/>
      <x:c r="AP14" s="27"/>
      <x:c r="AQ14" s="27"/>
      <x:c r="AR14" s="27"/>
      <x:c r="AS14" s="27"/>
      <x:c r="AT14" s="27"/>
      <x:c r="AU14" s="27"/>
      <x:c r="AV14" s="27"/>
      <x:c r="AW14" s="27"/>
      <x:c r="AX14" s="27"/>
      <x:c r="AY14" s="27"/>
      <x:c r="AZ14" s="27"/>
    </x:row>
    <x:row r="15">
      <x:c r="A15" s="30" t="str">
        <x:v>SAT-06</x:v>
      </x:c>
      <x:c r="B15" s="30" t="str">
        <x:v>Saturday Reset</x:v>
      </x:c>
      <x:c r="C15" s="30" t="n">
        <x:v>80</x:v>
      </x:c>
      <x:c r="D15" s="30" t="n">
        <x:v>81</x:v>
      </x:c>
      <x:c r="E15" s="30" t="str">
        <x:v>+5 PBP</x:v>
      </x:c>
      <x:c r="F15" s="30" t="str">
        <x:v>SRC-HIST-001</x:v>
      </x:c>
      <x:c r="G15" s="30" t="n">
        <x:v>4</x:v>
      </x:c>
      <x:c r="H15" s="30" t="str">
        <x:v>Controlled reset</x:v>
      </x:c>
      <x:c r="I15" s="30" t="str"/>
      <x:c r="J15" s="27"/>
      <x:c r="K15" s="27"/>
      <x:c r="L15" s="27"/>
      <x:c r="M15" s="27"/>
      <x:c r="N15" s="27"/>
      <x:c r="O15" s="27"/>
      <x:c r="P15" s="27"/>
      <x:c r="Q15" s="27"/>
      <x:c r="R15" s="27"/>
      <x:c r="S15" s="27"/>
      <x:c r="T15" s="27"/>
      <x:c r="U15" s="27"/>
      <x:c r="V15" s="27"/>
      <x:c r="W15" s="27"/>
      <x:c r="X15" s="27"/>
      <x:c r="Y15" s="27"/>
      <x:c r="Z15" s="27"/>
      <x:c r="AA15" s="27"/>
      <x:c r="AB15" s="27"/>
      <x:c r="AC15" s="27"/>
      <x:c r="AD15" s="27"/>
      <x:c r="AE15" s="27"/>
      <x:c r="AF15" s="27"/>
      <x:c r="AG15" s="27"/>
      <x:c r="AH15" s="27"/>
      <x:c r="AI15" s="27"/>
      <x:c r="AJ15" s="27"/>
      <x:c r="AK15" s="27"/>
      <x:c r="AL15" s="27"/>
      <x:c r="AM15" s="27"/>
      <x:c r="AN15" s="27"/>
      <x:c r="AO15" s="27"/>
      <x:c r="AP15" s="27"/>
      <x:c r="AQ15" s="27"/>
      <x:c r="AR15" s="27"/>
      <x:c r="AS15" s="27"/>
      <x:c r="AT15" s="27"/>
      <x:c r="AU15" s="27"/>
      <x:c r="AV15" s="27"/>
      <x:c r="AW15" s="27"/>
      <x:c r="AX15" s="27"/>
      <x:c r="AY15" s="27"/>
      <x:c r="AZ15" s="27"/>
    </x:row>
    <x:row r="16">
      <x:c r="A16" s="30" t="str">
        <x:v>SAT-06B</x:v>
      </x:c>
      <x:c r="B16" s="30" t="str">
        <x:v>Saturday Reset</x:v>
      </x:c>
      <x:c r="C16" s="30" t="n">
        <x:v>81</x:v>
      </x:c>
      <x:c r="D16" s="30" t="n">
        <x:v>82</x:v>
      </x:c>
      <x:c r="E16" s="30" t="str">
        <x:v>+4 PBK</x:v>
      </x:c>
      <x:c r="F16" s="30" t="str">
        <x:v>SRC-HIST-001</x:v>
      </x:c>
      <x:c r="G16" s="30" t="n">
        <x:v>4</x:v>
      </x:c>
      <x:c r="H16" s="30" t="str">
        <x:v>Controlled reset</x:v>
      </x:c>
      <x:c r="I16" s="30" t="str"/>
      <x:c r="J16" s="27"/>
      <x:c r="K16" s="27"/>
      <x:c r="L16" s="27"/>
      <x:c r="M16" s="27"/>
      <x:c r="N16" s="27"/>
      <x:c r="O16" s="27"/>
      <x:c r="P16" s="27"/>
      <x:c r="Q16" s="27"/>
      <x:c r="R16" s="27"/>
      <x:c r="S16" s="27"/>
      <x:c r="T16" s="27"/>
      <x:c r="U16" s="27"/>
      <x:c r="V16" s="27"/>
      <x:c r="W16" s="27"/>
      <x:c r="X16" s="27"/>
      <x:c r="Y16" s="27"/>
      <x:c r="Z16" s="27"/>
      <x:c r="AA16" s="27"/>
      <x:c r="AB16" s="27"/>
      <x:c r="AC16" s="27"/>
      <x:c r="AD16" s="27"/>
      <x:c r="AE16" s="27"/>
      <x:c r="AF16" s="27"/>
      <x:c r="AG16" s="27"/>
      <x:c r="AH16" s="27"/>
      <x:c r="AI16" s="27"/>
      <x:c r="AJ16" s="27"/>
      <x:c r="AK16" s="27"/>
      <x:c r="AL16" s="27"/>
      <x:c r="AM16" s="27"/>
      <x:c r="AN16" s="27"/>
      <x:c r="AO16" s="27"/>
      <x:c r="AP16" s="27"/>
      <x:c r="AQ16" s="27"/>
      <x:c r="AR16" s="27"/>
      <x:c r="AS16" s="27"/>
      <x:c r="AT16" s="27"/>
      <x:c r="AU16" s="27"/>
      <x:c r="AV16" s="27"/>
      <x:c r="AW16" s="27"/>
      <x:c r="AX16" s="27"/>
      <x:c r="AY16" s="27"/>
      <x:c r="AZ16" s="27"/>
    </x:row>
    <x:row r="17">
      <x:c r="A17" s="30" t="str">
        <x:v>SAT-07</x:v>
      </x:c>
      <x:c r="B17" s="30" t="str">
        <x:v>Saturday Reset</x:v>
      </x:c>
      <x:c r="C17" s="30" t="n">
        <x:v>80</x:v>
      </x:c>
      <x:c r="D17" s="30" t="n">
        <x:v>81</x:v>
      </x:c>
      <x:c r="E17" s="30" t="str">
        <x:v>+2 AGI; +6 SPD; +5 PBP</x:v>
      </x:c>
      <x:c r="F17" s="30" t="str">
        <x:v>SRC-HIST-001</x:v>
      </x:c>
      <x:c r="G17" s="30" t="n">
        <x:v>4</x:v>
      </x:c>
      <x:c r="H17" s="30" t="str">
        <x:v>Controlled reset</x:v>
      </x:c>
      <x:c r="I17" s="30" t="str"/>
      <x:c r="J17" s="27"/>
      <x:c r="K17" s="27"/>
      <x:c r="L17" s="27"/>
      <x:c r="M17" s="27"/>
      <x:c r="N17" s="27"/>
      <x:c r="O17" s="27"/>
      <x:c r="P17" s="27"/>
      <x:c r="Q17" s="27"/>
      <x:c r="R17" s="27"/>
      <x:c r="S17" s="27"/>
      <x:c r="T17" s="27"/>
      <x:c r="U17" s="27"/>
      <x:c r="V17" s="27"/>
      <x:c r="W17" s="27"/>
      <x:c r="X17" s="27"/>
      <x:c r="Y17" s="27"/>
      <x:c r="Z17" s="27"/>
      <x:c r="AA17" s="27"/>
      <x:c r="AB17" s="27"/>
      <x:c r="AC17" s="27"/>
      <x:c r="AD17" s="27"/>
      <x:c r="AE17" s="27"/>
      <x:c r="AF17" s="27"/>
      <x:c r="AG17" s="27"/>
      <x:c r="AH17" s="27"/>
      <x:c r="AI17" s="27"/>
      <x:c r="AJ17" s="27"/>
      <x:c r="AK17" s="27"/>
      <x:c r="AL17" s="27"/>
      <x:c r="AM17" s="27"/>
      <x:c r="AN17" s="27"/>
      <x:c r="AO17" s="27"/>
      <x:c r="AP17" s="27"/>
      <x:c r="AQ17" s="27"/>
      <x:c r="AR17" s="27"/>
      <x:c r="AS17" s="27"/>
      <x:c r="AT17" s="27"/>
      <x:c r="AU17" s="27"/>
      <x:c r="AV17" s="27"/>
      <x:c r="AW17" s="27"/>
      <x:c r="AX17" s="27"/>
      <x:c r="AY17" s="27"/>
      <x:c r="AZ17" s="27"/>
    </x:row>
    <x:row r="18">
      <x:c r="A18" s="30" t="str">
        <x:v>SAT-07B</x:v>
      </x:c>
      <x:c r="B18" s="30" t="str">
        <x:v>Saturday Reset</x:v>
      </x:c>
      <x:c r="C18" s="30" t="n">
        <x:v>81</x:v>
      </x:c>
      <x:c r="D18" s="30" t="n">
        <x:v>82</x:v>
      </x:c>
      <x:c r="E18" s="30" t="str">
        <x:v>+5 AGI; +1 AWR</x:v>
      </x:c>
      <x:c r="F18" s="30" t="str">
        <x:v>SRC-HIST-001</x:v>
      </x:c>
      <x:c r="G18" s="30" t="n">
        <x:v>4</x:v>
      </x:c>
      <x:c r="H18" s="30" t="str">
        <x:v>Controlled reset</x:v>
      </x:c>
      <x:c r="I18" s="30" t="str"/>
      <x:c r="J18" s="27"/>
      <x:c r="K18" s="27"/>
      <x:c r="L18" s="27"/>
      <x:c r="M18" s="27"/>
      <x:c r="N18" s="27"/>
      <x:c r="O18" s="27"/>
      <x:c r="P18" s="27"/>
      <x:c r="Q18" s="27"/>
      <x:c r="R18" s="27"/>
      <x:c r="S18" s="27"/>
      <x:c r="T18" s="27"/>
      <x:c r="U18" s="27"/>
      <x:c r="V18" s="27"/>
      <x:c r="W18" s="27"/>
      <x:c r="X18" s="27"/>
      <x:c r="Y18" s="27"/>
      <x:c r="Z18" s="27"/>
      <x:c r="AA18" s="27"/>
      <x:c r="AB18" s="27"/>
      <x:c r="AC18" s="27"/>
      <x:c r="AD18" s="27"/>
      <x:c r="AE18" s="27"/>
      <x:c r="AF18" s="27"/>
      <x:c r="AG18" s="27"/>
      <x:c r="AH18" s="27"/>
      <x:c r="AI18" s="27"/>
      <x:c r="AJ18" s="27"/>
      <x:c r="AK18" s="27"/>
      <x:c r="AL18" s="27"/>
      <x:c r="AM18" s="27"/>
      <x:c r="AN18" s="27"/>
      <x:c r="AO18" s="27"/>
      <x:c r="AP18" s="27"/>
      <x:c r="AQ18" s="27"/>
      <x:c r="AR18" s="27"/>
      <x:c r="AS18" s="27"/>
      <x:c r="AT18" s="27"/>
      <x:c r="AU18" s="27"/>
      <x:c r="AV18" s="27"/>
      <x:c r="AW18" s="27"/>
      <x:c r="AX18" s="27"/>
      <x:c r="AY18" s="27"/>
      <x:c r="AZ18" s="27"/>
    </x:row>
    <x:row r="19">
      <x:c r="A19" s="30" t="str">
        <x:v>SAT-08</x:v>
      </x:c>
      <x:c r="B19" s="30" t="str">
        <x:v>Saturday Reset</x:v>
      </x:c>
      <x:c r="C19" s="30" t="n">
        <x:v>80</x:v>
      </x:c>
      <x:c r="D19" s="30" t="n">
        <x:v>81</x:v>
      </x:c>
      <x:c r="E19" s="30" t="str">
        <x:v>+5 PBP; +2 PBK; +4 SPD</x:v>
      </x:c>
      <x:c r="F19" s="30" t="str">
        <x:v>SRC-HIST-001</x:v>
      </x:c>
      <x:c r="G19" s="30" t="n">
        <x:v>4</x:v>
      </x:c>
      <x:c r="H19" s="30" t="str">
        <x:v>Controlled reset</x:v>
      </x:c>
      <x:c r="I19" s="30" t="str"/>
      <x:c r="J19" s="27"/>
      <x:c r="K19" s="27"/>
      <x:c r="L19" s="27"/>
      <x:c r="M19" s="27"/>
      <x:c r="N19" s="27"/>
      <x:c r="O19" s="27"/>
      <x:c r="P19" s="27"/>
      <x:c r="Q19" s="27"/>
      <x:c r="R19" s="27"/>
      <x:c r="S19" s="27"/>
      <x:c r="T19" s="27"/>
      <x:c r="U19" s="27"/>
      <x:c r="V19" s="27"/>
      <x:c r="W19" s="27"/>
      <x:c r="X19" s="27"/>
      <x:c r="Y19" s="27"/>
      <x:c r="Z19" s="27"/>
      <x:c r="AA19" s="27"/>
      <x:c r="AB19" s="27"/>
      <x:c r="AC19" s="27"/>
      <x:c r="AD19" s="27"/>
      <x:c r="AE19" s="27"/>
      <x:c r="AF19" s="27"/>
      <x:c r="AG19" s="27"/>
      <x:c r="AH19" s="27"/>
      <x:c r="AI19" s="27"/>
      <x:c r="AJ19" s="27"/>
      <x:c r="AK19" s="27"/>
      <x:c r="AL19" s="27"/>
      <x:c r="AM19" s="27"/>
      <x:c r="AN19" s="27"/>
      <x:c r="AO19" s="27"/>
      <x:c r="AP19" s="27"/>
      <x:c r="AQ19" s="27"/>
      <x:c r="AR19" s="27"/>
      <x:c r="AS19" s="27"/>
      <x:c r="AT19" s="27"/>
      <x:c r="AU19" s="27"/>
      <x:c r="AV19" s="27"/>
      <x:c r="AW19" s="27"/>
      <x:c r="AX19" s="27"/>
      <x:c r="AY19" s="27"/>
      <x:c r="AZ19" s="27"/>
    </x:row>
    <x:row r="20">
      <x:c r="A20" s="30" t="str">
        <x:v>SAT-08B</x:v>
      </x:c>
      <x:c r="B20" s="30" t="str">
        <x:v>Saturday Reset</x:v>
      </x:c>
      <x:c r="C20" s="30" t="n">
        <x:v>81</x:v>
      </x:c>
      <x:c r="D20" s="30" t="n">
        <x:v>82</x:v>
      </x:c>
      <x:c r="E20" s="30" t="str">
        <x:v>+1 PBP</x:v>
      </x:c>
      <x:c r="F20" s="30" t="str">
        <x:v>SRC-HIST-001</x:v>
      </x:c>
      <x:c r="G20" s="30" t="n">
        <x:v>4</x:v>
      </x:c>
      <x:c r="H20" s="30" t="str">
        <x:v>Controlled reset</x:v>
      </x:c>
      <x:c r="I20" s="30" t="str"/>
      <x:c r="J20" s="27"/>
      <x:c r="K20" s="27"/>
      <x:c r="L20" s="27"/>
      <x:c r="M20" s="27"/>
      <x:c r="N20" s="27"/>
      <x:c r="O20" s="27"/>
      <x:c r="P20" s="27"/>
      <x:c r="Q20" s="27"/>
      <x:c r="R20" s="27"/>
      <x:c r="S20" s="27"/>
      <x:c r="T20" s="27"/>
      <x:c r="U20" s="27"/>
      <x:c r="V20" s="27"/>
      <x:c r="W20" s="27"/>
      <x:c r="X20" s="27"/>
      <x:c r="Y20" s="27"/>
      <x:c r="Z20" s="27"/>
      <x:c r="AA20" s="27"/>
      <x:c r="AB20" s="27"/>
      <x:c r="AC20" s="27"/>
      <x:c r="AD20" s="27"/>
      <x:c r="AE20" s="27"/>
      <x:c r="AF20" s="27"/>
      <x:c r="AG20" s="27"/>
      <x:c r="AH20" s="27"/>
      <x:c r="AI20" s="27"/>
      <x:c r="AJ20" s="27"/>
      <x:c r="AK20" s="27"/>
      <x:c r="AL20" s="27"/>
      <x:c r="AM20" s="27"/>
      <x:c r="AN20" s="27"/>
      <x:c r="AO20" s="27"/>
      <x:c r="AP20" s="27"/>
      <x:c r="AQ20" s="27"/>
      <x:c r="AR20" s="27"/>
      <x:c r="AS20" s="27"/>
      <x:c r="AT20" s="27"/>
      <x:c r="AU20" s="27"/>
      <x:c r="AV20" s="27"/>
      <x:c r="AW20" s="27"/>
      <x:c r="AX20" s="27"/>
      <x:c r="AY20" s="27"/>
      <x:c r="AZ20" s="27"/>
    </x:row>
    <x:row r="21">
      <x:c r="A21" s="30" t="str">
        <x:v>SAT-09</x:v>
      </x:c>
      <x:c r="B21" s="30" t="str">
        <x:v>Saturday Reset</x:v>
      </x:c>
      <x:c r="C21" s="30" t="n">
        <x:v>80</x:v>
      </x:c>
      <x:c r="D21" s="30" t="n">
        <x:v>81</x:v>
      </x:c>
      <x:c r="E21" s="30" t="str">
        <x:v>+5 PBK; +5 COD; +7 IBL; +4 RBP; +1 LBK</x:v>
      </x:c>
      <x:c r="F21" s="30" t="str">
        <x:v>SRC-HIST-001</x:v>
      </x:c>
      <x:c r="G21" s="30" t="n">
        <x:v>13</x:v>
      </x:c>
      <x:c r="H21" s="30" t="str">
        <x:v>Controlled reset</x:v>
      </x:c>
      <x:c r="I21" s="30" t="str"/>
      <x:c r="J21" s="27"/>
      <x:c r="K21" s="27"/>
      <x:c r="L21" s="27"/>
      <x:c r="M21" s="27"/>
      <x:c r="N21" s="27"/>
      <x:c r="O21" s="27"/>
      <x:c r="P21" s="27"/>
      <x:c r="Q21" s="27"/>
      <x:c r="R21" s="27"/>
      <x:c r="S21" s="27"/>
      <x:c r="T21" s="27"/>
      <x:c r="U21" s="27"/>
      <x:c r="V21" s="27"/>
      <x:c r="W21" s="27"/>
      <x:c r="X21" s="27"/>
      <x:c r="Y21" s="27"/>
      <x:c r="Z21" s="27"/>
      <x:c r="AA21" s="27"/>
      <x:c r="AB21" s="27"/>
      <x:c r="AC21" s="27"/>
      <x:c r="AD21" s="27"/>
      <x:c r="AE21" s="27"/>
      <x:c r="AF21" s="27"/>
      <x:c r="AG21" s="27"/>
      <x:c r="AH21" s="27"/>
      <x:c r="AI21" s="27"/>
      <x:c r="AJ21" s="27"/>
      <x:c r="AK21" s="27"/>
      <x:c r="AL21" s="27"/>
      <x:c r="AM21" s="27"/>
      <x:c r="AN21" s="27"/>
      <x:c r="AO21" s="27"/>
      <x:c r="AP21" s="27"/>
      <x:c r="AQ21" s="27"/>
      <x:c r="AR21" s="27"/>
      <x:c r="AS21" s="27"/>
      <x:c r="AT21" s="27"/>
      <x:c r="AU21" s="27"/>
      <x:c r="AV21" s="27"/>
      <x:c r="AW21" s="27"/>
      <x:c r="AX21" s="27"/>
      <x:c r="AY21" s="27"/>
      <x:c r="AZ21" s="27"/>
    </x:row>
    <x:row r="22">
      <x:c r="A22" s="30" t="str">
        <x:v>SAT-09B</x:v>
      </x:c>
      <x:c r="B22" s="30" t="str">
        <x:v>Saturday Reset</x:v>
      </x:c>
      <x:c r="C22" s="30" t="n">
        <x:v>81</x:v>
      </x:c>
      <x:c r="D22" s="30" t="n">
        <x:v>82</x:v>
      </x:c>
      <x:c r="E22" s="30" t="str">
        <x:v>+5 IBL; +3 PBF; +6 LBK</x:v>
      </x:c>
      <x:c r="F22" s="30" t="str">
        <x:v>SRC-HIST-001</x:v>
      </x:c>
      <x:c r="G22" s="30" t="n">
        <x:v>13</x:v>
      </x:c>
      <x:c r="H22" s="30" t="str">
        <x:v>Controlled reset</x:v>
      </x:c>
      <x:c r="I22" s="30" t="str"/>
      <x:c r="J22" s="27"/>
      <x:c r="K22" s="27"/>
      <x:c r="L22" s="27"/>
      <x:c r="M22" s="27"/>
      <x:c r="N22" s="27"/>
      <x:c r="O22" s="27"/>
      <x:c r="P22" s="27"/>
      <x:c r="Q22" s="27"/>
      <x:c r="R22" s="27"/>
      <x:c r="S22" s="27"/>
      <x:c r="T22" s="27"/>
      <x:c r="U22" s="27"/>
      <x:c r="V22" s="27"/>
      <x:c r="W22" s="27"/>
      <x:c r="X22" s="27"/>
      <x:c r="Y22" s="27"/>
      <x:c r="Z22" s="27"/>
      <x:c r="AA22" s="27"/>
      <x:c r="AB22" s="27"/>
      <x:c r="AC22" s="27"/>
      <x:c r="AD22" s="27"/>
      <x:c r="AE22" s="27"/>
      <x:c r="AF22" s="27"/>
      <x:c r="AG22" s="27"/>
      <x:c r="AH22" s="27"/>
      <x:c r="AI22" s="27"/>
      <x:c r="AJ22" s="27"/>
      <x:c r="AK22" s="27"/>
      <x:c r="AL22" s="27"/>
      <x:c r="AM22" s="27"/>
      <x:c r="AN22" s="27"/>
      <x:c r="AO22" s="27"/>
      <x:c r="AP22" s="27"/>
      <x:c r="AQ22" s="27"/>
      <x:c r="AR22" s="27"/>
      <x:c r="AS22" s="27"/>
      <x:c r="AT22" s="27"/>
      <x:c r="AU22" s="27"/>
      <x:c r="AV22" s="27"/>
      <x:c r="AW22" s="27"/>
      <x:c r="AX22" s="27"/>
      <x:c r="AY22" s="27"/>
      <x:c r="AZ22" s="27"/>
    </x:row>
    <x:row r="23">
      <x:c r="A23" s="30" t="str">
        <x:v>SAT-10</x:v>
      </x:c>
      <x:c r="B23" s="30" t="str">
        <x:v>Saturday Reset</x:v>
      </x:c>
      <x:c r="C23" s="30" t="n">
        <x:v>80</x:v>
      </x:c>
      <x:c r="D23" s="30" t="n">
        <x:v>81</x:v>
      </x:c>
      <x:c r="E23" s="30" t="str">
        <x:v>+4 ACC; +2 PBK; +1 IBL; +6 RBP</x:v>
      </x:c>
      <x:c r="F23" s="30" t="str">
        <x:v>SRC-HIST-001</x:v>
      </x:c>
      <x:c r="G23" s="30" t="n">
        <x:v>14</x:v>
      </x:c>
      <x:c r="H23" s="30" t="str">
        <x:v>Controlled reset</x:v>
      </x:c>
      <x:c r="I23" s="30" t="str"/>
      <x:c r="J23" s="27"/>
      <x:c r="K23" s="27"/>
      <x:c r="L23" s="27"/>
      <x:c r="M23" s="27"/>
      <x:c r="N23" s="27"/>
      <x:c r="O23" s="27"/>
      <x:c r="P23" s="27"/>
      <x:c r="Q23" s="27"/>
      <x:c r="R23" s="27"/>
      <x:c r="S23" s="27"/>
      <x:c r="T23" s="27"/>
      <x:c r="U23" s="27"/>
      <x:c r="V23" s="27"/>
      <x:c r="W23" s="27"/>
      <x:c r="X23" s="27"/>
      <x:c r="Y23" s="27"/>
      <x:c r="Z23" s="27"/>
      <x:c r="AA23" s="27"/>
      <x:c r="AB23" s="27"/>
      <x:c r="AC23" s="27"/>
      <x:c r="AD23" s="27"/>
      <x:c r="AE23" s="27"/>
      <x:c r="AF23" s="27"/>
      <x:c r="AG23" s="27"/>
      <x:c r="AH23" s="27"/>
      <x:c r="AI23" s="27"/>
      <x:c r="AJ23" s="27"/>
      <x:c r="AK23" s="27"/>
      <x:c r="AL23" s="27"/>
      <x:c r="AM23" s="27"/>
      <x:c r="AN23" s="27"/>
      <x:c r="AO23" s="27"/>
      <x:c r="AP23" s="27"/>
      <x:c r="AQ23" s="27"/>
      <x:c r="AR23" s="27"/>
      <x:c r="AS23" s="27"/>
      <x:c r="AT23" s="27"/>
      <x:c r="AU23" s="27"/>
      <x:c r="AV23" s="27"/>
      <x:c r="AW23" s="27"/>
      <x:c r="AX23" s="27"/>
      <x:c r="AY23" s="27"/>
      <x:c r="AZ23" s="27"/>
    </x:row>
    <x:row r="24">
      <x:c r="A24" s="30" t="str">
        <x:v>SAT-10B</x:v>
      </x:c>
      <x:c r="B24" s="30" t="str">
        <x:v>Saturday Reset</x:v>
      </x:c>
      <x:c r="C24" s="30" t="n">
        <x:v>81</x:v>
      </x:c>
      <x:c r="D24" s="30" t="n">
        <x:v>82</x:v>
      </x:c>
      <x:c r="E24" s="30" t="str">
        <x:v>+5 SPD; +2 ACC; +3 PBK; +3 COD; +1 IBL; +3 PBP; +2 LBK</x:v>
      </x:c>
      <x:c r="F24" s="30" t="str">
        <x:v>SRC-HIST-001</x:v>
      </x:c>
      <x:c r="G24" s="30" t="n">
        <x:v>14</x:v>
      </x:c>
      <x:c r="H24" s="30" t="str">
        <x:v>Controlled reset</x:v>
      </x:c>
      <x:c r="I24" s="30" t="str"/>
      <x:c r="J24" s="27"/>
      <x:c r="K24" s="27"/>
      <x:c r="L24" s="27"/>
      <x:c r="M24" s="27"/>
      <x:c r="N24" s="27"/>
      <x:c r="O24" s="27"/>
      <x:c r="P24" s="27"/>
      <x:c r="Q24" s="27"/>
      <x:c r="R24" s="27"/>
      <x:c r="S24" s="27"/>
      <x:c r="T24" s="27"/>
      <x:c r="U24" s="27"/>
      <x:c r="V24" s="27"/>
      <x:c r="W24" s="27"/>
      <x:c r="X24" s="27"/>
      <x:c r="Y24" s="27"/>
      <x:c r="Z24" s="27"/>
      <x:c r="AA24" s="27"/>
      <x:c r="AB24" s="27"/>
      <x:c r="AC24" s="27"/>
      <x:c r="AD24" s="27"/>
      <x:c r="AE24" s="27"/>
      <x:c r="AF24" s="27"/>
      <x:c r="AG24" s="27"/>
      <x:c r="AH24" s="27"/>
      <x:c r="AI24" s="27"/>
      <x:c r="AJ24" s="27"/>
      <x:c r="AK24" s="27"/>
      <x:c r="AL24" s="27"/>
      <x:c r="AM24" s="27"/>
      <x:c r="AN24" s="27"/>
      <x:c r="AO24" s="27"/>
      <x:c r="AP24" s="27"/>
      <x:c r="AQ24" s="27"/>
      <x:c r="AR24" s="27"/>
      <x:c r="AS24" s="27"/>
      <x:c r="AT24" s="27"/>
      <x:c r="AU24" s="27"/>
      <x:c r="AV24" s="27"/>
      <x:c r="AW24" s="27"/>
      <x:c r="AX24" s="27"/>
      <x:c r="AY24" s="27"/>
      <x:c r="AZ24" s="27"/>
    </x:row>
    <x:row r="25">
      <x:c r="A25" s="30" t="str">
        <x:v>SAT-11</x:v>
      </x:c>
      <x:c r="B25" s="30" t="str">
        <x:v>Saturday Reset</x:v>
      </x:c>
      <x:c r="C25" s="30" t="n">
        <x:v>80</x:v>
      </x:c>
      <x:c r="D25" s="30" t="n">
        <x:v>81</x:v>
      </x:c>
      <x:c r="E25" s="30" t="str">
        <x:v>+6 AGI; +4 AWR</x:v>
      </x:c>
      <x:c r="F25" s="30" t="str">
        <x:v>SRC-HIST-001</x:v>
      </x:c>
      <x:c r="G25" s="30" t="n">
        <x:v>5</x:v>
      </x:c>
      <x:c r="H25" s="30" t="str">
        <x:v>Controlled reset</x:v>
      </x:c>
      <x:c r="I25" s="30" t="str"/>
      <x:c r="J25" s="27"/>
      <x:c r="K25" s="27"/>
      <x:c r="L25" s="27"/>
      <x:c r="M25" s="27"/>
      <x:c r="N25" s="27"/>
      <x:c r="O25" s="27"/>
      <x:c r="P25" s="27"/>
      <x:c r="Q25" s="27"/>
      <x:c r="R25" s="27"/>
      <x:c r="S25" s="27"/>
      <x:c r="T25" s="27"/>
      <x:c r="U25" s="27"/>
      <x:c r="V25" s="27"/>
      <x:c r="W25" s="27"/>
      <x:c r="X25" s="27"/>
      <x:c r="Y25" s="27"/>
      <x:c r="Z25" s="27"/>
      <x:c r="AA25" s="27"/>
      <x:c r="AB25" s="27"/>
      <x:c r="AC25" s="27"/>
      <x:c r="AD25" s="27"/>
      <x:c r="AE25" s="27"/>
      <x:c r="AF25" s="27"/>
      <x:c r="AG25" s="27"/>
      <x:c r="AH25" s="27"/>
      <x:c r="AI25" s="27"/>
      <x:c r="AJ25" s="27"/>
      <x:c r="AK25" s="27"/>
      <x:c r="AL25" s="27"/>
      <x:c r="AM25" s="27"/>
      <x:c r="AN25" s="27"/>
      <x:c r="AO25" s="27"/>
      <x:c r="AP25" s="27"/>
      <x:c r="AQ25" s="27"/>
      <x:c r="AR25" s="27"/>
      <x:c r="AS25" s="27"/>
      <x:c r="AT25" s="27"/>
      <x:c r="AU25" s="27"/>
      <x:c r="AV25" s="27"/>
      <x:c r="AW25" s="27"/>
      <x:c r="AX25" s="27"/>
      <x:c r="AY25" s="27"/>
      <x:c r="AZ25" s="27"/>
    </x:row>
    <x:row r="26">
      <x:c r="A26" s="30" t="str">
        <x:v>SAT-11B</x:v>
      </x:c>
      <x:c r="B26" s="30" t="str">
        <x:v>Saturday Reset</x:v>
      </x:c>
      <x:c r="C26" s="30" t="n">
        <x:v>81</x:v>
      </x:c>
      <x:c r="D26" s="30" t="n">
        <x:v>82</x:v>
      </x:c>
      <x:c r="E26" s="30" t="str">
        <x:v>+7 AGI; +4 RCK; +5 COD; +3 IBL; +5 RBF; +2 LBK</x:v>
      </x:c>
      <x:c r="F26" s="30" t="str">
        <x:v>SRC-HIST-001</x:v>
      </x:c>
      <x:c r="G26" s="30" t="n">
        <x:v>5</x:v>
      </x:c>
      <x:c r="H26" s="30" t="str">
        <x:v>Controlled reset</x:v>
      </x:c>
      <x:c r="I26" s="30" t="str">
        <x:v>RCK retained exactly as written in source; meaning not assumed.</x:v>
      </x:c>
      <x:c r="J26" s="27"/>
      <x:c r="K26" s="27"/>
      <x:c r="L26" s="27"/>
      <x:c r="M26" s="27"/>
      <x:c r="N26" s="27"/>
      <x:c r="O26" s="27"/>
      <x:c r="P26" s="27"/>
      <x:c r="Q26" s="27"/>
      <x:c r="R26" s="27"/>
      <x:c r="S26" s="27"/>
      <x:c r="T26" s="27"/>
      <x:c r="U26" s="27"/>
      <x:c r="V26" s="27"/>
      <x:c r="W26" s="27"/>
      <x:c r="X26" s="27"/>
      <x:c r="Y26" s="27"/>
      <x:c r="Z26" s="27"/>
      <x:c r="AA26" s="27"/>
      <x:c r="AB26" s="27"/>
      <x:c r="AC26" s="27"/>
      <x:c r="AD26" s="27"/>
      <x:c r="AE26" s="27"/>
      <x:c r="AF26" s="27"/>
      <x:c r="AG26" s="27"/>
      <x:c r="AH26" s="27"/>
      <x:c r="AI26" s="27"/>
      <x:c r="AJ26" s="27"/>
      <x:c r="AK26" s="27"/>
      <x:c r="AL26" s="27"/>
      <x:c r="AM26" s="27"/>
      <x:c r="AN26" s="27"/>
      <x:c r="AO26" s="27"/>
      <x:c r="AP26" s="27"/>
      <x:c r="AQ26" s="27"/>
      <x:c r="AR26" s="27"/>
      <x:c r="AS26" s="27"/>
      <x:c r="AT26" s="27"/>
      <x:c r="AU26" s="27"/>
      <x:c r="AV26" s="27"/>
      <x:c r="AW26" s="27"/>
      <x:c r="AX26" s="27"/>
      <x:c r="AY26" s="27"/>
      <x:c r="AZ26" s="27"/>
    </x:row>
    <x:row r="27">
      <x:c r="A27" s="30" t="str">
        <x:v>TE-EFINLEY-83-84</x:v>
      </x:c>
      <x:c r="B27" s="30" t="str">
        <x:v>Eli Finley</x:v>
      </x:c>
      <x:c r="C27" s="30" t="n">
        <x:v>83</x:v>
      </x:c>
      <x:c r="D27" s="30" t="n">
        <x:v>84</x:v>
      </x:c>
      <x:c r="E27" s="30" t="str">
        <x:v>SPD +1; ACC +0; AGI +1; AWR +1; STR +1; JMP +1; TGH -1; CTH +1; CIT +1; SRR +1; MRR +1; DRR +1; SPC +1; RLS +1; CAR +1; JKM +1; SPM +1; TRK +1; SFA +1; COD +1; BTK +1; RBK +1; RBF +1; RBP +1; PBK +1; PBF +1; PBP +1; LBK +1; IBL +1</x:v>
      </x:c>
      <x:c r="F27" s="30" t="str">
        <x:v>SRC-TE-001</x:v>
      </x:c>
      <x:c r="G27" s="30" t="str">
        <x:v>20→11</x:v>
      </x:c>
      <x:c r="H27" s="30" t="str">
        <x:v>Same-player card comparison</x:v>
      </x:c>
      <x:c r="I27" s="30" t="str">
        <x:v>Derived only from the two observed rows; TGH drops 85→84, so this may reflect distinct card tuning rather than a pure upgrade path.</x:v>
      </x:c>
      <x:c r="J27" s="27"/>
      <x:c r="K27" s="27"/>
      <x:c r="L27" s="27"/>
      <x:c r="M27" s="27"/>
      <x:c r="N27" s="27"/>
      <x:c r="O27" s="27"/>
      <x:c r="P27" s="27"/>
      <x:c r="Q27" s="27"/>
      <x:c r="R27" s="27"/>
      <x:c r="S27" s="27"/>
      <x:c r="T27" s="27"/>
      <x:c r="U27" s="27"/>
      <x:c r="V27" s="27"/>
      <x:c r="W27" s="27"/>
      <x:c r="X27" s="27"/>
      <x:c r="Y27" s="27"/>
      <x:c r="Z27" s="27"/>
      <x:c r="AA27" s="27"/>
      <x:c r="AB27" s="27"/>
      <x:c r="AC27" s="27"/>
      <x:c r="AD27" s="27"/>
      <x:c r="AE27" s="27"/>
      <x:c r="AF27" s="27"/>
      <x:c r="AG27" s="27"/>
      <x:c r="AH27" s="27"/>
      <x:c r="AI27" s="27"/>
      <x:c r="AJ27" s="27"/>
      <x:c r="AK27" s="27"/>
      <x:c r="AL27" s="27"/>
      <x:c r="AM27" s="27"/>
      <x:c r="AN27" s="27"/>
      <x:c r="AO27" s="27"/>
      <x:c r="AP27" s="27"/>
      <x:c r="AQ27" s="27"/>
      <x:c r="AR27" s="27"/>
      <x:c r="AS27" s="27"/>
      <x:c r="AT27" s="27"/>
      <x:c r="AU27" s="27"/>
      <x:c r="AV27" s="27"/>
      <x:c r="AW27" s="27"/>
      <x:c r="AX27" s="27"/>
      <x:c r="AY27" s="27"/>
      <x:c r="AZ27" s="27"/>
    </x:row>
    <x:row r="28">
      <x:c r="A28" s="30" t="str">
        <x:v>TE-KCHUD-83-85</x:v>
      </x:c>
      <x:c r="B28" s="30" t="str">
        <x:v>Kaelan Chudzinski</x:v>
      </x:c>
      <x:c r="C28" s="30" t="n">
        <x:v>83</x:v>
      </x:c>
      <x:c r="D28" s="30" t="n">
        <x:v>85</x:v>
      </x:c>
      <x:c r="E28" s="30" t="str">
        <x:v>Available as same-player 83 and 85 versions; exact delta derivable from TE_Cards</x:v>
      </x:c>
      <x:c r="F28" s="30" t="str">
        <x:v>SRC-TE-001</x:v>
      </x:c>
      <x:c r="G28" s="30" t="str">
        <x:v>22→2</x:v>
      </x:c>
      <x:c r="H28" s="30" t="str">
        <x:v>Same-player card comparison</x:v>
      </x:c>
      <x:c r="I28" s="30" t="str">
        <x:v>Not assumed to be a single-step progression.</x:v>
      </x:c>
      <x:c r="J28" s="27"/>
      <x:c r="K28" s="27"/>
      <x:c r="L28" s="27"/>
      <x:c r="M28" s="27"/>
      <x:c r="N28" s="27"/>
      <x:c r="O28" s="27"/>
      <x:c r="P28" s="27"/>
      <x:c r="Q28" s="27"/>
      <x:c r="R28" s="27"/>
      <x:c r="S28" s="27"/>
      <x:c r="T28" s="27"/>
      <x:c r="U28" s="27"/>
      <x:c r="V28" s="27"/>
      <x:c r="W28" s="27"/>
      <x:c r="X28" s="27"/>
      <x:c r="Y28" s="27"/>
      <x:c r="Z28" s="27"/>
      <x:c r="AA28" s="27"/>
      <x:c r="AB28" s="27"/>
      <x:c r="AC28" s="27"/>
      <x:c r="AD28" s="27"/>
      <x:c r="AE28" s="27"/>
      <x:c r="AF28" s="27"/>
      <x:c r="AG28" s="27"/>
      <x:c r="AH28" s="27"/>
      <x:c r="AI28" s="27"/>
      <x:c r="AJ28" s="27"/>
      <x:c r="AK28" s="27"/>
      <x:c r="AL28" s="27"/>
      <x:c r="AM28" s="27"/>
      <x:c r="AN28" s="27"/>
      <x:c r="AO28" s="27"/>
      <x:c r="AP28" s="27"/>
      <x:c r="AQ28" s="27"/>
      <x:c r="AR28" s="27"/>
      <x:c r="AS28" s="27"/>
      <x:c r="AT28" s="27"/>
      <x:c r="AU28" s="27"/>
      <x:c r="AV28" s="27"/>
      <x:c r="AW28" s="27"/>
      <x:c r="AX28" s="27"/>
      <x:c r="AY28" s="27"/>
      <x:c r="AZ28" s="27"/>
    </x:row>
    <x:row r="29">
      <x:c r="A29" s="267" t="str">
        <x:v>QB-JH-79-81</x:v>
      </x:c>
      <x:c r="B29" s="267" t="str">
        <x:v>Joey Harrington</x:v>
      </x:c>
      <x:c r="C29" s="267" t="n">
        <x:v>79</x:v>
      </x:c>
      <x:c r="D29" s="267" t="n">
        <x:v>81</x:v>
      </x:c>
      <x:c r="E29" s="267" t="str">
        <x:v>SPD +2; ACC +2; AGI +2; STR +2; THP +2; SAC +2; MAC +2; DAC +2; RUN +2; TUP +2; PAC +2; BSK +2</x:v>
      </x:c>
      <x:c r="F29" s="267" t="str">
        <x:v>SRC-QB-002</x:v>
      </x:c>
      <x:c r="G29" s="267" t="str">
        <x:v>Screenshot 2026-07-26 204922.jpg → 38</x:v>
      </x:c>
      <x:c r="H29" s="267" t="str">
        <x:v>Same-program card progression</x:v>
      </x:c>
      <x:c r="I29" s="267" t="str">
        <x:v>Observed states only; no unshown intermediate values inferred.</x:v>
      </x:c>
      <x:c r="J29" s="27"/>
      <x:c r="K29" s="27"/>
      <x:c r="L29" s="27"/>
      <x:c r="M29" s="27"/>
      <x:c r="N29" s="27"/>
      <x:c r="O29" s="27"/>
      <x:c r="P29" s="27"/>
      <x:c r="Q29" s="27"/>
      <x:c r="R29" s="27"/>
      <x:c r="S29" s="27"/>
      <x:c r="T29" s="27"/>
      <x:c r="U29" s="27"/>
      <x:c r="V29" s="27"/>
      <x:c r="W29" s="27"/>
      <x:c r="X29" s="27"/>
      <x:c r="Y29" s="27"/>
      <x:c r="Z29" s="27"/>
      <x:c r="AA29" s="27"/>
      <x:c r="AB29" s="27"/>
      <x:c r="AC29" s="27"/>
      <x:c r="AD29" s="27"/>
      <x:c r="AE29" s="27"/>
      <x:c r="AF29" s="27"/>
      <x:c r="AG29" s="27"/>
      <x:c r="AH29" s="27"/>
      <x:c r="AI29" s="27"/>
      <x:c r="AJ29" s="27"/>
      <x:c r="AK29" s="27"/>
      <x:c r="AL29" s="27"/>
      <x:c r="AM29" s="27"/>
      <x:c r="AN29" s="27"/>
      <x:c r="AO29" s="27"/>
      <x:c r="AP29" s="27"/>
      <x:c r="AQ29" s="27"/>
      <x:c r="AR29" s="27"/>
      <x:c r="AS29" s="27"/>
      <x:c r="AT29" s="27"/>
      <x:c r="AU29" s="27"/>
      <x:c r="AV29" s="27"/>
      <x:c r="AW29" s="27"/>
      <x:c r="AX29" s="27"/>
      <x:c r="AY29" s="27"/>
      <x:c r="AZ29" s="27"/>
    </x:row>
    <x:row r="30">
      <x:c r="A30" s="270" t="str">
        <x:v>QB-JH-81-84</x:v>
      </x:c>
      <x:c r="B30" s="270" t="str">
        <x:v>Joey Harrington</x:v>
      </x:c>
      <x:c r="C30" s="270" t="n">
        <x:v>81</x:v>
      </x:c>
      <x:c r="D30" s="270" t="n">
        <x:v>84</x:v>
      </x:c>
      <x:c r="E30" s="270" t="str">
        <x:v>SPD +3; ACC +3; AGI +3; STR +3; THP +3; SAC +3; MAC +3; DAC +3; RUN +3; TUP +4; PAC +3; BSK +3</x:v>
      </x:c>
      <x:c r="F30" s="270" t="str">
        <x:v>SRC-QB-002</x:v>
      </x:c>
      <x:c r="G30" s="270" t="str">
        <x:v>38 → 13</x:v>
      </x:c>
      <x:c r="H30" s="270" t="str">
        <x:v>Same-program card progression</x:v>
      </x:c>
      <x:c r="I30" s="270" t="str">
        <x:v>Observed states only; no unshown intermediate values inferred.</x:v>
      </x:c>
      <x:c r="J30" s="27"/>
      <x:c r="K30" s="27"/>
      <x:c r="L30" s="27"/>
      <x:c r="M30" s="27"/>
      <x:c r="N30" s="27"/>
      <x:c r="O30" s="27"/>
      <x:c r="P30" s="27"/>
      <x:c r="Q30" s="27"/>
      <x:c r="R30" s="27"/>
      <x:c r="S30" s="27"/>
      <x:c r="T30" s="27"/>
      <x:c r="U30" s="27"/>
      <x:c r="V30" s="27"/>
      <x:c r="W30" s="27"/>
      <x:c r="X30" s="27"/>
      <x:c r="Y30" s="27"/>
      <x:c r="Z30" s="27"/>
      <x:c r="AA30" s="27"/>
      <x:c r="AB30" s="27"/>
      <x:c r="AC30" s="27"/>
      <x:c r="AD30" s="27"/>
      <x:c r="AE30" s="27"/>
      <x:c r="AF30" s="27"/>
      <x:c r="AG30" s="27"/>
      <x:c r="AH30" s="27"/>
      <x:c r="AI30" s="27"/>
      <x:c r="AJ30" s="27"/>
      <x:c r="AK30" s="27"/>
      <x:c r="AL30" s="27"/>
      <x:c r="AM30" s="27"/>
      <x:c r="AN30" s="27"/>
      <x:c r="AO30" s="27"/>
      <x:c r="AP30" s="27"/>
      <x:c r="AQ30" s="27"/>
      <x:c r="AR30" s="27"/>
      <x:c r="AS30" s="27"/>
      <x:c r="AT30" s="27"/>
      <x:c r="AU30" s="27"/>
      <x:c r="AV30" s="27"/>
      <x:c r="AW30" s="27"/>
      <x:c r="AX30" s="27"/>
      <x:c r="AY30" s="27"/>
      <x:c r="AZ30" s="27"/>
    </x:row>
    <x:row r="31">
      <x:c r="A31" s="267" t="str">
        <x:v>QB-JH-84-86</x:v>
      </x:c>
      <x:c r="B31" s="267" t="str">
        <x:v>Joey Harrington</x:v>
      </x:c>
      <x:c r="C31" s="267" t="n">
        <x:v>84</x:v>
      </x:c>
      <x:c r="D31" s="267" t="n">
        <x:v>86</x:v>
      </x:c>
      <x:c r="E31" s="267" t="str">
        <x:v>SPD +2; ACC +2; AGI +2; STR +2; THP +2; SAC +2; MAC +2; DAC +2; RUN +2; TUP +2; PAC +2; BSK +2</x:v>
      </x:c>
      <x:c r="F31" s="267" t="str">
        <x:v>SRC-QB-002</x:v>
      </x:c>
      <x:c r="G31" s="267" t="str">
        <x:v>13 → 3</x:v>
      </x:c>
      <x:c r="H31" s="267" t="str">
        <x:v>Same-program card progression</x:v>
      </x:c>
      <x:c r="I31" s="267" t="str">
        <x:v>Observed states only; no unshown intermediate values inferred.</x:v>
      </x:c>
      <x:c r="J31" s="27"/>
      <x:c r="K31" s="27"/>
      <x:c r="L31" s="27"/>
      <x:c r="M31" s="27"/>
      <x:c r="N31" s="27"/>
      <x:c r="O31" s="27"/>
      <x:c r="P31" s="27"/>
      <x:c r="Q31" s="27"/>
      <x:c r="R31" s="27"/>
      <x:c r="S31" s="27"/>
      <x:c r="T31" s="27"/>
      <x:c r="U31" s="27"/>
      <x:c r="V31" s="27"/>
      <x:c r="W31" s="27"/>
      <x:c r="X31" s="27"/>
      <x:c r="Y31" s="27"/>
      <x:c r="Z31" s="27"/>
      <x:c r="AA31" s="27"/>
      <x:c r="AB31" s="27"/>
      <x:c r="AC31" s="27"/>
      <x:c r="AD31" s="27"/>
      <x:c r="AE31" s="27"/>
      <x:c r="AF31" s="27"/>
      <x:c r="AG31" s="27"/>
      <x:c r="AH31" s="27"/>
      <x:c r="AI31" s="27"/>
      <x:c r="AJ31" s="27"/>
      <x:c r="AK31" s="27"/>
      <x:c r="AL31" s="27"/>
      <x:c r="AM31" s="27"/>
      <x:c r="AN31" s="27"/>
      <x:c r="AO31" s="27"/>
      <x:c r="AP31" s="27"/>
      <x:c r="AQ31" s="27"/>
      <x:c r="AR31" s="27"/>
      <x:c r="AS31" s="27"/>
      <x:c r="AT31" s="27"/>
      <x:c r="AU31" s="27"/>
      <x:c r="AV31" s="27"/>
      <x:c r="AW31" s="27"/>
      <x:c r="AX31" s="27"/>
      <x:c r="AY31" s="27"/>
      <x:c r="AZ31" s="27"/>
    </x:row>
    <x:row r="32">
      <x:c r="A32" s="27"/>
      <x:c r="B32" s="27"/>
      <x:c r="C32" s="27"/>
      <x:c r="D32" s="27"/>
      <x:c r="E32" s="27"/>
      <x:c r="F32" s="27"/>
      <x:c r="G32" s="27"/>
      <x:c r="H32" s="27"/>
      <x:c r="I32" s="27"/>
      <x:c r="J32" s="27"/>
      <x:c r="K32" s="27"/>
      <x:c r="L32" s="27"/>
      <x:c r="M32" s="27"/>
      <x:c r="N32" s="27"/>
      <x:c r="O32" s="27"/>
      <x:c r="P32" s="27"/>
      <x:c r="Q32" s="27"/>
      <x:c r="R32" s="27"/>
      <x:c r="S32" s="27"/>
      <x:c r="T32" s="27"/>
      <x:c r="U32" s="27"/>
      <x:c r="V32" s="27"/>
      <x:c r="W32" s="27"/>
      <x:c r="X32" s="27"/>
      <x:c r="Y32" s="27"/>
      <x:c r="Z32" s="27"/>
      <x:c r="AA32" s="27"/>
      <x:c r="AB32" s="27"/>
      <x:c r="AC32" s="27"/>
      <x:c r="AD32" s="27"/>
      <x:c r="AE32" s="27"/>
      <x:c r="AF32" s="27"/>
      <x:c r="AG32" s="27"/>
      <x:c r="AH32" s="27"/>
      <x:c r="AI32" s="27"/>
      <x:c r="AJ32" s="27"/>
      <x:c r="AK32" s="27"/>
      <x:c r="AL32" s="27"/>
      <x:c r="AM32" s="27"/>
      <x:c r="AN32" s="27"/>
      <x:c r="AO32" s="27"/>
      <x:c r="AP32" s="27"/>
      <x:c r="AQ32" s="27"/>
      <x:c r="AR32" s="27"/>
      <x:c r="AS32" s="27"/>
      <x:c r="AT32" s="27"/>
      <x:c r="AU32" s="27"/>
      <x:c r="AV32" s="27"/>
      <x:c r="AW32" s="27"/>
      <x:c r="AX32" s="27"/>
      <x:c r="AY32" s="27"/>
      <x:c r="AZ32" s="27"/>
    </x:row>
    <x:row r="33">
      <x:c r="A33" s="27"/>
      <x:c r="B33" s="27"/>
      <x:c r="C33" s="27"/>
      <x:c r="D33" s="27"/>
      <x:c r="E33" s="27"/>
      <x:c r="F33" s="27"/>
      <x:c r="G33" s="27"/>
      <x:c r="H33" s="27"/>
      <x:c r="I33" s="27"/>
      <x:c r="J33" s="27"/>
      <x:c r="K33" s="27"/>
      <x:c r="L33" s="27"/>
      <x:c r="M33" s="27"/>
      <x:c r="N33" s="27"/>
      <x:c r="O33" s="27"/>
      <x:c r="P33" s="27"/>
      <x:c r="Q33" s="27"/>
      <x:c r="R33" s="27"/>
      <x:c r="S33" s="27"/>
      <x:c r="T33" s="27"/>
      <x:c r="U33" s="27"/>
      <x:c r="V33" s="27"/>
      <x:c r="W33" s="27"/>
      <x:c r="X33" s="27"/>
      <x:c r="Y33" s="27"/>
      <x:c r="Z33" s="27"/>
      <x:c r="AA33" s="27"/>
      <x:c r="AB33" s="27"/>
      <x:c r="AC33" s="27"/>
      <x:c r="AD33" s="27"/>
      <x:c r="AE33" s="27"/>
      <x:c r="AF33" s="27"/>
      <x:c r="AG33" s="27"/>
      <x:c r="AH33" s="27"/>
      <x:c r="AI33" s="27"/>
      <x:c r="AJ33" s="27"/>
      <x:c r="AK33" s="27"/>
      <x:c r="AL33" s="27"/>
      <x:c r="AM33" s="27"/>
      <x:c r="AN33" s="27"/>
      <x:c r="AO33" s="27"/>
      <x:c r="AP33" s="27"/>
      <x:c r="AQ33" s="27"/>
      <x:c r="AR33" s="27"/>
      <x:c r="AS33" s="27"/>
      <x:c r="AT33" s="27"/>
      <x:c r="AU33" s="27"/>
      <x:c r="AV33" s="27"/>
      <x:c r="AW33" s="27"/>
      <x:c r="AX33" s="27"/>
      <x:c r="AY33" s="27"/>
      <x:c r="AZ33" s="27"/>
    </x:row>
    <x:row r="34">
      <x:c r="A34" s="27"/>
      <x:c r="B34" s="27"/>
      <x:c r="C34" s="27"/>
      <x:c r="D34" s="27"/>
      <x:c r="E34" s="27"/>
      <x:c r="F34" s="27"/>
      <x:c r="G34" s="27"/>
      <x:c r="H34" s="27"/>
      <x:c r="I34" s="27"/>
      <x:c r="J34" s="27"/>
      <x:c r="K34" s="27"/>
      <x:c r="L34" s="27"/>
      <x:c r="M34" s="27"/>
      <x:c r="N34" s="27"/>
      <x:c r="O34" s="27"/>
      <x:c r="P34" s="27"/>
      <x:c r="Q34" s="27"/>
      <x:c r="R34" s="27"/>
      <x:c r="S34" s="27"/>
      <x:c r="T34" s="27"/>
      <x:c r="U34" s="27"/>
      <x:c r="V34" s="27"/>
      <x:c r="W34" s="27"/>
      <x:c r="X34" s="27"/>
      <x:c r="Y34" s="27"/>
      <x:c r="Z34" s="27"/>
      <x:c r="AA34" s="27"/>
      <x:c r="AB34" s="27"/>
      <x:c r="AC34" s="27"/>
      <x:c r="AD34" s="27"/>
      <x:c r="AE34" s="27"/>
      <x:c r="AF34" s="27"/>
      <x:c r="AG34" s="27"/>
      <x:c r="AH34" s="27"/>
      <x:c r="AI34" s="27"/>
      <x:c r="AJ34" s="27"/>
      <x:c r="AK34" s="27"/>
      <x:c r="AL34" s="27"/>
      <x:c r="AM34" s="27"/>
      <x:c r="AN34" s="27"/>
      <x:c r="AO34" s="27"/>
      <x:c r="AP34" s="27"/>
      <x:c r="AQ34" s="27"/>
      <x:c r="AR34" s="27"/>
      <x:c r="AS34" s="27"/>
      <x:c r="AT34" s="27"/>
      <x:c r="AU34" s="27"/>
      <x:c r="AV34" s="27"/>
      <x:c r="AW34" s="27"/>
      <x:c r="AX34" s="27"/>
      <x:c r="AY34" s="27"/>
      <x:c r="AZ34" s="27"/>
    </x:row>
    <x:row r="35">
      <x:c r="A35" s="27"/>
      <x:c r="B35" s="27"/>
      <x:c r="C35" s="27"/>
      <x:c r="D35" s="27"/>
      <x:c r="E35" s="27"/>
      <x:c r="F35" s="27"/>
      <x:c r="G35" s="27"/>
      <x:c r="H35" s="27"/>
      <x:c r="I35" s="27"/>
      <x:c r="J35" s="27"/>
      <x:c r="K35" s="27"/>
      <x:c r="L35" s="27"/>
      <x:c r="M35" s="27"/>
      <x:c r="N35" s="27"/>
      <x:c r="O35" s="27"/>
      <x:c r="P35" s="27"/>
      <x:c r="Q35" s="27"/>
      <x:c r="R35" s="27"/>
      <x:c r="S35" s="27"/>
      <x:c r="T35" s="27"/>
      <x:c r="U35" s="27"/>
      <x:c r="V35" s="27"/>
      <x:c r="W35" s="27"/>
      <x:c r="X35" s="27"/>
      <x:c r="Y35" s="27"/>
      <x:c r="Z35" s="27"/>
      <x:c r="AA35" s="27"/>
      <x:c r="AB35" s="27"/>
      <x:c r="AC35" s="27"/>
      <x:c r="AD35" s="27"/>
      <x:c r="AE35" s="27"/>
      <x:c r="AF35" s="27"/>
      <x:c r="AG35" s="27"/>
      <x:c r="AH35" s="27"/>
      <x:c r="AI35" s="27"/>
      <x:c r="AJ35" s="27"/>
      <x:c r="AK35" s="27"/>
      <x:c r="AL35" s="27"/>
      <x:c r="AM35" s="27"/>
      <x:c r="AN35" s="27"/>
      <x:c r="AO35" s="27"/>
      <x:c r="AP35" s="27"/>
      <x:c r="AQ35" s="27"/>
      <x:c r="AR35" s="27"/>
      <x:c r="AS35" s="27"/>
      <x:c r="AT35" s="27"/>
      <x:c r="AU35" s="27"/>
      <x:c r="AV35" s="27"/>
      <x:c r="AW35" s="27"/>
      <x:c r="AX35" s="27"/>
      <x:c r="AY35" s="27"/>
      <x:c r="AZ35" s="27"/>
    </x:row>
    <x:row r="36">
      <x:c r="A36" s="27"/>
      <x:c r="B36" s="27"/>
      <x:c r="C36" s="27"/>
      <x:c r="D36" s="27"/>
      <x:c r="E36" s="27"/>
      <x:c r="F36" s="27"/>
      <x:c r="G36" s="27"/>
      <x:c r="H36" s="27"/>
      <x:c r="I36" s="27"/>
      <x:c r="J36" s="27"/>
      <x:c r="K36" s="27"/>
      <x:c r="L36" s="27"/>
      <x:c r="M36" s="27"/>
      <x:c r="N36" s="27"/>
      <x:c r="O36" s="27"/>
      <x:c r="P36" s="27"/>
      <x:c r="Q36" s="27"/>
      <x:c r="R36" s="27"/>
      <x:c r="S36" s="27"/>
      <x:c r="T36" s="27"/>
      <x:c r="U36" s="27"/>
      <x:c r="V36" s="27"/>
      <x:c r="W36" s="27"/>
      <x:c r="X36" s="27"/>
      <x:c r="Y36" s="27"/>
      <x:c r="Z36" s="27"/>
      <x:c r="AA36" s="27"/>
      <x:c r="AB36" s="27"/>
      <x:c r="AC36" s="27"/>
      <x:c r="AD36" s="27"/>
      <x:c r="AE36" s="27"/>
      <x:c r="AF36" s="27"/>
      <x:c r="AG36" s="27"/>
      <x:c r="AH36" s="27"/>
      <x:c r="AI36" s="27"/>
      <x:c r="AJ36" s="27"/>
      <x:c r="AK36" s="27"/>
      <x:c r="AL36" s="27"/>
      <x:c r="AM36" s="27"/>
      <x:c r="AN36" s="27"/>
      <x:c r="AO36" s="27"/>
      <x:c r="AP36" s="27"/>
      <x:c r="AQ36" s="27"/>
      <x:c r="AR36" s="27"/>
      <x:c r="AS36" s="27"/>
      <x:c r="AT36" s="27"/>
      <x:c r="AU36" s="27"/>
      <x:c r="AV36" s="27"/>
      <x:c r="AW36" s="27"/>
      <x:c r="AX36" s="27"/>
      <x:c r="AY36" s="27"/>
      <x:c r="AZ36" s="27"/>
    </x:row>
    <x:row r="37">
      <x:c r="A37" s="27"/>
      <x:c r="B37" s="27"/>
      <x:c r="C37" s="27"/>
      <x:c r="D37" s="27"/>
      <x:c r="E37" s="27"/>
      <x:c r="F37" s="27"/>
      <x:c r="G37" s="27"/>
      <x:c r="H37" s="27"/>
      <x:c r="I37" s="27"/>
      <x:c r="J37" s="27"/>
      <x:c r="K37" s="27"/>
      <x:c r="L37" s="27"/>
      <x:c r="M37" s="27"/>
      <x:c r="N37" s="27"/>
      <x:c r="O37" s="27"/>
      <x:c r="P37" s="27"/>
      <x:c r="Q37" s="27"/>
      <x:c r="R37" s="27"/>
      <x:c r="S37" s="27"/>
      <x:c r="T37" s="27"/>
      <x:c r="U37" s="27"/>
      <x:c r="V37" s="27"/>
      <x:c r="W37" s="27"/>
      <x:c r="X37" s="27"/>
      <x:c r="Y37" s="27"/>
      <x:c r="Z37" s="27"/>
      <x:c r="AA37" s="27"/>
      <x:c r="AB37" s="27"/>
      <x:c r="AC37" s="27"/>
      <x:c r="AD37" s="27"/>
      <x:c r="AE37" s="27"/>
      <x:c r="AF37" s="27"/>
      <x:c r="AG37" s="27"/>
      <x:c r="AH37" s="27"/>
      <x:c r="AI37" s="27"/>
      <x:c r="AJ37" s="27"/>
      <x:c r="AK37" s="27"/>
      <x:c r="AL37" s="27"/>
      <x:c r="AM37" s="27"/>
      <x:c r="AN37" s="27"/>
      <x:c r="AO37" s="27"/>
      <x:c r="AP37" s="27"/>
      <x:c r="AQ37" s="27"/>
      <x:c r="AR37" s="27"/>
      <x:c r="AS37" s="27"/>
      <x:c r="AT37" s="27"/>
      <x:c r="AU37" s="27"/>
      <x:c r="AV37" s="27"/>
      <x:c r="AW37" s="27"/>
      <x:c r="AX37" s="27"/>
      <x:c r="AY37" s="27"/>
      <x:c r="AZ37" s="27"/>
    </x:row>
    <x:row r="38">
      <x:c r="A38" s="27"/>
      <x:c r="B38" s="27"/>
      <x:c r="C38" s="27"/>
      <x:c r="D38" s="27"/>
      <x:c r="E38" s="27"/>
      <x:c r="F38" s="27"/>
      <x:c r="G38" s="27"/>
      <x:c r="H38" s="27"/>
      <x:c r="I38" s="27"/>
      <x:c r="J38" s="27"/>
      <x:c r="K38" s="27"/>
      <x:c r="L38" s="27"/>
      <x:c r="M38" s="27"/>
      <x:c r="N38" s="27"/>
      <x:c r="O38" s="27"/>
      <x:c r="P38" s="27"/>
      <x:c r="Q38" s="27"/>
      <x:c r="R38" s="27"/>
      <x:c r="S38" s="27"/>
      <x:c r="T38" s="27"/>
      <x:c r="U38" s="27"/>
      <x:c r="V38" s="27"/>
      <x:c r="W38" s="27"/>
      <x:c r="X38" s="27"/>
      <x:c r="Y38" s="27"/>
      <x:c r="Z38" s="27"/>
      <x:c r="AA38" s="27"/>
      <x:c r="AB38" s="27"/>
      <x:c r="AC38" s="27"/>
      <x:c r="AD38" s="27"/>
      <x:c r="AE38" s="27"/>
      <x:c r="AF38" s="27"/>
      <x:c r="AG38" s="27"/>
      <x:c r="AH38" s="27"/>
      <x:c r="AI38" s="27"/>
      <x:c r="AJ38" s="27"/>
      <x:c r="AK38" s="27"/>
      <x:c r="AL38" s="27"/>
      <x:c r="AM38" s="27"/>
      <x:c r="AN38" s="27"/>
      <x:c r="AO38" s="27"/>
      <x:c r="AP38" s="27"/>
      <x:c r="AQ38" s="27"/>
      <x:c r="AR38" s="27"/>
      <x:c r="AS38" s="27"/>
      <x:c r="AT38" s="27"/>
      <x:c r="AU38" s="27"/>
      <x:c r="AV38" s="27"/>
      <x:c r="AW38" s="27"/>
      <x:c r="AX38" s="27"/>
      <x:c r="AY38" s="27"/>
      <x:c r="AZ38" s="27"/>
    </x:row>
    <x:row r="39">
      <x:c r="A39" s="27"/>
      <x:c r="B39" s="27"/>
      <x:c r="C39" s="27"/>
      <x:c r="D39" s="27"/>
      <x:c r="E39" s="27"/>
      <x:c r="F39" s="27"/>
      <x:c r="G39" s="27"/>
      <x:c r="H39" s="27"/>
      <x:c r="I39" s="27"/>
      <x:c r="J39" s="27"/>
      <x:c r="K39" s="27"/>
      <x:c r="L39" s="27"/>
      <x:c r="M39" s="27"/>
      <x:c r="N39" s="27"/>
      <x:c r="O39" s="27"/>
      <x:c r="P39" s="27"/>
      <x:c r="Q39" s="27"/>
      <x:c r="R39" s="27"/>
      <x:c r="S39" s="27"/>
      <x:c r="T39" s="27"/>
      <x:c r="U39" s="27"/>
      <x:c r="V39" s="27"/>
      <x:c r="W39" s="27"/>
      <x:c r="X39" s="27"/>
      <x:c r="Y39" s="27"/>
      <x:c r="Z39" s="27"/>
      <x:c r="AA39" s="27"/>
      <x:c r="AB39" s="27"/>
      <x:c r="AC39" s="27"/>
      <x:c r="AD39" s="27"/>
      <x:c r="AE39" s="27"/>
      <x:c r="AF39" s="27"/>
      <x:c r="AG39" s="27"/>
      <x:c r="AH39" s="27"/>
      <x:c r="AI39" s="27"/>
      <x:c r="AJ39" s="27"/>
      <x:c r="AK39" s="27"/>
      <x:c r="AL39" s="27"/>
      <x:c r="AM39" s="27"/>
      <x:c r="AN39" s="27"/>
      <x:c r="AO39" s="27"/>
      <x:c r="AP39" s="27"/>
      <x:c r="AQ39" s="27"/>
      <x:c r="AR39" s="27"/>
      <x:c r="AS39" s="27"/>
      <x:c r="AT39" s="27"/>
      <x:c r="AU39" s="27"/>
      <x:c r="AV39" s="27"/>
      <x:c r="AW39" s="27"/>
      <x:c r="AX39" s="27"/>
      <x:c r="AY39" s="27"/>
      <x:c r="AZ39" s="27"/>
    </x:row>
    <x:row r="40">
      <x:c r="A40" s="27"/>
      <x:c r="B40" s="27"/>
      <x:c r="C40" s="27"/>
      <x:c r="D40" s="27"/>
      <x:c r="E40" s="27"/>
      <x:c r="F40" s="27"/>
      <x:c r="G40" s="27"/>
      <x:c r="H40" s="27"/>
      <x:c r="I40" s="27"/>
      <x:c r="J40" s="27"/>
      <x:c r="K40" s="27"/>
      <x:c r="L40" s="27"/>
      <x:c r="M40" s="27"/>
      <x:c r="N40" s="27"/>
      <x:c r="O40" s="27"/>
      <x:c r="P40" s="27"/>
      <x:c r="Q40" s="27"/>
      <x:c r="R40" s="27"/>
      <x:c r="S40" s="27"/>
      <x:c r="T40" s="27"/>
      <x:c r="U40" s="27"/>
      <x:c r="V40" s="27"/>
      <x:c r="W40" s="27"/>
      <x:c r="X40" s="27"/>
      <x:c r="Y40" s="27"/>
      <x:c r="Z40" s="27"/>
      <x:c r="AA40" s="27"/>
      <x:c r="AB40" s="27"/>
      <x:c r="AC40" s="27"/>
      <x:c r="AD40" s="27"/>
      <x:c r="AE40" s="27"/>
      <x:c r="AF40" s="27"/>
      <x:c r="AG40" s="27"/>
      <x:c r="AH40" s="27"/>
      <x:c r="AI40" s="27"/>
      <x:c r="AJ40" s="27"/>
      <x:c r="AK40" s="27"/>
      <x:c r="AL40" s="27"/>
      <x:c r="AM40" s="27"/>
      <x:c r="AN40" s="27"/>
      <x:c r="AO40" s="27"/>
      <x:c r="AP40" s="27"/>
      <x:c r="AQ40" s="27"/>
      <x:c r="AR40" s="27"/>
      <x:c r="AS40" s="27"/>
      <x:c r="AT40" s="27"/>
      <x:c r="AU40" s="27"/>
      <x:c r="AV40" s="27"/>
      <x:c r="AW40" s="27"/>
      <x:c r="AX40" s="27"/>
      <x:c r="AY40" s="27"/>
      <x:c r="AZ40" s="27"/>
    </x:row>
    <x:row r="41">
      <x:c r="A41" s="27"/>
      <x:c r="B41" s="27"/>
      <x:c r="C41" s="27"/>
      <x:c r="D41" s="27"/>
      <x:c r="E41" s="27"/>
      <x:c r="F41" s="27"/>
      <x:c r="G41" s="27"/>
      <x:c r="H41" s="27"/>
      <x:c r="I41" s="27"/>
      <x:c r="J41" s="27"/>
      <x:c r="K41" s="27"/>
      <x:c r="L41" s="27"/>
      <x:c r="M41" s="27"/>
      <x:c r="N41" s="27"/>
      <x:c r="O41" s="27"/>
      <x:c r="P41" s="27"/>
      <x:c r="Q41" s="27"/>
      <x:c r="R41" s="27"/>
      <x:c r="S41" s="27"/>
      <x:c r="T41" s="27"/>
      <x:c r="U41" s="27"/>
      <x:c r="V41" s="27"/>
      <x:c r="W41" s="27"/>
      <x:c r="X41" s="27"/>
      <x:c r="Y41" s="27"/>
      <x:c r="Z41" s="27"/>
      <x:c r="AA41" s="27"/>
      <x:c r="AB41" s="27"/>
      <x:c r="AC41" s="27"/>
      <x:c r="AD41" s="27"/>
      <x:c r="AE41" s="27"/>
      <x:c r="AF41" s="27"/>
      <x:c r="AG41" s="27"/>
      <x:c r="AH41" s="27"/>
      <x:c r="AI41" s="27"/>
      <x:c r="AJ41" s="27"/>
      <x:c r="AK41" s="27"/>
      <x:c r="AL41" s="27"/>
      <x:c r="AM41" s="27"/>
      <x:c r="AN41" s="27"/>
      <x:c r="AO41" s="27"/>
      <x:c r="AP41" s="27"/>
      <x:c r="AQ41" s="27"/>
      <x:c r="AR41" s="27"/>
      <x:c r="AS41" s="27"/>
      <x:c r="AT41" s="27"/>
      <x:c r="AU41" s="27"/>
      <x:c r="AV41" s="27"/>
      <x:c r="AW41" s="27"/>
      <x:c r="AX41" s="27"/>
      <x:c r="AY41" s="27"/>
      <x:c r="AZ41" s="27"/>
    </x:row>
    <x:row r="42">
      <x:c r="A42" s="27"/>
      <x:c r="B42" s="27"/>
      <x:c r="C42" s="27"/>
      <x:c r="D42" s="27"/>
      <x:c r="E42" s="27"/>
      <x:c r="F42" s="27"/>
      <x:c r="G42" s="27"/>
      <x:c r="H42" s="27"/>
      <x:c r="I42" s="27"/>
      <x:c r="J42" s="27"/>
      <x:c r="K42" s="27"/>
      <x:c r="L42" s="27"/>
      <x:c r="M42" s="27"/>
      <x:c r="N42" s="27"/>
      <x:c r="O42" s="27"/>
      <x:c r="P42" s="27"/>
      <x:c r="Q42" s="27"/>
      <x:c r="R42" s="27"/>
      <x:c r="S42" s="27"/>
      <x:c r="T42" s="27"/>
      <x:c r="U42" s="27"/>
      <x:c r="V42" s="27"/>
      <x:c r="W42" s="27"/>
      <x:c r="X42" s="27"/>
      <x:c r="Y42" s="27"/>
      <x:c r="Z42" s="27"/>
      <x:c r="AA42" s="27"/>
      <x:c r="AB42" s="27"/>
      <x:c r="AC42" s="27"/>
      <x:c r="AD42" s="27"/>
      <x:c r="AE42" s="27"/>
      <x:c r="AF42" s="27"/>
      <x:c r="AG42" s="27"/>
      <x:c r="AH42" s="27"/>
      <x:c r="AI42" s="27"/>
      <x:c r="AJ42" s="27"/>
      <x:c r="AK42" s="27"/>
      <x:c r="AL42" s="27"/>
      <x:c r="AM42" s="27"/>
      <x:c r="AN42" s="27"/>
      <x:c r="AO42" s="27"/>
      <x:c r="AP42" s="27"/>
      <x:c r="AQ42" s="27"/>
      <x:c r="AR42" s="27"/>
      <x:c r="AS42" s="27"/>
      <x:c r="AT42" s="27"/>
      <x:c r="AU42" s="27"/>
      <x:c r="AV42" s="27"/>
      <x:c r="AW42" s="27"/>
      <x:c r="AX42" s="27"/>
      <x:c r="AY42" s="27"/>
      <x:c r="AZ42" s="27"/>
    </x:row>
    <x:row r="43">
      <x:c r="A43" s="27"/>
      <x:c r="B43" s="27"/>
      <x:c r="C43" s="27"/>
      <x:c r="D43" s="27"/>
      <x:c r="E43" s="27"/>
      <x:c r="F43" s="27"/>
      <x:c r="G43" s="27"/>
      <x:c r="H43" s="27"/>
      <x:c r="I43" s="27"/>
      <x:c r="J43" s="27"/>
      <x:c r="K43" s="27"/>
      <x:c r="L43" s="27"/>
      <x:c r="M43" s="27"/>
      <x:c r="N43" s="27"/>
      <x:c r="O43" s="27"/>
      <x:c r="P43" s="27"/>
      <x:c r="Q43" s="27"/>
      <x:c r="R43" s="27"/>
      <x:c r="S43" s="27"/>
      <x:c r="T43" s="27"/>
      <x:c r="U43" s="27"/>
      <x:c r="V43" s="27"/>
      <x:c r="W43" s="27"/>
      <x:c r="X43" s="27"/>
      <x:c r="Y43" s="27"/>
      <x:c r="Z43" s="27"/>
      <x:c r="AA43" s="27"/>
      <x:c r="AB43" s="27"/>
      <x:c r="AC43" s="27"/>
      <x:c r="AD43" s="27"/>
      <x:c r="AE43" s="27"/>
      <x:c r="AF43" s="27"/>
      <x:c r="AG43" s="27"/>
      <x:c r="AH43" s="27"/>
      <x:c r="AI43" s="27"/>
      <x:c r="AJ43" s="27"/>
      <x:c r="AK43" s="27"/>
      <x:c r="AL43" s="27"/>
      <x:c r="AM43" s="27"/>
      <x:c r="AN43" s="27"/>
      <x:c r="AO43" s="27"/>
      <x:c r="AP43" s="27"/>
      <x:c r="AQ43" s="27"/>
      <x:c r="AR43" s="27"/>
      <x:c r="AS43" s="27"/>
      <x:c r="AT43" s="27"/>
      <x:c r="AU43" s="27"/>
      <x:c r="AV43" s="27"/>
      <x:c r="AW43" s="27"/>
      <x:c r="AX43" s="27"/>
      <x:c r="AY43" s="27"/>
      <x:c r="AZ43" s="27"/>
    </x:row>
    <x:row r="44">
      <x:c r="A44" s="27"/>
      <x:c r="B44" s="27"/>
      <x:c r="C44" s="27"/>
      <x:c r="D44" s="27"/>
      <x:c r="E44" s="27"/>
      <x:c r="F44" s="27"/>
      <x:c r="G44" s="27"/>
      <x:c r="H44" s="27"/>
      <x:c r="I44" s="27"/>
      <x:c r="J44" s="27"/>
      <x:c r="K44" s="27"/>
      <x:c r="L44" s="27"/>
      <x:c r="M44" s="27"/>
      <x:c r="N44" s="27"/>
      <x:c r="O44" s="27"/>
      <x:c r="P44" s="27"/>
      <x:c r="Q44" s="27"/>
      <x:c r="R44" s="27"/>
      <x:c r="S44" s="27"/>
      <x:c r="T44" s="27"/>
      <x:c r="U44" s="27"/>
      <x:c r="V44" s="27"/>
      <x:c r="W44" s="27"/>
      <x:c r="X44" s="27"/>
      <x:c r="Y44" s="27"/>
      <x:c r="Z44" s="27"/>
      <x:c r="AA44" s="27"/>
      <x:c r="AB44" s="27"/>
      <x:c r="AC44" s="27"/>
      <x:c r="AD44" s="27"/>
      <x:c r="AE44" s="27"/>
      <x:c r="AF44" s="27"/>
      <x:c r="AG44" s="27"/>
      <x:c r="AH44" s="27"/>
      <x:c r="AI44" s="27"/>
      <x:c r="AJ44" s="27"/>
      <x:c r="AK44" s="27"/>
      <x:c r="AL44" s="27"/>
      <x:c r="AM44" s="27"/>
      <x:c r="AN44" s="27"/>
      <x:c r="AO44" s="27"/>
      <x:c r="AP44" s="27"/>
      <x:c r="AQ44" s="27"/>
      <x:c r="AR44" s="27"/>
      <x:c r="AS44" s="27"/>
      <x:c r="AT44" s="27"/>
      <x:c r="AU44" s="27"/>
      <x:c r="AV44" s="27"/>
      <x:c r="AW44" s="27"/>
      <x:c r="AX44" s="27"/>
      <x:c r="AY44" s="27"/>
      <x:c r="AZ44" s="27"/>
    </x:row>
    <x:row r="45">
      <x:c r="A45" s="27"/>
      <x:c r="B45" s="27"/>
      <x:c r="C45" s="27"/>
      <x:c r="D45" s="27"/>
      <x:c r="E45" s="27"/>
      <x:c r="F45" s="27"/>
      <x:c r="G45" s="27"/>
      <x:c r="H45" s="27"/>
      <x:c r="I45" s="27"/>
      <x:c r="J45" s="27"/>
      <x:c r="K45" s="27"/>
      <x:c r="L45" s="27"/>
      <x:c r="M45" s="27"/>
      <x:c r="N45" s="27"/>
      <x:c r="O45" s="27"/>
      <x:c r="P45" s="27"/>
      <x:c r="Q45" s="27"/>
      <x:c r="R45" s="27"/>
      <x:c r="S45" s="27"/>
      <x:c r="T45" s="27"/>
      <x:c r="U45" s="27"/>
      <x:c r="V45" s="27"/>
      <x:c r="W45" s="27"/>
      <x:c r="X45" s="27"/>
      <x:c r="Y45" s="27"/>
      <x:c r="Z45" s="27"/>
      <x:c r="AA45" s="27"/>
      <x:c r="AB45" s="27"/>
      <x:c r="AC45" s="27"/>
      <x:c r="AD45" s="27"/>
      <x:c r="AE45" s="27"/>
      <x:c r="AF45" s="27"/>
      <x:c r="AG45" s="27"/>
      <x:c r="AH45" s="27"/>
      <x:c r="AI45" s="27"/>
      <x:c r="AJ45" s="27"/>
      <x:c r="AK45" s="27"/>
      <x:c r="AL45" s="27"/>
      <x:c r="AM45" s="27"/>
      <x:c r="AN45" s="27"/>
      <x:c r="AO45" s="27"/>
      <x:c r="AP45" s="27"/>
      <x:c r="AQ45" s="27"/>
      <x:c r="AR45" s="27"/>
      <x:c r="AS45" s="27"/>
      <x:c r="AT45" s="27"/>
      <x:c r="AU45" s="27"/>
      <x:c r="AV45" s="27"/>
      <x:c r="AW45" s="27"/>
      <x:c r="AX45" s="27"/>
      <x:c r="AY45" s="27"/>
      <x:c r="AZ45" s="27"/>
    </x:row>
    <x:row r="46">
      <x:c r="A46" s="27"/>
      <x:c r="B46" s="27"/>
      <x:c r="C46" s="27"/>
      <x:c r="D46" s="27"/>
      <x:c r="E46" s="27"/>
      <x:c r="F46" s="27"/>
      <x:c r="G46" s="27"/>
      <x:c r="H46" s="27"/>
      <x:c r="I46" s="27"/>
      <x:c r="J46" s="27"/>
      <x:c r="K46" s="27"/>
      <x:c r="L46" s="27"/>
      <x:c r="M46" s="27"/>
      <x:c r="N46" s="27"/>
      <x:c r="O46" s="27"/>
      <x:c r="P46" s="27"/>
      <x:c r="Q46" s="27"/>
      <x:c r="R46" s="27"/>
      <x:c r="S46" s="27"/>
      <x:c r="T46" s="27"/>
      <x:c r="U46" s="27"/>
      <x:c r="V46" s="27"/>
      <x:c r="W46" s="27"/>
      <x:c r="X46" s="27"/>
      <x:c r="Y46" s="27"/>
      <x:c r="Z46" s="27"/>
      <x:c r="AA46" s="27"/>
      <x:c r="AB46" s="27"/>
      <x:c r="AC46" s="27"/>
      <x:c r="AD46" s="27"/>
      <x:c r="AE46" s="27"/>
      <x:c r="AF46" s="27"/>
      <x:c r="AG46" s="27"/>
      <x:c r="AH46" s="27"/>
      <x:c r="AI46" s="27"/>
      <x:c r="AJ46" s="27"/>
      <x:c r="AK46" s="27"/>
      <x:c r="AL46" s="27"/>
      <x:c r="AM46" s="27"/>
      <x:c r="AN46" s="27"/>
      <x:c r="AO46" s="27"/>
      <x:c r="AP46" s="27"/>
      <x:c r="AQ46" s="27"/>
      <x:c r="AR46" s="27"/>
      <x:c r="AS46" s="27"/>
      <x:c r="AT46" s="27"/>
      <x:c r="AU46" s="27"/>
      <x:c r="AV46" s="27"/>
      <x:c r="AW46" s="27"/>
      <x:c r="AX46" s="27"/>
      <x:c r="AY46" s="27"/>
      <x:c r="AZ46" s="27"/>
    </x:row>
    <x:row r="47">
      <x:c r="A47" s="27"/>
      <x:c r="B47" s="27"/>
      <x:c r="C47" s="27"/>
      <x:c r="D47" s="27"/>
      <x:c r="E47" s="27"/>
      <x:c r="F47" s="27"/>
      <x:c r="G47" s="27"/>
      <x:c r="H47" s="27"/>
      <x:c r="I47" s="27"/>
      <x:c r="J47" s="27"/>
      <x:c r="K47" s="27"/>
      <x:c r="L47" s="27"/>
      <x:c r="M47" s="27"/>
      <x:c r="N47" s="27"/>
      <x:c r="O47" s="27"/>
      <x:c r="P47" s="27"/>
      <x:c r="Q47" s="27"/>
      <x:c r="R47" s="27"/>
      <x:c r="S47" s="27"/>
      <x:c r="T47" s="27"/>
      <x:c r="U47" s="27"/>
      <x:c r="V47" s="27"/>
      <x:c r="W47" s="27"/>
      <x:c r="X47" s="27"/>
      <x:c r="Y47" s="27"/>
      <x:c r="Z47" s="27"/>
      <x:c r="AA47" s="27"/>
      <x:c r="AB47" s="27"/>
      <x:c r="AC47" s="27"/>
      <x:c r="AD47" s="27"/>
      <x:c r="AE47" s="27"/>
      <x:c r="AF47" s="27"/>
      <x:c r="AG47" s="27"/>
      <x:c r="AH47" s="27"/>
      <x:c r="AI47" s="27"/>
      <x:c r="AJ47" s="27"/>
      <x:c r="AK47" s="27"/>
      <x:c r="AL47" s="27"/>
      <x:c r="AM47" s="27"/>
      <x:c r="AN47" s="27"/>
      <x:c r="AO47" s="27"/>
      <x:c r="AP47" s="27"/>
      <x:c r="AQ47" s="27"/>
      <x:c r="AR47" s="27"/>
      <x:c r="AS47" s="27"/>
      <x:c r="AT47" s="27"/>
      <x:c r="AU47" s="27"/>
      <x:c r="AV47" s="27"/>
      <x:c r="AW47" s="27"/>
      <x:c r="AX47" s="27"/>
      <x:c r="AY47" s="27"/>
      <x:c r="AZ47" s="27"/>
    </x:row>
    <x:row r="48">
      <x:c r="A48" s="27"/>
      <x:c r="B48" s="27"/>
      <x:c r="C48" s="27"/>
      <x:c r="D48" s="27"/>
      <x:c r="E48" s="27"/>
      <x:c r="F48" s="27"/>
      <x:c r="G48" s="27"/>
      <x:c r="H48" s="27"/>
      <x:c r="I48" s="27"/>
      <x:c r="J48" s="27"/>
      <x:c r="K48" s="27"/>
      <x:c r="L48" s="27"/>
      <x:c r="M48" s="27"/>
      <x:c r="N48" s="27"/>
      <x:c r="O48" s="27"/>
      <x:c r="P48" s="27"/>
      <x:c r="Q48" s="27"/>
      <x:c r="R48" s="27"/>
      <x:c r="S48" s="27"/>
      <x:c r="T48" s="27"/>
      <x:c r="U48" s="27"/>
      <x:c r="V48" s="27"/>
      <x:c r="W48" s="27"/>
      <x:c r="X48" s="27"/>
      <x:c r="Y48" s="27"/>
      <x:c r="Z48" s="27"/>
      <x:c r="AA48" s="27"/>
      <x:c r="AB48" s="27"/>
      <x:c r="AC48" s="27"/>
      <x:c r="AD48" s="27"/>
      <x:c r="AE48" s="27"/>
      <x:c r="AF48" s="27"/>
      <x:c r="AG48" s="27"/>
      <x:c r="AH48" s="27"/>
      <x:c r="AI48" s="27"/>
      <x:c r="AJ48" s="27"/>
      <x:c r="AK48" s="27"/>
      <x:c r="AL48" s="27"/>
      <x:c r="AM48" s="27"/>
      <x:c r="AN48" s="27"/>
      <x:c r="AO48" s="27"/>
      <x:c r="AP48" s="27"/>
      <x:c r="AQ48" s="27"/>
      <x:c r="AR48" s="27"/>
      <x:c r="AS48" s="27"/>
      <x:c r="AT48" s="27"/>
      <x:c r="AU48" s="27"/>
      <x:c r="AV48" s="27"/>
      <x:c r="AW48" s="27"/>
      <x:c r="AX48" s="27"/>
      <x:c r="AY48" s="27"/>
      <x:c r="AZ48" s="27"/>
    </x:row>
    <x:row r="49">
      <x:c r="A49" s="27"/>
      <x:c r="B49" s="27"/>
      <x:c r="C49" s="27"/>
      <x:c r="D49" s="27"/>
      <x:c r="E49" s="27"/>
      <x:c r="F49" s="27"/>
      <x:c r="G49" s="27"/>
      <x:c r="H49" s="27"/>
      <x:c r="I49" s="27"/>
      <x:c r="J49" s="27"/>
      <x:c r="K49" s="27"/>
      <x:c r="L49" s="27"/>
      <x:c r="M49" s="27"/>
      <x:c r="N49" s="27"/>
      <x:c r="O49" s="27"/>
      <x:c r="P49" s="27"/>
      <x:c r="Q49" s="27"/>
      <x:c r="R49" s="27"/>
      <x:c r="S49" s="27"/>
      <x:c r="T49" s="27"/>
      <x:c r="U49" s="27"/>
      <x:c r="V49" s="27"/>
      <x:c r="W49" s="27"/>
      <x:c r="X49" s="27"/>
      <x:c r="Y49" s="27"/>
      <x:c r="Z49" s="27"/>
      <x:c r="AA49" s="27"/>
      <x:c r="AB49" s="27"/>
      <x:c r="AC49" s="27"/>
      <x:c r="AD49" s="27"/>
      <x:c r="AE49" s="27"/>
      <x:c r="AF49" s="27"/>
      <x:c r="AG49" s="27"/>
      <x:c r="AH49" s="27"/>
      <x:c r="AI49" s="27"/>
      <x:c r="AJ49" s="27"/>
      <x:c r="AK49" s="27"/>
      <x:c r="AL49" s="27"/>
      <x:c r="AM49" s="27"/>
      <x:c r="AN49" s="27"/>
      <x:c r="AO49" s="27"/>
      <x:c r="AP49" s="27"/>
      <x:c r="AQ49" s="27"/>
      <x:c r="AR49" s="27"/>
      <x:c r="AS49" s="27"/>
      <x:c r="AT49" s="27"/>
      <x:c r="AU49" s="27"/>
      <x:c r="AV49" s="27"/>
      <x:c r="AW49" s="27"/>
      <x:c r="AX49" s="27"/>
      <x:c r="AY49" s="27"/>
      <x:c r="AZ49" s="27"/>
    </x:row>
    <x:row r="50">
      <x:c r="A50" s="27"/>
      <x:c r="B50" s="27"/>
      <x:c r="C50" s="27"/>
      <x:c r="D50" s="27"/>
      <x:c r="E50" s="27"/>
      <x:c r="F50" s="27"/>
      <x:c r="G50" s="27"/>
      <x:c r="H50" s="27"/>
      <x:c r="I50" s="27"/>
      <x:c r="J50" s="27"/>
      <x:c r="K50" s="27"/>
      <x:c r="L50" s="27"/>
      <x:c r="M50" s="27"/>
      <x:c r="N50" s="27"/>
      <x:c r="O50" s="27"/>
      <x:c r="P50" s="27"/>
      <x:c r="Q50" s="27"/>
      <x:c r="R50" s="27"/>
      <x:c r="S50" s="27"/>
      <x:c r="T50" s="27"/>
      <x:c r="U50" s="27"/>
      <x:c r="V50" s="27"/>
      <x:c r="W50" s="27"/>
      <x:c r="X50" s="27"/>
      <x:c r="Y50" s="27"/>
      <x:c r="Z50" s="27"/>
      <x:c r="AA50" s="27"/>
      <x:c r="AB50" s="27"/>
      <x:c r="AC50" s="27"/>
      <x:c r="AD50" s="27"/>
      <x:c r="AE50" s="27"/>
      <x:c r="AF50" s="27"/>
      <x:c r="AG50" s="27"/>
      <x:c r="AH50" s="27"/>
      <x:c r="AI50" s="27"/>
      <x:c r="AJ50" s="27"/>
      <x:c r="AK50" s="27"/>
      <x:c r="AL50" s="27"/>
      <x:c r="AM50" s="27"/>
      <x:c r="AN50" s="27"/>
      <x:c r="AO50" s="27"/>
      <x:c r="AP50" s="27"/>
      <x:c r="AQ50" s="27"/>
      <x:c r="AR50" s="27"/>
      <x:c r="AS50" s="27"/>
      <x:c r="AT50" s="27"/>
      <x:c r="AU50" s="27"/>
      <x:c r="AV50" s="27"/>
      <x:c r="AW50" s="27"/>
      <x:c r="AX50" s="27"/>
      <x:c r="AY50" s="27"/>
      <x:c r="AZ50" s="27"/>
    </x:row>
    <x:row r="51">
      <x:c r="A51" s="27"/>
      <x:c r="B51" s="27"/>
      <x:c r="C51" s="27"/>
      <x:c r="D51" s="27"/>
      <x:c r="E51" s="27"/>
      <x:c r="F51" s="27"/>
      <x:c r="G51" s="27"/>
      <x:c r="H51" s="27"/>
      <x:c r="I51" s="27"/>
      <x:c r="J51" s="27"/>
      <x:c r="K51" s="27"/>
      <x:c r="L51" s="27"/>
      <x:c r="M51" s="27"/>
      <x:c r="N51" s="27"/>
      <x:c r="O51" s="27"/>
      <x:c r="P51" s="27"/>
      <x:c r="Q51" s="27"/>
      <x:c r="R51" s="27"/>
      <x:c r="S51" s="27"/>
      <x:c r="T51" s="27"/>
      <x:c r="U51" s="27"/>
      <x:c r="V51" s="27"/>
      <x:c r="W51" s="27"/>
      <x:c r="X51" s="27"/>
      <x:c r="Y51" s="27"/>
      <x:c r="Z51" s="27"/>
      <x:c r="AA51" s="27"/>
      <x:c r="AB51" s="27"/>
      <x:c r="AC51" s="27"/>
      <x:c r="AD51" s="27"/>
      <x:c r="AE51" s="27"/>
      <x:c r="AF51" s="27"/>
      <x:c r="AG51" s="27"/>
      <x:c r="AH51" s="27"/>
      <x:c r="AI51" s="27"/>
      <x:c r="AJ51" s="27"/>
      <x:c r="AK51" s="27"/>
      <x:c r="AL51" s="27"/>
      <x:c r="AM51" s="27"/>
      <x:c r="AN51" s="27"/>
      <x:c r="AO51" s="27"/>
      <x:c r="AP51" s="27"/>
      <x:c r="AQ51" s="27"/>
      <x:c r="AR51" s="27"/>
      <x:c r="AS51" s="27"/>
      <x:c r="AT51" s="27"/>
      <x:c r="AU51" s="27"/>
      <x:c r="AV51" s="27"/>
      <x:c r="AW51" s="27"/>
      <x:c r="AX51" s="27"/>
      <x:c r="AY51" s="27"/>
      <x:c r="AZ51" s="27"/>
    </x:row>
    <x:row r="52">
      <x:c r="A52" s="27"/>
      <x:c r="B52" s="27"/>
      <x:c r="C52" s="27"/>
      <x:c r="D52" s="27"/>
      <x:c r="E52" s="27"/>
      <x:c r="F52" s="27"/>
      <x:c r="G52" s="27"/>
      <x:c r="H52" s="27"/>
      <x:c r="I52" s="27"/>
      <x:c r="J52" s="27"/>
      <x:c r="K52" s="27"/>
      <x:c r="L52" s="27"/>
      <x:c r="M52" s="27"/>
      <x:c r="N52" s="27"/>
      <x:c r="O52" s="27"/>
      <x:c r="P52" s="27"/>
      <x:c r="Q52" s="27"/>
      <x:c r="R52" s="27"/>
      <x:c r="S52" s="27"/>
      <x:c r="T52" s="27"/>
      <x:c r="U52" s="27"/>
      <x:c r="V52" s="27"/>
      <x:c r="W52" s="27"/>
      <x:c r="X52" s="27"/>
      <x:c r="Y52" s="27"/>
      <x:c r="Z52" s="27"/>
      <x:c r="AA52" s="27"/>
      <x:c r="AB52" s="27"/>
      <x:c r="AC52" s="27"/>
      <x:c r="AD52" s="27"/>
      <x:c r="AE52" s="27"/>
      <x:c r="AF52" s="27"/>
      <x:c r="AG52" s="27"/>
      <x:c r="AH52" s="27"/>
      <x:c r="AI52" s="27"/>
      <x:c r="AJ52" s="27"/>
      <x:c r="AK52" s="27"/>
      <x:c r="AL52" s="27"/>
      <x:c r="AM52" s="27"/>
      <x:c r="AN52" s="27"/>
      <x:c r="AO52" s="27"/>
      <x:c r="AP52" s="27"/>
      <x:c r="AQ52" s="27"/>
      <x:c r="AR52" s="27"/>
      <x:c r="AS52" s="27"/>
      <x:c r="AT52" s="27"/>
      <x:c r="AU52" s="27"/>
      <x:c r="AV52" s="27"/>
      <x:c r="AW52" s="27"/>
      <x:c r="AX52" s="27"/>
      <x:c r="AY52" s="27"/>
      <x:c r="AZ52" s="27"/>
    </x:row>
    <x:row r="53">
      <x:c r="A53" s="27"/>
      <x:c r="B53" s="27"/>
      <x:c r="C53" s="27"/>
      <x:c r="D53" s="27"/>
      <x:c r="E53" s="27"/>
      <x:c r="F53" s="27"/>
      <x:c r="G53" s="27"/>
      <x:c r="H53" s="27"/>
      <x:c r="I53" s="27"/>
      <x:c r="J53" s="27"/>
      <x:c r="K53" s="27"/>
      <x:c r="L53" s="27"/>
      <x:c r="M53" s="27"/>
      <x:c r="N53" s="27"/>
      <x:c r="O53" s="27"/>
      <x:c r="P53" s="27"/>
      <x:c r="Q53" s="27"/>
      <x:c r="R53" s="27"/>
      <x:c r="S53" s="27"/>
      <x:c r="T53" s="27"/>
      <x:c r="U53" s="27"/>
      <x:c r="V53" s="27"/>
      <x:c r="W53" s="27"/>
      <x:c r="X53" s="27"/>
      <x:c r="Y53" s="27"/>
      <x:c r="Z53" s="27"/>
      <x:c r="AA53" s="27"/>
      <x:c r="AB53" s="27"/>
      <x:c r="AC53" s="27"/>
      <x:c r="AD53" s="27"/>
      <x:c r="AE53" s="27"/>
      <x:c r="AF53" s="27"/>
      <x:c r="AG53" s="27"/>
      <x:c r="AH53" s="27"/>
      <x:c r="AI53" s="27"/>
      <x:c r="AJ53" s="27"/>
      <x:c r="AK53" s="27"/>
      <x:c r="AL53" s="27"/>
      <x:c r="AM53" s="27"/>
      <x:c r="AN53" s="27"/>
      <x:c r="AO53" s="27"/>
      <x:c r="AP53" s="27"/>
      <x:c r="AQ53" s="27"/>
      <x:c r="AR53" s="27"/>
      <x:c r="AS53" s="27"/>
      <x:c r="AT53" s="27"/>
      <x:c r="AU53" s="27"/>
      <x:c r="AV53" s="27"/>
      <x:c r="AW53" s="27"/>
      <x:c r="AX53" s="27"/>
      <x:c r="AY53" s="27"/>
      <x:c r="AZ53" s="27"/>
    </x:row>
    <x:row r="54">
      <x:c r="A54" s="27"/>
      <x:c r="B54" s="27"/>
      <x:c r="C54" s="27"/>
      <x:c r="D54" s="27"/>
      <x:c r="E54" s="27"/>
      <x:c r="F54" s="27"/>
      <x:c r="G54" s="27"/>
      <x:c r="H54" s="27"/>
      <x:c r="I54" s="27"/>
      <x:c r="J54" s="27"/>
      <x:c r="K54" s="27"/>
      <x:c r="L54" s="27"/>
      <x:c r="M54" s="27"/>
      <x:c r="N54" s="27"/>
      <x:c r="O54" s="27"/>
      <x:c r="P54" s="27"/>
      <x:c r="Q54" s="27"/>
      <x:c r="R54" s="27"/>
      <x:c r="S54" s="27"/>
      <x:c r="T54" s="27"/>
      <x:c r="U54" s="27"/>
      <x:c r="V54" s="27"/>
      <x:c r="W54" s="27"/>
      <x:c r="X54" s="27"/>
      <x:c r="Y54" s="27"/>
      <x:c r="Z54" s="27"/>
      <x:c r="AA54" s="27"/>
      <x:c r="AB54" s="27"/>
      <x:c r="AC54" s="27"/>
      <x:c r="AD54" s="27"/>
      <x:c r="AE54" s="27"/>
      <x:c r="AF54" s="27"/>
      <x:c r="AG54" s="27"/>
      <x:c r="AH54" s="27"/>
      <x:c r="AI54" s="27"/>
      <x:c r="AJ54" s="27"/>
      <x:c r="AK54" s="27"/>
      <x:c r="AL54" s="27"/>
      <x:c r="AM54" s="27"/>
      <x:c r="AN54" s="27"/>
      <x:c r="AO54" s="27"/>
      <x:c r="AP54" s="27"/>
      <x:c r="AQ54" s="27"/>
      <x:c r="AR54" s="27"/>
      <x:c r="AS54" s="27"/>
      <x:c r="AT54" s="27"/>
      <x:c r="AU54" s="27"/>
      <x:c r="AV54" s="27"/>
      <x:c r="AW54" s="27"/>
      <x:c r="AX54" s="27"/>
      <x:c r="AY54" s="27"/>
      <x:c r="AZ54" s="27"/>
    </x:row>
    <x:row r="55">
      <x:c r="A55" s="27"/>
      <x:c r="B55" s="27"/>
      <x:c r="C55" s="27"/>
      <x:c r="D55" s="27"/>
      <x:c r="E55" s="27"/>
      <x:c r="F55" s="27"/>
      <x:c r="G55" s="27"/>
      <x:c r="H55" s="27"/>
      <x:c r="I55" s="27"/>
      <x:c r="J55" s="27"/>
      <x:c r="K55" s="27"/>
      <x:c r="L55" s="27"/>
      <x:c r="M55" s="27"/>
      <x:c r="N55" s="27"/>
      <x:c r="O55" s="27"/>
      <x:c r="P55" s="27"/>
      <x:c r="Q55" s="27"/>
      <x:c r="R55" s="27"/>
      <x:c r="S55" s="27"/>
      <x:c r="T55" s="27"/>
      <x:c r="U55" s="27"/>
      <x:c r="V55" s="27"/>
      <x:c r="W55" s="27"/>
      <x:c r="X55" s="27"/>
      <x:c r="Y55" s="27"/>
      <x:c r="Z55" s="27"/>
      <x:c r="AA55" s="27"/>
      <x:c r="AB55" s="27"/>
      <x:c r="AC55" s="27"/>
      <x:c r="AD55" s="27"/>
      <x:c r="AE55" s="27"/>
      <x:c r="AF55" s="27"/>
      <x:c r="AG55" s="27"/>
      <x:c r="AH55" s="27"/>
      <x:c r="AI55" s="27"/>
      <x:c r="AJ55" s="27"/>
      <x:c r="AK55" s="27"/>
      <x:c r="AL55" s="27"/>
      <x:c r="AM55" s="27"/>
      <x:c r="AN55" s="27"/>
      <x:c r="AO55" s="27"/>
      <x:c r="AP55" s="27"/>
      <x:c r="AQ55" s="27"/>
      <x:c r="AR55" s="27"/>
      <x:c r="AS55" s="27"/>
      <x:c r="AT55" s="27"/>
      <x:c r="AU55" s="27"/>
      <x:c r="AV55" s="27"/>
      <x:c r="AW55" s="27"/>
      <x:c r="AX55" s="27"/>
      <x:c r="AY55" s="27"/>
      <x:c r="AZ55" s="27"/>
    </x:row>
    <x:row r="56">
      <x:c r="A56" s="27"/>
      <x:c r="B56" s="27"/>
      <x:c r="C56" s="27"/>
      <x:c r="D56" s="27"/>
      <x:c r="E56" s="27"/>
      <x:c r="F56" s="27"/>
      <x:c r="G56" s="27"/>
      <x:c r="H56" s="27"/>
      <x:c r="I56" s="27"/>
      <x:c r="J56" s="27"/>
      <x:c r="K56" s="27"/>
      <x:c r="L56" s="27"/>
      <x:c r="M56" s="27"/>
      <x:c r="N56" s="27"/>
      <x:c r="O56" s="27"/>
      <x:c r="P56" s="27"/>
      <x:c r="Q56" s="27"/>
      <x:c r="R56" s="27"/>
      <x:c r="S56" s="27"/>
      <x:c r="T56" s="27"/>
      <x:c r="U56" s="27"/>
      <x:c r="V56" s="27"/>
      <x:c r="W56" s="27"/>
      <x:c r="X56" s="27"/>
      <x:c r="Y56" s="27"/>
      <x:c r="Z56" s="27"/>
      <x:c r="AA56" s="27"/>
      <x:c r="AB56" s="27"/>
      <x:c r="AC56" s="27"/>
      <x:c r="AD56" s="27"/>
      <x:c r="AE56" s="27"/>
      <x:c r="AF56" s="27"/>
      <x:c r="AG56" s="27"/>
      <x:c r="AH56" s="27"/>
      <x:c r="AI56" s="27"/>
      <x:c r="AJ56" s="27"/>
      <x:c r="AK56" s="27"/>
      <x:c r="AL56" s="27"/>
      <x:c r="AM56" s="27"/>
      <x:c r="AN56" s="27"/>
      <x:c r="AO56" s="27"/>
      <x:c r="AP56" s="27"/>
      <x:c r="AQ56" s="27"/>
      <x:c r="AR56" s="27"/>
      <x:c r="AS56" s="27"/>
      <x:c r="AT56" s="27"/>
      <x:c r="AU56" s="27"/>
      <x:c r="AV56" s="27"/>
      <x:c r="AW56" s="27"/>
      <x:c r="AX56" s="27"/>
      <x:c r="AY56" s="27"/>
      <x:c r="AZ56" s="27"/>
    </x:row>
    <x:row r="57">
      <x:c r="A57" s="27"/>
      <x:c r="B57" s="27"/>
      <x:c r="C57" s="27"/>
      <x:c r="D57" s="27"/>
      <x:c r="E57" s="27"/>
      <x:c r="F57" s="27"/>
      <x:c r="G57" s="27"/>
      <x:c r="H57" s="27"/>
      <x:c r="I57" s="27"/>
      <x:c r="J57" s="27"/>
      <x:c r="K57" s="27"/>
      <x:c r="L57" s="27"/>
      <x:c r="M57" s="27"/>
      <x:c r="N57" s="27"/>
      <x:c r="O57" s="27"/>
      <x:c r="P57" s="27"/>
      <x:c r="Q57" s="27"/>
      <x:c r="R57" s="27"/>
      <x:c r="S57" s="27"/>
      <x:c r="T57" s="27"/>
      <x:c r="U57" s="27"/>
      <x:c r="V57" s="27"/>
      <x:c r="W57" s="27"/>
      <x:c r="X57" s="27"/>
      <x:c r="Y57" s="27"/>
      <x:c r="Z57" s="27"/>
      <x:c r="AA57" s="27"/>
      <x:c r="AB57" s="27"/>
      <x:c r="AC57" s="27"/>
      <x:c r="AD57" s="27"/>
      <x:c r="AE57" s="27"/>
      <x:c r="AF57" s="27"/>
      <x:c r="AG57" s="27"/>
      <x:c r="AH57" s="27"/>
      <x:c r="AI57" s="27"/>
      <x:c r="AJ57" s="27"/>
      <x:c r="AK57" s="27"/>
      <x:c r="AL57" s="27"/>
      <x:c r="AM57" s="27"/>
      <x:c r="AN57" s="27"/>
      <x:c r="AO57" s="27"/>
      <x:c r="AP57" s="27"/>
      <x:c r="AQ57" s="27"/>
      <x:c r="AR57" s="27"/>
      <x:c r="AS57" s="27"/>
      <x:c r="AT57" s="27"/>
      <x:c r="AU57" s="27"/>
      <x:c r="AV57" s="27"/>
      <x:c r="AW57" s="27"/>
      <x:c r="AX57" s="27"/>
      <x:c r="AY57" s="27"/>
      <x:c r="AZ57" s="27"/>
    </x:row>
    <x:row r="58">
      <x:c r="A58" s="27"/>
      <x:c r="B58" s="27"/>
      <x:c r="C58" s="27"/>
      <x:c r="D58" s="27"/>
      <x:c r="E58" s="27"/>
      <x:c r="F58" s="27"/>
      <x:c r="G58" s="27"/>
      <x:c r="H58" s="27"/>
      <x:c r="I58" s="27"/>
      <x:c r="J58" s="27"/>
      <x:c r="K58" s="27"/>
      <x:c r="L58" s="27"/>
      <x:c r="M58" s="27"/>
      <x:c r="N58" s="27"/>
      <x:c r="O58" s="27"/>
      <x:c r="P58" s="27"/>
      <x:c r="Q58" s="27"/>
      <x:c r="R58" s="27"/>
      <x:c r="S58" s="27"/>
      <x:c r="T58" s="27"/>
      <x:c r="U58" s="27"/>
      <x:c r="V58" s="27"/>
      <x:c r="W58" s="27"/>
      <x:c r="X58" s="27"/>
      <x:c r="Y58" s="27"/>
      <x:c r="Z58" s="27"/>
      <x:c r="AA58" s="27"/>
      <x:c r="AB58" s="27"/>
      <x:c r="AC58" s="27"/>
      <x:c r="AD58" s="27"/>
      <x:c r="AE58" s="27"/>
      <x:c r="AF58" s="27"/>
      <x:c r="AG58" s="27"/>
      <x:c r="AH58" s="27"/>
      <x:c r="AI58" s="27"/>
      <x:c r="AJ58" s="27"/>
      <x:c r="AK58" s="27"/>
      <x:c r="AL58" s="27"/>
      <x:c r="AM58" s="27"/>
      <x:c r="AN58" s="27"/>
      <x:c r="AO58" s="27"/>
      <x:c r="AP58" s="27"/>
      <x:c r="AQ58" s="27"/>
      <x:c r="AR58" s="27"/>
      <x:c r="AS58" s="27"/>
      <x:c r="AT58" s="27"/>
      <x:c r="AU58" s="27"/>
      <x:c r="AV58" s="27"/>
      <x:c r="AW58" s="27"/>
      <x:c r="AX58" s="27"/>
      <x:c r="AY58" s="27"/>
      <x:c r="AZ58" s="27"/>
    </x:row>
    <x:row r="59">
      <x:c r="A59" s="27"/>
      <x:c r="B59" s="27"/>
      <x:c r="C59" s="27"/>
      <x:c r="D59" s="27"/>
      <x:c r="E59" s="27"/>
      <x:c r="F59" s="27"/>
      <x:c r="G59" s="27"/>
      <x:c r="H59" s="27"/>
      <x:c r="I59" s="27"/>
      <x:c r="J59" s="27"/>
      <x:c r="K59" s="27"/>
      <x:c r="L59" s="27"/>
      <x:c r="M59" s="27"/>
      <x:c r="N59" s="27"/>
      <x:c r="O59" s="27"/>
      <x:c r="P59" s="27"/>
      <x:c r="Q59" s="27"/>
      <x:c r="R59" s="27"/>
      <x:c r="S59" s="27"/>
      <x:c r="T59" s="27"/>
      <x:c r="U59" s="27"/>
      <x:c r="V59" s="27"/>
      <x:c r="W59" s="27"/>
      <x:c r="X59" s="27"/>
      <x:c r="Y59" s="27"/>
      <x:c r="Z59" s="27"/>
      <x:c r="AA59" s="27"/>
      <x:c r="AB59" s="27"/>
      <x:c r="AC59" s="27"/>
      <x:c r="AD59" s="27"/>
      <x:c r="AE59" s="27"/>
      <x:c r="AF59" s="27"/>
      <x:c r="AG59" s="27"/>
      <x:c r="AH59" s="27"/>
      <x:c r="AI59" s="27"/>
      <x:c r="AJ59" s="27"/>
      <x:c r="AK59" s="27"/>
      <x:c r="AL59" s="27"/>
      <x:c r="AM59" s="27"/>
      <x:c r="AN59" s="27"/>
      <x:c r="AO59" s="27"/>
      <x:c r="AP59" s="27"/>
      <x:c r="AQ59" s="27"/>
      <x:c r="AR59" s="27"/>
      <x:c r="AS59" s="27"/>
      <x:c r="AT59" s="27"/>
      <x:c r="AU59" s="27"/>
      <x:c r="AV59" s="27"/>
      <x:c r="AW59" s="27"/>
      <x:c r="AX59" s="27"/>
      <x:c r="AY59" s="27"/>
      <x:c r="AZ59" s="27"/>
    </x:row>
    <x:row r="60">
      <x:c r="A60" s="27"/>
      <x:c r="B60" s="27"/>
      <x:c r="C60" s="27"/>
      <x:c r="D60" s="27"/>
      <x:c r="E60" s="27"/>
      <x:c r="F60" s="27"/>
      <x:c r="G60" s="27"/>
      <x:c r="H60" s="27"/>
      <x:c r="I60" s="27"/>
      <x:c r="J60" s="27"/>
      <x:c r="K60" s="27"/>
      <x:c r="L60" s="27"/>
      <x:c r="M60" s="27"/>
      <x:c r="N60" s="27"/>
      <x:c r="O60" s="27"/>
      <x:c r="P60" s="27"/>
      <x:c r="Q60" s="27"/>
      <x:c r="R60" s="27"/>
      <x:c r="S60" s="27"/>
      <x:c r="T60" s="27"/>
      <x:c r="U60" s="27"/>
      <x:c r="V60" s="27"/>
      <x:c r="W60" s="27"/>
      <x:c r="X60" s="27"/>
      <x:c r="Y60" s="27"/>
      <x:c r="Z60" s="27"/>
      <x:c r="AA60" s="27"/>
      <x:c r="AB60" s="27"/>
      <x:c r="AC60" s="27"/>
      <x:c r="AD60" s="27"/>
      <x:c r="AE60" s="27"/>
      <x:c r="AF60" s="27"/>
      <x:c r="AG60" s="27"/>
      <x:c r="AH60" s="27"/>
      <x:c r="AI60" s="27"/>
      <x:c r="AJ60" s="27"/>
      <x:c r="AK60" s="27"/>
      <x:c r="AL60" s="27"/>
      <x:c r="AM60" s="27"/>
      <x:c r="AN60" s="27"/>
      <x:c r="AO60" s="27"/>
      <x:c r="AP60" s="27"/>
      <x:c r="AQ60" s="27"/>
      <x:c r="AR60" s="27"/>
      <x:c r="AS60" s="27"/>
      <x:c r="AT60" s="27"/>
      <x:c r="AU60" s="27"/>
      <x:c r="AV60" s="27"/>
      <x:c r="AW60" s="27"/>
      <x:c r="AX60" s="27"/>
      <x:c r="AY60" s="27"/>
      <x:c r="AZ60" s="27"/>
    </x:row>
    <x:row r="61">
      <x:c r="A61" s="27"/>
      <x:c r="B61" s="27"/>
      <x:c r="C61" s="27"/>
      <x:c r="D61" s="27"/>
      <x:c r="E61" s="27"/>
      <x:c r="F61" s="27"/>
      <x:c r="G61" s="27"/>
      <x:c r="H61" s="27"/>
      <x:c r="I61" s="27"/>
      <x:c r="J61" s="27"/>
      <x:c r="K61" s="27"/>
      <x:c r="L61" s="27"/>
      <x:c r="M61" s="27"/>
      <x:c r="N61" s="27"/>
      <x:c r="O61" s="27"/>
      <x:c r="P61" s="27"/>
      <x:c r="Q61" s="27"/>
      <x:c r="R61" s="27"/>
      <x:c r="S61" s="27"/>
      <x:c r="T61" s="27"/>
      <x:c r="U61" s="27"/>
      <x:c r="V61" s="27"/>
      <x:c r="W61" s="27"/>
      <x:c r="X61" s="27"/>
      <x:c r="Y61" s="27"/>
      <x:c r="Z61" s="27"/>
      <x:c r="AA61" s="27"/>
      <x:c r="AB61" s="27"/>
      <x:c r="AC61" s="27"/>
      <x:c r="AD61" s="27"/>
      <x:c r="AE61" s="27"/>
      <x:c r="AF61" s="27"/>
      <x:c r="AG61" s="27"/>
      <x:c r="AH61" s="27"/>
      <x:c r="AI61" s="27"/>
      <x:c r="AJ61" s="27"/>
      <x:c r="AK61" s="27"/>
      <x:c r="AL61" s="27"/>
      <x:c r="AM61" s="27"/>
      <x:c r="AN61" s="27"/>
      <x:c r="AO61" s="27"/>
      <x:c r="AP61" s="27"/>
      <x:c r="AQ61" s="27"/>
      <x:c r="AR61" s="27"/>
      <x:c r="AS61" s="27"/>
      <x:c r="AT61" s="27"/>
      <x:c r="AU61" s="27"/>
      <x:c r="AV61" s="27"/>
      <x:c r="AW61" s="27"/>
      <x:c r="AX61" s="27"/>
      <x:c r="AY61" s="27"/>
      <x:c r="AZ61" s="27"/>
    </x:row>
    <x:row r="62">
      <x:c r="A62" s="27"/>
      <x:c r="B62" s="27"/>
      <x:c r="C62" s="27"/>
      <x:c r="D62" s="27"/>
      <x:c r="E62" s="27"/>
      <x:c r="F62" s="27"/>
      <x:c r="G62" s="27"/>
      <x:c r="H62" s="27"/>
      <x:c r="I62" s="27"/>
      <x:c r="J62" s="27"/>
      <x:c r="K62" s="27"/>
      <x:c r="L62" s="27"/>
      <x:c r="M62" s="27"/>
      <x:c r="N62" s="27"/>
      <x:c r="O62" s="27"/>
      <x:c r="P62" s="27"/>
      <x:c r="Q62" s="27"/>
      <x:c r="R62" s="27"/>
      <x:c r="S62" s="27"/>
      <x:c r="T62" s="27"/>
      <x:c r="U62" s="27"/>
      <x:c r="V62" s="27"/>
      <x:c r="W62" s="27"/>
      <x:c r="X62" s="27"/>
      <x:c r="Y62" s="27"/>
      <x:c r="Z62" s="27"/>
      <x:c r="AA62" s="27"/>
      <x:c r="AB62" s="27"/>
      <x:c r="AC62" s="27"/>
      <x:c r="AD62" s="27"/>
      <x:c r="AE62" s="27"/>
      <x:c r="AF62" s="27"/>
      <x:c r="AG62" s="27"/>
      <x:c r="AH62" s="27"/>
      <x:c r="AI62" s="27"/>
      <x:c r="AJ62" s="27"/>
      <x:c r="AK62" s="27"/>
      <x:c r="AL62" s="27"/>
      <x:c r="AM62" s="27"/>
      <x:c r="AN62" s="27"/>
      <x:c r="AO62" s="27"/>
      <x:c r="AP62" s="27"/>
      <x:c r="AQ62" s="27"/>
      <x:c r="AR62" s="27"/>
      <x:c r="AS62" s="27"/>
      <x:c r="AT62" s="27"/>
      <x:c r="AU62" s="27"/>
      <x:c r="AV62" s="27"/>
      <x:c r="AW62" s="27"/>
      <x:c r="AX62" s="27"/>
      <x:c r="AY62" s="27"/>
      <x:c r="AZ62" s="27"/>
    </x:row>
    <x:row r="63">
      <x:c r="A63" s="27"/>
      <x:c r="B63" s="27"/>
      <x:c r="C63" s="27"/>
      <x:c r="D63" s="27"/>
      <x:c r="E63" s="27"/>
      <x:c r="F63" s="27"/>
      <x:c r="G63" s="27"/>
      <x:c r="H63" s="27"/>
      <x:c r="I63" s="27"/>
      <x:c r="J63" s="27"/>
      <x:c r="K63" s="27"/>
      <x:c r="L63" s="27"/>
      <x:c r="M63" s="27"/>
      <x:c r="N63" s="27"/>
      <x:c r="O63" s="27"/>
      <x:c r="P63" s="27"/>
      <x:c r="Q63" s="27"/>
      <x:c r="R63" s="27"/>
      <x:c r="S63" s="27"/>
      <x:c r="T63" s="27"/>
      <x:c r="U63" s="27"/>
      <x:c r="V63" s="27"/>
      <x:c r="W63" s="27"/>
      <x:c r="X63" s="27"/>
      <x:c r="Y63" s="27"/>
      <x:c r="Z63" s="27"/>
      <x:c r="AA63" s="27"/>
      <x:c r="AB63" s="27"/>
      <x:c r="AC63" s="27"/>
      <x:c r="AD63" s="27"/>
      <x:c r="AE63" s="27"/>
      <x:c r="AF63" s="27"/>
      <x:c r="AG63" s="27"/>
      <x:c r="AH63" s="27"/>
      <x:c r="AI63" s="27"/>
      <x:c r="AJ63" s="27"/>
      <x:c r="AK63" s="27"/>
      <x:c r="AL63" s="27"/>
      <x:c r="AM63" s="27"/>
      <x:c r="AN63" s="27"/>
      <x:c r="AO63" s="27"/>
      <x:c r="AP63" s="27"/>
      <x:c r="AQ63" s="27"/>
      <x:c r="AR63" s="27"/>
      <x:c r="AS63" s="27"/>
      <x:c r="AT63" s="27"/>
      <x:c r="AU63" s="27"/>
      <x:c r="AV63" s="27"/>
      <x:c r="AW63" s="27"/>
      <x:c r="AX63" s="27"/>
      <x:c r="AY63" s="27"/>
      <x:c r="AZ63" s="27"/>
    </x:row>
    <x:row r="64">
      <x:c r="A64" s="27"/>
      <x:c r="B64" s="27"/>
      <x:c r="C64" s="27"/>
      <x:c r="D64" s="27"/>
      <x:c r="E64" s="27"/>
      <x:c r="F64" s="27"/>
      <x:c r="G64" s="27"/>
      <x:c r="H64" s="27"/>
      <x:c r="I64" s="27"/>
      <x:c r="J64" s="27"/>
      <x:c r="K64" s="27"/>
      <x:c r="L64" s="27"/>
      <x:c r="M64" s="27"/>
      <x:c r="N64" s="27"/>
      <x:c r="O64" s="27"/>
      <x:c r="P64" s="27"/>
      <x:c r="Q64" s="27"/>
      <x:c r="R64" s="27"/>
      <x:c r="S64" s="27"/>
      <x:c r="T64" s="27"/>
      <x:c r="U64" s="27"/>
      <x:c r="V64" s="27"/>
      <x:c r="W64" s="27"/>
      <x:c r="X64" s="27"/>
      <x:c r="Y64" s="27"/>
      <x:c r="Z64" s="27"/>
      <x:c r="AA64" s="27"/>
      <x:c r="AB64" s="27"/>
      <x:c r="AC64" s="27"/>
      <x:c r="AD64" s="27"/>
      <x:c r="AE64" s="27"/>
      <x:c r="AF64" s="27"/>
      <x:c r="AG64" s="27"/>
      <x:c r="AH64" s="27"/>
      <x:c r="AI64" s="27"/>
      <x:c r="AJ64" s="27"/>
      <x:c r="AK64" s="27"/>
      <x:c r="AL64" s="27"/>
      <x:c r="AM64" s="27"/>
      <x:c r="AN64" s="27"/>
      <x:c r="AO64" s="27"/>
      <x:c r="AP64" s="27"/>
      <x:c r="AQ64" s="27"/>
      <x:c r="AR64" s="27"/>
      <x:c r="AS64" s="27"/>
      <x:c r="AT64" s="27"/>
      <x:c r="AU64" s="27"/>
      <x:c r="AV64" s="27"/>
      <x:c r="AW64" s="27"/>
      <x:c r="AX64" s="27"/>
      <x:c r="AY64" s="27"/>
      <x:c r="AZ64" s="27"/>
    </x:row>
    <x:row r="65">
      <x:c r="A65" s="27"/>
      <x:c r="B65" s="27"/>
      <x:c r="C65" s="27"/>
      <x:c r="D65" s="27"/>
      <x:c r="E65" s="27"/>
      <x:c r="F65" s="27"/>
      <x:c r="G65" s="27"/>
      <x:c r="H65" s="27"/>
      <x:c r="I65" s="27"/>
      <x:c r="J65" s="27"/>
      <x:c r="K65" s="27"/>
      <x:c r="L65" s="27"/>
      <x:c r="M65" s="27"/>
      <x:c r="N65" s="27"/>
      <x:c r="O65" s="27"/>
      <x:c r="P65" s="27"/>
      <x:c r="Q65" s="27"/>
      <x:c r="R65" s="27"/>
      <x:c r="S65" s="27"/>
      <x:c r="T65" s="27"/>
      <x:c r="U65" s="27"/>
      <x:c r="V65" s="27"/>
      <x:c r="W65" s="27"/>
      <x:c r="X65" s="27"/>
      <x:c r="Y65" s="27"/>
      <x:c r="Z65" s="27"/>
      <x:c r="AA65" s="27"/>
      <x:c r="AB65" s="27"/>
      <x:c r="AC65" s="27"/>
      <x:c r="AD65" s="27"/>
      <x:c r="AE65" s="27"/>
      <x:c r="AF65" s="27"/>
      <x:c r="AG65" s="27"/>
      <x:c r="AH65" s="27"/>
      <x:c r="AI65" s="27"/>
      <x:c r="AJ65" s="27"/>
      <x:c r="AK65" s="27"/>
      <x:c r="AL65" s="27"/>
      <x:c r="AM65" s="27"/>
      <x:c r="AN65" s="27"/>
      <x:c r="AO65" s="27"/>
      <x:c r="AP65" s="27"/>
      <x:c r="AQ65" s="27"/>
      <x:c r="AR65" s="27"/>
      <x:c r="AS65" s="27"/>
      <x:c r="AT65" s="27"/>
      <x:c r="AU65" s="27"/>
      <x:c r="AV65" s="27"/>
      <x:c r="AW65" s="27"/>
      <x:c r="AX65" s="27"/>
      <x:c r="AY65" s="27"/>
      <x:c r="AZ65" s="27"/>
    </x:row>
    <x:row r="66">
      <x:c r="A66" s="27"/>
      <x:c r="B66" s="27"/>
      <x:c r="C66" s="27"/>
      <x:c r="D66" s="27"/>
      <x:c r="E66" s="27"/>
      <x:c r="F66" s="27"/>
      <x:c r="G66" s="27"/>
      <x:c r="H66" s="27"/>
      <x:c r="I66" s="27"/>
      <x:c r="J66" s="27"/>
      <x:c r="K66" s="27"/>
      <x:c r="L66" s="27"/>
      <x:c r="M66" s="27"/>
      <x:c r="N66" s="27"/>
      <x:c r="O66" s="27"/>
      <x:c r="P66" s="27"/>
      <x:c r="Q66" s="27"/>
      <x:c r="R66" s="27"/>
      <x:c r="S66" s="27"/>
      <x:c r="T66" s="27"/>
      <x:c r="U66" s="27"/>
      <x:c r="V66" s="27"/>
      <x:c r="W66" s="27"/>
      <x:c r="X66" s="27"/>
      <x:c r="Y66" s="27"/>
      <x:c r="Z66" s="27"/>
      <x:c r="AA66" s="27"/>
      <x:c r="AB66" s="27"/>
      <x:c r="AC66" s="27"/>
      <x:c r="AD66" s="27"/>
      <x:c r="AE66" s="27"/>
      <x:c r="AF66" s="27"/>
      <x:c r="AG66" s="27"/>
      <x:c r="AH66" s="27"/>
      <x:c r="AI66" s="27"/>
      <x:c r="AJ66" s="27"/>
      <x:c r="AK66" s="27"/>
      <x:c r="AL66" s="27"/>
      <x:c r="AM66" s="27"/>
      <x:c r="AN66" s="27"/>
      <x:c r="AO66" s="27"/>
      <x:c r="AP66" s="27"/>
      <x:c r="AQ66" s="27"/>
      <x:c r="AR66" s="27"/>
      <x:c r="AS66" s="27"/>
      <x:c r="AT66" s="27"/>
      <x:c r="AU66" s="27"/>
      <x:c r="AV66" s="27"/>
      <x:c r="AW66" s="27"/>
      <x:c r="AX66" s="27"/>
      <x:c r="AY66" s="27"/>
      <x:c r="AZ66" s="27"/>
    </x:row>
    <x:row r="67">
      <x:c r="A67" s="27"/>
      <x:c r="B67" s="27"/>
      <x:c r="C67" s="27"/>
      <x:c r="D67" s="27"/>
      <x:c r="E67" s="27"/>
      <x:c r="F67" s="27"/>
      <x:c r="G67" s="27"/>
      <x:c r="H67" s="27"/>
      <x:c r="I67" s="27"/>
      <x:c r="J67" s="27"/>
      <x:c r="K67" s="27"/>
      <x:c r="L67" s="27"/>
      <x:c r="M67" s="27"/>
      <x:c r="N67" s="27"/>
      <x:c r="O67" s="27"/>
      <x:c r="P67" s="27"/>
      <x:c r="Q67" s="27"/>
      <x:c r="R67" s="27"/>
      <x:c r="S67" s="27"/>
      <x:c r="T67" s="27"/>
      <x:c r="U67" s="27"/>
      <x:c r="V67" s="27"/>
      <x:c r="W67" s="27"/>
      <x:c r="X67" s="27"/>
      <x:c r="Y67" s="27"/>
      <x:c r="Z67" s="27"/>
      <x:c r="AA67" s="27"/>
      <x:c r="AB67" s="27"/>
      <x:c r="AC67" s="27"/>
      <x:c r="AD67" s="27"/>
      <x:c r="AE67" s="27"/>
      <x:c r="AF67" s="27"/>
      <x:c r="AG67" s="27"/>
      <x:c r="AH67" s="27"/>
      <x:c r="AI67" s="27"/>
      <x:c r="AJ67" s="27"/>
      <x:c r="AK67" s="27"/>
      <x:c r="AL67" s="27"/>
      <x:c r="AM67" s="27"/>
      <x:c r="AN67" s="27"/>
      <x:c r="AO67" s="27"/>
      <x:c r="AP67" s="27"/>
      <x:c r="AQ67" s="27"/>
      <x:c r="AR67" s="27"/>
      <x:c r="AS67" s="27"/>
      <x:c r="AT67" s="27"/>
      <x:c r="AU67" s="27"/>
      <x:c r="AV67" s="27"/>
      <x:c r="AW67" s="27"/>
      <x:c r="AX67" s="27"/>
      <x:c r="AY67" s="27"/>
      <x:c r="AZ67" s="27"/>
    </x:row>
    <x:row r="68">
      <x:c r="A68" s="27"/>
      <x:c r="B68" s="27"/>
      <x:c r="C68" s="27"/>
      <x:c r="D68" s="27"/>
      <x:c r="E68" s="27"/>
      <x:c r="F68" s="27"/>
      <x:c r="G68" s="27"/>
      <x:c r="H68" s="27"/>
      <x:c r="I68" s="27"/>
      <x:c r="J68" s="27"/>
      <x:c r="K68" s="27"/>
      <x:c r="L68" s="27"/>
      <x:c r="M68" s="27"/>
      <x:c r="N68" s="27"/>
      <x:c r="O68" s="27"/>
      <x:c r="P68" s="27"/>
      <x:c r="Q68" s="27"/>
      <x:c r="R68" s="27"/>
      <x:c r="S68" s="27"/>
      <x:c r="T68" s="27"/>
      <x:c r="U68" s="27"/>
      <x:c r="V68" s="27"/>
      <x:c r="W68" s="27"/>
      <x:c r="X68" s="27"/>
      <x:c r="Y68" s="27"/>
      <x:c r="Z68" s="27"/>
      <x:c r="AA68" s="27"/>
      <x:c r="AB68" s="27"/>
      <x:c r="AC68" s="27"/>
      <x:c r="AD68" s="27"/>
      <x:c r="AE68" s="27"/>
      <x:c r="AF68" s="27"/>
      <x:c r="AG68" s="27"/>
      <x:c r="AH68" s="27"/>
      <x:c r="AI68" s="27"/>
      <x:c r="AJ68" s="27"/>
      <x:c r="AK68" s="27"/>
      <x:c r="AL68" s="27"/>
      <x:c r="AM68" s="27"/>
      <x:c r="AN68" s="27"/>
      <x:c r="AO68" s="27"/>
      <x:c r="AP68" s="27"/>
      <x:c r="AQ68" s="27"/>
      <x:c r="AR68" s="27"/>
      <x:c r="AS68" s="27"/>
      <x:c r="AT68" s="27"/>
      <x:c r="AU68" s="27"/>
      <x:c r="AV68" s="27"/>
      <x:c r="AW68" s="27"/>
      <x:c r="AX68" s="27"/>
      <x:c r="AY68" s="27"/>
      <x:c r="AZ68" s="27"/>
    </x:row>
    <x:row r="69">
      <x:c r="A69" s="27"/>
      <x:c r="B69" s="27"/>
      <x:c r="C69" s="27"/>
      <x:c r="D69" s="27"/>
      <x:c r="E69" s="27"/>
      <x:c r="F69" s="27"/>
      <x:c r="G69" s="27"/>
      <x:c r="H69" s="27"/>
      <x:c r="I69" s="27"/>
      <x:c r="J69" s="27"/>
      <x:c r="K69" s="27"/>
      <x:c r="L69" s="27"/>
      <x:c r="M69" s="27"/>
      <x:c r="N69" s="27"/>
      <x:c r="O69" s="27"/>
      <x:c r="P69" s="27"/>
      <x:c r="Q69" s="27"/>
      <x:c r="R69" s="27"/>
      <x:c r="S69" s="27"/>
      <x:c r="T69" s="27"/>
      <x:c r="U69" s="27"/>
      <x:c r="V69" s="27"/>
      <x:c r="W69" s="27"/>
      <x:c r="X69" s="27"/>
      <x:c r="Y69" s="27"/>
      <x:c r="Z69" s="27"/>
      <x:c r="AA69" s="27"/>
      <x:c r="AB69" s="27"/>
      <x:c r="AC69" s="27"/>
      <x:c r="AD69" s="27"/>
      <x:c r="AE69" s="27"/>
      <x:c r="AF69" s="27"/>
      <x:c r="AG69" s="27"/>
      <x:c r="AH69" s="27"/>
      <x:c r="AI69" s="27"/>
      <x:c r="AJ69" s="27"/>
      <x:c r="AK69" s="27"/>
      <x:c r="AL69" s="27"/>
      <x:c r="AM69" s="27"/>
      <x:c r="AN69" s="27"/>
      <x:c r="AO69" s="27"/>
      <x:c r="AP69" s="27"/>
      <x:c r="AQ69" s="27"/>
      <x:c r="AR69" s="27"/>
      <x:c r="AS69" s="27"/>
      <x:c r="AT69" s="27"/>
      <x:c r="AU69" s="27"/>
      <x:c r="AV69" s="27"/>
      <x:c r="AW69" s="27"/>
      <x:c r="AX69" s="27"/>
      <x:c r="AY69" s="27"/>
      <x:c r="AZ69" s="27"/>
    </x:row>
    <x:row r="70">
      <x:c r="A70" s="27"/>
      <x:c r="B70" s="27"/>
      <x:c r="C70" s="27"/>
      <x:c r="D70" s="27"/>
      <x:c r="E70" s="27"/>
      <x:c r="F70" s="27"/>
      <x:c r="G70" s="27"/>
      <x:c r="H70" s="27"/>
      <x:c r="I70" s="27"/>
      <x:c r="J70" s="27"/>
      <x:c r="K70" s="27"/>
      <x:c r="L70" s="27"/>
      <x:c r="M70" s="27"/>
      <x:c r="N70" s="27"/>
      <x:c r="O70" s="27"/>
      <x:c r="P70" s="27"/>
      <x:c r="Q70" s="27"/>
      <x:c r="R70" s="27"/>
      <x:c r="S70" s="27"/>
      <x:c r="T70" s="27"/>
      <x:c r="U70" s="27"/>
      <x:c r="V70" s="27"/>
      <x:c r="W70" s="27"/>
      <x:c r="X70" s="27"/>
      <x:c r="Y70" s="27"/>
      <x:c r="Z70" s="27"/>
      <x:c r="AA70" s="27"/>
      <x:c r="AB70" s="27"/>
      <x:c r="AC70" s="27"/>
      <x:c r="AD70" s="27"/>
      <x:c r="AE70" s="27"/>
      <x:c r="AF70" s="27"/>
      <x:c r="AG70" s="27"/>
      <x:c r="AH70" s="27"/>
      <x:c r="AI70" s="27"/>
      <x:c r="AJ70" s="27"/>
      <x:c r="AK70" s="27"/>
      <x:c r="AL70" s="27"/>
      <x:c r="AM70" s="27"/>
      <x:c r="AN70" s="27"/>
      <x:c r="AO70" s="27"/>
      <x:c r="AP70" s="27"/>
      <x:c r="AQ70" s="27"/>
      <x:c r="AR70" s="27"/>
      <x:c r="AS70" s="27"/>
      <x:c r="AT70" s="27"/>
      <x:c r="AU70" s="27"/>
      <x:c r="AV70" s="27"/>
      <x:c r="AW70" s="27"/>
      <x:c r="AX70" s="27"/>
      <x:c r="AY70" s="27"/>
      <x:c r="AZ70" s="27"/>
    </x:row>
    <x:row r="71">
      <x:c r="A71" s="27"/>
      <x:c r="B71" s="27"/>
      <x:c r="C71" s="27"/>
      <x:c r="D71" s="27"/>
      <x:c r="E71" s="27"/>
      <x:c r="F71" s="27"/>
      <x:c r="G71" s="27"/>
      <x:c r="H71" s="27"/>
      <x:c r="I71" s="27"/>
      <x:c r="J71" s="27"/>
      <x:c r="K71" s="27"/>
      <x:c r="L71" s="27"/>
      <x:c r="M71" s="27"/>
      <x:c r="N71" s="27"/>
      <x:c r="O71" s="27"/>
      <x:c r="P71" s="27"/>
      <x:c r="Q71" s="27"/>
      <x:c r="R71" s="27"/>
      <x:c r="S71" s="27"/>
      <x:c r="T71" s="27"/>
      <x:c r="U71" s="27"/>
      <x:c r="V71" s="27"/>
      <x:c r="W71" s="27"/>
      <x:c r="X71" s="27"/>
      <x:c r="Y71" s="27"/>
      <x:c r="Z71" s="27"/>
      <x:c r="AA71" s="27"/>
      <x:c r="AB71" s="27"/>
      <x:c r="AC71" s="27"/>
      <x:c r="AD71" s="27"/>
      <x:c r="AE71" s="27"/>
      <x:c r="AF71" s="27"/>
      <x:c r="AG71" s="27"/>
      <x:c r="AH71" s="27"/>
      <x:c r="AI71" s="27"/>
      <x:c r="AJ71" s="27"/>
      <x:c r="AK71" s="27"/>
      <x:c r="AL71" s="27"/>
      <x:c r="AM71" s="27"/>
      <x:c r="AN71" s="27"/>
      <x:c r="AO71" s="27"/>
      <x:c r="AP71" s="27"/>
      <x:c r="AQ71" s="27"/>
      <x:c r="AR71" s="27"/>
      <x:c r="AS71" s="27"/>
      <x:c r="AT71" s="27"/>
      <x:c r="AU71" s="27"/>
      <x:c r="AV71" s="27"/>
      <x:c r="AW71" s="27"/>
      <x:c r="AX71" s="27"/>
      <x:c r="AY71" s="27"/>
      <x:c r="AZ71" s="27"/>
    </x:row>
    <x:row r="72">
      <x:c r="A72" s="27"/>
      <x:c r="B72" s="27"/>
      <x:c r="C72" s="27"/>
      <x:c r="D72" s="27"/>
      <x:c r="E72" s="27"/>
      <x:c r="F72" s="27"/>
      <x:c r="G72" s="27"/>
      <x:c r="H72" s="27"/>
      <x:c r="I72" s="27"/>
      <x:c r="J72" s="27"/>
      <x:c r="K72" s="27"/>
      <x:c r="L72" s="27"/>
      <x:c r="M72" s="27"/>
      <x:c r="N72" s="27"/>
      <x:c r="O72" s="27"/>
      <x:c r="P72" s="27"/>
      <x:c r="Q72" s="27"/>
      <x:c r="R72" s="27"/>
      <x:c r="S72" s="27"/>
      <x:c r="T72" s="27"/>
      <x:c r="U72" s="27"/>
      <x:c r="V72" s="27"/>
      <x:c r="W72" s="27"/>
      <x:c r="X72" s="27"/>
      <x:c r="Y72" s="27"/>
      <x:c r="Z72" s="27"/>
      <x:c r="AA72" s="27"/>
      <x:c r="AB72" s="27"/>
      <x:c r="AC72" s="27"/>
      <x:c r="AD72" s="27"/>
      <x:c r="AE72" s="27"/>
      <x:c r="AF72" s="27"/>
      <x:c r="AG72" s="27"/>
      <x:c r="AH72" s="27"/>
      <x:c r="AI72" s="27"/>
      <x:c r="AJ72" s="27"/>
      <x:c r="AK72" s="27"/>
      <x:c r="AL72" s="27"/>
      <x:c r="AM72" s="27"/>
      <x:c r="AN72" s="27"/>
      <x:c r="AO72" s="27"/>
      <x:c r="AP72" s="27"/>
      <x:c r="AQ72" s="27"/>
      <x:c r="AR72" s="27"/>
      <x:c r="AS72" s="27"/>
      <x:c r="AT72" s="27"/>
      <x:c r="AU72" s="27"/>
      <x:c r="AV72" s="27"/>
      <x:c r="AW72" s="27"/>
      <x:c r="AX72" s="27"/>
      <x:c r="AY72" s="27"/>
      <x:c r="AZ72" s="27"/>
    </x:row>
    <x:row r="73">
      <x:c r="A73" s="27"/>
      <x:c r="B73" s="27"/>
      <x:c r="C73" s="27"/>
      <x:c r="D73" s="27"/>
      <x:c r="E73" s="27"/>
      <x:c r="F73" s="27"/>
      <x:c r="G73" s="27"/>
      <x:c r="H73" s="27"/>
      <x:c r="I73" s="27"/>
      <x:c r="J73" s="27"/>
      <x:c r="K73" s="27"/>
      <x:c r="L73" s="27"/>
      <x:c r="M73" s="27"/>
      <x:c r="N73" s="27"/>
      <x:c r="O73" s="27"/>
      <x:c r="P73" s="27"/>
      <x:c r="Q73" s="27"/>
      <x:c r="R73" s="27"/>
      <x:c r="S73" s="27"/>
      <x:c r="T73" s="27"/>
      <x:c r="U73" s="27"/>
      <x:c r="V73" s="27"/>
      <x:c r="W73" s="27"/>
      <x:c r="X73" s="27"/>
      <x:c r="Y73" s="27"/>
      <x:c r="Z73" s="27"/>
      <x:c r="AA73" s="27"/>
      <x:c r="AB73" s="27"/>
      <x:c r="AC73" s="27"/>
      <x:c r="AD73" s="27"/>
      <x:c r="AE73" s="27"/>
      <x:c r="AF73" s="27"/>
      <x:c r="AG73" s="27"/>
      <x:c r="AH73" s="27"/>
      <x:c r="AI73" s="27"/>
      <x:c r="AJ73" s="27"/>
      <x:c r="AK73" s="27"/>
      <x:c r="AL73" s="27"/>
      <x:c r="AM73" s="27"/>
      <x:c r="AN73" s="27"/>
      <x:c r="AO73" s="27"/>
      <x:c r="AP73" s="27"/>
      <x:c r="AQ73" s="27"/>
      <x:c r="AR73" s="27"/>
      <x:c r="AS73" s="27"/>
      <x:c r="AT73" s="27"/>
      <x:c r="AU73" s="27"/>
      <x:c r="AV73" s="27"/>
      <x:c r="AW73" s="27"/>
      <x:c r="AX73" s="27"/>
      <x:c r="AY73" s="27"/>
      <x:c r="AZ73" s="27"/>
    </x:row>
    <x:row r="74">
      <x:c r="A74" s="27"/>
      <x:c r="B74" s="27"/>
      <x:c r="C74" s="27"/>
      <x:c r="D74" s="27"/>
      <x:c r="E74" s="27"/>
      <x:c r="F74" s="27"/>
      <x:c r="G74" s="27"/>
      <x:c r="H74" s="27"/>
      <x:c r="I74" s="27"/>
      <x:c r="J74" s="27"/>
      <x:c r="K74" s="27"/>
      <x:c r="L74" s="27"/>
      <x:c r="M74" s="27"/>
      <x:c r="N74" s="27"/>
      <x:c r="O74" s="27"/>
      <x:c r="P74" s="27"/>
      <x:c r="Q74" s="27"/>
      <x:c r="R74" s="27"/>
      <x:c r="S74" s="27"/>
      <x:c r="T74" s="27"/>
      <x:c r="U74" s="27"/>
      <x:c r="V74" s="27"/>
      <x:c r="W74" s="27"/>
      <x:c r="X74" s="27"/>
      <x:c r="Y74" s="27"/>
      <x:c r="Z74" s="27"/>
      <x:c r="AA74" s="27"/>
      <x:c r="AB74" s="27"/>
      <x:c r="AC74" s="27"/>
      <x:c r="AD74" s="27"/>
      <x:c r="AE74" s="27"/>
      <x:c r="AF74" s="27"/>
      <x:c r="AG74" s="27"/>
      <x:c r="AH74" s="27"/>
      <x:c r="AI74" s="27"/>
      <x:c r="AJ74" s="27"/>
      <x:c r="AK74" s="27"/>
      <x:c r="AL74" s="27"/>
      <x:c r="AM74" s="27"/>
      <x:c r="AN74" s="27"/>
      <x:c r="AO74" s="27"/>
      <x:c r="AP74" s="27"/>
      <x:c r="AQ74" s="27"/>
      <x:c r="AR74" s="27"/>
      <x:c r="AS74" s="27"/>
      <x:c r="AT74" s="27"/>
      <x:c r="AU74" s="27"/>
      <x:c r="AV74" s="27"/>
      <x:c r="AW74" s="27"/>
      <x:c r="AX74" s="27"/>
      <x:c r="AY74" s="27"/>
      <x:c r="AZ74" s="27"/>
    </x:row>
    <x:row r="75">
      <x:c r="A75" s="27"/>
      <x:c r="B75" s="27"/>
      <x:c r="C75" s="27"/>
      <x:c r="D75" s="27"/>
      <x:c r="E75" s="27"/>
      <x:c r="F75" s="27"/>
      <x:c r="G75" s="27"/>
      <x:c r="H75" s="27"/>
      <x:c r="I75" s="27"/>
      <x:c r="J75" s="27"/>
      <x:c r="K75" s="27"/>
      <x:c r="L75" s="27"/>
      <x:c r="M75" s="27"/>
      <x:c r="N75" s="27"/>
      <x:c r="O75" s="27"/>
      <x:c r="P75" s="27"/>
      <x:c r="Q75" s="27"/>
      <x:c r="R75" s="27"/>
      <x:c r="S75" s="27"/>
      <x:c r="T75" s="27"/>
      <x:c r="U75" s="27"/>
      <x:c r="V75" s="27"/>
      <x:c r="W75" s="27"/>
      <x:c r="X75" s="27"/>
      <x:c r="Y75" s="27"/>
      <x:c r="Z75" s="27"/>
      <x:c r="AA75" s="27"/>
      <x:c r="AB75" s="27"/>
      <x:c r="AC75" s="27"/>
      <x:c r="AD75" s="27"/>
      <x:c r="AE75" s="27"/>
      <x:c r="AF75" s="27"/>
      <x:c r="AG75" s="27"/>
      <x:c r="AH75" s="27"/>
      <x:c r="AI75" s="27"/>
      <x:c r="AJ75" s="27"/>
      <x:c r="AK75" s="27"/>
      <x:c r="AL75" s="27"/>
      <x:c r="AM75" s="27"/>
      <x:c r="AN75" s="27"/>
      <x:c r="AO75" s="27"/>
      <x:c r="AP75" s="27"/>
      <x:c r="AQ75" s="27"/>
      <x:c r="AR75" s="27"/>
      <x:c r="AS75" s="27"/>
      <x:c r="AT75" s="27"/>
      <x:c r="AU75" s="27"/>
      <x:c r="AV75" s="27"/>
      <x:c r="AW75" s="27"/>
      <x:c r="AX75" s="27"/>
      <x:c r="AY75" s="27"/>
      <x:c r="AZ75" s="27"/>
    </x:row>
    <x:row r="76">
      <x:c r="A76" s="27"/>
      <x:c r="B76" s="27"/>
      <x:c r="C76" s="27"/>
      <x:c r="D76" s="27"/>
      <x:c r="E76" s="27"/>
      <x:c r="F76" s="27"/>
      <x:c r="G76" s="27"/>
      <x:c r="H76" s="27"/>
      <x:c r="I76" s="27"/>
      <x:c r="J76" s="27"/>
      <x:c r="K76" s="27"/>
      <x:c r="L76" s="27"/>
      <x:c r="M76" s="27"/>
      <x:c r="N76" s="27"/>
      <x:c r="O76" s="27"/>
      <x:c r="P76" s="27"/>
      <x:c r="Q76" s="27"/>
      <x:c r="R76" s="27"/>
      <x:c r="S76" s="27"/>
      <x:c r="T76" s="27"/>
      <x:c r="U76" s="27"/>
      <x:c r="V76" s="27"/>
      <x:c r="W76" s="27"/>
      <x:c r="X76" s="27"/>
      <x:c r="Y76" s="27"/>
      <x:c r="Z76" s="27"/>
      <x:c r="AA76" s="27"/>
      <x:c r="AB76" s="27"/>
      <x:c r="AC76" s="27"/>
      <x:c r="AD76" s="27"/>
      <x:c r="AE76" s="27"/>
      <x:c r="AF76" s="27"/>
      <x:c r="AG76" s="27"/>
      <x:c r="AH76" s="27"/>
      <x:c r="AI76" s="27"/>
      <x:c r="AJ76" s="27"/>
      <x:c r="AK76" s="27"/>
      <x:c r="AL76" s="27"/>
      <x:c r="AM76" s="27"/>
      <x:c r="AN76" s="27"/>
      <x:c r="AO76" s="27"/>
      <x:c r="AP76" s="27"/>
      <x:c r="AQ76" s="27"/>
      <x:c r="AR76" s="27"/>
      <x:c r="AS76" s="27"/>
      <x:c r="AT76" s="27"/>
      <x:c r="AU76" s="27"/>
      <x:c r="AV76" s="27"/>
      <x:c r="AW76" s="27"/>
      <x:c r="AX76" s="27"/>
      <x:c r="AY76" s="27"/>
      <x:c r="AZ76" s="27"/>
    </x:row>
    <x:row r="77">
      <x:c r="A77" s="27"/>
      <x:c r="B77" s="27"/>
      <x:c r="C77" s="27"/>
      <x:c r="D77" s="27"/>
      <x:c r="E77" s="27"/>
      <x:c r="F77" s="27"/>
      <x:c r="G77" s="27"/>
      <x:c r="H77" s="27"/>
      <x:c r="I77" s="27"/>
      <x:c r="J77" s="27"/>
      <x:c r="K77" s="27"/>
      <x:c r="L77" s="27"/>
      <x:c r="M77" s="27"/>
      <x:c r="N77" s="27"/>
      <x:c r="O77" s="27"/>
      <x:c r="P77" s="27"/>
      <x:c r="Q77" s="27"/>
      <x:c r="R77" s="27"/>
      <x:c r="S77" s="27"/>
      <x:c r="T77" s="27"/>
      <x:c r="U77" s="27"/>
      <x:c r="V77" s="27"/>
      <x:c r="W77" s="27"/>
      <x:c r="X77" s="27"/>
      <x:c r="Y77" s="27"/>
      <x:c r="Z77" s="27"/>
      <x:c r="AA77" s="27"/>
      <x:c r="AB77" s="27"/>
      <x:c r="AC77" s="27"/>
      <x:c r="AD77" s="27"/>
      <x:c r="AE77" s="27"/>
      <x:c r="AF77" s="27"/>
      <x:c r="AG77" s="27"/>
      <x:c r="AH77" s="27"/>
      <x:c r="AI77" s="27"/>
      <x:c r="AJ77" s="27"/>
      <x:c r="AK77" s="27"/>
      <x:c r="AL77" s="27"/>
      <x:c r="AM77" s="27"/>
      <x:c r="AN77" s="27"/>
      <x:c r="AO77" s="27"/>
      <x:c r="AP77" s="27"/>
      <x:c r="AQ77" s="27"/>
      <x:c r="AR77" s="27"/>
      <x:c r="AS77" s="27"/>
      <x:c r="AT77" s="27"/>
      <x:c r="AU77" s="27"/>
      <x:c r="AV77" s="27"/>
      <x:c r="AW77" s="27"/>
      <x:c r="AX77" s="27"/>
      <x:c r="AY77" s="27"/>
      <x:c r="AZ77" s="27"/>
    </x:row>
    <x:row r="78">
      <x:c r="A78" s="27"/>
      <x:c r="B78" s="27"/>
      <x:c r="C78" s="27"/>
      <x:c r="D78" s="27"/>
      <x:c r="E78" s="27"/>
      <x:c r="F78" s="27"/>
      <x:c r="G78" s="27"/>
      <x:c r="H78" s="27"/>
      <x:c r="I78" s="27"/>
      <x:c r="J78" s="27"/>
      <x:c r="K78" s="27"/>
      <x:c r="L78" s="27"/>
      <x:c r="M78" s="27"/>
      <x:c r="N78" s="27"/>
      <x:c r="O78" s="27"/>
      <x:c r="P78" s="27"/>
      <x:c r="Q78" s="27"/>
      <x:c r="R78" s="27"/>
      <x:c r="S78" s="27"/>
      <x:c r="T78" s="27"/>
      <x:c r="U78" s="27"/>
      <x:c r="V78" s="27"/>
      <x:c r="W78" s="27"/>
      <x:c r="X78" s="27"/>
      <x:c r="Y78" s="27"/>
      <x:c r="Z78" s="27"/>
      <x:c r="AA78" s="27"/>
      <x:c r="AB78" s="27"/>
      <x:c r="AC78" s="27"/>
      <x:c r="AD78" s="27"/>
      <x:c r="AE78" s="27"/>
      <x:c r="AF78" s="27"/>
      <x:c r="AG78" s="27"/>
      <x:c r="AH78" s="27"/>
      <x:c r="AI78" s="27"/>
      <x:c r="AJ78" s="27"/>
      <x:c r="AK78" s="27"/>
      <x:c r="AL78" s="27"/>
      <x:c r="AM78" s="27"/>
      <x:c r="AN78" s="27"/>
      <x:c r="AO78" s="27"/>
      <x:c r="AP78" s="27"/>
      <x:c r="AQ78" s="27"/>
      <x:c r="AR78" s="27"/>
      <x:c r="AS78" s="27"/>
      <x:c r="AT78" s="27"/>
      <x:c r="AU78" s="27"/>
      <x:c r="AV78" s="27"/>
      <x:c r="AW78" s="27"/>
      <x:c r="AX78" s="27"/>
      <x:c r="AY78" s="27"/>
      <x:c r="AZ78" s="27"/>
    </x:row>
    <x:row r="79">
      <x:c r="A79" s="27"/>
      <x:c r="B79" s="27"/>
      <x:c r="C79" s="27"/>
      <x:c r="D79" s="27"/>
      <x:c r="E79" s="27"/>
      <x:c r="F79" s="27"/>
      <x:c r="G79" s="27"/>
      <x:c r="H79" s="27"/>
      <x:c r="I79" s="27"/>
      <x:c r="J79" s="27"/>
      <x:c r="K79" s="27"/>
      <x:c r="L79" s="27"/>
      <x:c r="M79" s="27"/>
      <x:c r="N79" s="27"/>
      <x:c r="O79" s="27"/>
      <x:c r="P79" s="27"/>
      <x:c r="Q79" s="27"/>
      <x:c r="R79" s="27"/>
      <x:c r="S79" s="27"/>
      <x:c r="T79" s="27"/>
      <x:c r="U79" s="27"/>
      <x:c r="V79" s="27"/>
      <x:c r="W79" s="27"/>
      <x:c r="X79" s="27"/>
      <x:c r="Y79" s="27"/>
      <x:c r="Z79" s="27"/>
      <x:c r="AA79" s="27"/>
      <x:c r="AB79" s="27"/>
      <x:c r="AC79" s="27"/>
      <x:c r="AD79" s="27"/>
      <x:c r="AE79" s="27"/>
      <x:c r="AF79" s="27"/>
      <x:c r="AG79" s="27"/>
      <x:c r="AH79" s="27"/>
      <x:c r="AI79" s="27"/>
      <x:c r="AJ79" s="27"/>
      <x:c r="AK79" s="27"/>
      <x:c r="AL79" s="27"/>
      <x:c r="AM79" s="27"/>
      <x:c r="AN79" s="27"/>
      <x:c r="AO79" s="27"/>
      <x:c r="AP79" s="27"/>
      <x:c r="AQ79" s="27"/>
      <x:c r="AR79" s="27"/>
      <x:c r="AS79" s="27"/>
      <x:c r="AT79" s="27"/>
      <x:c r="AU79" s="27"/>
      <x:c r="AV79" s="27"/>
      <x:c r="AW79" s="27"/>
      <x:c r="AX79" s="27"/>
      <x:c r="AY79" s="27"/>
      <x:c r="AZ79" s="27"/>
    </x:row>
    <x:row r="80">
      <x:c r="A80" s="27"/>
      <x:c r="B80" s="27"/>
      <x:c r="C80" s="27"/>
      <x:c r="D80" s="27"/>
      <x:c r="E80" s="27"/>
      <x:c r="F80" s="27"/>
      <x:c r="G80" s="27"/>
      <x:c r="H80" s="27"/>
      <x:c r="I80" s="27"/>
      <x:c r="J80" s="27"/>
      <x:c r="K80" s="27"/>
      <x:c r="L80" s="27"/>
      <x:c r="M80" s="27"/>
      <x:c r="N80" s="27"/>
      <x:c r="O80" s="27"/>
      <x:c r="P80" s="27"/>
      <x:c r="Q80" s="27"/>
      <x:c r="R80" s="27"/>
      <x:c r="S80" s="27"/>
      <x:c r="T80" s="27"/>
      <x:c r="U80" s="27"/>
      <x:c r="V80" s="27"/>
      <x:c r="W80" s="27"/>
      <x:c r="X80" s="27"/>
      <x:c r="Y80" s="27"/>
      <x:c r="Z80" s="27"/>
      <x:c r="AA80" s="27"/>
      <x:c r="AB80" s="27"/>
      <x:c r="AC80" s="27"/>
      <x:c r="AD80" s="27"/>
      <x:c r="AE80" s="27"/>
      <x:c r="AF80" s="27"/>
      <x:c r="AG80" s="27"/>
      <x:c r="AH80" s="27"/>
      <x:c r="AI80" s="27"/>
      <x:c r="AJ80" s="27"/>
      <x:c r="AK80" s="27"/>
      <x:c r="AL80" s="27"/>
      <x:c r="AM80" s="27"/>
      <x:c r="AN80" s="27"/>
      <x:c r="AO80" s="27"/>
      <x:c r="AP80" s="27"/>
      <x:c r="AQ80" s="27"/>
      <x:c r="AR80" s="27"/>
      <x:c r="AS80" s="27"/>
      <x:c r="AT80" s="27"/>
      <x:c r="AU80" s="27"/>
      <x:c r="AV80" s="27"/>
      <x:c r="AW80" s="27"/>
      <x:c r="AX80" s="27"/>
      <x:c r="AY80" s="27"/>
      <x:c r="AZ80" s="27"/>
    </x:row>
    <x:row r="81">
      <x:c r="A81" s="27"/>
      <x:c r="B81" s="27"/>
      <x:c r="C81" s="27"/>
      <x:c r="D81" s="27"/>
      <x:c r="E81" s="27"/>
      <x:c r="F81" s="27"/>
      <x:c r="G81" s="27"/>
      <x:c r="H81" s="27"/>
      <x:c r="I81" s="27"/>
      <x:c r="J81" s="27"/>
      <x:c r="K81" s="27"/>
      <x:c r="L81" s="27"/>
      <x:c r="M81" s="27"/>
      <x:c r="N81" s="27"/>
      <x:c r="O81" s="27"/>
      <x:c r="P81" s="27"/>
      <x:c r="Q81" s="27"/>
      <x:c r="R81" s="27"/>
      <x:c r="S81" s="27"/>
      <x:c r="T81" s="27"/>
      <x:c r="U81" s="27"/>
      <x:c r="V81" s="27"/>
      <x:c r="W81" s="27"/>
      <x:c r="X81" s="27"/>
      <x:c r="Y81" s="27"/>
      <x:c r="Z81" s="27"/>
      <x:c r="AA81" s="27"/>
      <x:c r="AB81" s="27"/>
      <x:c r="AC81" s="27"/>
      <x:c r="AD81" s="27"/>
      <x:c r="AE81" s="27"/>
      <x:c r="AF81" s="27"/>
      <x:c r="AG81" s="27"/>
      <x:c r="AH81" s="27"/>
      <x:c r="AI81" s="27"/>
      <x:c r="AJ81" s="27"/>
      <x:c r="AK81" s="27"/>
      <x:c r="AL81" s="27"/>
      <x:c r="AM81" s="27"/>
      <x:c r="AN81" s="27"/>
      <x:c r="AO81" s="27"/>
      <x:c r="AP81" s="27"/>
      <x:c r="AQ81" s="27"/>
      <x:c r="AR81" s="27"/>
      <x:c r="AS81" s="27"/>
      <x:c r="AT81" s="27"/>
      <x:c r="AU81" s="27"/>
      <x:c r="AV81" s="27"/>
      <x:c r="AW81" s="27"/>
      <x:c r="AX81" s="27"/>
      <x:c r="AY81" s="27"/>
      <x:c r="AZ81" s="27"/>
    </x:row>
    <x:row r="82">
      <x:c r="A82" s="27"/>
      <x:c r="B82" s="27"/>
      <x:c r="C82" s="27"/>
      <x:c r="D82" s="27"/>
      <x:c r="E82" s="27"/>
      <x:c r="F82" s="27"/>
      <x:c r="G82" s="27"/>
      <x:c r="H82" s="27"/>
      <x:c r="I82" s="27"/>
      <x:c r="J82" s="27"/>
      <x:c r="K82" s="27"/>
      <x:c r="L82" s="27"/>
      <x:c r="M82" s="27"/>
      <x:c r="N82" s="27"/>
      <x:c r="O82" s="27"/>
      <x:c r="P82" s="27"/>
      <x:c r="Q82" s="27"/>
      <x:c r="R82" s="27"/>
      <x:c r="S82" s="27"/>
      <x:c r="T82" s="27"/>
      <x:c r="U82" s="27"/>
      <x:c r="V82" s="27"/>
      <x:c r="W82" s="27"/>
      <x:c r="X82" s="27"/>
      <x:c r="Y82" s="27"/>
      <x:c r="Z82" s="27"/>
      <x:c r="AA82" s="27"/>
      <x:c r="AB82" s="27"/>
      <x:c r="AC82" s="27"/>
      <x:c r="AD82" s="27"/>
      <x:c r="AE82" s="27"/>
      <x:c r="AF82" s="27"/>
      <x:c r="AG82" s="27"/>
      <x:c r="AH82" s="27"/>
      <x:c r="AI82" s="27"/>
      <x:c r="AJ82" s="27"/>
      <x:c r="AK82" s="27"/>
      <x:c r="AL82" s="27"/>
      <x:c r="AM82" s="27"/>
      <x:c r="AN82" s="27"/>
      <x:c r="AO82" s="27"/>
      <x:c r="AP82" s="27"/>
      <x:c r="AQ82" s="27"/>
      <x:c r="AR82" s="27"/>
      <x:c r="AS82" s="27"/>
      <x:c r="AT82" s="27"/>
      <x:c r="AU82" s="27"/>
      <x:c r="AV82" s="27"/>
      <x:c r="AW82" s="27"/>
      <x:c r="AX82" s="27"/>
      <x:c r="AY82" s="27"/>
      <x:c r="AZ82" s="27"/>
    </x:row>
    <x:row r="83">
      <x:c r="A83" s="27"/>
      <x:c r="B83" s="27"/>
      <x:c r="C83" s="27"/>
      <x:c r="D83" s="27"/>
      <x:c r="E83" s="27"/>
      <x:c r="F83" s="27"/>
      <x:c r="G83" s="27"/>
      <x:c r="H83" s="27"/>
      <x:c r="I83" s="27"/>
      <x:c r="J83" s="27"/>
      <x:c r="K83" s="27"/>
      <x:c r="L83" s="27"/>
      <x:c r="M83" s="27"/>
      <x:c r="N83" s="27"/>
      <x:c r="O83" s="27"/>
      <x:c r="P83" s="27"/>
      <x:c r="Q83" s="27"/>
      <x:c r="R83" s="27"/>
      <x:c r="S83" s="27"/>
      <x:c r="T83" s="27"/>
      <x:c r="U83" s="27"/>
      <x:c r="V83" s="27"/>
      <x:c r="W83" s="27"/>
      <x:c r="X83" s="27"/>
      <x:c r="Y83" s="27"/>
      <x:c r="Z83" s="27"/>
      <x:c r="AA83" s="27"/>
      <x:c r="AB83" s="27"/>
      <x:c r="AC83" s="27"/>
      <x:c r="AD83" s="27"/>
      <x:c r="AE83" s="27"/>
      <x:c r="AF83" s="27"/>
      <x:c r="AG83" s="27"/>
      <x:c r="AH83" s="27"/>
      <x:c r="AI83" s="27"/>
      <x:c r="AJ83" s="27"/>
      <x:c r="AK83" s="27"/>
      <x:c r="AL83" s="27"/>
      <x:c r="AM83" s="27"/>
      <x:c r="AN83" s="27"/>
      <x:c r="AO83" s="27"/>
      <x:c r="AP83" s="27"/>
      <x:c r="AQ83" s="27"/>
      <x:c r="AR83" s="27"/>
      <x:c r="AS83" s="27"/>
      <x:c r="AT83" s="27"/>
      <x:c r="AU83" s="27"/>
      <x:c r="AV83" s="27"/>
      <x:c r="AW83" s="27"/>
      <x:c r="AX83" s="27"/>
      <x:c r="AY83" s="27"/>
      <x:c r="AZ83" s="27"/>
    </x:row>
    <x:row r="84">
      <x:c r="A84" s="27"/>
      <x:c r="B84" s="27"/>
      <x:c r="C84" s="27"/>
      <x:c r="D84" s="27"/>
      <x:c r="E84" s="27"/>
      <x:c r="F84" s="27"/>
      <x:c r="G84" s="27"/>
      <x:c r="H84" s="27"/>
      <x:c r="I84" s="27"/>
      <x:c r="J84" s="27"/>
      <x:c r="K84" s="27"/>
      <x:c r="L84" s="27"/>
      <x:c r="M84" s="27"/>
      <x:c r="N84" s="27"/>
      <x:c r="O84" s="27"/>
      <x:c r="P84" s="27"/>
      <x:c r="Q84" s="27"/>
      <x:c r="R84" s="27"/>
      <x:c r="S84" s="27"/>
      <x:c r="T84" s="27"/>
      <x:c r="U84" s="27"/>
      <x:c r="V84" s="27"/>
      <x:c r="W84" s="27"/>
      <x:c r="X84" s="27"/>
      <x:c r="Y84" s="27"/>
      <x:c r="Z84" s="27"/>
      <x:c r="AA84" s="27"/>
      <x:c r="AB84" s="27"/>
      <x:c r="AC84" s="27"/>
      <x:c r="AD84" s="27"/>
      <x:c r="AE84" s="27"/>
      <x:c r="AF84" s="27"/>
      <x:c r="AG84" s="27"/>
      <x:c r="AH84" s="27"/>
      <x:c r="AI84" s="27"/>
      <x:c r="AJ84" s="27"/>
      <x:c r="AK84" s="27"/>
      <x:c r="AL84" s="27"/>
      <x:c r="AM84" s="27"/>
      <x:c r="AN84" s="27"/>
      <x:c r="AO84" s="27"/>
      <x:c r="AP84" s="27"/>
      <x:c r="AQ84" s="27"/>
      <x:c r="AR84" s="27"/>
      <x:c r="AS84" s="27"/>
      <x:c r="AT84" s="27"/>
      <x:c r="AU84" s="27"/>
      <x:c r="AV84" s="27"/>
      <x:c r="AW84" s="27"/>
      <x:c r="AX84" s="27"/>
      <x:c r="AY84" s="27"/>
      <x:c r="AZ84" s="27"/>
    </x:row>
    <x:row r="85">
      <x:c r="A85" s="27"/>
      <x:c r="B85" s="27"/>
      <x:c r="C85" s="27"/>
      <x:c r="D85" s="27"/>
      <x:c r="E85" s="27"/>
      <x:c r="F85" s="27"/>
      <x:c r="G85" s="27"/>
      <x:c r="H85" s="27"/>
      <x:c r="I85" s="27"/>
      <x:c r="J85" s="27"/>
      <x:c r="K85" s="27"/>
      <x:c r="L85" s="27"/>
      <x:c r="M85" s="27"/>
      <x:c r="N85" s="27"/>
      <x:c r="O85" s="27"/>
      <x:c r="P85" s="27"/>
      <x:c r="Q85" s="27"/>
      <x:c r="R85" s="27"/>
      <x:c r="S85" s="27"/>
      <x:c r="T85" s="27"/>
      <x:c r="U85" s="27"/>
      <x:c r="V85" s="27"/>
      <x:c r="W85" s="27"/>
      <x:c r="X85" s="27"/>
      <x:c r="Y85" s="27"/>
      <x:c r="Z85" s="27"/>
      <x:c r="AA85" s="27"/>
      <x:c r="AB85" s="27"/>
      <x:c r="AC85" s="27"/>
      <x:c r="AD85" s="27"/>
      <x:c r="AE85" s="27"/>
      <x:c r="AF85" s="27"/>
      <x:c r="AG85" s="27"/>
      <x:c r="AH85" s="27"/>
      <x:c r="AI85" s="27"/>
      <x:c r="AJ85" s="27"/>
      <x:c r="AK85" s="27"/>
      <x:c r="AL85" s="27"/>
      <x:c r="AM85" s="27"/>
      <x:c r="AN85" s="27"/>
      <x:c r="AO85" s="27"/>
      <x:c r="AP85" s="27"/>
      <x:c r="AQ85" s="27"/>
      <x:c r="AR85" s="27"/>
      <x:c r="AS85" s="27"/>
      <x:c r="AT85" s="27"/>
      <x:c r="AU85" s="27"/>
      <x:c r="AV85" s="27"/>
      <x:c r="AW85" s="27"/>
      <x:c r="AX85" s="27"/>
      <x:c r="AY85" s="27"/>
      <x:c r="AZ85" s="27"/>
    </x:row>
    <x:row r="86">
      <x:c r="A86" s="27"/>
      <x:c r="B86" s="27"/>
      <x:c r="C86" s="27"/>
      <x:c r="D86" s="27"/>
      <x:c r="E86" s="27"/>
      <x:c r="F86" s="27"/>
      <x:c r="G86" s="27"/>
      <x:c r="H86" s="27"/>
      <x:c r="I86" s="27"/>
      <x:c r="J86" s="27"/>
      <x:c r="K86" s="27"/>
      <x:c r="L86" s="27"/>
      <x:c r="M86" s="27"/>
      <x:c r="N86" s="27"/>
      <x:c r="O86" s="27"/>
      <x:c r="P86" s="27"/>
      <x:c r="Q86" s="27"/>
      <x:c r="R86" s="27"/>
      <x:c r="S86" s="27"/>
      <x:c r="T86" s="27"/>
      <x:c r="U86" s="27"/>
      <x:c r="V86" s="27"/>
      <x:c r="W86" s="27"/>
      <x:c r="X86" s="27"/>
      <x:c r="Y86" s="27"/>
      <x:c r="Z86" s="27"/>
      <x:c r="AA86" s="27"/>
      <x:c r="AB86" s="27"/>
      <x:c r="AC86" s="27"/>
      <x:c r="AD86" s="27"/>
      <x:c r="AE86" s="27"/>
      <x:c r="AF86" s="27"/>
      <x:c r="AG86" s="27"/>
      <x:c r="AH86" s="27"/>
      <x:c r="AI86" s="27"/>
      <x:c r="AJ86" s="27"/>
      <x:c r="AK86" s="27"/>
      <x:c r="AL86" s="27"/>
      <x:c r="AM86" s="27"/>
      <x:c r="AN86" s="27"/>
      <x:c r="AO86" s="27"/>
      <x:c r="AP86" s="27"/>
      <x:c r="AQ86" s="27"/>
      <x:c r="AR86" s="27"/>
      <x:c r="AS86" s="27"/>
      <x:c r="AT86" s="27"/>
      <x:c r="AU86" s="27"/>
      <x:c r="AV86" s="27"/>
      <x:c r="AW86" s="27"/>
      <x:c r="AX86" s="27"/>
      <x:c r="AY86" s="27"/>
      <x:c r="AZ86" s="27"/>
    </x:row>
    <x:row r="87">
      <x:c r="A87" s="27"/>
      <x:c r="B87" s="27"/>
      <x:c r="C87" s="27"/>
      <x:c r="D87" s="27"/>
      <x:c r="E87" s="27"/>
      <x:c r="F87" s="27"/>
      <x:c r="G87" s="27"/>
      <x:c r="H87" s="27"/>
      <x:c r="I87" s="27"/>
      <x:c r="J87" s="27"/>
      <x:c r="K87" s="27"/>
      <x:c r="L87" s="27"/>
      <x:c r="M87" s="27"/>
      <x:c r="N87" s="27"/>
      <x:c r="O87" s="27"/>
      <x:c r="P87" s="27"/>
      <x:c r="Q87" s="27"/>
      <x:c r="R87" s="27"/>
      <x:c r="S87" s="27"/>
      <x:c r="T87" s="27"/>
      <x:c r="U87" s="27"/>
      <x:c r="V87" s="27"/>
      <x:c r="W87" s="27"/>
      <x:c r="X87" s="27"/>
      <x:c r="Y87" s="27"/>
      <x:c r="Z87" s="27"/>
      <x:c r="AA87" s="27"/>
      <x:c r="AB87" s="27"/>
      <x:c r="AC87" s="27"/>
      <x:c r="AD87" s="27"/>
      <x:c r="AE87" s="27"/>
      <x:c r="AF87" s="27"/>
      <x:c r="AG87" s="27"/>
      <x:c r="AH87" s="27"/>
      <x:c r="AI87" s="27"/>
      <x:c r="AJ87" s="27"/>
      <x:c r="AK87" s="27"/>
      <x:c r="AL87" s="27"/>
      <x:c r="AM87" s="27"/>
      <x:c r="AN87" s="27"/>
      <x:c r="AO87" s="27"/>
      <x:c r="AP87" s="27"/>
      <x:c r="AQ87" s="27"/>
      <x:c r="AR87" s="27"/>
      <x:c r="AS87" s="27"/>
      <x:c r="AT87" s="27"/>
      <x:c r="AU87" s="27"/>
      <x:c r="AV87" s="27"/>
      <x:c r="AW87" s="27"/>
      <x:c r="AX87" s="27"/>
      <x:c r="AY87" s="27"/>
      <x:c r="AZ87" s="27"/>
    </x:row>
    <x:row r="88">
      <x:c r="A88" s="27"/>
      <x:c r="B88" s="27"/>
      <x:c r="C88" s="27"/>
      <x:c r="D88" s="27"/>
      <x:c r="E88" s="27"/>
      <x:c r="F88" s="27"/>
      <x:c r="G88" s="27"/>
      <x:c r="H88" s="27"/>
      <x:c r="I88" s="27"/>
      <x:c r="J88" s="27"/>
      <x:c r="K88" s="27"/>
      <x:c r="L88" s="27"/>
      <x:c r="M88" s="27"/>
      <x:c r="N88" s="27"/>
      <x:c r="O88" s="27"/>
      <x:c r="P88" s="27"/>
      <x:c r="Q88" s="27"/>
      <x:c r="R88" s="27"/>
      <x:c r="S88" s="27"/>
      <x:c r="T88" s="27"/>
      <x:c r="U88" s="27"/>
      <x:c r="V88" s="27"/>
      <x:c r="W88" s="27"/>
      <x:c r="X88" s="27"/>
      <x:c r="Y88" s="27"/>
      <x:c r="Z88" s="27"/>
      <x:c r="AA88" s="27"/>
      <x:c r="AB88" s="27"/>
      <x:c r="AC88" s="27"/>
      <x:c r="AD88" s="27"/>
      <x:c r="AE88" s="27"/>
      <x:c r="AF88" s="27"/>
      <x:c r="AG88" s="27"/>
      <x:c r="AH88" s="27"/>
      <x:c r="AI88" s="27"/>
      <x:c r="AJ88" s="27"/>
      <x:c r="AK88" s="27"/>
      <x:c r="AL88" s="27"/>
      <x:c r="AM88" s="27"/>
      <x:c r="AN88" s="27"/>
      <x:c r="AO88" s="27"/>
      <x:c r="AP88" s="27"/>
      <x:c r="AQ88" s="27"/>
      <x:c r="AR88" s="27"/>
      <x:c r="AS88" s="27"/>
      <x:c r="AT88" s="27"/>
      <x:c r="AU88" s="27"/>
      <x:c r="AV88" s="27"/>
      <x:c r="AW88" s="27"/>
      <x:c r="AX88" s="27"/>
      <x:c r="AY88" s="27"/>
      <x:c r="AZ88" s="27"/>
    </x:row>
    <x:row r="89">
      <x:c r="A89" s="27"/>
      <x:c r="B89" s="27"/>
      <x:c r="C89" s="27"/>
      <x:c r="D89" s="27"/>
      <x:c r="E89" s="27"/>
      <x:c r="F89" s="27"/>
      <x:c r="G89" s="27"/>
      <x:c r="H89" s="27"/>
      <x:c r="I89" s="27"/>
      <x:c r="J89" s="27"/>
      <x:c r="K89" s="27"/>
      <x:c r="L89" s="27"/>
      <x:c r="M89" s="27"/>
      <x:c r="N89" s="27"/>
      <x:c r="O89" s="27"/>
      <x:c r="P89" s="27"/>
      <x:c r="Q89" s="27"/>
      <x:c r="R89" s="27"/>
      <x:c r="S89" s="27"/>
      <x:c r="T89" s="27"/>
      <x:c r="U89" s="27"/>
      <x:c r="V89" s="27"/>
      <x:c r="W89" s="27"/>
      <x:c r="X89" s="27"/>
      <x:c r="Y89" s="27"/>
      <x:c r="Z89" s="27"/>
      <x:c r="AA89" s="27"/>
      <x:c r="AB89" s="27"/>
      <x:c r="AC89" s="27"/>
      <x:c r="AD89" s="27"/>
      <x:c r="AE89" s="27"/>
      <x:c r="AF89" s="27"/>
      <x:c r="AG89" s="27"/>
      <x:c r="AH89" s="27"/>
      <x:c r="AI89" s="27"/>
      <x:c r="AJ89" s="27"/>
      <x:c r="AK89" s="27"/>
      <x:c r="AL89" s="27"/>
      <x:c r="AM89" s="27"/>
      <x:c r="AN89" s="27"/>
      <x:c r="AO89" s="27"/>
      <x:c r="AP89" s="27"/>
      <x:c r="AQ89" s="27"/>
      <x:c r="AR89" s="27"/>
      <x:c r="AS89" s="27"/>
      <x:c r="AT89" s="27"/>
      <x:c r="AU89" s="27"/>
      <x:c r="AV89" s="27"/>
      <x:c r="AW89" s="27"/>
      <x:c r="AX89" s="27"/>
      <x:c r="AY89" s="27"/>
      <x:c r="AZ89" s="27"/>
    </x:row>
    <x:row r="90">
      <x:c r="A90" s="27"/>
      <x:c r="B90" s="27"/>
      <x:c r="C90" s="27"/>
      <x:c r="D90" s="27"/>
      <x:c r="E90" s="27"/>
      <x:c r="F90" s="27"/>
      <x:c r="G90" s="27"/>
      <x:c r="H90" s="27"/>
      <x:c r="I90" s="27"/>
      <x:c r="J90" s="27"/>
      <x:c r="K90" s="27"/>
      <x:c r="L90" s="27"/>
      <x:c r="M90" s="27"/>
      <x:c r="N90" s="27"/>
      <x:c r="O90" s="27"/>
      <x:c r="P90" s="27"/>
      <x:c r="Q90" s="27"/>
      <x:c r="R90" s="27"/>
      <x:c r="S90" s="27"/>
      <x:c r="T90" s="27"/>
      <x:c r="U90" s="27"/>
      <x:c r="V90" s="27"/>
      <x:c r="W90" s="27"/>
      <x:c r="X90" s="27"/>
      <x:c r="Y90" s="27"/>
      <x:c r="Z90" s="27"/>
      <x:c r="AA90" s="27"/>
      <x:c r="AB90" s="27"/>
      <x:c r="AC90" s="27"/>
      <x:c r="AD90" s="27"/>
      <x:c r="AE90" s="27"/>
      <x:c r="AF90" s="27"/>
      <x:c r="AG90" s="27"/>
      <x:c r="AH90" s="27"/>
      <x:c r="AI90" s="27"/>
      <x:c r="AJ90" s="27"/>
      <x:c r="AK90" s="27"/>
      <x:c r="AL90" s="27"/>
      <x:c r="AM90" s="27"/>
      <x:c r="AN90" s="27"/>
      <x:c r="AO90" s="27"/>
      <x:c r="AP90" s="27"/>
      <x:c r="AQ90" s="27"/>
      <x:c r="AR90" s="27"/>
      <x:c r="AS90" s="27"/>
      <x:c r="AT90" s="27"/>
      <x:c r="AU90" s="27"/>
      <x:c r="AV90" s="27"/>
      <x:c r="AW90" s="27"/>
      <x:c r="AX90" s="27"/>
      <x:c r="AY90" s="27"/>
      <x:c r="AZ90" s="27"/>
    </x:row>
    <x:row r="91">
      <x:c r="A91" s="27"/>
      <x:c r="B91" s="27"/>
      <x:c r="C91" s="27"/>
      <x:c r="D91" s="27"/>
      <x:c r="E91" s="27"/>
      <x:c r="F91" s="27"/>
      <x:c r="G91" s="27"/>
      <x:c r="H91" s="27"/>
      <x:c r="I91" s="27"/>
      <x:c r="J91" s="27"/>
      <x:c r="K91" s="27"/>
      <x:c r="L91" s="27"/>
      <x:c r="M91" s="27"/>
      <x:c r="N91" s="27"/>
      <x:c r="O91" s="27"/>
      <x:c r="P91" s="27"/>
      <x:c r="Q91" s="27"/>
      <x:c r="R91" s="27"/>
      <x:c r="S91" s="27"/>
      <x:c r="T91" s="27"/>
      <x:c r="U91" s="27"/>
      <x:c r="V91" s="27"/>
      <x:c r="W91" s="27"/>
      <x:c r="X91" s="27"/>
      <x:c r="Y91" s="27"/>
      <x:c r="Z91" s="27"/>
      <x:c r="AA91" s="27"/>
      <x:c r="AB91" s="27"/>
      <x:c r="AC91" s="27"/>
      <x:c r="AD91" s="27"/>
      <x:c r="AE91" s="27"/>
      <x:c r="AF91" s="27"/>
      <x:c r="AG91" s="27"/>
      <x:c r="AH91" s="27"/>
      <x:c r="AI91" s="27"/>
      <x:c r="AJ91" s="27"/>
      <x:c r="AK91" s="27"/>
      <x:c r="AL91" s="27"/>
      <x:c r="AM91" s="27"/>
      <x:c r="AN91" s="27"/>
      <x:c r="AO91" s="27"/>
      <x:c r="AP91" s="27"/>
      <x:c r="AQ91" s="27"/>
      <x:c r="AR91" s="27"/>
      <x:c r="AS91" s="27"/>
      <x:c r="AT91" s="27"/>
      <x:c r="AU91" s="27"/>
      <x:c r="AV91" s="27"/>
      <x:c r="AW91" s="27"/>
      <x:c r="AX91" s="27"/>
      <x:c r="AY91" s="27"/>
      <x:c r="AZ91" s="27"/>
    </x:row>
    <x:row r="92">
      <x:c r="A92" s="27"/>
      <x:c r="B92" s="27"/>
      <x:c r="C92" s="27"/>
      <x:c r="D92" s="27"/>
      <x:c r="E92" s="27"/>
      <x:c r="F92" s="27"/>
      <x:c r="G92" s="27"/>
      <x:c r="H92" s="27"/>
      <x:c r="I92" s="27"/>
      <x:c r="J92" s="27"/>
      <x:c r="K92" s="27"/>
      <x:c r="L92" s="27"/>
      <x:c r="M92" s="27"/>
      <x:c r="N92" s="27"/>
      <x:c r="O92" s="27"/>
      <x:c r="P92" s="27"/>
      <x:c r="Q92" s="27"/>
      <x:c r="R92" s="27"/>
      <x:c r="S92" s="27"/>
      <x:c r="T92" s="27"/>
      <x:c r="U92" s="27"/>
      <x:c r="V92" s="27"/>
      <x:c r="W92" s="27"/>
      <x:c r="X92" s="27"/>
      <x:c r="Y92" s="27"/>
      <x:c r="Z92" s="27"/>
      <x:c r="AA92" s="27"/>
      <x:c r="AB92" s="27"/>
      <x:c r="AC92" s="27"/>
      <x:c r="AD92" s="27"/>
      <x:c r="AE92" s="27"/>
      <x:c r="AF92" s="27"/>
      <x:c r="AG92" s="27"/>
      <x:c r="AH92" s="27"/>
      <x:c r="AI92" s="27"/>
      <x:c r="AJ92" s="27"/>
      <x:c r="AK92" s="27"/>
      <x:c r="AL92" s="27"/>
      <x:c r="AM92" s="27"/>
      <x:c r="AN92" s="27"/>
      <x:c r="AO92" s="27"/>
      <x:c r="AP92" s="27"/>
      <x:c r="AQ92" s="27"/>
      <x:c r="AR92" s="27"/>
      <x:c r="AS92" s="27"/>
      <x:c r="AT92" s="27"/>
      <x:c r="AU92" s="27"/>
      <x:c r="AV92" s="27"/>
      <x:c r="AW92" s="27"/>
      <x:c r="AX92" s="27"/>
      <x:c r="AY92" s="27"/>
      <x:c r="AZ92" s="27"/>
    </x:row>
    <x:row r="93">
      <x:c r="A93" s="27"/>
      <x:c r="B93" s="27"/>
      <x:c r="C93" s="27"/>
      <x:c r="D93" s="27"/>
      <x:c r="E93" s="27"/>
      <x:c r="F93" s="27"/>
      <x:c r="G93" s="27"/>
      <x:c r="H93" s="27"/>
      <x:c r="I93" s="27"/>
      <x:c r="J93" s="27"/>
      <x:c r="K93" s="27"/>
      <x:c r="L93" s="27"/>
      <x:c r="M93" s="27"/>
      <x:c r="N93" s="27"/>
      <x:c r="O93" s="27"/>
      <x:c r="P93" s="27"/>
      <x:c r="Q93" s="27"/>
      <x:c r="R93" s="27"/>
      <x:c r="S93" s="27"/>
      <x:c r="T93" s="27"/>
      <x:c r="U93" s="27"/>
      <x:c r="V93" s="27"/>
      <x:c r="W93" s="27"/>
      <x:c r="X93" s="27"/>
      <x:c r="Y93" s="27"/>
      <x:c r="Z93" s="27"/>
      <x:c r="AA93" s="27"/>
      <x:c r="AB93" s="27"/>
      <x:c r="AC93" s="27"/>
      <x:c r="AD93" s="27"/>
      <x:c r="AE93" s="27"/>
      <x:c r="AF93" s="27"/>
      <x:c r="AG93" s="27"/>
      <x:c r="AH93" s="27"/>
      <x:c r="AI93" s="27"/>
      <x:c r="AJ93" s="27"/>
      <x:c r="AK93" s="27"/>
      <x:c r="AL93" s="27"/>
      <x:c r="AM93" s="27"/>
      <x:c r="AN93" s="27"/>
      <x:c r="AO93" s="27"/>
      <x:c r="AP93" s="27"/>
      <x:c r="AQ93" s="27"/>
      <x:c r="AR93" s="27"/>
      <x:c r="AS93" s="27"/>
      <x:c r="AT93" s="27"/>
      <x:c r="AU93" s="27"/>
      <x:c r="AV93" s="27"/>
      <x:c r="AW93" s="27"/>
      <x:c r="AX93" s="27"/>
      <x:c r="AY93" s="27"/>
      <x:c r="AZ93" s="27"/>
    </x:row>
    <x:row r="94">
      <x:c r="A94" s="27"/>
      <x:c r="B94" s="27"/>
      <x:c r="C94" s="27"/>
      <x:c r="D94" s="27"/>
      <x:c r="E94" s="27"/>
      <x:c r="F94" s="27"/>
      <x:c r="G94" s="27"/>
      <x:c r="H94" s="27"/>
      <x:c r="I94" s="27"/>
      <x:c r="J94" s="27"/>
      <x:c r="K94" s="27"/>
      <x:c r="L94" s="27"/>
      <x:c r="M94" s="27"/>
      <x:c r="N94" s="27"/>
      <x:c r="O94" s="27"/>
      <x:c r="P94" s="27"/>
      <x:c r="Q94" s="27"/>
      <x:c r="R94" s="27"/>
      <x:c r="S94" s="27"/>
      <x:c r="T94" s="27"/>
      <x:c r="U94" s="27"/>
      <x:c r="V94" s="27"/>
      <x:c r="W94" s="27"/>
      <x:c r="X94" s="27"/>
      <x:c r="Y94" s="27"/>
      <x:c r="Z94" s="27"/>
      <x:c r="AA94" s="27"/>
      <x:c r="AB94" s="27"/>
      <x:c r="AC94" s="27"/>
      <x:c r="AD94" s="27"/>
      <x:c r="AE94" s="27"/>
      <x:c r="AF94" s="27"/>
      <x:c r="AG94" s="27"/>
      <x:c r="AH94" s="27"/>
      <x:c r="AI94" s="27"/>
      <x:c r="AJ94" s="27"/>
      <x:c r="AK94" s="27"/>
      <x:c r="AL94" s="27"/>
      <x:c r="AM94" s="27"/>
      <x:c r="AN94" s="27"/>
      <x:c r="AO94" s="27"/>
      <x:c r="AP94" s="27"/>
      <x:c r="AQ94" s="27"/>
      <x:c r="AR94" s="27"/>
      <x:c r="AS94" s="27"/>
      <x:c r="AT94" s="27"/>
      <x:c r="AU94" s="27"/>
      <x:c r="AV94" s="27"/>
      <x:c r="AW94" s="27"/>
      <x:c r="AX94" s="27"/>
      <x:c r="AY94" s="27"/>
      <x:c r="AZ94" s="27"/>
    </x:row>
    <x:row r="95">
      <x:c r="A95" s="27"/>
      <x:c r="B95" s="27"/>
      <x:c r="C95" s="27"/>
      <x:c r="D95" s="27"/>
      <x:c r="E95" s="27"/>
      <x:c r="F95" s="27"/>
      <x:c r="G95" s="27"/>
      <x:c r="H95" s="27"/>
      <x:c r="I95" s="27"/>
      <x:c r="J95" s="27"/>
      <x:c r="K95" s="27"/>
      <x:c r="L95" s="27"/>
      <x:c r="M95" s="27"/>
      <x:c r="N95" s="27"/>
      <x:c r="O95" s="27"/>
      <x:c r="P95" s="27"/>
      <x:c r="Q95" s="27"/>
      <x:c r="R95" s="27"/>
      <x:c r="S95" s="27"/>
      <x:c r="T95" s="27"/>
      <x:c r="U95" s="27"/>
      <x:c r="V95" s="27"/>
      <x:c r="W95" s="27"/>
      <x:c r="X95" s="27"/>
      <x:c r="Y95" s="27"/>
      <x:c r="Z95" s="27"/>
      <x:c r="AA95" s="27"/>
      <x:c r="AB95" s="27"/>
      <x:c r="AC95" s="27"/>
      <x:c r="AD95" s="27"/>
      <x:c r="AE95" s="27"/>
      <x:c r="AF95" s="27"/>
      <x:c r="AG95" s="27"/>
      <x:c r="AH95" s="27"/>
      <x:c r="AI95" s="27"/>
      <x:c r="AJ95" s="27"/>
      <x:c r="AK95" s="27"/>
      <x:c r="AL95" s="27"/>
      <x:c r="AM95" s="27"/>
      <x:c r="AN95" s="27"/>
      <x:c r="AO95" s="27"/>
      <x:c r="AP95" s="27"/>
      <x:c r="AQ95" s="27"/>
      <x:c r="AR95" s="27"/>
      <x:c r="AS95" s="27"/>
      <x:c r="AT95" s="27"/>
      <x:c r="AU95" s="27"/>
      <x:c r="AV95" s="27"/>
      <x:c r="AW95" s="27"/>
      <x:c r="AX95" s="27"/>
      <x:c r="AY95" s="27"/>
      <x:c r="AZ95" s="27"/>
    </x:row>
    <x:row r="96">
      <x:c r="A96" s="27"/>
      <x:c r="B96" s="27"/>
      <x:c r="C96" s="27"/>
      <x:c r="D96" s="27"/>
      <x:c r="E96" s="27"/>
      <x:c r="F96" s="27"/>
      <x:c r="G96" s="27"/>
      <x:c r="H96" s="27"/>
      <x:c r="I96" s="27"/>
      <x:c r="J96" s="27"/>
      <x:c r="K96" s="27"/>
      <x:c r="L96" s="27"/>
      <x:c r="M96" s="27"/>
      <x:c r="N96" s="27"/>
      <x:c r="O96" s="27"/>
      <x:c r="P96" s="27"/>
      <x:c r="Q96" s="27"/>
      <x:c r="R96" s="27"/>
      <x:c r="S96" s="27"/>
      <x:c r="T96" s="27"/>
      <x:c r="U96" s="27"/>
      <x:c r="V96" s="27"/>
      <x:c r="W96" s="27"/>
      <x:c r="X96" s="27"/>
      <x:c r="Y96" s="27"/>
      <x:c r="Z96" s="27"/>
      <x:c r="AA96" s="27"/>
      <x:c r="AB96" s="27"/>
      <x:c r="AC96" s="27"/>
      <x:c r="AD96" s="27"/>
      <x:c r="AE96" s="27"/>
      <x:c r="AF96" s="27"/>
      <x:c r="AG96" s="27"/>
      <x:c r="AH96" s="27"/>
      <x:c r="AI96" s="27"/>
      <x:c r="AJ96" s="27"/>
      <x:c r="AK96" s="27"/>
      <x:c r="AL96" s="27"/>
      <x:c r="AM96" s="27"/>
      <x:c r="AN96" s="27"/>
      <x:c r="AO96" s="27"/>
      <x:c r="AP96" s="27"/>
      <x:c r="AQ96" s="27"/>
      <x:c r="AR96" s="27"/>
      <x:c r="AS96" s="27"/>
      <x:c r="AT96" s="27"/>
      <x:c r="AU96" s="27"/>
      <x:c r="AV96" s="27"/>
      <x:c r="AW96" s="27"/>
      <x:c r="AX96" s="27"/>
      <x:c r="AY96" s="27"/>
      <x:c r="AZ96" s="27"/>
    </x:row>
    <x:row r="97">
      <x:c r="A97" s="27"/>
      <x:c r="B97" s="27"/>
      <x:c r="C97" s="27"/>
      <x:c r="D97" s="27"/>
      <x:c r="E97" s="27"/>
      <x:c r="F97" s="27"/>
      <x:c r="G97" s="27"/>
      <x:c r="H97" s="27"/>
      <x:c r="I97" s="27"/>
      <x:c r="J97" s="27"/>
      <x:c r="K97" s="27"/>
      <x:c r="L97" s="27"/>
      <x:c r="M97" s="27"/>
      <x:c r="N97" s="27"/>
      <x:c r="O97" s="27"/>
      <x:c r="P97" s="27"/>
      <x:c r="Q97" s="27"/>
      <x:c r="R97" s="27"/>
      <x:c r="S97" s="27"/>
      <x:c r="T97" s="27"/>
      <x:c r="U97" s="27"/>
      <x:c r="V97" s="27"/>
      <x:c r="W97" s="27"/>
      <x:c r="X97" s="27"/>
      <x:c r="Y97" s="27"/>
      <x:c r="Z97" s="27"/>
      <x:c r="AA97" s="27"/>
      <x:c r="AB97" s="27"/>
      <x:c r="AC97" s="27"/>
      <x:c r="AD97" s="27"/>
      <x:c r="AE97" s="27"/>
      <x:c r="AF97" s="27"/>
      <x:c r="AG97" s="27"/>
      <x:c r="AH97" s="27"/>
      <x:c r="AI97" s="27"/>
      <x:c r="AJ97" s="27"/>
      <x:c r="AK97" s="27"/>
      <x:c r="AL97" s="27"/>
      <x:c r="AM97" s="27"/>
      <x:c r="AN97" s="27"/>
      <x:c r="AO97" s="27"/>
      <x:c r="AP97" s="27"/>
      <x:c r="AQ97" s="27"/>
      <x:c r="AR97" s="27"/>
      <x:c r="AS97" s="27"/>
      <x:c r="AT97" s="27"/>
      <x:c r="AU97" s="27"/>
      <x:c r="AV97" s="27"/>
      <x:c r="AW97" s="27"/>
      <x:c r="AX97" s="27"/>
      <x:c r="AY97" s="27"/>
      <x:c r="AZ97" s="27"/>
    </x:row>
    <x:row r="98">
      <x:c r="A98" s="27"/>
      <x:c r="B98" s="27"/>
      <x:c r="C98" s="27"/>
      <x:c r="D98" s="27"/>
      <x:c r="E98" s="27"/>
      <x:c r="F98" s="27"/>
      <x:c r="G98" s="27"/>
      <x:c r="H98" s="27"/>
      <x:c r="I98" s="27"/>
      <x:c r="J98" s="27"/>
      <x:c r="K98" s="27"/>
      <x:c r="L98" s="27"/>
      <x:c r="M98" s="27"/>
      <x:c r="N98" s="27"/>
      <x:c r="O98" s="27"/>
      <x:c r="P98" s="27"/>
      <x:c r="Q98" s="27"/>
      <x:c r="R98" s="27"/>
      <x:c r="S98" s="27"/>
      <x:c r="T98" s="27"/>
      <x:c r="U98" s="27"/>
      <x:c r="V98" s="27"/>
      <x:c r="W98" s="27"/>
      <x:c r="X98" s="27"/>
      <x:c r="Y98" s="27"/>
      <x:c r="Z98" s="27"/>
      <x:c r="AA98" s="27"/>
      <x:c r="AB98" s="27"/>
      <x:c r="AC98" s="27"/>
      <x:c r="AD98" s="27"/>
      <x:c r="AE98" s="27"/>
      <x:c r="AF98" s="27"/>
      <x:c r="AG98" s="27"/>
      <x:c r="AH98" s="27"/>
      <x:c r="AI98" s="27"/>
      <x:c r="AJ98" s="27"/>
      <x:c r="AK98" s="27"/>
      <x:c r="AL98" s="27"/>
      <x:c r="AM98" s="27"/>
      <x:c r="AN98" s="27"/>
      <x:c r="AO98" s="27"/>
      <x:c r="AP98" s="27"/>
      <x:c r="AQ98" s="27"/>
      <x:c r="AR98" s="27"/>
      <x:c r="AS98" s="27"/>
      <x:c r="AT98" s="27"/>
      <x:c r="AU98" s="27"/>
      <x:c r="AV98" s="27"/>
      <x:c r="AW98" s="27"/>
      <x:c r="AX98" s="27"/>
      <x:c r="AY98" s="27"/>
      <x:c r="AZ98" s="27"/>
    </x:row>
    <x:row r="99">
      <x:c r="A99" s="27"/>
      <x:c r="B99" s="27"/>
      <x:c r="C99" s="27"/>
      <x:c r="D99" s="27"/>
      <x:c r="E99" s="27"/>
      <x:c r="F99" s="27"/>
      <x:c r="G99" s="27"/>
      <x:c r="H99" s="27"/>
      <x:c r="I99" s="27"/>
      <x:c r="J99" s="27"/>
      <x:c r="K99" s="27"/>
      <x:c r="L99" s="27"/>
      <x:c r="M99" s="27"/>
      <x:c r="N99" s="27"/>
      <x:c r="O99" s="27"/>
      <x:c r="P99" s="27"/>
      <x:c r="Q99" s="27"/>
      <x:c r="R99" s="27"/>
      <x:c r="S99" s="27"/>
      <x:c r="T99" s="27"/>
      <x:c r="U99" s="27"/>
      <x:c r="V99" s="27"/>
      <x:c r="W99" s="27"/>
      <x:c r="X99" s="27"/>
      <x:c r="Y99" s="27"/>
      <x:c r="Z99" s="27"/>
      <x:c r="AA99" s="27"/>
      <x:c r="AB99" s="27"/>
      <x:c r="AC99" s="27"/>
      <x:c r="AD99" s="27"/>
      <x:c r="AE99" s="27"/>
      <x:c r="AF99" s="27"/>
      <x:c r="AG99" s="27"/>
      <x:c r="AH99" s="27"/>
      <x:c r="AI99" s="27"/>
      <x:c r="AJ99" s="27"/>
      <x:c r="AK99" s="27"/>
      <x:c r="AL99" s="27"/>
      <x:c r="AM99" s="27"/>
      <x:c r="AN99" s="27"/>
      <x:c r="AO99" s="27"/>
      <x:c r="AP99" s="27"/>
      <x:c r="AQ99" s="27"/>
      <x:c r="AR99" s="27"/>
      <x:c r="AS99" s="27"/>
      <x:c r="AT99" s="27"/>
      <x:c r="AU99" s="27"/>
      <x:c r="AV99" s="27"/>
      <x:c r="AW99" s="27"/>
      <x:c r="AX99" s="27"/>
      <x:c r="AY99" s="27"/>
      <x:c r="AZ99" s="27"/>
    </x:row>
    <x:row r="100">
      <x:c r="A100" s="27"/>
      <x:c r="B100" s="27"/>
      <x:c r="C100" s="27"/>
      <x:c r="D100" s="27"/>
      <x:c r="E100" s="27"/>
      <x:c r="F100" s="27"/>
      <x:c r="G100" s="27"/>
      <x:c r="H100" s="27"/>
      <x:c r="I100" s="27"/>
      <x:c r="J100" s="27"/>
      <x:c r="K100" s="27"/>
      <x:c r="L100" s="27"/>
      <x:c r="M100" s="27"/>
      <x:c r="N100" s="27"/>
      <x:c r="O100" s="27"/>
      <x:c r="P100" s="27"/>
      <x:c r="Q100" s="27"/>
      <x:c r="R100" s="27"/>
      <x:c r="S100" s="27"/>
      <x:c r="T100" s="27"/>
      <x:c r="U100" s="27"/>
      <x:c r="V100" s="27"/>
      <x:c r="W100" s="27"/>
      <x:c r="X100" s="27"/>
      <x:c r="Y100" s="27"/>
      <x:c r="Z100" s="27"/>
      <x:c r="AA100" s="27"/>
      <x:c r="AB100" s="27"/>
      <x:c r="AC100" s="27"/>
      <x:c r="AD100" s="27"/>
      <x:c r="AE100" s="27"/>
      <x:c r="AF100" s="27"/>
      <x:c r="AG100" s="27"/>
      <x:c r="AH100" s="27"/>
      <x:c r="AI100" s="27"/>
      <x:c r="AJ100" s="27"/>
      <x:c r="AK100" s="27"/>
      <x:c r="AL100" s="27"/>
      <x:c r="AM100" s="27"/>
      <x:c r="AN100" s="27"/>
      <x:c r="AO100" s="27"/>
      <x:c r="AP100" s="27"/>
      <x:c r="AQ100" s="27"/>
      <x:c r="AR100" s="27"/>
      <x:c r="AS100" s="27"/>
      <x:c r="AT100" s="27"/>
      <x:c r="AU100" s="27"/>
      <x:c r="AV100" s="27"/>
      <x:c r="AW100" s="27"/>
      <x:c r="AX100" s="27"/>
      <x:c r="AY100" s="27"/>
      <x:c r="AZ100" s="27"/>
    </x:row>
    <x:row r="101">
      <x:c r="A101" s="27"/>
      <x:c r="B101" s="27"/>
      <x:c r="C101" s="27"/>
      <x:c r="D101" s="27"/>
      <x:c r="E101" s="27"/>
      <x:c r="F101" s="27"/>
      <x:c r="G101" s="27"/>
      <x:c r="H101" s="27"/>
      <x:c r="I101" s="27"/>
      <x:c r="J101" s="27"/>
      <x:c r="K101" s="27"/>
      <x:c r="L101" s="27"/>
      <x:c r="M101" s="27"/>
      <x:c r="N101" s="27"/>
      <x:c r="O101" s="27"/>
      <x:c r="P101" s="27"/>
      <x:c r="Q101" s="27"/>
      <x:c r="R101" s="27"/>
      <x:c r="S101" s="27"/>
      <x:c r="T101" s="27"/>
      <x:c r="U101" s="27"/>
      <x:c r="V101" s="27"/>
      <x:c r="W101" s="27"/>
      <x:c r="X101" s="27"/>
      <x:c r="Y101" s="27"/>
      <x:c r="Z101" s="27"/>
      <x:c r="AA101" s="27"/>
      <x:c r="AB101" s="27"/>
      <x:c r="AC101" s="27"/>
      <x:c r="AD101" s="27"/>
      <x:c r="AE101" s="27"/>
      <x:c r="AF101" s="27"/>
      <x:c r="AG101" s="27"/>
      <x:c r="AH101" s="27"/>
      <x:c r="AI101" s="27"/>
      <x:c r="AJ101" s="27"/>
      <x:c r="AK101" s="27"/>
      <x:c r="AL101" s="27"/>
      <x:c r="AM101" s="27"/>
      <x:c r="AN101" s="27"/>
      <x:c r="AO101" s="27"/>
      <x:c r="AP101" s="27"/>
      <x:c r="AQ101" s="27"/>
      <x:c r="AR101" s="27"/>
      <x:c r="AS101" s="27"/>
      <x:c r="AT101" s="27"/>
      <x:c r="AU101" s="27"/>
      <x:c r="AV101" s="27"/>
      <x:c r="AW101" s="27"/>
      <x:c r="AX101" s="27"/>
      <x:c r="AY101" s="27"/>
      <x:c r="AZ101" s="27"/>
    </x:row>
    <x:row r="102">
      <x:c r="A102" s="27"/>
      <x:c r="B102" s="27"/>
      <x:c r="C102" s="27"/>
      <x:c r="D102" s="27"/>
      <x:c r="E102" s="27"/>
      <x:c r="F102" s="27"/>
      <x:c r="G102" s="27"/>
      <x:c r="H102" s="27"/>
      <x:c r="I102" s="27"/>
      <x:c r="J102" s="27"/>
      <x:c r="K102" s="27"/>
      <x:c r="L102" s="27"/>
      <x:c r="M102" s="27"/>
      <x:c r="N102" s="27"/>
      <x:c r="O102" s="27"/>
      <x:c r="P102" s="27"/>
      <x:c r="Q102" s="27"/>
      <x:c r="R102" s="27"/>
      <x:c r="S102" s="27"/>
      <x:c r="T102" s="27"/>
      <x:c r="U102" s="27"/>
      <x:c r="V102" s="27"/>
      <x:c r="W102" s="27"/>
      <x:c r="X102" s="27"/>
      <x:c r="Y102" s="27"/>
      <x:c r="Z102" s="27"/>
      <x:c r="AA102" s="27"/>
      <x:c r="AB102" s="27"/>
      <x:c r="AC102" s="27"/>
      <x:c r="AD102" s="27"/>
      <x:c r="AE102" s="27"/>
      <x:c r="AF102" s="27"/>
      <x:c r="AG102" s="27"/>
      <x:c r="AH102" s="27"/>
      <x:c r="AI102" s="27"/>
      <x:c r="AJ102" s="27"/>
      <x:c r="AK102" s="27"/>
      <x:c r="AL102" s="27"/>
      <x:c r="AM102" s="27"/>
      <x:c r="AN102" s="27"/>
      <x:c r="AO102" s="27"/>
      <x:c r="AP102" s="27"/>
      <x:c r="AQ102" s="27"/>
      <x:c r="AR102" s="27"/>
      <x:c r="AS102" s="27"/>
      <x:c r="AT102" s="27"/>
      <x:c r="AU102" s="27"/>
      <x:c r="AV102" s="27"/>
      <x:c r="AW102" s="27"/>
      <x:c r="AX102" s="27"/>
      <x:c r="AY102" s="27"/>
      <x:c r="AZ102" s="27"/>
    </x:row>
    <x:row r="103">
      <x:c r="A103" s="27"/>
      <x:c r="B103" s="27"/>
      <x:c r="C103" s="27"/>
      <x:c r="D103" s="27"/>
      <x:c r="E103" s="27"/>
      <x:c r="F103" s="27"/>
      <x:c r="G103" s="27"/>
      <x:c r="H103" s="27"/>
      <x:c r="I103" s="27"/>
      <x:c r="J103" s="27"/>
      <x:c r="K103" s="27"/>
      <x:c r="L103" s="27"/>
      <x:c r="M103" s="27"/>
      <x:c r="N103" s="27"/>
      <x:c r="O103" s="27"/>
      <x:c r="P103" s="27"/>
      <x:c r="Q103" s="27"/>
      <x:c r="R103" s="27"/>
      <x:c r="S103" s="27"/>
      <x:c r="T103" s="27"/>
      <x:c r="U103" s="27"/>
      <x:c r="V103" s="27"/>
      <x:c r="W103" s="27"/>
      <x:c r="X103" s="27"/>
      <x:c r="Y103" s="27"/>
      <x:c r="Z103" s="27"/>
      <x:c r="AA103" s="27"/>
      <x:c r="AB103" s="27"/>
      <x:c r="AC103" s="27"/>
      <x:c r="AD103" s="27"/>
      <x:c r="AE103" s="27"/>
      <x:c r="AF103" s="27"/>
      <x:c r="AG103" s="27"/>
      <x:c r="AH103" s="27"/>
      <x:c r="AI103" s="27"/>
      <x:c r="AJ103" s="27"/>
      <x:c r="AK103" s="27"/>
      <x:c r="AL103" s="27"/>
      <x:c r="AM103" s="27"/>
      <x:c r="AN103" s="27"/>
      <x:c r="AO103" s="27"/>
      <x:c r="AP103" s="27"/>
      <x:c r="AQ103" s="27"/>
      <x:c r="AR103" s="27"/>
      <x:c r="AS103" s="27"/>
      <x:c r="AT103" s="27"/>
      <x:c r="AU103" s="27"/>
      <x:c r="AV103" s="27"/>
      <x:c r="AW103" s="27"/>
      <x:c r="AX103" s="27"/>
      <x:c r="AY103" s="27"/>
      <x:c r="AZ103" s="27"/>
    </x:row>
    <x:row r="104">
      <x:c r="A104" s="27"/>
      <x:c r="B104" s="27"/>
      <x:c r="C104" s="27"/>
      <x:c r="D104" s="27"/>
      <x:c r="E104" s="27"/>
      <x:c r="F104" s="27"/>
      <x:c r="G104" s="27"/>
      <x:c r="H104" s="27"/>
      <x:c r="I104" s="27"/>
      <x:c r="J104" s="27"/>
      <x:c r="K104" s="27"/>
      <x:c r="L104" s="27"/>
      <x:c r="M104" s="27"/>
      <x:c r="N104" s="27"/>
      <x:c r="O104" s="27"/>
      <x:c r="P104" s="27"/>
      <x:c r="Q104" s="27"/>
      <x:c r="R104" s="27"/>
      <x:c r="S104" s="27"/>
      <x:c r="T104" s="27"/>
      <x:c r="U104" s="27"/>
      <x:c r="V104" s="27"/>
      <x:c r="W104" s="27"/>
      <x:c r="X104" s="27"/>
      <x:c r="Y104" s="27"/>
      <x:c r="Z104" s="27"/>
      <x:c r="AA104" s="27"/>
      <x:c r="AB104" s="27"/>
      <x:c r="AC104" s="27"/>
      <x:c r="AD104" s="27"/>
      <x:c r="AE104" s="27"/>
      <x:c r="AF104" s="27"/>
      <x:c r="AG104" s="27"/>
      <x:c r="AH104" s="27"/>
      <x:c r="AI104" s="27"/>
      <x:c r="AJ104" s="27"/>
      <x:c r="AK104" s="27"/>
      <x:c r="AL104" s="27"/>
      <x:c r="AM104" s="27"/>
      <x:c r="AN104" s="27"/>
      <x:c r="AO104" s="27"/>
      <x:c r="AP104" s="27"/>
      <x:c r="AQ104" s="27"/>
      <x:c r="AR104" s="27"/>
      <x:c r="AS104" s="27"/>
      <x:c r="AT104" s="27"/>
      <x:c r="AU104" s="27"/>
      <x:c r="AV104" s="27"/>
      <x:c r="AW104" s="27"/>
      <x:c r="AX104" s="27"/>
      <x:c r="AY104" s="27"/>
      <x:c r="AZ104" s="27"/>
    </x:row>
    <x:row r="105">
      <x:c r="A105" s="27"/>
      <x:c r="B105" s="27"/>
      <x:c r="C105" s="27"/>
      <x:c r="D105" s="27"/>
      <x:c r="E105" s="27"/>
      <x:c r="F105" s="27"/>
      <x:c r="G105" s="27"/>
      <x:c r="H105" s="27"/>
      <x:c r="I105" s="27"/>
      <x:c r="J105" s="27"/>
      <x:c r="K105" s="27"/>
      <x:c r="L105" s="27"/>
      <x:c r="M105" s="27"/>
      <x:c r="N105" s="27"/>
      <x:c r="O105" s="27"/>
      <x:c r="P105" s="27"/>
      <x:c r="Q105" s="27"/>
      <x:c r="R105" s="27"/>
      <x:c r="S105" s="27"/>
      <x:c r="T105" s="27"/>
      <x:c r="U105" s="27"/>
      <x:c r="V105" s="27"/>
      <x:c r="W105" s="27"/>
      <x:c r="X105" s="27"/>
      <x:c r="Y105" s="27"/>
      <x:c r="Z105" s="27"/>
      <x:c r="AA105" s="27"/>
      <x:c r="AB105" s="27"/>
      <x:c r="AC105" s="27"/>
      <x:c r="AD105" s="27"/>
      <x:c r="AE105" s="27"/>
      <x:c r="AF105" s="27"/>
      <x:c r="AG105" s="27"/>
      <x:c r="AH105" s="27"/>
      <x:c r="AI105" s="27"/>
      <x:c r="AJ105" s="27"/>
      <x:c r="AK105" s="27"/>
      <x:c r="AL105" s="27"/>
      <x:c r="AM105" s="27"/>
      <x:c r="AN105" s="27"/>
      <x:c r="AO105" s="27"/>
      <x:c r="AP105" s="27"/>
      <x:c r="AQ105" s="27"/>
      <x:c r="AR105" s="27"/>
      <x:c r="AS105" s="27"/>
      <x:c r="AT105" s="27"/>
      <x:c r="AU105" s="27"/>
      <x:c r="AV105" s="27"/>
      <x:c r="AW105" s="27"/>
      <x:c r="AX105" s="27"/>
      <x:c r="AY105" s="27"/>
      <x:c r="AZ105" s="27"/>
    </x:row>
    <x:row r="106">
      <x:c r="A106" s="27"/>
      <x:c r="B106" s="27"/>
      <x:c r="C106" s="27"/>
      <x:c r="D106" s="27"/>
      <x:c r="E106" s="27"/>
      <x:c r="F106" s="27"/>
      <x:c r="G106" s="27"/>
      <x:c r="H106" s="27"/>
      <x:c r="I106" s="27"/>
      <x:c r="J106" s="27"/>
      <x:c r="K106" s="27"/>
      <x:c r="L106" s="27"/>
      <x:c r="M106" s="27"/>
      <x:c r="N106" s="27"/>
      <x:c r="O106" s="27"/>
      <x:c r="P106" s="27"/>
      <x:c r="Q106" s="27"/>
      <x:c r="R106" s="27"/>
      <x:c r="S106" s="27"/>
      <x:c r="T106" s="27"/>
      <x:c r="U106" s="27"/>
      <x:c r="V106" s="27"/>
      <x:c r="W106" s="27"/>
      <x:c r="X106" s="27"/>
      <x:c r="Y106" s="27"/>
      <x:c r="Z106" s="27"/>
      <x:c r="AA106" s="27"/>
      <x:c r="AB106" s="27"/>
      <x:c r="AC106" s="27"/>
      <x:c r="AD106" s="27"/>
      <x:c r="AE106" s="27"/>
      <x:c r="AF106" s="27"/>
      <x:c r="AG106" s="27"/>
      <x:c r="AH106" s="27"/>
      <x:c r="AI106" s="27"/>
      <x:c r="AJ106" s="27"/>
      <x:c r="AK106" s="27"/>
      <x:c r="AL106" s="27"/>
      <x:c r="AM106" s="27"/>
      <x:c r="AN106" s="27"/>
      <x:c r="AO106" s="27"/>
      <x:c r="AP106" s="27"/>
      <x:c r="AQ106" s="27"/>
      <x:c r="AR106" s="27"/>
      <x:c r="AS106" s="27"/>
      <x:c r="AT106" s="27"/>
      <x:c r="AU106" s="27"/>
      <x:c r="AV106" s="27"/>
      <x:c r="AW106" s="27"/>
      <x:c r="AX106" s="27"/>
      <x:c r="AY106" s="27"/>
      <x:c r="AZ106" s="27"/>
    </x:row>
    <x:row r="107">
      <x:c r="A107" s="27"/>
      <x:c r="B107" s="27"/>
      <x:c r="C107" s="27"/>
      <x:c r="D107" s="27"/>
      <x:c r="E107" s="27"/>
      <x:c r="F107" s="27"/>
      <x:c r="G107" s="27"/>
      <x:c r="H107" s="27"/>
      <x:c r="I107" s="27"/>
      <x:c r="J107" s="27"/>
      <x:c r="K107" s="27"/>
      <x:c r="L107" s="27"/>
      <x:c r="M107" s="27"/>
      <x:c r="N107" s="27"/>
      <x:c r="O107" s="27"/>
      <x:c r="P107" s="27"/>
      <x:c r="Q107" s="27"/>
      <x:c r="R107" s="27"/>
      <x:c r="S107" s="27"/>
      <x:c r="T107" s="27"/>
      <x:c r="U107" s="27"/>
      <x:c r="V107" s="27"/>
      <x:c r="W107" s="27"/>
      <x:c r="X107" s="27"/>
      <x:c r="Y107" s="27"/>
      <x:c r="Z107" s="27"/>
      <x:c r="AA107" s="27"/>
      <x:c r="AB107" s="27"/>
      <x:c r="AC107" s="27"/>
      <x:c r="AD107" s="27"/>
      <x:c r="AE107" s="27"/>
      <x:c r="AF107" s="27"/>
      <x:c r="AG107" s="27"/>
      <x:c r="AH107" s="27"/>
      <x:c r="AI107" s="27"/>
      <x:c r="AJ107" s="27"/>
      <x:c r="AK107" s="27"/>
      <x:c r="AL107" s="27"/>
      <x:c r="AM107" s="27"/>
      <x:c r="AN107" s="27"/>
      <x:c r="AO107" s="27"/>
      <x:c r="AP107" s="27"/>
      <x:c r="AQ107" s="27"/>
      <x:c r="AR107" s="27"/>
      <x:c r="AS107" s="27"/>
      <x:c r="AT107" s="27"/>
      <x:c r="AU107" s="27"/>
      <x:c r="AV107" s="27"/>
      <x:c r="AW107" s="27"/>
      <x:c r="AX107" s="27"/>
      <x:c r="AY107" s="27"/>
      <x:c r="AZ107" s="27"/>
    </x:row>
    <x:row r="108">
      <x:c r="A108" s="27"/>
      <x:c r="B108" s="27"/>
      <x:c r="C108" s="27"/>
      <x:c r="D108" s="27"/>
      <x:c r="E108" s="27"/>
      <x:c r="F108" s="27"/>
      <x:c r="G108" s="27"/>
      <x:c r="H108" s="27"/>
      <x:c r="I108" s="27"/>
      <x:c r="J108" s="27"/>
      <x:c r="K108" s="27"/>
      <x:c r="L108" s="27"/>
      <x:c r="M108" s="27"/>
      <x:c r="N108" s="27"/>
      <x:c r="O108" s="27"/>
      <x:c r="P108" s="27"/>
      <x:c r="Q108" s="27"/>
      <x:c r="R108" s="27"/>
      <x:c r="S108" s="27"/>
      <x:c r="T108" s="27"/>
      <x:c r="U108" s="27"/>
      <x:c r="V108" s="27"/>
      <x:c r="W108" s="27"/>
      <x:c r="X108" s="27"/>
      <x:c r="Y108" s="27"/>
      <x:c r="Z108" s="27"/>
      <x:c r="AA108" s="27"/>
      <x:c r="AB108" s="27"/>
      <x:c r="AC108" s="27"/>
      <x:c r="AD108" s="27"/>
      <x:c r="AE108" s="27"/>
      <x:c r="AF108" s="27"/>
      <x:c r="AG108" s="27"/>
      <x:c r="AH108" s="27"/>
      <x:c r="AI108" s="27"/>
      <x:c r="AJ108" s="27"/>
      <x:c r="AK108" s="27"/>
      <x:c r="AL108" s="27"/>
      <x:c r="AM108" s="27"/>
      <x:c r="AN108" s="27"/>
      <x:c r="AO108" s="27"/>
      <x:c r="AP108" s="27"/>
      <x:c r="AQ108" s="27"/>
      <x:c r="AR108" s="27"/>
      <x:c r="AS108" s="27"/>
      <x:c r="AT108" s="27"/>
      <x:c r="AU108" s="27"/>
      <x:c r="AV108" s="27"/>
      <x:c r="AW108" s="27"/>
      <x:c r="AX108" s="27"/>
      <x:c r="AY108" s="27"/>
      <x:c r="AZ108" s="27"/>
    </x:row>
    <x:row r="109">
      <x:c r="A109" s="27"/>
      <x:c r="B109" s="27"/>
      <x:c r="C109" s="27"/>
      <x:c r="D109" s="27"/>
      <x:c r="E109" s="27"/>
      <x:c r="F109" s="27"/>
      <x:c r="G109" s="27"/>
      <x:c r="H109" s="27"/>
      <x:c r="I109" s="27"/>
      <x:c r="J109" s="27"/>
      <x:c r="K109" s="27"/>
      <x:c r="L109" s="27"/>
      <x:c r="M109" s="27"/>
      <x:c r="N109" s="27"/>
      <x:c r="O109" s="27"/>
      <x:c r="P109" s="27"/>
      <x:c r="Q109" s="27"/>
      <x:c r="R109" s="27"/>
      <x:c r="S109" s="27"/>
      <x:c r="T109" s="27"/>
      <x:c r="U109" s="27"/>
      <x:c r="V109" s="27"/>
      <x:c r="W109" s="27"/>
      <x:c r="X109" s="27"/>
      <x:c r="Y109" s="27"/>
      <x:c r="Z109" s="27"/>
      <x:c r="AA109" s="27"/>
      <x:c r="AB109" s="27"/>
      <x:c r="AC109" s="27"/>
      <x:c r="AD109" s="27"/>
      <x:c r="AE109" s="27"/>
      <x:c r="AF109" s="27"/>
      <x:c r="AG109" s="27"/>
      <x:c r="AH109" s="27"/>
      <x:c r="AI109" s="27"/>
      <x:c r="AJ109" s="27"/>
      <x:c r="AK109" s="27"/>
      <x:c r="AL109" s="27"/>
      <x:c r="AM109" s="27"/>
      <x:c r="AN109" s="27"/>
      <x:c r="AO109" s="27"/>
      <x:c r="AP109" s="27"/>
      <x:c r="AQ109" s="27"/>
      <x:c r="AR109" s="27"/>
      <x:c r="AS109" s="27"/>
      <x:c r="AT109" s="27"/>
      <x:c r="AU109" s="27"/>
      <x:c r="AV109" s="27"/>
      <x:c r="AW109" s="27"/>
      <x:c r="AX109" s="27"/>
      <x:c r="AY109" s="27"/>
      <x:c r="AZ109" s="27"/>
    </x:row>
    <x:row r="110">
      <x:c r="A110" s="27"/>
      <x:c r="B110" s="27"/>
      <x:c r="C110" s="27"/>
      <x:c r="D110" s="27"/>
      <x:c r="E110" s="27"/>
      <x:c r="F110" s="27"/>
      <x:c r="G110" s="27"/>
      <x:c r="H110" s="27"/>
      <x:c r="I110" s="27"/>
      <x:c r="J110" s="27"/>
      <x:c r="K110" s="27"/>
      <x:c r="L110" s="27"/>
      <x:c r="M110" s="27"/>
      <x:c r="N110" s="27"/>
      <x:c r="O110" s="27"/>
      <x:c r="P110" s="27"/>
      <x:c r="Q110" s="27"/>
      <x:c r="R110" s="27"/>
      <x:c r="S110" s="27"/>
      <x:c r="T110" s="27"/>
      <x:c r="U110" s="27"/>
      <x:c r="V110" s="27"/>
      <x:c r="W110" s="27"/>
      <x:c r="X110" s="27"/>
      <x:c r="Y110" s="27"/>
      <x:c r="Z110" s="27"/>
      <x:c r="AA110" s="27"/>
      <x:c r="AB110" s="27"/>
      <x:c r="AC110" s="27"/>
      <x:c r="AD110" s="27"/>
      <x:c r="AE110" s="27"/>
      <x:c r="AF110" s="27"/>
      <x:c r="AG110" s="27"/>
      <x:c r="AH110" s="27"/>
      <x:c r="AI110" s="27"/>
      <x:c r="AJ110" s="27"/>
      <x:c r="AK110" s="27"/>
      <x:c r="AL110" s="27"/>
      <x:c r="AM110" s="27"/>
      <x:c r="AN110" s="27"/>
      <x:c r="AO110" s="27"/>
      <x:c r="AP110" s="27"/>
      <x:c r="AQ110" s="27"/>
      <x:c r="AR110" s="27"/>
      <x:c r="AS110" s="27"/>
      <x:c r="AT110" s="27"/>
      <x:c r="AU110" s="27"/>
      <x:c r="AV110" s="27"/>
      <x:c r="AW110" s="27"/>
      <x:c r="AX110" s="27"/>
      <x:c r="AY110" s="27"/>
      <x:c r="AZ110" s="27"/>
    </x:row>
    <x:row r="111">
      <x:c r="A111" s="27"/>
      <x:c r="B111" s="27"/>
      <x:c r="C111" s="27"/>
      <x:c r="D111" s="27"/>
      <x:c r="E111" s="27"/>
      <x:c r="F111" s="27"/>
      <x:c r="G111" s="27"/>
      <x:c r="H111" s="27"/>
      <x:c r="I111" s="27"/>
      <x:c r="J111" s="27"/>
      <x:c r="K111" s="27"/>
      <x:c r="L111" s="27"/>
      <x:c r="M111" s="27"/>
      <x:c r="N111" s="27"/>
      <x:c r="O111" s="27"/>
      <x:c r="P111" s="27"/>
      <x:c r="Q111" s="27"/>
      <x:c r="R111" s="27"/>
      <x:c r="S111" s="27"/>
      <x:c r="T111" s="27"/>
      <x:c r="U111" s="27"/>
      <x:c r="V111" s="27"/>
      <x:c r="W111" s="27"/>
      <x:c r="X111" s="27"/>
      <x:c r="Y111" s="27"/>
      <x:c r="Z111" s="27"/>
      <x:c r="AA111" s="27"/>
      <x:c r="AB111" s="27"/>
      <x:c r="AC111" s="27"/>
      <x:c r="AD111" s="27"/>
      <x:c r="AE111" s="27"/>
      <x:c r="AF111" s="27"/>
      <x:c r="AG111" s="27"/>
      <x:c r="AH111" s="27"/>
      <x:c r="AI111" s="27"/>
      <x:c r="AJ111" s="27"/>
      <x:c r="AK111" s="27"/>
      <x:c r="AL111" s="27"/>
      <x:c r="AM111" s="27"/>
      <x:c r="AN111" s="27"/>
      <x:c r="AO111" s="27"/>
      <x:c r="AP111" s="27"/>
      <x:c r="AQ111" s="27"/>
      <x:c r="AR111" s="27"/>
      <x:c r="AS111" s="27"/>
      <x:c r="AT111" s="27"/>
      <x:c r="AU111" s="27"/>
      <x:c r="AV111" s="27"/>
      <x:c r="AW111" s="27"/>
      <x:c r="AX111" s="27"/>
      <x:c r="AY111" s="27"/>
      <x:c r="AZ111" s="27"/>
    </x:row>
    <x:row r="112">
      <x:c r="A112" s="27"/>
      <x:c r="B112" s="27"/>
      <x:c r="C112" s="27"/>
      <x:c r="D112" s="27"/>
      <x:c r="E112" s="27"/>
      <x:c r="F112" s="27"/>
      <x:c r="G112" s="27"/>
      <x:c r="H112" s="27"/>
      <x:c r="I112" s="27"/>
      <x:c r="J112" s="27"/>
      <x:c r="K112" s="27"/>
      <x:c r="L112" s="27"/>
      <x:c r="M112" s="27"/>
      <x:c r="N112" s="27"/>
      <x:c r="O112" s="27"/>
      <x:c r="P112" s="27"/>
      <x:c r="Q112" s="27"/>
      <x:c r="R112" s="27"/>
      <x:c r="S112" s="27"/>
      <x:c r="T112" s="27"/>
      <x:c r="U112" s="27"/>
      <x:c r="V112" s="27"/>
      <x:c r="W112" s="27"/>
      <x:c r="X112" s="27"/>
      <x:c r="Y112" s="27"/>
      <x:c r="Z112" s="27"/>
      <x:c r="AA112" s="27"/>
      <x:c r="AB112" s="27"/>
      <x:c r="AC112" s="27"/>
      <x:c r="AD112" s="27"/>
      <x:c r="AE112" s="27"/>
      <x:c r="AF112" s="27"/>
      <x:c r="AG112" s="27"/>
      <x:c r="AH112" s="27"/>
      <x:c r="AI112" s="27"/>
      <x:c r="AJ112" s="27"/>
      <x:c r="AK112" s="27"/>
      <x:c r="AL112" s="27"/>
      <x:c r="AM112" s="27"/>
      <x:c r="AN112" s="27"/>
      <x:c r="AO112" s="27"/>
      <x:c r="AP112" s="27"/>
      <x:c r="AQ112" s="27"/>
      <x:c r="AR112" s="27"/>
      <x:c r="AS112" s="27"/>
      <x:c r="AT112" s="27"/>
      <x:c r="AU112" s="27"/>
      <x:c r="AV112" s="27"/>
      <x:c r="AW112" s="27"/>
      <x:c r="AX112" s="27"/>
      <x:c r="AY112" s="27"/>
      <x:c r="AZ112" s="27"/>
    </x:row>
    <x:row r="113">
      <x:c r="A113" s="27"/>
      <x:c r="B113" s="27"/>
      <x:c r="C113" s="27"/>
      <x:c r="D113" s="27"/>
      <x:c r="E113" s="27"/>
      <x:c r="F113" s="27"/>
      <x:c r="G113" s="27"/>
      <x:c r="H113" s="27"/>
      <x:c r="I113" s="27"/>
      <x:c r="J113" s="27"/>
      <x:c r="K113" s="27"/>
      <x:c r="L113" s="27"/>
      <x:c r="M113" s="27"/>
      <x:c r="N113" s="27"/>
      <x:c r="O113" s="27"/>
      <x:c r="P113" s="27"/>
      <x:c r="Q113" s="27"/>
      <x:c r="R113" s="27"/>
      <x:c r="S113" s="27"/>
      <x:c r="T113" s="27"/>
      <x:c r="U113" s="27"/>
      <x:c r="V113" s="27"/>
      <x:c r="W113" s="27"/>
      <x:c r="X113" s="27"/>
      <x:c r="Y113" s="27"/>
      <x:c r="Z113" s="27"/>
      <x:c r="AA113" s="27"/>
      <x:c r="AB113" s="27"/>
      <x:c r="AC113" s="27"/>
      <x:c r="AD113" s="27"/>
      <x:c r="AE113" s="27"/>
      <x:c r="AF113" s="27"/>
      <x:c r="AG113" s="27"/>
      <x:c r="AH113" s="27"/>
      <x:c r="AI113" s="27"/>
      <x:c r="AJ113" s="27"/>
      <x:c r="AK113" s="27"/>
      <x:c r="AL113" s="27"/>
      <x:c r="AM113" s="27"/>
      <x:c r="AN113" s="27"/>
      <x:c r="AO113" s="27"/>
      <x:c r="AP113" s="27"/>
      <x:c r="AQ113" s="27"/>
      <x:c r="AR113" s="27"/>
      <x:c r="AS113" s="27"/>
      <x:c r="AT113" s="27"/>
      <x:c r="AU113" s="27"/>
      <x:c r="AV113" s="27"/>
      <x:c r="AW113" s="27"/>
      <x:c r="AX113" s="27"/>
      <x:c r="AY113" s="27"/>
      <x:c r="AZ113" s="27"/>
    </x:row>
    <x:row r="114">
      <x:c r="A114" s="27"/>
      <x:c r="B114" s="27"/>
      <x:c r="C114" s="27"/>
      <x:c r="D114" s="27"/>
      <x:c r="E114" s="27"/>
      <x:c r="F114" s="27"/>
      <x:c r="G114" s="27"/>
      <x:c r="H114" s="27"/>
      <x:c r="I114" s="27"/>
      <x:c r="J114" s="27"/>
      <x:c r="K114" s="27"/>
      <x:c r="L114" s="27"/>
      <x:c r="M114" s="27"/>
      <x:c r="N114" s="27"/>
      <x:c r="O114" s="27"/>
      <x:c r="P114" s="27"/>
      <x:c r="Q114" s="27"/>
      <x:c r="R114" s="27"/>
      <x:c r="S114" s="27"/>
      <x:c r="T114" s="27"/>
      <x:c r="U114" s="27"/>
      <x:c r="V114" s="27"/>
      <x:c r="W114" s="27"/>
      <x:c r="X114" s="27"/>
      <x:c r="Y114" s="27"/>
      <x:c r="Z114" s="27"/>
      <x:c r="AA114" s="27"/>
      <x:c r="AB114" s="27"/>
      <x:c r="AC114" s="27"/>
      <x:c r="AD114" s="27"/>
      <x:c r="AE114" s="27"/>
      <x:c r="AF114" s="27"/>
      <x:c r="AG114" s="27"/>
      <x:c r="AH114" s="27"/>
      <x:c r="AI114" s="27"/>
      <x:c r="AJ114" s="27"/>
      <x:c r="AK114" s="27"/>
      <x:c r="AL114" s="27"/>
      <x:c r="AM114" s="27"/>
      <x:c r="AN114" s="27"/>
      <x:c r="AO114" s="27"/>
      <x:c r="AP114" s="27"/>
      <x:c r="AQ114" s="27"/>
      <x:c r="AR114" s="27"/>
      <x:c r="AS114" s="27"/>
      <x:c r="AT114" s="27"/>
      <x:c r="AU114" s="27"/>
      <x:c r="AV114" s="27"/>
      <x:c r="AW114" s="27"/>
      <x:c r="AX114" s="27"/>
      <x:c r="AY114" s="27"/>
      <x:c r="AZ114" s="27"/>
    </x:row>
    <x:row r="115">
      <x:c r="A115" s="27"/>
      <x:c r="B115" s="27"/>
      <x:c r="C115" s="27"/>
      <x:c r="D115" s="27"/>
      <x:c r="E115" s="27"/>
      <x:c r="F115" s="27"/>
      <x:c r="G115" s="27"/>
      <x:c r="H115" s="27"/>
      <x:c r="I115" s="27"/>
      <x:c r="J115" s="27"/>
      <x:c r="K115" s="27"/>
      <x:c r="L115" s="27"/>
      <x:c r="M115" s="27"/>
      <x:c r="N115" s="27"/>
      <x:c r="O115" s="27"/>
      <x:c r="P115" s="27"/>
      <x:c r="Q115" s="27"/>
      <x:c r="R115" s="27"/>
      <x:c r="S115" s="27"/>
      <x:c r="T115" s="27"/>
      <x:c r="U115" s="27"/>
      <x:c r="V115" s="27"/>
      <x:c r="W115" s="27"/>
      <x:c r="X115" s="27"/>
      <x:c r="Y115" s="27"/>
      <x:c r="Z115" s="27"/>
      <x:c r="AA115" s="27"/>
      <x:c r="AB115" s="27"/>
      <x:c r="AC115" s="27"/>
      <x:c r="AD115" s="27"/>
      <x:c r="AE115" s="27"/>
      <x:c r="AF115" s="27"/>
      <x:c r="AG115" s="27"/>
      <x:c r="AH115" s="27"/>
      <x:c r="AI115" s="27"/>
      <x:c r="AJ115" s="27"/>
      <x:c r="AK115" s="27"/>
      <x:c r="AL115" s="27"/>
      <x:c r="AM115" s="27"/>
      <x:c r="AN115" s="27"/>
      <x:c r="AO115" s="27"/>
      <x:c r="AP115" s="27"/>
      <x:c r="AQ115" s="27"/>
      <x:c r="AR115" s="27"/>
      <x:c r="AS115" s="27"/>
      <x:c r="AT115" s="27"/>
      <x:c r="AU115" s="27"/>
      <x:c r="AV115" s="27"/>
      <x:c r="AW115" s="27"/>
      <x:c r="AX115" s="27"/>
      <x:c r="AY115" s="27"/>
      <x:c r="AZ115" s="27"/>
    </x:row>
    <x:row r="116">
      <x:c r="A116" s="27"/>
      <x:c r="B116" s="27"/>
      <x:c r="C116" s="27"/>
      <x:c r="D116" s="27"/>
      <x:c r="E116" s="27"/>
      <x:c r="F116" s="27"/>
      <x:c r="G116" s="27"/>
      <x:c r="H116" s="27"/>
      <x:c r="I116" s="27"/>
      <x:c r="J116" s="27"/>
      <x:c r="K116" s="27"/>
      <x:c r="L116" s="27"/>
      <x:c r="M116" s="27"/>
      <x:c r="N116" s="27"/>
      <x:c r="O116" s="27"/>
      <x:c r="P116" s="27"/>
      <x:c r="Q116" s="27"/>
      <x:c r="R116" s="27"/>
      <x:c r="S116" s="27"/>
      <x:c r="T116" s="27"/>
      <x:c r="U116" s="27"/>
      <x:c r="V116" s="27"/>
      <x:c r="W116" s="27"/>
      <x:c r="X116" s="27"/>
      <x:c r="Y116" s="27"/>
      <x:c r="Z116" s="27"/>
      <x:c r="AA116" s="27"/>
      <x:c r="AB116" s="27"/>
      <x:c r="AC116" s="27"/>
      <x:c r="AD116" s="27"/>
      <x:c r="AE116" s="27"/>
      <x:c r="AF116" s="27"/>
      <x:c r="AG116" s="27"/>
      <x:c r="AH116" s="27"/>
      <x:c r="AI116" s="27"/>
      <x:c r="AJ116" s="27"/>
      <x:c r="AK116" s="27"/>
      <x:c r="AL116" s="27"/>
      <x:c r="AM116" s="27"/>
      <x:c r="AN116" s="27"/>
      <x:c r="AO116" s="27"/>
      <x:c r="AP116" s="27"/>
      <x:c r="AQ116" s="27"/>
      <x:c r="AR116" s="27"/>
      <x:c r="AS116" s="27"/>
      <x:c r="AT116" s="27"/>
      <x:c r="AU116" s="27"/>
      <x:c r="AV116" s="27"/>
      <x:c r="AW116" s="27"/>
      <x:c r="AX116" s="27"/>
      <x:c r="AY116" s="27"/>
      <x:c r="AZ116" s="27"/>
    </x:row>
    <x:row r="117">
      <x:c r="A117" s="27"/>
      <x:c r="B117" s="27"/>
      <x:c r="C117" s="27"/>
      <x:c r="D117" s="27"/>
      <x:c r="E117" s="27"/>
      <x:c r="F117" s="27"/>
      <x:c r="G117" s="27"/>
      <x:c r="H117" s="27"/>
      <x:c r="I117" s="27"/>
      <x:c r="J117" s="27"/>
      <x:c r="K117" s="27"/>
      <x:c r="L117" s="27"/>
      <x:c r="M117" s="27"/>
      <x:c r="N117" s="27"/>
      <x:c r="O117" s="27"/>
      <x:c r="P117" s="27"/>
      <x:c r="Q117" s="27"/>
      <x:c r="R117" s="27"/>
      <x:c r="S117" s="27"/>
      <x:c r="T117" s="27"/>
      <x:c r="U117" s="27"/>
      <x:c r="V117" s="27"/>
      <x:c r="W117" s="27"/>
      <x:c r="X117" s="27"/>
      <x:c r="Y117" s="27"/>
      <x:c r="Z117" s="27"/>
      <x:c r="AA117" s="27"/>
      <x:c r="AB117" s="27"/>
      <x:c r="AC117" s="27"/>
      <x:c r="AD117" s="27"/>
      <x:c r="AE117" s="27"/>
      <x:c r="AF117" s="27"/>
      <x:c r="AG117" s="27"/>
      <x:c r="AH117" s="27"/>
      <x:c r="AI117" s="27"/>
      <x:c r="AJ117" s="27"/>
      <x:c r="AK117" s="27"/>
      <x:c r="AL117" s="27"/>
      <x:c r="AM117" s="27"/>
      <x:c r="AN117" s="27"/>
      <x:c r="AO117" s="27"/>
      <x:c r="AP117" s="27"/>
      <x:c r="AQ117" s="27"/>
      <x:c r="AR117" s="27"/>
      <x:c r="AS117" s="27"/>
      <x:c r="AT117" s="27"/>
      <x:c r="AU117" s="27"/>
      <x:c r="AV117" s="27"/>
      <x:c r="AW117" s="27"/>
      <x:c r="AX117" s="27"/>
      <x:c r="AY117" s="27"/>
      <x:c r="AZ117" s="27"/>
    </x:row>
    <x:row r="118">
      <x:c r="A118" s="27"/>
      <x:c r="B118" s="27"/>
      <x:c r="C118" s="27"/>
      <x:c r="D118" s="27"/>
      <x:c r="E118" s="27"/>
      <x:c r="F118" s="27"/>
      <x:c r="G118" s="27"/>
      <x:c r="H118" s="27"/>
      <x:c r="I118" s="27"/>
      <x:c r="J118" s="27"/>
      <x:c r="K118" s="27"/>
      <x:c r="L118" s="27"/>
      <x:c r="M118" s="27"/>
      <x:c r="N118" s="27"/>
      <x:c r="O118" s="27"/>
      <x:c r="P118" s="27"/>
      <x:c r="Q118" s="27"/>
      <x:c r="R118" s="27"/>
      <x:c r="S118" s="27"/>
      <x:c r="T118" s="27"/>
      <x:c r="U118" s="27"/>
      <x:c r="V118" s="27"/>
      <x:c r="W118" s="27"/>
      <x:c r="X118" s="27"/>
      <x:c r="Y118" s="27"/>
      <x:c r="Z118" s="27"/>
      <x:c r="AA118" s="27"/>
      <x:c r="AB118" s="27"/>
      <x:c r="AC118" s="27"/>
      <x:c r="AD118" s="27"/>
      <x:c r="AE118" s="27"/>
      <x:c r="AF118" s="27"/>
      <x:c r="AG118" s="27"/>
      <x:c r="AH118" s="27"/>
      <x:c r="AI118" s="27"/>
      <x:c r="AJ118" s="27"/>
      <x:c r="AK118" s="27"/>
      <x:c r="AL118" s="27"/>
      <x:c r="AM118" s="27"/>
      <x:c r="AN118" s="27"/>
      <x:c r="AO118" s="27"/>
      <x:c r="AP118" s="27"/>
      <x:c r="AQ118" s="27"/>
      <x:c r="AR118" s="27"/>
      <x:c r="AS118" s="27"/>
      <x:c r="AT118" s="27"/>
      <x:c r="AU118" s="27"/>
      <x:c r="AV118" s="27"/>
      <x:c r="AW118" s="27"/>
      <x:c r="AX118" s="27"/>
      <x:c r="AY118" s="27"/>
      <x:c r="AZ118" s="27"/>
    </x:row>
    <x:row r="119">
      <x:c r="A119" s="27"/>
      <x:c r="B119" s="27"/>
      <x:c r="C119" s="27"/>
      <x:c r="D119" s="27"/>
      <x:c r="E119" s="27"/>
      <x:c r="F119" s="27"/>
      <x:c r="G119" s="27"/>
      <x:c r="H119" s="27"/>
      <x:c r="I119" s="27"/>
      <x:c r="J119" s="27"/>
      <x:c r="K119" s="27"/>
      <x:c r="L119" s="27"/>
      <x:c r="M119" s="27"/>
      <x:c r="N119" s="27"/>
      <x:c r="O119" s="27"/>
      <x:c r="P119" s="27"/>
      <x:c r="Q119" s="27"/>
      <x:c r="R119" s="27"/>
      <x:c r="S119" s="27"/>
      <x:c r="T119" s="27"/>
      <x:c r="U119" s="27"/>
      <x:c r="V119" s="27"/>
      <x:c r="W119" s="27"/>
      <x:c r="X119" s="27"/>
      <x:c r="Y119" s="27"/>
      <x:c r="Z119" s="27"/>
      <x:c r="AA119" s="27"/>
      <x:c r="AB119" s="27"/>
      <x:c r="AC119" s="27"/>
      <x:c r="AD119" s="27"/>
      <x:c r="AE119" s="27"/>
      <x:c r="AF119" s="27"/>
      <x:c r="AG119" s="27"/>
      <x:c r="AH119" s="27"/>
      <x:c r="AI119" s="27"/>
      <x:c r="AJ119" s="27"/>
      <x:c r="AK119" s="27"/>
      <x:c r="AL119" s="27"/>
      <x:c r="AM119" s="27"/>
      <x:c r="AN119" s="27"/>
      <x:c r="AO119" s="27"/>
      <x:c r="AP119" s="27"/>
      <x:c r="AQ119" s="27"/>
      <x:c r="AR119" s="27"/>
      <x:c r="AS119" s="27"/>
      <x:c r="AT119" s="27"/>
      <x:c r="AU119" s="27"/>
      <x:c r="AV119" s="27"/>
      <x:c r="AW119" s="27"/>
      <x:c r="AX119" s="27"/>
      <x:c r="AY119" s="27"/>
      <x:c r="AZ119" s="27"/>
    </x:row>
    <x:row r="120">
      <x:c r="A120" s="27"/>
      <x:c r="B120" s="27"/>
      <x:c r="C120" s="27"/>
      <x:c r="D120" s="27"/>
      <x:c r="E120" s="27"/>
      <x:c r="F120" s="27"/>
      <x:c r="G120" s="27"/>
      <x:c r="H120" s="27"/>
      <x:c r="I120" s="27"/>
      <x:c r="J120" s="27"/>
      <x:c r="K120" s="27"/>
      <x:c r="L120" s="27"/>
      <x:c r="M120" s="27"/>
      <x:c r="N120" s="27"/>
      <x:c r="O120" s="27"/>
      <x:c r="P120" s="27"/>
      <x:c r="Q120" s="27"/>
      <x:c r="R120" s="27"/>
      <x:c r="S120" s="27"/>
      <x:c r="T120" s="27"/>
      <x:c r="U120" s="27"/>
      <x:c r="V120" s="27"/>
      <x:c r="W120" s="27"/>
      <x:c r="X120" s="27"/>
      <x:c r="Y120" s="27"/>
      <x:c r="Z120" s="27"/>
      <x:c r="AA120" s="27"/>
      <x:c r="AB120" s="27"/>
      <x:c r="AC120" s="27"/>
      <x:c r="AD120" s="27"/>
      <x:c r="AE120" s="27"/>
      <x:c r="AF120" s="27"/>
      <x:c r="AG120" s="27"/>
      <x:c r="AH120" s="27"/>
      <x:c r="AI120" s="27"/>
      <x:c r="AJ120" s="27"/>
      <x:c r="AK120" s="27"/>
      <x:c r="AL120" s="27"/>
      <x:c r="AM120" s="27"/>
      <x:c r="AN120" s="27"/>
      <x:c r="AO120" s="27"/>
      <x:c r="AP120" s="27"/>
      <x:c r="AQ120" s="27"/>
      <x:c r="AR120" s="27"/>
      <x:c r="AS120" s="27"/>
      <x:c r="AT120" s="27"/>
      <x:c r="AU120" s="27"/>
      <x:c r="AV120" s="27"/>
      <x:c r="AW120" s="27"/>
      <x:c r="AX120" s="27"/>
      <x:c r="AY120" s="27"/>
      <x:c r="AZ120" s="27"/>
    </x:row>
    <x:row r="121">
      <x:c r="A121" s="27"/>
      <x:c r="B121" s="27"/>
      <x:c r="C121" s="27"/>
      <x:c r="D121" s="27"/>
      <x:c r="E121" s="27"/>
      <x:c r="F121" s="27"/>
      <x:c r="G121" s="27"/>
      <x:c r="H121" s="27"/>
      <x:c r="I121" s="27"/>
      <x:c r="J121" s="27"/>
      <x:c r="K121" s="27"/>
      <x:c r="L121" s="27"/>
      <x:c r="M121" s="27"/>
      <x:c r="N121" s="27"/>
      <x:c r="O121" s="27"/>
      <x:c r="P121" s="27"/>
      <x:c r="Q121" s="27"/>
      <x:c r="R121" s="27"/>
      <x:c r="S121" s="27"/>
      <x:c r="T121" s="27"/>
      <x:c r="U121" s="27"/>
      <x:c r="V121" s="27"/>
      <x:c r="W121" s="27"/>
      <x:c r="X121" s="27"/>
      <x:c r="Y121" s="27"/>
      <x:c r="Z121" s="27"/>
      <x:c r="AA121" s="27"/>
      <x:c r="AB121" s="27"/>
      <x:c r="AC121" s="27"/>
      <x:c r="AD121" s="27"/>
      <x:c r="AE121" s="27"/>
      <x:c r="AF121" s="27"/>
      <x:c r="AG121" s="27"/>
      <x:c r="AH121" s="27"/>
      <x:c r="AI121" s="27"/>
      <x:c r="AJ121" s="27"/>
      <x:c r="AK121" s="27"/>
      <x:c r="AL121" s="27"/>
      <x:c r="AM121" s="27"/>
      <x:c r="AN121" s="27"/>
      <x:c r="AO121" s="27"/>
      <x:c r="AP121" s="27"/>
      <x:c r="AQ121" s="27"/>
      <x:c r="AR121" s="27"/>
      <x:c r="AS121" s="27"/>
      <x:c r="AT121" s="27"/>
      <x:c r="AU121" s="27"/>
      <x:c r="AV121" s="27"/>
      <x:c r="AW121" s="27"/>
      <x:c r="AX121" s="27"/>
      <x:c r="AY121" s="27"/>
      <x:c r="AZ121" s="27"/>
    </x:row>
    <x:row r="122">
      <x:c r="A122" s="27"/>
      <x:c r="B122" s="27"/>
      <x:c r="C122" s="27"/>
      <x:c r="D122" s="27"/>
      <x:c r="E122" s="27"/>
      <x:c r="F122" s="27"/>
      <x:c r="G122" s="27"/>
      <x:c r="H122" s="27"/>
      <x:c r="I122" s="27"/>
      <x:c r="J122" s="27"/>
      <x:c r="K122" s="27"/>
      <x:c r="L122" s="27"/>
      <x:c r="M122" s="27"/>
      <x:c r="N122" s="27"/>
      <x:c r="O122" s="27"/>
      <x:c r="P122" s="27"/>
      <x:c r="Q122" s="27"/>
      <x:c r="R122" s="27"/>
      <x:c r="S122" s="27"/>
      <x:c r="T122" s="27"/>
      <x:c r="U122" s="27"/>
      <x:c r="V122" s="27"/>
      <x:c r="W122" s="27"/>
      <x:c r="X122" s="27"/>
      <x:c r="Y122" s="27"/>
      <x:c r="Z122" s="27"/>
      <x:c r="AA122" s="27"/>
      <x:c r="AB122" s="27"/>
      <x:c r="AC122" s="27"/>
      <x:c r="AD122" s="27"/>
      <x:c r="AE122" s="27"/>
      <x:c r="AF122" s="27"/>
      <x:c r="AG122" s="27"/>
      <x:c r="AH122" s="27"/>
      <x:c r="AI122" s="27"/>
      <x:c r="AJ122" s="27"/>
      <x:c r="AK122" s="27"/>
      <x:c r="AL122" s="27"/>
      <x:c r="AM122" s="27"/>
      <x:c r="AN122" s="27"/>
      <x:c r="AO122" s="27"/>
      <x:c r="AP122" s="27"/>
      <x:c r="AQ122" s="27"/>
      <x:c r="AR122" s="27"/>
      <x:c r="AS122" s="27"/>
      <x:c r="AT122" s="27"/>
      <x:c r="AU122" s="27"/>
      <x:c r="AV122" s="27"/>
      <x:c r="AW122" s="27"/>
      <x:c r="AX122" s="27"/>
      <x:c r="AY122" s="27"/>
      <x:c r="AZ122" s="27"/>
    </x:row>
    <x:row r="123">
      <x:c r="A123" s="27"/>
      <x:c r="B123" s="27"/>
      <x:c r="C123" s="27"/>
      <x:c r="D123" s="27"/>
      <x:c r="E123" s="27"/>
      <x:c r="F123" s="27"/>
      <x:c r="G123" s="27"/>
      <x:c r="H123" s="27"/>
      <x:c r="I123" s="27"/>
      <x:c r="J123" s="27"/>
      <x:c r="K123" s="27"/>
      <x:c r="L123" s="27"/>
      <x:c r="M123" s="27"/>
      <x:c r="N123" s="27"/>
      <x:c r="O123" s="27"/>
      <x:c r="P123" s="27"/>
      <x:c r="Q123" s="27"/>
      <x:c r="R123" s="27"/>
      <x:c r="S123" s="27"/>
      <x:c r="T123" s="27"/>
      <x:c r="U123" s="27"/>
      <x:c r="V123" s="27"/>
      <x:c r="W123" s="27"/>
      <x:c r="X123" s="27"/>
      <x:c r="Y123" s="27"/>
      <x:c r="Z123" s="27"/>
      <x:c r="AA123" s="27"/>
      <x:c r="AB123" s="27"/>
      <x:c r="AC123" s="27"/>
      <x:c r="AD123" s="27"/>
      <x:c r="AE123" s="27"/>
      <x:c r="AF123" s="27"/>
      <x:c r="AG123" s="27"/>
      <x:c r="AH123" s="27"/>
      <x:c r="AI123" s="27"/>
      <x:c r="AJ123" s="27"/>
      <x:c r="AK123" s="27"/>
      <x:c r="AL123" s="27"/>
      <x:c r="AM123" s="27"/>
      <x:c r="AN123" s="27"/>
      <x:c r="AO123" s="27"/>
      <x:c r="AP123" s="27"/>
      <x:c r="AQ123" s="27"/>
      <x:c r="AR123" s="27"/>
      <x:c r="AS123" s="27"/>
      <x:c r="AT123" s="27"/>
      <x:c r="AU123" s="27"/>
      <x:c r="AV123" s="27"/>
      <x:c r="AW123" s="27"/>
      <x:c r="AX123" s="27"/>
      <x:c r="AY123" s="27"/>
      <x:c r="AZ123" s="27"/>
    </x:row>
    <x:row r="124">
      <x:c r="A124" s="27"/>
      <x:c r="B124" s="27"/>
      <x:c r="C124" s="27"/>
      <x:c r="D124" s="27"/>
      <x:c r="E124" s="27"/>
      <x:c r="F124" s="27"/>
      <x:c r="G124" s="27"/>
      <x:c r="H124" s="27"/>
      <x:c r="I124" s="27"/>
      <x:c r="J124" s="27"/>
      <x:c r="K124" s="27"/>
      <x:c r="L124" s="27"/>
      <x:c r="M124" s="27"/>
      <x:c r="N124" s="27"/>
      <x:c r="O124" s="27"/>
      <x:c r="P124" s="27"/>
      <x:c r="Q124" s="27"/>
      <x:c r="R124" s="27"/>
      <x:c r="S124" s="27"/>
      <x:c r="T124" s="27"/>
      <x:c r="U124" s="27"/>
      <x:c r="V124" s="27"/>
      <x:c r="W124" s="27"/>
      <x:c r="X124" s="27"/>
      <x:c r="Y124" s="27"/>
      <x:c r="Z124" s="27"/>
      <x:c r="AA124" s="27"/>
      <x:c r="AB124" s="27"/>
      <x:c r="AC124" s="27"/>
      <x:c r="AD124" s="27"/>
      <x:c r="AE124" s="27"/>
      <x:c r="AF124" s="27"/>
      <x:c r="AG124" s="27"/>
      <x:c r="AH124" s="27"/>
      <x:c r="AI124" s="27"/>
      <x:c r="AJ124" s="27"/>
      <x:c r="AK124" s="27"/>
      <x:c r="AL124" s="27"/>
      <x:c r="AM124" s="27"/>
      <x:c r="AN124" s="27"/>
      <x:c r="AO124" s="27"/>
      <x:c r="AP124" s="27"/>
      <x:c r="AQ124" s="27"/>
      <x:c r="AR124" s="27"/>
      <x:c r="AS124" s="27"/>
      <x:c r="AT124" s="27"/>
      <x:c r="AU124" s="27"/>
      <x:c r="AV124" s="27"/>
      <x:c r="AW124" s="27"/>
      <x:c r="AX124" s="27"/>
      <x:c r="AY124" s="27"/>
      <x:c r="AZ124" s="27"/>
    </x:row>
    <x:row r="125">
      <x:c r="A125" s="27"/>
      <x:c r="B125" s="27"/>
      <x:c r="C125" s="27"/>
      <x:c r="D125" s="27"/>
      <x:c r="E125" s="27"/>
      <x:c r="F125" s="27"/>
      <x:c r="G125" s="27"/>
      <x:c r="H125" s="27"/>
      <x:c r="I125" s="27"/>
      <x:c r="J125" s="27"/>
      <x:c r="K125" s="27"/>
      <x:c r="L125" s="27"/>
      <x:c r="M125" s="27"/>
      <x:c r="N125" s="27"/>
      <x:c r="O125" s="27"/>
      <x:c r="P125" s="27"/>
      <x:c r="Q125" s="27"/>
      <x:c r="R125" s="27"/>
      <x:c r="S125" s="27"/>
      <x:c r="T125" s="27"/>
      <x:c r="U125" s="27"/>
      <x:c r="V125" s="27"/>
      <x:c r="W125" s="27"/>
      <x:c r="X125" s="27"/>
      <x:c r="Y125" s="27"/>
      <x:c r="Z125" s="27"/>
      <x:c r="AA125" s="27"/>
      <x:c r="AB125" s="27"/>
      <x:c r="AC125" s="27"/>
      <x:c r="AD125" s="27"/>
      <x:c r="AE125" s="27"/>
      <x:c r="AF125" s="27"/>
      <x:c r="AG125" s="27"/>
      <x:c r="AH125" s="27"/>
      <x:c r="AI125" s="27"/>
      <x:c r="AJ125" s="27"/>
      <x:c r="AK125" s="27"/>
      <x:c r="AL125" s="27"/>
      <x:c r="AM125" s="27"/>
      <x:c r="AN125" s="27"/>
      <x:c r="AO125" s="27"/>
      <x:c r="AP125" s="27"/>
      <x:c r="AQ125" s="27"/>
      <x:c r="AR125" s="27"/>
      <x:c r="AS125" s="27"/>
      <x:c r="AT125" s="27"/>
      <x:c r="AU125" s="27"/>
      <x:c r="AV125" s="27"/>
      <x:c r="AW125" s="27"/>
      <x:c r="AX125" s="27"/>
      <x:c r="AY125" s="27"/>
      <x:c r="AZ125" s="27"/>
    </x:row>
    <x:row r="126">
      <x:c r="A126" s="27"/>
      <x:c r="B126" s="27"/>
      <x:c r="C126" s="27"/>
      <x:c r="D126" s="27"/>
      <x:c r="E126" s="27"/>
      <x:c r="F126" s="27"/>
      <x:c r="G126" s="27"/>
      <x:c r="H126" s="27"/>
      <x:c r="I126" s="27"/>
      <x:c r="J126" s="27"/>
      <x:c r="K126" s="27"/>
      <x:c r="L126" s="27"/>
      <x:c r="M126" s="27"/>
      <x:c r="N126" s="27"/>
      <x:c r="O126" s="27"/>
      <x:c r="P126" s="27"/>
      <x:c r="Q126" s="27"/>
      <x:c r="R126" s="27"/>
      <x:c r="S126" s="27"/>
      <x:c r="T126" s="27"/>
      <x:c r="U126" s="27"/>
      <x:c r="V126" s="27"/>
      <x:c r="W126" s="27"/>
      <x:c r="X126" s="27"/>
      <x:c r="Y126" s="27"/>
      <x:c r="Z126" s="27"/>
      <x:c r="AA126" s="27"/>
      <x:c r="AB126" s="27"/>
      <x:c r="AC126" s="27"/>
      <x:c r="AD126" s="27"/>
      <x:c r="AE126" s="27"/>
      <x:c r="AF126" s="27"/>
      <x:c r="AG126" s="27"/>
      <x:c r="AH126" s="27"/>
      <x:c r="AI126" s="27"/>
      <x:c r="AJ126" s="27"/>
      <x:c r="AK126" s="27"/>
      <x:c r="AL126" s="27"/>
      <x:c r="AM126" s="27"/>
      <x:c r="AN126" s="27"/>
      <x:c r="AO126" s="27"/>
      <x:c r="AP126" s="27"/>
      <x:c r="AQ126" s="27"/>
      <x:c r="AR126" s="27"/>
      <x:c r="AS126" s="27"/>
      <x:c r="AT126" s="27"/>
      <x:c r="AU126" s="27"/>
      <x:c r="AV126" s="27"/>
      <x:c r="AW126" s="27"/>
      <x:c r="AX126" s="27"/>
      <x:c r="AY126" s="27"/>
      <x:c r="AZ126" s="27"/>
    </x:row>
    <x:row r="127">
      <x:c r="A127" s="27"/>
      <x:c r="B127" s="27"/>
      <x:c r="C127" s="27"/>
      <x:c r="D127" s="27"/>
      <x:c r="E127" s="27"/>
      <x:c r="F127" s="27"/>
      <x:c r="G127" s="27"/>
      <x:c r="H127" s="27"/>
      <x:c r="I127" s="27"/>
      <x:c r="J127" s="27"/>
      <x:c r="K127" s="27"/>
      <x:c r="L127" s="27"/>
      <x:c r="M127" s="27"/>
      <x:c r="N127" s="27"/>
      <x:c r="O127" s="27"/>
      <x:c r="P127" s="27"/>
      <x:c r="Q127" s="27"/>
      <x:c r="R127" s="27"/>
      <x:c r="S127" s="27"/>
      <x:c r="T127" s="27"/>
      <x:c r="U127" s="27"/>
      <x:c r="V127" s="27"/>
      <x:c r="W127" s="27"/>
      <x:c r="X127" s="27"/>
      <x:c r="Y127" s="27"/>
      <x:c r="Z127" s="27"/>
      <x:c r="AA127" s="27"/>
      <x:c r="AB127" s="27"/>
      <x:c r="AC127" s="27"/>
      <x:c r="AD127" s="27"/>
      <x:c r="AE127" s="27"/>
      <x:c r="AF127" s="27"/>
      <x:c r="AG127" s="27"/>
      <x:c r="AH127" s="27"/>
      <x:c r="AI127" s="27"/>
      <x:c r="AJ127" s="27"/>
      <x:c r="AK127" s="27"/>
      <x:c r="AL127" s="27"/>
      <x:c r="AM127" s="27"/>
      <x:c r="AN127" s="27"/>
      <x:c r="AO127" s="27"/>
      <x:c r="AP127" s="27"/>
      <x:c r="AQ127" s="27"/>
      <x:c r="AR127" s="27"/>
      <x:c r="AS127" s="27"/>
      <x:c r="AT127" s="27"/>
      <x:c r="AU127" s="27"/>
      <x:c r="AV127" s="27"/>
      <x:c r="AW127" s="27"/>
      <x:c r="AX127" s="27"/>
      <x:c r="AY127" s="27"/>
      <x:c r="AZ127" s="27"/>
    </x:row>
    <x:row r="128">
      <x:c r="A128" s="27"/>
      <x:c r="B128" s="27"/>
      <x:c r="C128" s="27"/>
      <x:c r="D128" s="27"/>
      <x:c r="E128" s="27"/>
      <x:c r="F128" s="27"/>
      <x:c r="G128" s="27"/>
      <x:c r="H128" s="27"/>
      <x:c r="I128" s="27"/>
      <x:c r="J128" s="27"/>
      <x:c r="K128" s="27"/>
      <x:c r="L128" s="27"/>
      <x:c r="M128" s="27"/>
      <x:c r="N128" s="27"/>
      <x:c r="O128" s="27"/>
      <x:c r="P128" s="27"/>
      <x:c r="Q128" s="27"/>
      <x:c r="R128" s="27"/>
      <x:c r="S128" s="27"/>
      <x:c r="T128" s="27"/>
      <x:c r="U128" s="27"/>
      <x:c r="V128" s="27"/>
      <x:c r="W128" s="27"/>
      <x:c r="X128" s="27"/>
      <x:c r="Y128" s="27"/>
      <x:c r="Z128" s="27"/>
      <x:c r="AA128" s="27"/>
      <x:c r="AB128" s="27"/>
      <x:c r="AC128" s="27"/>
      <x:c r="AD128" s="27"/>
      <x:c r="AE128" s="27"/>
      <x:c r="AF128" s="27"/>
      <x:c r="AG128" s="27"/>
      <x:c r="AH128" s="27"/>
      <x:c r="AI128" s="27"/>
      <x:c r="AJ128" s="27"/>
      <x:c r="AK128" s="27"/>
      <x:c r="AL128" s="27"/>
      <x:c r="AM128" s="27"/>
      <x:c r="AN128" s="27"/>
      <x:c r="AO128" s="27"/>
      <x:c r="AP128" s="27"/>
      <x:c r="AQ128" s="27"/>
      <x:c r="AR128" s="27"/>
      <x:c r="AS128" s="27"/>
      <x:c r="AT128" s="27"/>
      <x:c r="AU128" s="27"/>
      <x:c r="AV128" s="27"/>
      <x:c r="AW128" s="27"/>
      <x:c r="AX128" s="27"/>
      <x:c r="AY128" s="27"/>
      <x:c r="AZ128" s="27"/>
    </x:row>
    <x:row r="129">
      <x:c r="A129" s="27"/>
      <x:c r="B129" s="27"/>
      <x:c r="C129" s="27"/>
      <x:c r="D129" s="27"/>
      <x:c r="E129" s="27"/>
      <x:c r="F129" s="27"/>
      <x:c r="G129" s="27"/>
      <x:c r="H129" s="27"/>
      <x:c r="I129" s="27"/>
      <x:c r="J129" s="27"/>
      <x:c r="K129" s="27"/>
      <x:c r="L129" s="27"/>
      <x:c r="M129" s="27"/>
      <x:c r="N129" s="27"/>
      <x:c r="O129" s="27"/>
      <x:c r="P129" s="27"/>
      <x:c r="Q129" s="27"/>
      <x:c r="R129" s="27"/>
      <x:c r="S129" s="27"/>
      <x:c r="T129" s="27"/>
      <x:c r="U129" s="27"/>
      <x:c r="V129" s="27"/>
      <x:c r="W129" s="27"/>
      <x:c r="X129" s="27"/>
      <x:c r="Y129" s="27"/>
      <x:c r="Z129" s="27"/>
      <x:c r="AA129" s="27"/>
      <x:c r="AB129" s="27"/>
      <x:c r="AC129" s="27"/>
      <x:c r="AD129" s="27"/>
      <x:c r="AE129" s="27"/>
      <x:c r="AF129" s="27"/>
      <x:c r="AG129" s="27"/>
      <x:c r="AH129" s="27"/>
      <x:c r="AI129" s="27"/>
      <x:c r="AJ129" s="27"/>
      <x:c r="AK129" s="27"/>
      <x:c r="AL129" s="27"/>
      <x:c r="AM129" s="27"/>
      <x:c r="AN129" s="27"/>
      <x:c r="AO129" s="27"/>
      <x:c r="AP129" s="27"/>
      <x:c r="AQ129" s="27"/>
      <x:c r="AR129" s="27"/>
      <x:c r="AS129" s="27"/>
      <x:c r="AT129" s="27"/>
      <x:c r="AU129" s="27"/>
      <x:c r="AV129" s="27"/>
      <x:c r="AW129" s="27"/>
      <x:c r="AX129" s="27"/>
      <x:c r="AY129" s="27"/>
      <x:c r="AZ129" s="27"/>
    </x:row>
    <x:row r="130">
      <x:c r="A130" s="27"/>
      <x:c r="B130" s="27"/>
      <x:c r="C130" s="27"/>
      <x:c r="D130" s="27"/>
      <x:c r="E130" s="27"/>
      <x:c r="F130" s="27"/>
      <x:c r="G130" s="27"/>
      <x:c r="H130" s="27"/>
      <x:c r="I130" s="27"/>
      <x:c r="J130" s="27"/>
      <x:c r="K130" s="27"/>
      <x:c r="L130" s="27"/>
      <x:c r="M130" s="27"/>
      <x:c r="N130" s="27"/>
      <x:c r="O130" s="27"/>
      <x:c r="P130" s="27"/>
      <x:c r="Q130" s="27"/>
      <x:c r="R130" s="27"/>
      <x:c r="S130" s="27"/>
      <x:c r="T130" s="27"/>
      <x:c r="U130" s="27"/>
      <x:c r="V130" s="27"/>
      <x:c r="W130" s="27"/>
      <x:c r="X130" s="27"/>
      <x:c r="Y130" s="27"/>
      <x:c r="Z130" s="27"/>
      <x:c r="AA130" s="27"/>
      <x:c r="AB130" s="27"/>
      <x:c r="AC130" s="27"/>
      <x:c r="AD130" s="27"/>
      <x:c r="AE130" s="27"/>
      <x:c r="AF130" s="27"/>
      <x:c r="AG130" s="27"/>
      <x:c r="AH130" s="27"/>
      <x:c r="AI130" s="27"/>
      <x:c r="AJ130" s="27"/>
      <x:c r="AK130" s="27"/>
      <x:c r="AL130" s="27"/>
      <x:c r="AM130" s="27"/>
      <x:c r="AN130" s="27"/>
      <x:c r="AO130" s="27"/>
      <x:c r="AP130" s="27"/>
      <x:c r="AQ130" s="27"/>
      <x:c r="AR130" s="27"/>
      <x:c r="AS130" s="27"/>
      <x:c r="AT130" s="27"/>
      <x:c r="AU130" s="27"/>
      <x:c r="AV130" s="27"/>
      <x:c r="AW130" s="27"/>
      <x:c r="AX130" s="27"/>
      <x:c r="AY130" s="27"/>
      <x:c r="AZ130" s="27"/>
    </x:row>
    <x:row r="131">
      <x:c r="A131" s="27"/>
      <x:c r="B131" s="27"/>
      <x:c r="C131" s="27"/>
      <x:c r="D131" s="27"/>
      <x:c r="E131" s="27"/>
      <x:c r="F131" s="27"/>
      <x:c r="G131" s="27"/>
      <x:c r="H131" s="27"/>
      <x:c r="I131" s="27"/>
      <x:c r="J131" s="27"/>
      <x:c r="K131" s="27"/>
      <x:c r="L131" s="27"/>
      <x:c r="M131" s="27"/>
      <x:c r="N131" s="27"/>
      <x:c r="O131" s="27"/>
      <x:c r="P131" s="27"/>
      <x:c r="Q131" s="27"/>
      <x:c r="R131" s="27"/>
      <x:c r="S131" s="27"/>
      <x:c r="T131" s="27"/>
      <x:c r="U131" s="27"/>
      <x:c r="V131" s="27"/>
      <x:c r="W131" s="27"/>
      <x:c r="X131" s="27"/>
      <x:c r="Y131" s="27"/>
      <x:c r="Z131" s="27"/>
      <x:c r="AA131" s="27"/>
      <x:c r="AB131" s="27"/>
      <x:c r="AC131" s="27"/>
      <x:c r="AD131" s="27"/>
      <x:c r="AE131" s="27"/>
      <x:c r="AF131" s="27"/>
      <x:c r="AG131" s="27"/>
      <x:c r="AH131" s="27"/>
      <x:c r="AI131" s="27"/>
      <x:c r="AJ131" s="27"/>
      <x:c r="AK131" s="27"/>
      <x:c r="AL131" s="27"/>
      <x:c r="AM131" s="27"/>
      <x:c r="AN131" s="27"/>
      <x:c r="AO131" s="27"/>
      <x:c r="AP131" s="27"/>
      <x:c r="AQ131" s="27"/>
      <x:c r="AR131" s="27"/>
      <x:c r="AS131" s="27"/>
      <x:c r="AT131" s="27"/>
      <x:c r="AU131" s="27"/>
      <x:c r="AV131" s="27"/>
      <x:c r="AW131" s="27"/>
      <x:c r="AX131" s="27"/>
      <x:c r="AY131" s="27"/>
      <x:c r="AZ131" s="27"/>
    </x:row>
    <x:row r="132">
      <x:c r="A132" s="27"/>
      <x:c r="B132" s="27"/>
      <x:c r="C132" s="27"/>
      <x:c r="D132" s="27"/>
      <x:c r="E132" s="27"/>
      <x:c r="F132" s="27"/>
      <x:c r="G132" s="27"/>
      <x:c r="H132" s="27"/>
      <x:c r="I132" s="27"/>
      <x:c r="J132" s="27"/>
      <x:c r="K132" s="27"/>
      <x:c r="L132" s="27"/>
      <x:c r="M132" s="27"/>
      <x:c r="N132" s="27"/>
      <x:c r="O132" s="27"/>
      <x:c r="P132" s="27"/>
      <x:c r="Q132" s="27"/>
      <x:c r="R132" s="27"/>
      <x:c r="S132" s="27"/>
      <x:c r="T132" s="27"/>
      <x:c r="U132" s="27"/>
      <x:c r="V132" s="27"/>
      <x:c r="W132" s="27"/>
      <x:c r="X132" s="27"/>
      <x:c r="Y132" s="27"/>
      <x:c r="Z132" s="27"/>
      <x:c r="AA132" s="27"/>
      <x:c r="AB132" s="27"/>
      <x:c r="AC132" s="27"/>
      <x:c r="AD132" s="27"/>
      <x:c r="AE132" s="27"/>
      <x:c r="AF132" s="27"/>
      <x:c r="AG132" s="27"/>
      <x:c r="AH132" s="27"/>
      <x:c r="AI132" s="27"/>
      <x:c r="AJ132" s="27"/>
      <x:c r="AK132" s="27"/>
      <x:c r="AL132" s="27"/>
      <x:c r="AM132" s="27"/>
      <x:c r="AN132" s="27"/>
      <x:c r="AO132" s="27"/>
      <x:c r="AP132" s="27"/>
      <x:c r="AQ132" s="27"/>
      <x:c r="AR132" s="27"/>
      <x:c r="AS132" s="27"/>
      <x:c r="AT132" s="27"/>
      <x:c r="AU132" s="27"/>
      <x:c r="AV132" s="27"/>
      <x:c r="AW132" s="27"/>
      <x:c r="AX132" s="27"/>
      <x:c r="AY132" s="27"/>
      <x:c r="AZ132" s="27"/>
    </x:row>
    <x:row r="133">
      <x:c r="A133" s="27"/>
      <x:c r="B133" s="27"/>
      <x:c r="C133" s="27"/>
      <x:c r="D133" s="27"/>
      <x:c r="E133" s="27"/>
      <x:c r="F133" s="27"/>
      <x:c r="G133" s="27"/>
      <x:c r="H133" s="27"/>
      <x:c r="I133" s="27"/>
      <x:c r="J133" s="27"/>
      <x:c r="K133" s="27"/>
      <x:c r="L133" s="27"/>
      <x:c r="M133" s="27"/>
      <x:c r="N133" s="27"/>
      <x:c r="O133" s="27"/>
      <x:c r="P133" s="27"/>
      <x:c r="Q133" s="27"/>
      <x:c r="R133" s="27"/>
      <x:c r="S133" s="27"/>
      <x:c r="T133" s="27"/>
      <x:c r="U133" s="27"/>
      <x:c r="V133" s="27"/>
      <x:c r="W133" s="27"/>
      <x:c r="X133" s="27"/>
      <x:c r="Y133" s="27"/>
      <x:c r="Z133" s="27"/>
      <x:c r="AA133" s="27"/>
      <x:c r="AB133" s="27"/>
      <x:c r="AC133" s="27"/>
      <x:c r="AD133" s="27"/>
      <x:c r="AE133" s="27"/>
      <x:c r="AF133" s="27"/>
      <x:c r="AG133" s="27"/>
      <x:c r="AH133" s="27"/>
      <x:c r="AI133" s="27"/>
      <x:c r="AJ133" s="27"/>
      <x:c r="AK133" s="27"/>
      <x:c r="AL133" s="27"/>
      <x:c r="AM133" s="27"/>
      <x:c r="AN133" s="27"/>
      <x:c r="AO133" s="27"/>
      <x:c r="AP133" s="27"/>
      <x:c r="AQ133" s="27"/>
      <x:c r="AR133" s="27"/>
      <x:c r="AS133" s="27"/>
      <x:c r="AT133" s="27"/>
      <x:c r="AU133" s="27"/>
      <x:c r="AV133" s="27"/>
      <x:c r="AW133" s="27"/>
      <x:c r="AX133" s="27"/>
      <x:c r="AY133" s="27"/>
      <x:c r="AZ133" s="27"/>
    </x:row>
    <x:row r="134">
      <x:c r="A134" s="27"/>
      <x:c r="B134" s="27"/>
      <x:c r="C134" s="27"/>
      <x:c r="D134" s="27"/>
      <x:c r="E134" s="27"/>
      <x:c r="F134" s="27"/>
      <x:c r="G134" s="27"/>
      <x:c r="H134" s="27"/>
      <x:c r="I134" s="27"/>
      <x:c r="J134" s="27"/>
      <x:c r="K134" s="27"/>
      <x:c r="L134" s="27"/>
      <x:c r="M134" s="27"/>
      <x:c r="N134" s="27"/>
      <x:c r="O134" s="27"/>
      <x:c r="P134" s="27"/>
      <x:c r="Q134" s="27"/>
      <x:c r="R134" s="27"/>
      <x:c r="S134" s="27"/>
      <x:c r="T134" s="27"/>
      <x:c r="U134" s="27"/>
      <x:c r="V134" s="27"/>
      <x:c r="W134" s="27"/>
      <x:c r="X134" s="27"/>
      <x:c r="Y134" s="27"/>
      <x:c r="Z134" s="27"/>
      <x:c r="AA134" s="27"/>
      <x:c r="AB134" s="27"/>
      <x:c r="AC134" s="27"/>
      <x:c r="AD134" s="27"/>
      <x:c r="AE134" s="27"/>
      <x:c r="AF134" s="27"/>
      <x:c r="AG134" s="27"/>
      <x:c r="AH134" s="27"/>
      <x:c r="AI134" s="27"/>
      <x:c r="AJ134" s="27"/>
      <x:c r="AK134" s="27"/>
      <x:c r="AL134" s="27"/>
      <x:c r="AM134" s="27"/>
      <x:c r="AN134" s="27"/>
      <x:c r="AO134" s="27"/>
      <x:c r="AP134" s="27"/>
      <x:c r="AQ134" s="27"/>
      <x:c r="AR134" s="27"/>
      <x:c r="AS134" s="27"/>
      <x:c r="AT134" s="27"/>
      <x:c r="AU134" s="27"/>
      <x:c r="AV134" s="27"/>
      <x:c r="AW134" s="27"/>
      <x:c r="AX134" s="27"/>
      <x:c r="AY134" s="27"/>
      <x:c r="AZ134" s="27"/>
    </x:row>
    <x:row r="135">
      <x:c r="A135" s="27"/>
      <x:c r="B135" s="27"/>
      <x:c r="C135" s="27"/>
      <x:c r="D135" s="27"/>
      <x:c r="E135" s="27"/>
      <x:c r="F135" s="27"/>
      <x:c r="G135" s="27"/>
      <x:c r="H135" s="27"/>
      <x:c r="I135" s="27"/>
      <x:c r="J135" s="27"/>
      <x:c r="K135" s="27"/>
      <x:c r="L135" s="27"/>
      <x:c r="M135" s="27"/>
      <x:c r="N135" s="27"/>
      <x:c r="O135" s="27"/>
      <x:c r="P135" s="27"/>
      <x:c r="Q135" s="27"/>
      <x:c r="R135" s="27"/>
      <x:c r="S135" s="27"/>
      <x:c r="T135" s="27"/>
      <x:c r="U135" s="27"/>
      <x:c r="V135" s="27"/>
      <x:c r="W135" s="27"/>
      <x:c r="X135" s="27"/>
      <x:c r="Y135" s="27"/>
      <x:c r="Z135" s="27"/>
      <x:c r="AA135" s="27"/>
      <x:c r="AB135" s="27"/>
      <x:c r="AC135" s="27"/>
      <x:c r="AD135" s="27"/>
      <x:c r="AE135" s="27"/>
      <x:c r="AF135" s="27"/>
      <x:c r="AG135" s="27"/>
      <x:c r="AH135" s="27"/>
      <x:c r="AI135" s="27"/>
      <x:c r="AJ135" s="27"/>
      <x:c r="AK135" s="27"/>
      <x:c r="AL135" s="27"/>
      <x:c r="AM135" s="27"/>
      <x:c r="AN135" s="27"/>
      <x:c r="AO135" s="27"/>
      <x:c r="AP135" s="27"/>
      <x:c r="AQ135" s="27"/>
      <x:c r="AR135" s="27"/>
      <x:c r="AS135" s="27"/>
      <x:c r="AT135" s="27"/>
      <x:c r="AU135" s="27"/>
      <x:c r="AV135" s="27"/>
      <x:c r="AW135" s="27"/>
      <x:c r="AX135" s="27"/>
      <x:c r="AY135" s="27"/>
      <x:c r="AZ135" s="27"/>
    </x:row>
    <x:row r="136">
      <x:c r="A136" s="27"/>
      <x:c r="B136" s="27"/>
      <x:c r="C136" s="27"/>
      <x:c r="D136" s="27"/>
      <x:c r="E136" s="27"/>
      <x:c r="F136" s="27"/>
      <x:c r="G136" s="27"/>
      <x:c r="H136" s="27"/>
      <x:c r="I136" s="27"/>
      <x:c r="J136" s="27"/>
      <x:c r="K136" s="27"/>
      <x:c r="L136" s="27"/>
      <x:c r="M136" s="27"/>
      <x:c r="N136" s="27"/>
      <x:c r="O136" s="27"/>
      <x:c r="P136" s="27"/>
      <x:c r="Q136" s="27"/>
      <x:c r="R136" s="27"/>
      <x:c r="S136" s="27"/>
      <x:c r="T136" s="27"/>
      <x:c r="U136" s="27"/>
      <x:c r="V136" s="27"/>
      <x:c r="W136" s="27"/>
      <x:c r="X136" s="27"/>
      <x:c r="Y136" s="27"/>
      <x:c r="Z136" s="27"/>
      <x:c r="AA136" s="27"/>
      <x:c r="AB136" s="27"/>
      <x:c r="AC136" s="27"/>
      <x:c r="AD136" s="27"/>
      <x:c r="AE136" s="27"/>
      <x:c r="AF136" s="27"/>
      <x:c r="AG136" s="27"/>
      <x:c r="AH136" s="27"/>
      <x:c r="AI136" s="27"/>
      <x:c r="AJ136" s="27"/>
      <x:c r="AK136" s="27"/>
      <x:c r="AL136" s="27"/>
      <x:c r="AM136" s="27"/>
      <x:c r="AN136" s="27"/>
      <x:c r="AO136" s="27"/>
      <x:c r="AP136" s="27"/>
      <x:c r="AQ136" s="27"/>
      <x:c r="AR136" s="27"/>
      <x:c r="AS136" s="27"/>
      <x:c r="AT136" s="27"/>
      <x:c r="AU136" s="27"/>
      <x:c r="AV136" s="27"/>
      <x:c r="AW136" s="27"/>
      <x:c r="AX136" s="27"/>
      <x:c r="AY136" s="27"/>
      <x:c r="AZ136" s="27"/>
    </x:row>
    <x:row r="137">
      <x:c r="A137" s="27"/>
      <x:c r="B137" s="27"/>
      <x:c r="C137" s="27"/>
      <x:c r="D137" s="27"/>
      <x:c r="E137" s="27"/>
      <x:c r="F137" s="27"/>
      <x:c r="G137" s="27"/>
      <x:c r="H137" s="27"/>
      <x:c r="I137" s="27"/>
      <x:c r="J137" s="27"/>
      <x:c r="K137" s="27"/>
      <x:c r="L137" s="27"/>
      <x:c r="M137" s="27"/>
      <x:c r="N137" s="27"/>
      <x:c r="O137" s="27"/>
      <x:c r="P137" s="27"/>
      <x:c r="Q137" s="27"/>
      <x:c r="R137" s="27"/>
      <x:c r="S137" s="27"/>
      <x:c r="T137" s="27"/>
      <x:c r="U137" s="27"/>
      <x:c r="V137" s="27"/>
      <x:c r="W137" s="27"/>
      <x:c r="X137" s="27"/>
      <x:c r="Y137" s="27"/>
      <x:c r="Z137" s="27"/>
      <x:c r="AA137" s="27"/>
      <x:c r="AB137" s="27"/>
      <x:c r="AC137" s="27"/>
      <x:c r="AD137" s="27"/>
      <x:c r="AE137" s="27"/>
      <x:c r="AF137" s="27"/>
      <x:c r="AG137" s="27"/>
      <x:c r="AH137" s="27"/>
      <x:c r="AI137" s="27"/>
      <x:c r="AJ137" s="27"/>
      <x:c r="AK137" s="27"/>
      <x:c r="AL137" s="27"/>
      <x:c r="AM137" s="27"/>
      <x:c r="AN137" s="27"/>
      <x:c r="AO137" s="27"/>
      <x:c r="AP137" s="27"/>
      <x:c r="AQ137" s="27"/>
      <x:c r="AR137" s="27"/>
      <x:c r="AS137" s="27"/>
      <x:c r="AT137" s="27"/>
      <x:c r="AU137" s="27"/>
      <x:c r="AV137" s="27"/>
      <x:c r="AW137" s="27"/>
      <x:c r="AX137" s="27"/>
      <x:c r="AY137" s="27"/>
      <x:c r="AZ137" s="27"/>
    </x:row>
    <x:row r="138">
      <x:c r="A138" s="27"/>
      <x:c r="B138" s="27"/>
      <x:c r="C138" s="27"/>
      <x:c r="D138" s="27"/>
      <x:c r="E138" s="27"/>
      <x:c r="F138" s="27"/>
      <x:c r="G138" s="27"/>
      <x:c r="H138" s="27"/>
      <x:c r="I138" s="27"/>
      <x:c r="J138" s="27"/>
      <x:c r="K138" s="27"/>
      <x:c r="L138" s="27"/>
      <x:c r="M138" s="27"/>
      <x:c r="N138" s="27"/>
      <x:c r="O138" s="27"/>
      <x:c r="P138" s="27"/>
      <x:c r="Q138" s="27"/>
      <x:c r="R138" s="27"/>
      <x:c r="S138" s="27"/>
      <x:c r="T138" s="27"/>
      <x:c r="U138" s="27"/>
      <x:c r="V138" s="27"/>
      <x:c r="W138" s="27"/>
      <x:c r="X138" s="27"/>
      <x:c r="Y138" s="27"/>
      <x:c r="Z138" s="27"/>
      <x:c r="AA138" s="27"/>
      <x:c r="AB138" s="27"/>
      <x:c r="AC138" s="27"/>
      <x:c r="AD138" s="27"/>
      <x:c r="AE138" s="27"/>
      <x:c r="AF138" s="27"/>
      <x:c r="AG138" s="27"/>
      <x:c r="AH138" s="27"/>
      <x:c r="AI138" s="27"/>
      <x:c r="AJ138" s="27"/>
      <x:c r="AK138" s="27"/>
      <x:c r="AL138" s="27"/>
      <x:c r="AM138" s="27"/>
      <x:c r="AN138" s="27"/>
      <x:c r="AO138" s="27"/>
      <x:c r="AP138" s="27"/>
      <x:c r="AQ138" s="27"/>
      <x:c r="AR138" s="27"/>
      <x:c r="AS138" s="27"/>
      <x:c r="AT138" s="27"/>
      <x:c r="AU138" s="27"/>
      <x:c r="AV138" s="27"/>
      <x:c r="AW138" s="27"/>
      <x:c r="AX138" s="27"/>
      <x:c r="AY138" s="27"/>
      <x:c r="AZ138" s="27"/>
    </x:row>
    <x:row r="139">
      <x:c r="A139" s="27"/>
      <x:c r="B139" s="27"/>
      <x:c r="C139" s="27"/>
      <x:c r="D139" s="27"/>
      <x:c r="E139" s="27"/>
      <x:c r="F139" s="27"/>
      <x:c r="G139" s="27"/>
      <x:c r="H139" s="27"/>
      <x:c r="I139" s="27"/>
      <x:c r="J139" s="27"/>
      <x:c r="K139" s="27"/>
      <x:c r="L139" s="27"/>
      <x:c r="M139" s="27"/>
      <x:c r="N139" s="27"/>
      <x:c r="O139" s="27"/>
      <x:c r="P139" s="27"/>
      <x:c r="Q139" s="27"/>
      <x:c r="R139" s="27"/>
      <x:c r="S139" s="27"/>
      <x:c r="T139" s="27"/>
      <x:c r="U139" s="27"/>
      <x:c r="V139" s="27"/>
      <x:c r="W139" s="27"/>
      <x:c r="X139" s="27"/>
      <x:c r="Y139" s="27"/>
      <x:c r="Z139" s="27"/>
      <x:c r="AA139" s="27"/>
      <x:c r="AB139" s="27"/>
      <x:c r="AC139" s="27"/>
      <x:c r="AD139" s="27"/>
      <x:c r="AE139" s="27"/>
      <x:c r="AF139" s="27"/>
      <x:c r="AG139" s="27"/>
      <x:c r="AH139" s="27"/>
      <x:c r="AI139" s="27"/>
      <x:c r="AJ139" s="27"/>
      <x:c r="AK139" s="27"/>
      <x:c r="AL139" s="27"/>
      <x:c r="AM139" s="27"/>
      <x:c r="AN139" s="27"/>
      <x:c r="AO139" s="27"/>
      <x:c r="AP139" s="27"/>
      <x:c r="AQ139" s="27"/>
      <x:c r="AR139" s="27"/>
      <x:c r="AS139" s="27"/>
      <x:c r="AT139" s="27"/>
      <x:c r="AU139" s="27"/>
      <x:c r="AV139" s="27"/>
      <x:c r="AW139" s="27"/>
      <x:c r="AX139" s="27"/>
      <x:c r="AY139" s="27"/>
      <x:c r="AZ139" s="27"/>
    </x:row>
    <x:row r="140">
      <x:c r="A140" s="27"/>
      <x:c r="B140" s="27"/>
      <x:c r="C140" s="27"/>
      <x:c r="D140" s="27"/>
      <x:c r="E140" s="27"/>
      <x:c r="F140" s="27"/>
      <x:c r="G140" s="27"/>
      <x:c r="H140" s="27"/>
      <x:c r="I140" s="27"/>
      <x:c r="J140" s="27"/>
      <x:c r="K140" s="27"/>
      <x:c r="L140" s="27"/>
      <x:c r="M140" s="27"/>
      <x:c r="N140" s="27"/>
      <x:c r="O140" s="27"/>
      <x:c r="P140" s="27"/>
      <x:c r="Q140" s="27"/>
      <x:c r="R140" s="27"/>
      <x:c r="S140" s="27"/>
      <x:c r="T140" s="27"/>
      <x:c r="U140" s="27"/>
      <x:c r="V140" s="27"/>
      <x:c r="W140" s="27"/>
      <x:c r="X140" s="27"/>
      <x:c r="Y140" s="27"/>
      <x:c r="Z140" s="27"/>
      <x:c r="AA140" s="27"/>
      <x:c r="AB140" s="27"/>
      <x:c r="AC140" s="27"/>
      <x:c r="AD140" s="27"/>
      <x:c r="AE140" s="27"/>
      <x:c r="AF140" s="27"/>
      <x:c r="AG140" s="27"/>
      <x:c r="AH140" s="27"/>
      <x:c r="AI140" s="27"/>
      <x:c r="AJ140" s="27"/>
      <x:c r="AK140" s="27"/>
      <x:c r="AL140" s="27"/>
      <x:c r="AM140" s="27"/>
      <x:c r="AN140" s="27"/>
      <x:c r="AO140" s="27"/>
      <x:c r="AP140" s="27"/>
      <x:c r="AQ140" s="27"/>
      <x:c r="AR140" s="27"/>
      <x:c r="AS140" s="27"/>
      <x:c r="AT140" s="27"/>
      <x:c r="AU140" s="27"/>
      <x:c r="AV140" s="27"/>
      <x:c r="AW140" s="27"/>
      <x:c r="AX140" s="27"/>
      <x:c r="AY140" s="27"/>
      <x:c r="AZ140" s="27"/>
    </x:row>
    <x:row r="141">
      <x:c r="A141" s="27"/>
      <x:c r="B141" s="27"/>
      <x:c r="C141" s="27"/>
      <x:c r="D141" s="27"/>
      <x:c r="E141" s="27"/>
      <x:c r="F141" s="27"/>
      <x:c r="G141" s="27"/>
      <x:c r="H141" s="27"/>
      <x:c r="I141" s="27"/>
      <x:c r="J141" s="27"/>
      <x:c r="K141" s="27"/>
      <x:c r="L141" s="27"/>
      <x:c r="M141" s="27"/>
      <x:c r="N141" s="27"/>
      <x:c r="O141" s="27"/>
      <x:c r="P141" s="27"/>
      <x:c r="Q141" s="27"/>
      <x:c r="R141" s="27"/>
      <x:c r="S141" s="27"/>
      <x:c r="T141" s="27"/>
      <x:c r="U141" s="27"/>
      <x:c r="V141" s="27"/>
      <x:c r="W141" s="27"/>
      <x:c r="X141" s="27"/>
      <x:c r="Y141" s="27"/>
      <x:c r="Z141" s="27"/>
      <x:c r="AA141" s="27"/>
      <x:c r="AB141" s="27"/>
      <x:c r="AC141" s="27"/>
      <x:c r="AD141" s="27"/>
      <x:c r="AE141" s="27"/>
      <x:c r="AF141" s="27"/>
      <x:c r="AG141" s="27"/>
      <x:c r="AH141" s="27"/>
      <x:c r="AI141" s="27"/>
      <x:c r="AJ141" s="27"/>
      <x:c r="AK141" s="27"/>
      <x:c r="AL141" s="27"/>
      <x:c r="AM141" s="27"/>
      <x:c r="AN141" s="27"/>
      <x:c r="AO141" s="27"/>
      <x:c r="AP141" s="27"/>
      <x:c r="AQ141" s="27"/>
      <x:c r="AR141" s="27"/>
      <x:c r="AS141" s="27"/>
      <x:c r="AT141" s="27"/>
      <x:c r="AU141" s="27"/>
      <x:c r="AV141" s="27"/>
      <x:c r="AW141" s="27"/>
      <x:c r="AX141" s="27"/>
      <x:c r="AY141" s="27"/>
      <x:c r="AZ141" s="27"/>
    </x:row>
    <x:row r="142">
      <x:c r="A142" s="27"/>
      <x:c r="B142" s="27"/>
      <x:c r="C142" s="27"/>
      <x:c r="D142" s="27"/>
      <x:c r="E142" s="27"/>
      <x:c r="F142" s="27"/>
      <x:c r="G142" s="27"/>
      <x:c r="H142" s="27"/>
      <x:c r="I142" s="27"/>
      <x:c r="J142" s="27"/>
      <x:c r="K142" s="27"/>
      <x:c r="L142" s="27"/>
      <x:c r="M142" s="27"/>
      <x:c r="N142" s="27"/>
      <x:c r="O142" s="27"/>
      <x:c r="P142" s="27"/>
      <x:c r="Q142" s="27"/>
      <x:c r="R142" s="27"/>
      <x:c r="S142" s="27"/>
      <x:c r="T142" s="27"/>
      <x:c r="U142" s="27"/>
      <x:c r="V142" s="27"/>
      <x:c r="W142" s="27"/>
      <x:c r="X142" s="27"/>
      <x:c r="Y142" s="27"/>
      <x:c r="Z142" s="27"/>
      <x:c r="AA142" s="27"/>
      <x:c r="AB142" s="27"/>
      <x:c r="AC142" s="27"/>
      <x:c r="AD142" s="27"/>
      <x:c r="AE142" s="27"/>
      <x:c r="AF142" s="27"/>
      <x:c r="AG142" s="27"/>
      <x:c r="AH142" s="27"/>
      <x:c r="AI142" s="27"/>
      <x:c r="AJ142" s="27"/>
      <x:c r="AK142" s="27"/>
      <x:c r="AL142" s="27"/>
      <x:c r="AM142" s="27"/>
      <x:c r="AN142" s="27"/>
      <x:c r="AO142" s="27"/>
      <x:c r="AP142" s="27"/>
      <x:c r="AQ142" s="27"/>
      <x:c r="AR142" s="27"/>
      <x:c r="AS142" s="27"/>
      <x:c r="AT142" s="27"/>
      <x:c r="AU142" s="27"/>
      <x:c r="AV142" s="27"/>
      <x:c r="AW142" s="27"/>
      <x:c r="AX142" s="27"/>
      <x:c r="AY142" s="27"/>
      <x:c r="AZ142" s="27"/>
    </x:row>
    <x:row r="143">
      <x:c r="A143" s="27"/>
      <x:c r="B143" s="27"/>
      <x:c r="C143" s="27"/>
      <x:c r="D143" s="27"/>
      <x:c r="E143" s="27"/>
      <x:c r="F143" s="27"/>
      <x:c r="G143" s="27"/>
      <x:c r="H143" s="27"/>
      <x:c r="I143" s="27"/>
      <x:c r="J143" s="27"/>
      <x:c r="K143" s="27"/>
      <x:c r="L143" s="27"/>
      <x:c r="M143" s="27"/>
      <x:c r="N143" s="27"/>
      <x:c r="O143" s="27"/>
      <x:c r="P143" s="27"/>
      <x:c r="Q143" s="27"/>
      <x:c r="R143" s="27"/>
      <x:c r="S143" s="27"/>
      <x:c r="T143" s="27"/>
      <x:c r="U143" s="27"/>
      <x:c r="V143" s="27"/>
      <x:c r="W143" s="27"/>
      <x:c r="X143" s="27"/>
      <x:c r="Y143" s="27"/>
      <x:c r="Z143" s="27"/>
      <x:c r="AA143" s="27"/>
      <x:c r="AB143" s="27"/>
      <x:c r="AC143" s="27"/>
      <x:c r="AD143" s="27"/>
      <x:c r="AE143" s="27"/>
      <x:c r="AF143" s="27"/>
      <x:c r="AG143" s="27"/>
      <x:c r="AH143" s="27"/>
      <x:c r="AI143" s="27"/>
      <x:c r="AJ143" s="27"/>
      <x:c r="AK143" s="27"/>
      <x:c r="AL143" s="27"/>
      <x:c r="AM143" s="27"/>
      <x:c r="AN143" s="27"/>
      <x:c r="AO143" s="27"/>
      <x:c r="AP143" s="27"/>
      <x:c r="AQ143" s="27"/>
      <x:c r="AR143" s="27"/>
      <x:c r="AS143" s="27"/>
      <x:c r="AT143" s="27"/>
      <x:c r="AU143" s="27"/>
      <x:c r="AV143" s="27"/>
      <x:c r="AW143" s="27"/>
      <x:c r="AX143" s="27"/>
      <x:c r="AY143" s="27"/>
      <x:c r="AZ143" s="27"/>
    </x:row>
    <x:row r="144">
      <x:c r="A144" s="27"/>
      <x:c r="B144" s="27"/>
      <x:c r="C144" s="27"/>
      <x:c r="D144" s="27"/>
      <x:c r="E144" s="27"/>
      <x:c r="F144" s="27"/>
      <x:c r="G144" s="27"/>
      <x:c r="H144" s="27"/>
      <x:c r="I144" s="27"/>
      <x:c r="J144" s="27"/>
      <x:c r="K144" s="27"/>
      <x:c r="L144" s="27"/>
      <x:c r="M144" s="27"/>
      <x:c r="N144" s="27"/>
      <x:c r="O144" s="27"/>
      <x:c r="P144" s="27"/>
      <x:c r="Q144" s="27"/>
      <x:c r="R144" s="27"/>
      <x:c r="S144" s="27"/>
      <x:c r="T144" s="27"/>
      <x:c r="U144" s="27"/>
      <x:c r="V144" s="27"/>
      <x:c r="W144" s="27"/>
      <x:c r="X144" s="27"/>
      <x:c r="Y144" s="27"/>
      <x:c r="Z144" s="27"/>
      <x:c r="AA144" s="27"/>
      <x:c r="AB144" s="27"/>
      <x:c r="AC144" s="27"/>
      <x:c r="AD144" s="27"/>
      <x:c r="AE144" s="27"/>
      <x:c r="AF144" s="27"/>
      <x:c r="AG144" s="27"/>
      <x:c r="AH144" s="27"/>
      <x:c r="AI144" s="27"/>
      <x:c r="AJ144" s="27"/>
      <x:c r="AK144" s="27"/>
      <x:c r="AL144" s="27"/>
      <x:c r="AM144" s="27"/>
      <x:c r="AN144" s="27"/>
      <x:c r="AO144" s="27"/>
      <x:c r="AP144" s="27"/>
      <x:c r="AQ144" s="27"/>
      <x:c r="AR144" s="27"/>
      <x:c r="AS144" s="27"/>
      <x:c r="AT144" s="27"/>
      <x:c r="AU144" s="27"/>
      <x:c r="AV144" s="27"/>
      <x:c r="AW144" s="27"/>
      <x:c r="AX144" s="27"/>
      <x:c r="AY144" s="27"/>
      <x:c r="AZ144" s="27"/>
    </x:row>
    <x:row r="145">
      <x:c r="A145" s="27"/>
      <x:c r="B145" s="27"/>
      <x:c r="C145" s="27"/>
      <x:c r="D145" s="27"/>
      <x:c r="E145" s="27"/>
      <x:c r="F145" s="27"/>
      <x:c r="G145" s="27"/>
      <x:c r="H145" s="27"/>
      <x:c r="I145" s="27"/>
      <x:c r="J145" s="27"/>
      <x:c r="K145" s="27"/>
      <x:c r="L145" s="27"/>
      <x:c r="M145" s="27"/>
      <x:c r="N145" s="27"/>
      <x:c r="O145" s="27"/>
      <x:c r="P145" s="27"/>
      <x:c r="Q145" s="27"/>
      <x:c r="R145" s="27"/>
      <x:c r="S145" s="27"/>
      <x:c r="T145" s="27"/>
      <x:c r="U145" s="27"/>
      <x:c r="V145" s="27"/>
      <x:c r="W145" s="27"/>
      <x:c r="X145" s="27"/>
      <x:c r="Y145" s="27"/>
      <x:c r="Z145" s="27"/>
      <x:c r="AA145" s="27"/>
      <x:c r="AB145" s="27"/>
      <x:c r="AC145" s="27"/>
      <x:c r="AD145" s="27"/>
      <x:c r="AE145" s="27"/>
      <x:c r="AF145" s="27"/>
      <x:c r="AG145" s="27"/>
      <x:c r="AH145" s="27"/>
      <x:c r="AI145" s="27"/>
      <x:c r="AJ145" s="27"/>
      <x:c r="AK145" s="27"/>
      <x:c r="AL145" s="27"/>
      <x:c r="AM145" s="27"/>
      <x:c r="AN145" s="27"/>
      <x:c r="AO145" s="27"/>
      <x:c r="AP145" s="27"/>
      <x:c r="AQ145" s="27"/>
      <x:c r="AR145" s="27"/>
      <x:c r="AS145" s="27"/>
      <x:c r="AT145" s="27"/>
      <x:c r="AU145" s="27"/>
      <x:c r="AV145" s="27"/>
      <x:c r="AW145" s="27"/>
      <x:c r="AX145" s="27"/>
      <x:c r="AY145" s="27"/>
      <x:c r="AZ145" s="27"/>
    </x:row>
    <x:row r="146">
      <x:c r="A146" s="27"/>
      <x:c r="B146" s="27"/>
      <x:c r="C146" s="27"/>
      <x:c r="D146" s="27"/>
      <x:c r="E146" s="27"/>
      <x:c r="F146" s="27"/>
      <x:c r="G146" s="27"/>
      <x:c r="H146" s="27"/>
      <x:c r="I146" s="27"/>
      <x:c r="J146" s="27"/>
      <x:c r="K146" s="27"/>
      <x:c r="L146" s="27"/>
      <x:c r="M146" s="27"/>
      <x:c r="N146" s="27"/>
      <x:c r="O146" s="27"/>
      <x:c r="P146" s="27"/>
      <x:c r="Q146" s="27"/>
      <x:c r="R146" s="27"/>
      <x:c r="S146" s="27"/>
      <x:c r="T146" s="27"/>
      <x:c r="U146" s="27"/>
      <x:c r="V146" s="27"/>
      <x:c r="W146" s="27"/>
      <x:c r="X146" s="27"/>
      <x:c r="Y146" s="27"/>
      <x:c r="Z146" s="27"/>
      <x:c r="AA146" s="27"/>
      <x:c r="AB146" s="27"/>
      <x:c r="AC146" s="27"/>
      <x:c r="AD146" s="27"/>
      <x:c r="AE146" s="27"/>
      <x:c r="AF146" s="27"/>
      <x:c r="AG146" s="27"/>
      <x:c r="AH146" s="27"/>
      <x:c r="AI146" s="27"/>
      <x:c r="AJ146" s="27"/>
      <x:c r="AK146" s="27"/>
      <x:c r="AL146" s="27"/>
      <x:c r="AM146" s="27"/>
      <x:c r="AN146" s="27"/>
      <x:c r="AO146" s="27"/>
      <x:c r="AP146" s="27"/>
      <x:c r="AQ146" s="27"/>
      <x:c r="AR146" s="27"/>
      <x:c r="AS146" s="27"/>
      <x:c r="AT146" s="27"/>
      <x:c r="AU146" s="27"/>
      <x:c r="AV146" s="27"/>
      <x:c r="AW146" s="27"/>
      <x:c r="AX146" s="27"/>
      <x:c r="AY146" s="27"/>
      <x:c r="AZ146" s="27"/>
    </x:row>
    <x:row r="147">
      <x:c r="A147" s="27"/>
      <x:c r="B147" s="27"/>
      <x:c r="C147" s="27"/>
      <x:c r="D147" s="27"/>
      <x:c r="E147" s="27"/>
      <x:c r="F147" s="27"/>
      <x:c r="G147" s="27"/>
      <x:c r="H147" s="27"/>
      <x:c r="I147" s="27"/>
      <x:c r="J147" s="27"/>
      <x:c r="K147" s="27"/>
      <x:c r="L147" s="27"/>
      <x:c r="M147" s="27"/>
      <x:c r="N147" s="27"/>
      <x:c r="O147" s="27"/>
      <x:c r="P147" s="27"/>
      <x:c r="Q147" s="27"/>
      <x:c r="R147" s="27"/>
      <x:c r="S147" s="27"/>
      <x:c r="T147" s="27"/>
      <x:c r="U147" s="27"/>
      <x:c r="V147" s="27"/>
      <x:c r="W147" s="27"/>
      <x:c r="X147" s="27"/>
      <x:c r="Y147" s="27"/>
      <x:c r="Z147" s="27"/>
      <x:c r="AA147" s="27"/>
      <x:c r="AB147" s="27"/>
      <x:c r="AC147" s="27"/>
      <x:c r="AD147" s="27"/>
      <x:c r="AE147" s="27"/>
      <x:c r="AF147" s="27"/>
      <x:c r="AG147" s="27"/>
      <x:c r="AH147" s="27"/>
      <x:c r="AI147" s="27"/>
      <x:c r="AJ147" s="27"/>
      <x:c r="AK147" s="27"/>
      <x:c r="AL147" s="27"/>
      <x:c r="AM147" s="27"/>
      <x:c r="AN147" s="27"/>
      <x:c r="AO147" s="27"/>
      <x:c r="AP147" s="27"/>
      <x:c r="AQ147" s="27"/>
      <x:c r="AR147" s="27"/>
      <x:c r="AS147" s="27"/>
      <x:c r="AT147" s="27"/>
      <x:c r="AU147" s="27"/>
      <x:c r="AV147" s="27"/>
      <x:c r="AW147" s="27"/>
      <x:c r="AX147" s="27"/>
      <x:c r="AY147" s="27"/>
      <x:c r="AZ147" s="27"/>
    </x:row>
    <x:row r="148">
      <x:c r="A148" s="27"/>
      <x:c r="B148" s="27"/>
      <x:c r="C148" s="27"/>
      <x:c r="D148" s="27"/>
      <x:c r="E148" s="27"/>
      <x:c r="F148" s="27"/>
      <x:c r="G148" s="27"/>
      <x:c r="H148" s="27"/>
      <x:c r="I148" s="27"/>
      <x:c r="J148" s="27"/>
      <x:c r="K148" s="27"/>
      <x:c r="L148" s="27"/>
      <x:c r="M148" s="27"/>
      <x:c r="N148" s="27"/>
      <x:c r="O148" s="27"/>
      <x:c r="P148" s="27"/>
      <x:c r="Q148" s="27"/>
      <x:c r="R148" s="27"/>
      <x:c r="S148" s="27"/>
      <x:c r="T148" s="27"/>
      <x:c r="U148" s="27"/>
      <x:c r="V148" s="27"/>
      <x:c r="W148" s="27"/>
      <x:c r="X148" s="27"/>
      <x:c r="Y148" s="27"/>
      <x:c r="Z148" s="27"/>
      <x:c r="AA148" s="27"/>
      <x:c r="AB148" s="27"/>
      <x:c r="AC148" s="27"/>
      <x:c r="AD148" s="27"/>
      <x:c r="AE148" s="27"/>
      <x:c r="AF148" s="27"/>
      <x:c r="AG148" s="27"/>
      <x:c r="AH148" s="27"/>
      <x:c r="AI148" s="27"/>
      <x:c r="AJ148" s="27"/>
      <x:c r="AK148" s="27"/>
      <x:c r="AL148" s="27"/>
      <x:c r="AM148" s="27"/>
      <x:c r="AN148" s="27"/>
      <x:c r="AO148" s="27"/>
      <x:c r="AP148" s="27"/>
      <x:c r="AQ148" s="27"/>
      <x:c r="AR148" s="27"/>
      <x:c r="AS148" s="27"/>
      <x:c r="AT148" s="27"/>
      <x:c r="AU148" s="27"/>
      <x:c r="AV148" s="27"/>
      <x:c r="AW148" s="27"/>
      <x:c r="AX148" s="27"/>
      <x:c r="AY148" s="27"/>
      <x:c r="AZ148" s="27"/>
    </x:row>
    <x:row r="149">
      <x:c r="A149" s="27"/>
      <x:c r="B149" s="27"/>
      <x:c r="C149" s="27"/>
      <x:c r="D149" s="27"/>
      <x:c r="E149" s="27"/>
      <x:c r="F149" s="27"/>
      <x:c r="G149" s="27"/>
      <x:c r="H149" s="27"/>
      <x:c r="I149" s="27"/>
      <x:c r="J149" s="27"/>
      <x:c r="K149" s="27"/>
      <x:c r="L149" s="27"/>
      <x:c r="M149" s="27"/>
      <x:c r="N149" s="27"/>
      <x:c r="O149" s="27"/>
      <x:c r="P149" s="27"/>
      <x:c r="Q149" s="27"/>
      <x:c r="R149" s="27"/>
      <x:c r="S149" s="27"/>
      <x:c r="T149" s="27"/>
      <x:c r="U149" s="27"/>
      <x:c r="V149" s="27"/>
      <x:c r="W149" s="27"/>
      <x:c r="X149" s="27"/>
      <x:c r="Y149" s="27"/>
      <x:c r="Z149" s="27"/>
      <x:c r="AA149" s="27"/>
      <x:c r="AB149" s="27"/>
      <x:c r="AC149" s="27"/>
      <x:c r="AD149" s="27"/>
      <x:c r="AE149" s="27"/>
      <x:c r="AF149" s="27"/>
      <x:c r="AG149" s="27"/>
      <x:c r="AH149" s="27"/>
      <x:c r="AI149" s="27"/>
      <x:c r="AJ149" s="27"/>
      <x:c r="AK149" s="27"/>
      <x:c r="AL149" s="27"/>
      <x:c r="AM149" s="27"/>
      <x:c r="AN149" s="27"/>
      <x:c r="AO149" s="27"/>
      <x:c r="AP149" s="27"/>
      <x:c r="AQ149" s="27"/>
      <x:c r="AR149" s="27"/>
      <x:c r="AS149" s="27"/>
      <x:c r="AT149" s="27"/>
      <x:c r="AU149" s="27"/>
      <x:c r="AV149" s="27"/>
      <x:c r="AW149" s="27"/>
      <x:c r="AX149" s="27"/>
      <x:c r="AY149" s="27"/>
      <x:c r="AZ149" s="27"/>
    </x:row>
    <x:row r="150">
      <x:c r="A150" s="27"/>
      <x:c r="B150" s="27"/>
      <x:c r="C150" s="27"/>
      <x:c r="D150" s="27"/>
      <x:c r="E150" s="27"/>
      <x:c r="F150" s="27"/>
      <x:c r="G150" s="27"/>
      <x:c r="H150" s="27"/>
      <x:c r="I150" s="27"/>
      <x:c r="J150" s="27"/>
      <x:c r="K150" s="27"/>
      <x:c r="L150" s="27"/>
      <x:c r="M150" s="27"/>
      <x:c r="N150" s="27"/>
      <x:c r="O150" s="27"/>
      <x:c r="P150" s="27"/>
      <x:c r="Q150" s="27"/>
      <x:c r="R150" s="27"/>
      <x:c r="S150" s="27"/>
      <x:c r="T150" s="27"/>
      <x:c r="U150" s="27"/>
      <x:c r="V150" s="27"/>
      <x:c r="W150" s="27"/>
      <x:c r="X150" s="27"/>
      <x:c r="Y150" s="27"/>
      <x:c r="Z150" s="27"/>
      <x:c r="AA150" s="27"/>
      <x:c r="AB150" s="27"/>
      <x:c r="AC150" s="27"/>
      <x:c r="AD150" s="27"/>
      <x:c r="AE150" s="27"/>
      <x:c r="AF150" s="27"/>
      <x:c r="AG150" s="27"/>
      <x:c r="AH150" s="27"/>
      <x:c r="AI150" s="27"/>
      <x:c r="AJ150" s="27"/>
      <x:c r="AK150" s="27"/>
      <x:c r="AL150" s="27"/>
      <x:c r="AM150" s="27"/>
      <x:c r="AN150" s="27"/>
      <x:c r="AO150" s="27"/>
      <x:c r="AP150" s="27"/>
      <x:c r="AQ150" s="27"/>
      <x:c r="AR150" s="27"/>
      <x:c r="AS150" s="27"/>
      <x:c r="AT150" s="27"/>
      <x:c r="AU150" s="27"/>
      <x:c r="AV150" s="27"/>
      <x:c r="AW150" s="27"/>
      <x:c r="AX150" s="27"/>
      <x:c r="AY150" s="27"/>
      <x:c r="AZ150" s="27"/>
    </x:row>
    <x:row r="151">
      <x:c r="A151" s="27"/>
      <x:c r="B151" s="27"/>
      <x:c r="C151" s="27"/>
      <x:c r="D151" s="27"/>
      <x:c r="E151" s="27"/>
      <x:c r="F151" s="27"/>
      <x:c r="G151" s="27"/>
      <x:c r="H151" s="27"/>
      <x:c r="I151" s="27"/>
      <x:c r="J151" s="27"/>
      <x:c r="K151" s="27"/>
      <x:c r="L151" s="27"/>
      <x:c r="M151" s="27"/>
      <x:c r="N151" s="27"/>
      <x:c r="O151" s="27"/>
      <x:c r="P151" s="27"/>
      <x:c r="Q151" s="27"/>
      <x:c r="R151" s="27"/>
      <x:c r="S151" s="27"/>
      <x:c r="T151" s="27"/>
      <x:c r="U151" s="27"/>
      <x:c r="V151" s="27"/>
      <x:c r="W151" s="27"/>
      <x:c r="X151" s="27"/>
      <x:c r="Y151" s="27"/>
      <x:c r="Z151" s="27"/>
      <x:c r="AA151" s="27"/>
      <x:c r="AB151" s="27"/>
      <x:c r="AC151" s="27"/>
      <x:c r="AD151" s="27"/>
      <x:c r="AE151" s="27"/>
      <x:c r="AF151" s="27"/>
      <x:c r="AG151" s="27"/>
      <x:c r="AH151" s="27"/>
      <x:c r="AI151" s="27"/>
      <x:c r="AJ151" s="27"/>
      <x:c r="AK151" s="27"/>
      <x:c r="AL151" s="27"/>
      <x:c r="AM151" s="27"/>
      <x:c r="AN151" s="27"/>
      <x:c r="AO151" s="27"/>
      <x:c r="AP151" s="27"/>
      <x:c r="AQ151" s="27"/>
      <x:c r="AR151" s="27"/>
      <x:c r="AS151" s="27"/>
      <x:c r="AT151" s="27"/>
      <x:c r="AU151" s="27"/>
      <x:c r="AV151" s="27"/>
      <x:c r="AW151" s="27"/>
      <x:c r="AX151" s="27"/>
      <x:c r="AY151" s="27"/>
      <x:c r="AZ151" s="27"/>
    </x:row>
    <x:row r="152">
      <x:c r="A152" s="27"/>
      <x:c r="B152" s="27"/>
      <x:c r="C152" s="27"/>
      <x:c r="D152" s="27"/>
      <x:c r="E152" s="27"/>
      <x:c r="F152" s="27"/>
      <x:c r="G152" s="27"/>
      <x:c r="H152" s="27"/>
      <x:c r="I152" s="27"/>
      <x:c r="J152" s="27"/>
      <x:c r="K152" s="27"/>
      <x:c r="L152" s="27"/>
      <x:c r="M152" s="27"/>
      <x:c r="N152" s="27"/>
      <x:c r="O152" s="27"/>
      <x:c r="P152" s="27"/>
      <x:c r="Q152" s="27"/>
      <x:c r="R152" s="27"/>
      <x:c r="S152" s="27"/>
      <x:c r="T152" s="27"/>
      <x:c r="U152" s="27"/>
      <x:c r="V152" s="27"/>
      <x:c r="W152" s="27"/>
      <x:c r="X152" s="27"/>
      <x:c r="Y152" s="27"/>
      <x:c r="Z152" s="27"/>
      <x:c r="AA152" s="27"/>
      <x:c r="AB152" s="27"/>
      <x:c r="AC152" s="27"/>
      <x:c r="AD152" s="27"/>
      <x:c r="AE152" s="27"/>
      <x:c r="AF152" s="27"/>
      <x:c r="AG152" s="27"/>
      <x:c r="AH152" s="27"/>
      <x:c r="AI152" s="27"/>
      <x:c r="AJ152" s="27"/>
      <x:c r="AK152" s="27"/>
      <x:c r="AL152" s="27"/>
      <x:c r="AM152" s="27"/>
      <x:c r="AN152" s="27"/>
      <x:c r="AO152" s="27"/>
      <x:c r="AP152" s="27"/>
      <x:c r="AQ152" s="27"/>
      <x:c r="AR152" s="27"/>
      <x:c r="AS152" s="27"/>
      <x:c r="AT152" s="27"/>
      <x:c r="AU152" s="27"/>
      <x:c r="AV152" s="27"/>
      <x:c r="AW152" s="27"/>
      <x:c r="AX152" s="27"/>
      <x:c r="AY152" s="27"/>
      <x:c r="AZ152" s="27"/>
    </x:row>
    <x:row r="153">
      <x:c r="A153" s="27"/>
      <x:c r="B153" s="27"/>
      <x:c r="C153" s="27"/>
      <x:c r="D153" s="27"/>
      <x:c r="E153" s="27"/>
      <x:c r="F153" s="27"/>
      <x:c r="G153" s="27"/>
      <x:c r="H153" s="27"/>
      <x:c r="I153" s="27"/>
      <x:c r="J153" s="27"/>
      <x:c r="K153" s="27"/>
      <x:c r="L153" s="27"/>
      <x:c r="M153" s="27"/>
      <x:c r="N153" s="27"/>
      <x:c r="O153" s="27"/>
      <x:c r="P153" s="27"/>
      <x:c r="Q153" s="27"/>
      <x:c r="R153" s="27"/>
      <x:c r="S153" s="27"/>
      <x:c r="T153" s="27"/>
      <x:c r="U153" s="27"/>
      <x:c r="V153" s="27"/>
      <x:c r="W153" s="27"/>
      <x:c r="X153" s="27"/>
      <x:c r="Y153" s="27"/>
      <x:c r="Z153" s="27"/>
      <x:c r="AA153" s="27"/>
      <x:c r="AB153" s="27"/>
      <x:c r="AC153" s="27"/>
      <x:c r="AD153" s="27"/>
      <x:c r="AE153" s="27"/>
      <x:c r="AF153" s="27"/>
      <x:c r="AG153" s="27"/>
      <x:c r="AH153" s="27"/>
      <x:c r="AI153" s="27"/>
      <x:c r="AJ153" s="27"/>
      <x:c r="AK153" s="27"/>
      <x:c r="AL153" s="27"/>
      <x:c r="AM153" s="27"/>
      <x:c r="AN153" s="27"/>
      <x:c r="AO153" s="27"/>
      <x:c r="AP153" s="27"/>
      <x:c r="AQ153" s="27"/>
      <x:c r="AR153" s="27"/>
      <x:c r="AS153" s="27"/>
      <x:c r="AT153" s="27"/>
      <x:c r="AU153" s="27"/>
      <x:c r="AV153" s="27"/>
      <x:c r="AW153" s="27"/>
      <x:c r="AX153" s="27"/>
      <x:c r="AY153" s="27"/>
      <x:c r="AZ153" s="27"/>
    </x:row>
    <x:row r="154">
      <x:c r="A154" s="27"/>
      <x:c r="B154" s="27"/>
      <x:c r="C154" s="27"/>
      <x:c r="D154" s="27"/>
      <x:c r="E154" s="27"/>
      <x:c r="F154" s="27"/>
      <x:c r="G154" s="27"/>
      <x:c r="H154" s="27"/>
      <x:c r="I154" s="27"/>
      <x:c r="J154" s="27"/>
      <x:c r="K154" s="27"/>
      <x:c r="L154" s="27"/>
      <x:c r="M154" s="27"/>
      <x:c r="N154" s="27"/>
      <x:c r="O154" s="27"/>
      <x:c r="P154" s="27"/>
      <x:c r="Q154" s="27"/>
      <x:c r="R154" s="27"/>
      <x:c r="S154" s="27"/>
      <x:c r="T154" s="27"/>
      <x:c r="U154" s="27"/>
      <x:c r="V154" s="27"/>
      <x:c r="W154" s="27"/>
      <x:c r="X154" s="27"/>
      <x:c r="Y154" s="27"/>
      <x:c r="Z154" s="27"/>
      <x:c r="AA154" s="27"/>
      <x:c r="AB154" s="27"/>
      <x:c r="AC154" s="27"/>
      <x:c r="AD154" s="27"/>
      <x:c r="AE154" s="27"/>
      <x:c r="AF154" s="27"/>
      <x:c r="AG154" s="27"/>
      <x:c r="AH154" s="27"/>
      <x:c r="AI154" s="27"/>
      <x:c r="AJ154" s="27"/>
      <x:c r="AK154" s="27"/>
      <x:c r="AL154" s="27"/>
      <x:c r="AM154" s="27"/>
      <x:c r="AN154" s="27"/>
      <x:c r="AO154" s="27"/>
      <x:c r="AP154" s="27"/>
      <x:c r="AQ154" s="27"/>
      <x:c r="AR154" s="27"/>
      <x:c r="AS154" s="27"/>
      <x:c r="AT154" s="27"/>
      <x:c r="AU154" s="27"/>
      <x:c r="AV154" s="27"/>
      <x:c r="AW154" s="27"/>
      <x:c r="AX154" s="27"/>
      <x:c r="AY154" s="27"/>
      <x:c r="AZ154" s="27"/>
    </x:row>
    <x:row r="155">
      <x:c r="A155" s="27"/>
      <x:c r="B155" s="27"/>
      <x:c r="C155" s="27"/>
      <x:c r="D155" s="27"/>
      <x:c r="E155" s="27"/>
      <x:c r="F155" s="27"/>
      <x:c r="G155" s="27"/>
      <x:c r="H155" s="27"/>
      <x:c r="I155" s="27"/>
      <x:c r="J155" s="27"/>
      <x:c r="K155" s="27"/>
      <x:c r="L155" s="27"/>
      <x:c r="M155" s="27"/>
      <x:c r="N155" s="27"/>
      <x:c r="O155" s="27"/>
      <x:c r="P155" s="27"/>
      <x:c r="Q155" s="27"/>
      <x:c r="R155" s="27"/>
      <x:c r="S155" s="27"/>
      <x:c r="T155" s="27"/>
      <x:c r="U155" s="27"/>
      <x:c r="V155" s="27"/>
      <x:c r="W155" s="27"/>
      <x:c r="X155" s="27"/>
      <x:c r="Y155" s="27"/>
      <x:c r="Z155" s="27"/>
      <x:c r="AA155" s="27"/>
      <x:c r="AB155" s="27"/>
      <x:c r="AC155" s="27"/>
      <x:c r="AD155" s="27"/>
      <x:c r="AE155" s="27"/>
      <x:c r="AF155" s="27"/>
      <x:c r="AG155" s="27"/>
      <x:c r="AH155" s="27"/>
      <x:c r="AI155" s="27"/>
      <x:c r="AJ155" s="27"/>
      <x:c r="AK155" s="27"/>
      <x:c r="AL155" s="27"/>
      <x:c r="AM155" s="27"/>
      <x:c r="AN155" s="27"/>
      <x:c r="AO155" s="27"/>
      <x:c r="AP155" s="27"/>
      <x:c r="AQ155" s="27"/>
      <x:c r="AR155" s="27"/>
      <x:c r="AS155" s="27"/>
      <x:c r="AT155" s="27"/>
      <x:c r="AU155" s="27"/>
      <x:c r="AV155" s="27"/>
      <x:c r="AW155" s="27"/>
      <x:c r="AX155" s="27"/>
      <x:c r="AY155" s="27"/>
      <x:c r="AZ155" s="27"/>
    </x:row>
    <x:row r="156">
      <x:c r="A156" s="27"/>
      <x:c r="B156" s="27"/>
      <x:c r="C156" s="27"/>
      <x:c r="D156" s="27"/>
      <x:c r="E156" s="27"/>
      <x:c r="F156" s="27"/>
      <x:c r="G156" s="27"/>
      <x:c r="H156" s="27"/>
      <x:c r="I156" s="27"/>
      <x:c r="J156" s="27"/>
      <x:c r="K156" s="27"/>
      <x:c r="L156" s="27"/>
      <x:c r="M156" s="27"/>
      <x:c r="N156" s="27"/>
      <x:c r="O156" s="27"/>
      <x:c r="P156" s="27"/>
      <x:c r="Q156" s="27"/>
      <x:c r="R156" s="27"/>
      <x:c r="S156" s="27"/>
      <x:c r="T156" s="27"/>
      <x:c r="U156" s="27"/>
      <x:c r="V156" s="27"/>
      <x:c r="W156" s="27"/>
      <x:c r="X156" s="27"/>
      <x:c r="Y156" s="27"/>
      <x:c r="Z156" s="27"/>
      <x:c r="AA156" s="27"/>
      <x:c r="AB156" s="27"/>
      <x:c r="AC156" s="27"/>
      <x:c r="AD156" s="27"/>
      <x:c r="AE156" s="27"/>
      <x:c r="AF156" s="27"/>
      <x:c r="AG156" s="27"/>
      <x:c r="AH156" s="27"/>
      <x:c r="AI156" s="27"/>
      <x:c r="AJ156" s="27"/>
      <x:c r="AK156" s="27"/>
      <x:c r="AL156" s="27"/>
      <x:c r="AM156" s="27"/>
      <x:c r="AN156" s="27"/>
      <x:c r="AO156" s="27"/>
      <x:c r="AP156" s="27"/>
      <x:c r="AQ156" s="27"/>
      <x:c r="AR156" s="27"/>
      <x:c r="AS156" s="27"/>
      <x:c r="AT156" s="27"/>
      <x:c r="AU156" s="27"/>
      <x:c r="AV156" s="27"/>
      <x:c r="AW156" s="27"/>
      <x:c r="AX156" s="27"/>
      <x:c r="AY156" s="27"/>
      <x:c r="AZ156" s="27"/>
    </x:row>
    <x:row r="157">
      <x:c r="A157" s="27"/>
      <x:c r="B157" s="27"/>
      <x:c r="C157" s="27"/>
      <x:c r="D157" s="27"/>
      <x:c r="E157" s="27"/>
      <x:c r="F157" s="27"/>
      <x:c r="G157" s="27"/>
      <x:c r="H157" s="27"/>
      <x:c r="I157" s="27"/>
      <x:c r="J157" s="27"/>
      <x:c r="K157" s="27"/>
      <x:c r="L157" s="27"/>
      <x:c r="M157" s="27"/>
      <x:c r="N157" s="27"/>
      <x:c r="O157" s="27"/>
      <x:c r="P157" s="27"/>
      <x:c r="Q157" s="27"/>
      <x:c r="R157" s="27"/>
      <x:c r="S157" s="27"/>
      <x:c r="T157" s="27"/>
      <x:c r="U157" s="27"/>
      <x:c r="V157" s="27"/>
      <x:c r="W157" s="27"/>
      <x:c r="X157" s="27"/>
      <x:c r="Y157" s="27"/>
      <x:c r="Z157" s="27"/>
      <x:c r="AA157" s="27"/>
      <x:c r="AB157" s="27"/>
      <x:c r="AC157" s="27"/>
      <x:c r="AD157" s="27"/>
      <x:c r="AE157" s="27"/>
      <x:c r="AF157" s="27"/>
      <x:c r="AG157" s="27"/>
      <x:c r="AH157" s="27"/>
      <x:c r="AI157" s="27"/>
      <x:c r="AJ157" s="27"/>
      <x:c r="AK157" s="27"/>
      <x:c r="AL157" s="27"/>
      <x:c r="AM157" s="27"/>
      <x:c r="AN157" s="27"/>
      <x:c r="AO157" s="27"/>
      <x:c r="AP157" s="27"/>
      <x:c r="AQ157" s="27"/>
      <x:c r="AR157" s="27"/>
      <x:c r="AS157" s="27"/>
      <x:c r="AT157" s="27"/>
      <x:c r="AU157" s="27"/>
      <x:c r="AV157" s="27"/>
      <x:c r="AW157" s="27"/>
      <x:c r="AX157" s="27"/>
      <x:c r="AY157" s="27"/>
      <x:c r="AZ157" s="27"/>
    </x:row>
    <x:row r="158">
      <x:c r="A158" s="27"/>
      <x:c r="B158" s="27"/>
      <x:c r="C158" s="27"/>
      <x:c r="D158" s="27"/>
      <x:c r="E158" s="27"/>
      <x:c r="F158" s="27"/>
      <x:c r="G158" s="27"/>
      <x:c r="H158" s="27"/>
      <x:c r="I158" s="27"/>
      <x:c r="J158" s="27"/>
      <x:c r="K158" s="27"/>
      <x:c r="L158" s="27"/>
      <x:c r="M158" s="27"/>
      <x:c r="N158" s="27"/>
      <x:c r="O158" s="27"/>
      <x:c r="P158" s="27"/>
      <x:c r="Q158" s="27"/>
      <x:c r="R158" s="27"/>
      <x:c r="S158" s="27"/>
      <x:c r="T158" s="27"/>
      <x:c r="U158" s="27"/>
      <x:c r="V158" s="27"/>
      <x:c r="W158" s="27"/>
      <x:c r="X158" s="27"/>
      <x:c r="Y158" s="27"/>
      <x:c r="Z158" s="27"/>
      <x:c r="AA158" s="27"/>
      <x:c r="AB158" s="27"/>
      <x:c r="AC158" s="27"/>
      <x:c r="AD158" s="27"/>
      <x:c r="AE158" s="27"/>
      <x:c r="AF158" s="27"/>
      <x:c r="AG158" s="27"/>
      <x:c r="AH158" s="27"/>
      <x:c r="AI158" s="27"/>
      <x:c r="AJ158" s="27"/>
      <x:c r="AK158" s="27"/>
      <x:c r="AL158" s="27"/>
      <x:c r="AM158" s="27"/>
      <x:c r="AN158" s="27"/>
      <x:c r="AO158" s="27"/>
      <x:c r="AP158" s="27"/>
      <x:c r="AQ158" s="27"/>
      <x:c r="AR158" s="27"/>
      <x:c r="AS158" s="27"/>
      <x:c r="AT158" s="27"/>
      <x:c r="AU158" s="27"/>
      <x:c r="AV158" s="27"/>
      <x:c r="AW158" s="27"/>
      <x:c r="AX158" s="27"/>
      <x:c r="AY158" s="27"/>
      <x:c r="AZ158" s="27"/>
    </x:row>
    <x:row r="159">
      <x:c r="A159" s="27"/>
      <x:c r="B159" s="27"/>
      <x:c r="C159" s="27"/>
      <x:c r="D159" s="27"/>
      <x:c r="E159" s="27"/>
      <x:c r="F159" s="27"/>
      <x:c r="G159" s="27"/>
      <x:c r="H159" s="27"/>
      <x:c r="I159" s="27"/>
      <x:c r="J159" s="27"/>
      <x:c r="K159" s="27"/>
      <x:c r="L159" s="27"/>
      <x:c r="M159" s="27"/>
      <x:c r="N159" s="27"/>
      <x:c r="O159" s="27"/>
      <x:c r="P159" s="27"/>
      <x:c r="Q159" s="27"/>
      <x:c r="R159" s="27"/>
      <x:c r="S159" s="27"/>
      <x:c r="T159" s="27"/>
      <x:c r="U159" s="27"/>
      <x:c r="V159" s="27"/>
      <x:c r="W159" s="27"/>
      <x:c r="X159" s="27"/>
      <x:c r="Y159" s="27"/>
      <x:c r="Z159" s="27"/>
      <x:c r="AA159" s="27"/>
      <x:c r="AB159" s="27"/>
      <x:c r="AC159" s="27"/>
      <x:c r="AD159" s="27"/>
      <x:c r="AE159" s="27"/>
      <x:c r="AF159" s="27"/>
      <x:c r="AG159" s="27"/>
      <x:c r="AH159" s="27"/>
      <x:c r="AI159" s="27"/>
      <x:c r="AJ159" s="27"/>
      <x:c r="AK159" s="27"/>
      <x:c r="AL159" s="27"/>
      <x:c r="AM159" s="27"/>
      <x:c r="AN159" s="27"/>
      <x:c r="AO159" s="27"/>
      <x:c r="AP159" s="27"/>
      <x:c r="AQ159" s="27"/>
      <x:c r="AR159" s="27"/>
      <x:c r="AS159" s="27"/>
      <x:c r="AT159" s="27"/>
      <x:c r="AU159" s="27"/>
      <x:c r="AV159" s="27"/>
      <x:c r="AW159" s="27"/>
      <x:c r="AX159" s="27"/>
      <x:c r="AY159" s="27"/>
      <x:c r="AZ159" s="27"/>
    </x:row>
    <x:row r="160">
      <x:c r="A160" s="27"/>
      <x:c r="B160" s="27"/>
      <x:c r="C160" s="27"/>
      <x:c r="D160" s="27"/>
      <x:c r="E160" s="27"/>
      <x:c r="F160" s="27"/>
      <x:c r="G160" s="27"/>
      <x:c r="H160" s="27"/>
      <x:c r="I160" s="27"/>
      <x:c r="J160" s="27"/>
      <x:c r="K160" s="27"/>
      <x:c r="L160" s="27"/>
      <x:c r="M160" s="27"/>
      <x:c r="N160" s="27"/>
      <x:c r="O160" s="27"/>
      <x:c r="P160" s="27"/>
      <x:c r="Q160" s="27"/>
      <x:c r="R160" s="27"/>
      <x:c r="S160" s="27"/>
      <x:c r="T160" s="27"/>
      <x:c r="U160" s="27"/>
      <x:c r="V160" s="27"/>
      <x:c r="W160" s="27"/>
      <x:c r="X160" s="27"/>
      <x:c r="Y160" s="27"/>
      <x:c r="Z160" s="27"/>
      <x:c r="AA160" s="27"/>
      <x:c r="AB160" s="27"/>
      <x:c r="AC160" s="27"/>
      <x:c r="AD160" s="27"/>
      <x:c r="AE160" s="27"/>
      <x:c r="AF160" s="27"/>
      <x:c r="AG160" s="27"/>
      <x:c r="AH160" s="27"/>
      <x:c r="AI160" s="27"/>
      <x:c r="AJ160" s="27"/>
      <x:c r="AK160" s="27"/>
      <x:c r="AL160" s="27"/>
      <x:c r="AM160" s="27"/>
      <x:c r="AN160" s="27"/>
      <x:c r="AO160" s="27"/>
      <x:c r="AP160" s="27"/>
      <x:c r="AQ160" s="27"/>
      <x:c r="AR160" s="27"/>
      <x:c r="AS160" s="27"/>
      <x:c r="AT160" s="27"/>
      <x:c r="AU160" s="27"/>
      <x:c r="AV160" s="27"/>
      <x:c r="AW160" s="27"/>
      <x:c r="AX160" s="27"/>
      <x:c r="AY160" s="27"/>
      <x:c r="AZ160" s="27"/>
    </x:row>
    <x:row r="161">
      <x:c r="A161" s="27"/>
      <x:c r="B161" s="27"/>
      <x:c r="C161" s="27"/>
      <x:c r="D161" s="27"/>
      <x:c r="E161" s="27"/>
      <x:c r="F161" s="27"/>
      <x:c r="G161" s="27"/>
      <x:c r="H161" s="27"/>
      <x:c r="I161" s="27"/>
      <x:c r="J161" s="27"/>
      <x:c r="K161" s="27"/>
      <x:c r="L161" s="27"/>
      <x:c r="M161" s="27"/>
      <x:c r="N161" s="27"/>
      <x:c r="O161" s="27"/>
      <x:c r="P161" s="27"/>
      <x:c r="Q161" s="27"/>
      <x:c r="R161" s="27"/>
      <x:c r="S161" s="27"/>
      <x:c r="T161" s="27"/>
      <x:c r="U161" s="27"/>
      <x:c r="V161" s="27"/>
      <x:c r="W161" s="27"/>
      <x:c r="X161" s="27"/>
      <x:c r="Y161" s="27"/>
      <x:c r="Z161" s="27"/>
      <x:c r="AA161" s="27"/>
      <x:c r="AB161" s="27"/>
      <x:c r="AC161" s="27"/>
      <x:c r="AD161" s="27"/>
      <x:c r="AE161" s="27"/>
      <x:c r="AF161" s="27"/>
      <x:c r="AG161" s="27"/>
      <x:c r="AH161" s="27"/>
      <x:c r="AI161" s="27"/>
      <x:c r="AJ161" s="27"/>
      <x:c r="AK161" s="27"/>
      <x:c r="AL161" s="27"/>
      <x:c r="AM161" s="27"/>
      <x:c r="AN161" s="27"/>
      <x:c r="AO161" s="27"/>
      <x:c r="AP161" s="27"/>
      <x:c r="AQ161" s="27"/>
      <x:c r="AR161" s="27"/>
      <x:c r="AS161" s="27"/>
      <x:c r="AT161" s="27"/>
      <x:c r="AU161" s="27"/>
      <x:c r="AV161" s="27"/>
      <x:c r="AW161" s="27"/>
      <x:c r="AX161" s="27"/>
      <x:c r="AY161" s="27"/>
      <x:c r="AZ161" s="27"/>
    </x:row>
    <x:row r="162">
      <x:c r="A162" s="27"/>
      <x:c r="B162" s="27"/>
      <x:c r="C162" s="27"/>
      <x:c r="D162" s="27"/>
      <x:c r="E162" s="27"/>
      <x:c r="F162" s="27"/>
      <x:c r="G162" s="27"/>
      <x:c r="H162" s="27"/>
      <x:c r="I162" s="27"/>
      <x:c r="J162" s="27"/>
      <x:c r="K162" s="27"/>
      <x:c r="L162" s="27"/>
      <x:c r="M162" s="27"/>
      <x:c r="N162" s="27"/>
      <x:c r="O162" s="27"/>
      <x:c r="P162" s="27"/>
      <x:c r="Q162" s="27"/>
      <x:c r="R162" s="27"/>
      <x:c r="S162" s="27"/>
      <x:c r="T162" s="27"/>
      <x:c r="U162" s="27"/>
      <x:c r="V162" s="27"/>
      <x:c r="W162" s="27"/>
      <x:c r="X162" s="27"/>
      <x:c r="Y162" s="27"/>
      <x:c r="Z162" s="27"/>
      <x:c r="AA162" s="27"/>
      <x:c r="AB162" s="27"/>
      <x:c r="AC162" s="27"/>
      <x:c r="AD162" s="27"/>
      <x:c r="AE162" s="27"/>
      <x:c r="AF162" s="27"/>
      <x:c r="AG162" s="27"/>
      <x:c r="AH162" s="27"/>
      <x:c r="AI162" s="27"/>
      <x:c r="AJ162" s="27"/>
      <x:c r="AK162" s="27"/>
      <x:c r="AL162" s="27"/>
      <x:c r="AM162" s="27"/>
      <x:c r="AN162" s="27"/>
      <x:c r="AO162" s="27"/>
      <x:c r="AP162" s="27"/>
      <x:c r="AQ162" s="27"/>
      <x:c r="AR162" s="27"/>
      <x:c r="AS162" s="27"/>
      <x:c r="AT162" s="27"/>
      <x:c r="AU162" s="27"/>
      <x:c r="AV162" s="27"/>
      <x:c r="AW162" s="27"/>
      <x:c r="AX162" s="27"/>
      <x:c r="AY162" s="27"/>
      <x:c r="AZ162" s="27"/>
    </x:row>
    <x:row r="163">
      <x:c r="A163" s="27"/>
      <x:c r="B163" s="27"/>
      <x:c r="C163" s="27"/>
      <x:c r="D163" s="27"/>
      <x:c r="E163" s="27"/>
      <x:c r="F163" s="27"/>
      <x:c r="G163" s="27"/>
      <x:c r="H163" s="27"/>
      <x:c r="I163" s="27"/>
      <x:c r="J163" s="27"/>
      <x:c r="K163" s="27"/>
      <x:c r="L163" s="27"/>
      <x:c r="M163" s="27"/>
      <x:c r="N163" s="27"/>
      <x:c r="O163" s="27"/>
      <x:c r="P163" s="27"/>
      <x:c r="Q163" s="27"/>
      <x:c r="R163" s="27"/>
      <x:c r="S163" s="27"/>
      <x:c r="T163" s="27"/>
      <x:c r="U163" s="27"/>
      <x:c r="V163" s="27"/>
      <x:c r="W163" s="27"/>
      <x:c r="X163" s="27"/>
      <x:c r="Y163" s="27"/>
      <x:c r="Z163" s="27"/>
      <x:c r="AA163" s="27"/>
      <x:c r="AB163" s="27"/>
      <x:c r="AC163" s="27"/>
      <x:c r="AD163" s="27"/>
      <x:c r="AE163" s="27"/>
      <x:c r="AF163" s="27"/>
      <x:c r="AG163" s="27"/>
      <x:c r="AH163" s="27"/>
      <x:c r="AI163" s="27"/>
      <x:c r="AJ163" s="27"/>
      <x:c r="AK163" s="27"/>
      <x:c r="AL163" s="27"/>
      <x:c r="AM163" s="27"/>
      <x:c r="AN163" s="27"/>
      <x:c r="AO163" s="27"/>
      <x:c r="AP163" s="27"/>
      <x:c r="AQ163" s="27"/>
      <x:c r="AR163" s="27"/>
      <x:c r="AS163" s="27"/>
      <x:c r="AT163" s="27"/>
      <x:c r="AU163" s="27"/>
      <x:c r="AV163" s="27"/>
      <x:c r="AW163" s="27"/>
      <x:c r="AX163" s="27"/>
      <x:c r="AY163" s="27"/>
      <x:c r="AZ163" s="27"/>
    </x:row>
    <x:row r="164">
      <x:c r="A164" s="27"/>
      <x:c r="B164" s="27"/>
      <x:c r="C164" s="27"/>
      <x:c r="D164" s="27"/>
      <x:c r="E164" s="27"/>
      <x:c r="F164" s="27"/>
      <x:c r="G164" s="27"/>
      <x:c r="H164" s="27"/>
      <x:c r="I164" s="27"/>
      <x:c r="J164" s="27"/>
      <x:c r="K164" s="27"/>
      <x:c r="L164" s="27"/>
      <x:c r="M164" s="27"/>
      <x:c r="N164" s="27"/>
      <x:c r="O164" s="27"/>
      <x:c r="P164" s="27"/>
      <x:c r="Q164" s="27"/>
      <x:c r="R164" s="27"/>
      <x:c r="S164" s="27"/>
      <x:c r="T164" s="27"/>
      <x:c r="U164" s="27"/>
      <x:c r="V164" s="27"/>
      <x:c r="W164" s="27"/>
      <x:c r="X164" s="27"/>
      <x:c r="Y164" s="27"/>
      <x:c r="Z164" s="27"/>
      <x:c r="AA164" s="27"/>
      <x:c r="AB164" s="27"/>
      <x:c r="AC164" s="27"/>
      <x:c r="AD164" s="27"/>
      <x:c r="AE164" s="27"/>
      <x:c r="AF164" s="27"/>
      <x:c r="AG164" s="27"/>
      <x:c r="AH164" s="27"/>
      <x:c r="AI164" s="27"/>
      <x:c r="AJ164" s="27"/>
      <x:c r="AK164" s="27"/>
      <x:c r="AL164" s="27"/>
      <x:c r="AM164" s="27"/>
      <x:c r="AN164" s="27"/>
      <x:c r="AO164" s="27"/>
      <x:c r="AP164" s="27"/>
      <x:c r="AQ164" s="27"/>
      <x:c r="AR164" s="27"/>
      <x:c r="AS164" s="27"/>
      <x:c r="AT164" s="27"/>
      <x:c r="AU164" s="27"/>
      <x:c r="AV164" s="27"/>
      <x:c r="AW164" s="27"/>
      <x:c r="AX164" s="27"/>
      <x:c r="AY164" s="27"/>
      <x:c r="AZ164" s="27"/>
    </x:row>
    <x:row r="165">
      <x:c r="A165" s="27"/>
      <x:c r="B165" s="27"/>
      <x:c r="C165" s="27"/>
      <x:c r="D165" s="27"/>
      <x:c r="E165" s="27"/>
      <x:c r="F165" s="27"/>
      <x:c r="G165" s="27"/>
      <x:c r="H165" s="27"/>
      <x:c r="I165" s="27"/>
      <x:c r="J165" s="27"/>
      <x:c r="K165" s="27"/>
      <x:c r="L165" s="27"/>
      <x:c r="M165" s="27"/>
      <x:c r="N165" s="27"/>
      <x:c r="O165" s="27"/>
      <x:c r="P165" s="27"/>
      <x:c r="Q165" s="27"/>
      <x:c r="R165" s="27"/>
      <x:c r="S165" s="27"/>
      <x:c r="T165" s="27"/>
      <x:c r="U165" s="27"/>
      <x:c r="V165" s="27"/>
      <x:c r="W165" s="27"/>
      <x:c r="X165" s="27"/>
      <x:c r="Y165" s="27"/>
      <x:c r="Z165" s="27"/>
      <x:c r="AA165" s="27"/>
      <x:c r="AB165" s="27"/>
      <x:c r="AC165" s="27"/>
      <x:c r="AD165" s="27"/>
      <x:c r="AE165" s="27"/>
      <x:c r="AF165" s="27"/>
      <x:c r="AG165" s="27"/>
      <x:c r="AH165" s="27"/>
      <x:c r="AI165" s="27"/>
      <x:c r="AJ165" s="27"/>
      <x:c r="AK165" s="27"/>
      <x:c r="AL165" s="27"/>
      <x:c r="AM165" s="27"/>
      <x:c r="AN165" s="27"/>
      <x:c r="AO165" s="27"/>
      <x:c r="AP165" s="27"/>
      <x:c r="AQ165" s="27"/>
      <x:c r="AR165" s="27"/>
      <x:c r="AS165" s="27"/>
      <x:c r="AT165" s="27"/>
      <x:c r="AU165" s="27"/>
      <x:c r="AV165" s="27"/>
      <x:c r="AW165" s="27"/>
      <x:c r="AX165" s="27"/>
      <x:c r="AY165" s="27"/>
      <x:c r="AZ165" s="27"/>
    </x:row>
    <x:row r="166">
      <x:c r="A166" s="27"/>
      <x:c r="B166" s="27"/>
      <x:c r="C166" s="27"/>
      <x:c r="D166" s="27"/>
      <x:c r="E166" s="27"/>
      <x:c r="F166" s="27"/>
      <x:c r="G166" s="27"/>
      <x:c r="H166" s="27"/>
      <x:c r="I166" s="27"/>
      <x:c r="J166" s="27"/>
      <x:c r="K166" s="27"/>
      <x:c r="L166" s="27"/>
      <x:c r="M166" s="27"/>
      <x:c r="N166" s="27"/>
      <x:c r="O166" s="27"/>
      <x:c r="P166" s="27"/>
      <x:c r="Q166" s="27"/>
      <x:c r="R166" s="27"/>
      <x:c r="S166" s="27"/>
      <x:c r="T166" s="27"/>
      <x:c r="U166" s="27"/>
      <x:c r="V166" s="27"/>
      <x:c r="W166" s="27"/>
      <x:c r="X166" s="27"/>
      <x:c r="Y166" s="27"/>
      <x:c r="Z166" s="27"/>
      <x:c r="AA166" s="27"/>
      <x:c r="AB166" s="27"/>
      <x:c r="AC166" s="27"/>
      <x:c r="AD166" s="27"/>
      <x:c r="AE166" s="27"/>
      <x:c r="AF166" s="27"/>
      <x:c r="AG166" s="27"/>
      <x:c r="AH166" s="27"/>
      <x:c r="AI166" s="27"/>
      <x:c r="AJ166" s="27"/>
      <x:c r="AK166" s="27"/>
      <x:c r="AL166" s="27"/>
      <x:c r="AM166" s="27"/>
      <x:c r="AN166" s="27"/>
      <x:c r="AO166" s="27"/>
      <x:c r="AP166" s="27"/>
      <x:c r="AQ166" s="27"/>
      <x:c r="AR166" s="27"/>
      <x:c r="AS166" s="27"/>
      <x:c r="AT166" s="27"/>
      <x:c r="AU166" s="27"/>
      <x:c r="AV166" s="27"/>
      <x:c r="AW166" s="27"/>
      <x:c r="AX166" s="27"/>
      <x:c r="AY166" s="27"/>
      <x:c r="AZ166" s="27"/>
    </x:row>
    <x:row r="167">
      <x:c r="A167" s="27"/>
      <x:c r="B167" s="27"/>
      <x:c r="C167" s="27"/>
      <x:c r="D167" s="27"/>
      <x:c r="E167" s="27"/>
      <x:c r="F167" s="27"/>
      <x:c r="G167" s="27"/>
      <x:c r="H167" s="27"/>
      <x:c r="I167" s="27"/>
      <x:c r="J167" s="27"/>
      <x:c r="K167" s="27"/>
      <x:c r="L167" s="27"/>
      <x:c r="M167" s="27"/>
      <x:c r="N167" s="27"/>
      <x:c r="O167" s="27"/>
      <x:c r="P167" s="27"/>
      <x:c r="Q167" s="27"/>
      <x:c r="R167" s="27"/>
      <x:c r="S167" s="27"/>
      <x:c r="T167" s="27"/>
      <x:c r="U167" s="27"/>
      <x:c r="V167" s="27"/>
      <x:c r="W167" s="27"/>
      <x:c r="X167" s="27"/>
      <x:c r="Y167" s="27"/>
      <x:c r="Z167" s="27"/>
      <x:c r="AA167" s="27"/>
      <x:c r="AB167" s="27"/>
      <x:c r="AC167" s="27"/>
      <x:c r="AD167" s="27"/>
      <x:c r="AE167" s="27"/>
      <x:c r="AF167" s="27"/>
      <x:c r="AG167" s="27"/>
      <x:c r="AH167" s="27"/>
      <x:c r="AI167" s="27"/>
      <x:c r="AJ167" s="27"/>
      <x:c r="AK167" s="27"/>
      <x:c r="AL167" s="27"/>
      <x:c r="AM167" s="27"/>
      <x:c r="AN167" s="27"/>
      <x:c r="AO167" s="27"/>
      <x:c r="AP167" s="27"/>
      <x:c r="AQ167" s="27"/>
      <x:c r="AR167" s="27"/>
      <x:c r="AS167" s="27"/>
      <x:c r="AT167" s="27"/>
      <x:c r="AU167" s="27"/>
      <x:c r="AV167" s="27"/>
      <x:c r="AW167" s="27"/>
      <x:c r="AX167" s="27"/>
      <x:c r="AY167" s="27"/>
      <x:c r="AZ167" s="27"/>
    </x:row>
    <x:row r="168">
      <x:c r="A168" s="27"/>
      <x:c r="B168" s="27"/>
      <x:c r="C168" s="27"/>
      <x:c r="D168" s="27"/>
      <x:c r="E168" s="27"/>
      <x:c r="F168" s="27"/>
      <x:c r="G168" s="27"/>
      <x:c r="H168" s="27"/>
      <x:c r="I168" s="27"/>
      <x:c r="J168" s="27"/>
      <x:c r="K168" s="27"/>
      <x:c r="L168" s="27"/>
      <x:c r="M168" s="27"/>
      <x:c r="N168" s="27"/>
      <x:c r="O168" s="27"/>
      <x:c r="P168" s="27"/>
      <x:c r="Q168" s="27"/>
      <x:c r="R168" s="27"/>
      <x:c r="S168" s="27"/>
      <x:c r="T168" s="27"/>
      <x:c r="U168" s="27"/>
      <x:c r="V168" s="27"/>
      <x:c r="W168" s="27"/>
      <x:c r="X168" s="27"/>
      <x:c r="Y168" s="27"/>
      <x:c r="Z168" s="27"/>
      <x:c r="AA168" s="27"/>
      <x:c r="AB168" s="27"/>
      <x:c r="AC168" s="27"/>
      <x:c r="AD168" s="27"/>
      <x:c r="AE168" s="27"/>
      <x:c r="AF168" s="27"/>
      <x:c r="AG168" s="27"/>
      <x:c r="AH168" s="27"/>
      <x:c r="AI168" s="27"/>
      <x:c r="AJ168" s="27"/>
      <x:c r="AK168" s="27"/>
      <x:c r="AL168" s="27"/>
      <x:c r="AM168" s="27"/>
      <x:c r="AN168" s="27"/>
      <x:c r="AO168" s="27"/>
      <x:c r="AP168" s="27"/>
      <x:c r="AQ168" s="27"/>
      <x:c r="AR168" s="27"/>
      <x:c r="AS168" s="27"/>
      <x:c r="AT168" s="27"/>
      <x:c r="AU168" s="27"/>
      <x:c r="AV168" s="27"/>
      <x:c r="AW168" s="27"/>
      <x:c r="AX168" s="27"/>
      <x:c r="AY168" s="27"/>
      <x:c r="AZ168" s="27"/>
    </x:row>
    <x:row r="169">
      <x:c r="A169" s="27"/>
      <x:c r="B169" s="27"/>
      <x:c r="C169" s="27"/>
      <x:c r="D169" s="27"/>
      <x:c r="E169" s="27"/>
      <x:c r="F169" s="27"/>
      <x:c r="G169" s="27"/>
      <x:c r="H169" s="27"/>
      <x:c r="I169" s="27"/>
      <x:c r="J169" s="27"/>
      <x:c r="K169" s="27"/>
      <x:c r="L169" s="27"/>
      <x:c r="M169" s="27"/>
      <x:c r="N169" s="27"/>
      <x:c r="O169" s="27"/>
      <x:c r="P169" s="27"/>
      <x:c r="Q169" s="27"/>
      <x:c r="R169" s="27"/>
      <x:c r="S169" s="27"/>
      <x:c r="T169" s="27"/>
      <x:c r="U169" s="27"/>
      <x:c r="V169" s="27"/>
      <x:c r="W169" s="27"/>
      <x:c r="X169" s="27"/>
      <x:c r="Y169" s="27"/>
      <x:c r="Z169" s="27"/>
      <x:c r="AA169" s="27"/>
      <x:c r="AB169" s="27"/>
      <x:c r="AC169" s="27"/>
      <x:c r="AD169" s="27"/>
      <x:c r="AE169" s="27"/>
      <x:c r="AF169" s="27"/>
      <x:c r="AG169" s="27"/>
      <x:c r="AH169" s="27"/>
      <x:c r="AI169" s="27"/>
      <x:c r="AJ169" s="27"/>
      <x:c r="AK169" s="27"/>
      <x:c r="AL169" s="27"/>
      <x:c r="AM169" s="27"/>
      <x:c r="AN169" s="27"/>
      <x:c r="AO169" s="27"/>
      <x:c r="AP169" s="27"/>
      <x:c r="AQ169" s="27"/>
      <x:c r="AR169" s="27"/>
      <x:c r="AS169" s="27"/>
      <x:c r="AT169" s="27"/>
      <x:c r="AU169" s="27"/>
      <x:c r="AV169" s="27"/>
      <x:c r="AW169" s="27"/>
      <x:c r="AX169" s="27"/>
      <x:c r="AY169" s="27"/>
      <x:c r="AZ169" s="27"/>
    </x:row>
    <x:row r="170">
      <x:c r="A170" s="27"/>
      <x:c r="B170" s="27"/>
      <x:c r="C170" s="27"/>
      <x:c r="D170" s="27"/>
      <x:c r="E170" s="27"/>
      <x:c r="F170" s="27"/>
      <x:c r="G170" s="27"/>
      <x:c r="H170" s="27"/>
      <x:c r="I170" s="27"/>
      <x:c r="J170" s="27"/>
      <x:c r="K170" s="27"/>
      <x:c r="L170" s="27"/>
      <x:c r="M170" s="27"/>
      <x:c r="N170" s="27"/>
      <x:c r="O170" s="27"/>
      <x:c r="P170" s="27"/>
      <x:c r="Q170" s="27"/>
      <x:c r="R170" s="27"/>
      <x:c r="S170" s="27"/>
      <x:c r="T170" s="27"/>
      <x:c r="U170" s="27"/>
      <x:c r="V170" s="27"/>
      <x:c r="W170" s="27"/>
      <x:c r="X170" s="27"/>
      <x:c r="Y170" s="27"/>
      <x:c r="Z170" s="27"/>
      <x:c r="AA170" s="27"/>
      <x:c r="AB170" s="27"/>
      <x:c r="AC170" s="27"/>
      <x:c r="AD170" s="27"/>
      <x:c r="AE170" s="27"/>
      <x:c r="AF170" s="27"/>
      <x:c r="AG170" s="27"/>
      <x:c r="AH170" s="27"/>
      <x:c r="AI170" s="27"/>
      <x:c r="AJ170" s="27"/>
      <x:c r="AK170" s="27"/>
      <x:c r="AL170" s="27"/>
      <x:c r="AM170" s="27"/>
      <x:c r="AN170" s="27"/>
      <x:c r="AO170" s="27"/>
      <x:c r="AP170" s="27"/>
      <x:c r="AQ170" s="27"/>
      <x:c r="AR170" s="27"/>
      <x:c r="AS170" s="27"/>
      <x:c r="AT170" s="27"/>
      <x:c r="AU170" s="27"/>
      <x:c r="AV170" s="27"/>
      <x:c r="AW170" s="27"/>
      <x:c r="AX170" s="27"/>
      <x:c r="AY170" s="27"/>
      <x:c r="AZ170" s="27"/>
    </x:row>
    <x:row r="171">
      <x:c r="A171" s="27"/>
      <x:c r="B171" s="27"/>
      <x:c r="C171" s="27"/>
      <x:c r="D171" s="27"/>
      <x:c r="E171" s="27"/>
      <x:c r="F171" s="27"/>
      <x:c r="G171" s="27"/>
      <x:c r="H171" s="27"/>
      <x:c r="I171" s="27"/>
      <x:c r="J171" s="27"/>
      <x:c r="K171" s="27"/>
      <x:c r="L171" s="27"/>
      <x:c r="M171" s="27"/>
      <x:c r="N171" s="27"/>
      <x:c r="O171" s="27"/>
      <x:c r="P171" s="27"/>
      <x:c r="Q171" s="27"/>
      <x:c r="R171" s="27"/>
      <x:c r="S171" s="27"/>
      <x:c r="T171" s="27"/>
      <x:c r="U171" s="27"/>
      <x:c r="V171" s="27"/>
      <x:c r="W171" s="27"/>
      <x:c r="X171" s="27"/>
      <x:c r="Y171" s="27"/>
      <x:c r="Z171" s="27"/>
      <x:c r="AA171" s="27"/>
      <x:c r="AB171" s="27"/>
      <x:c r="AC171" s="27"/>
      <x:c r="AD171" s="27"/>
      <x:c r="AE171" s="27"/>
      <x:c r="AF171" s="27"/>
      <x:c r="AG171" s="27"/>
      <x:c r="AH171" s="27"/>
      <x:c r="AI171" s="27"/>
      <x:c r="AJ171" s="27"/>
      <x:c r="AK171" s="27"/>
      <x:c r="AL171" s="27"/>
      <x:c r="AM171" s="27"/>
      <x:c r="AN171" s="27"/>
      <x:c r="AO171" s="27"/>
      <x:c r="AP171" s="27"/>
      <x:c r="AQ171" s="27"/>
      <x:c r="AR171" s="27"/>
      <x:c r="AS171" s="27"/>
      <x:c r="AT171" s="27"/>
      <x:c r="AU171" s="27"/>
      <x:c r="AV171" s="27"/>
      <x:c r="AW171" s="27"/>
      <x:c r="AX171" s="27"/>
      <x:c r="AY171" s="27"/>
      <x:c r="AZ171" s="27"/>
    </x:row>
    <x:row r="172">
      <x:c r="A172" s="27"/>
      <x:c r="B172" s="27"/>
      <x:c r="C172" s="27"/>
      <x:c r="D172" s="27"/>
      <x:c r="E172" s="27"/>
      <x:c r="F172" s="27"/>
      <x:c r="G172" s="27"/>
      <x:c r="H172" s="27"/>
      <x:c r="I172" s="27"/>
      <x:c r="J172" s="27"/>
      <x:c r="K172" s="27"/>
      <x:c r="L172" s="27"/>
      <x:c r="M172" s="27"/>
      <x:c r="N172" s="27"/>
      <x:c r="O172" s="27"/>
      <x:c r="P172" s="27"/>
      <x:c r="Q172" s="27"/>
      <x:c r="R172" s="27"/>
      <x:c r="S172" s="27"/>
      <x:c r="T172" s="27"/>
      <x:c r="U172" s="27"/>
      <x:c r="V172" s="27"/>
      <x:c r="W172" s="27"/>
      <x:c r="X172" s="27"/>
      <x:c r="Y172" s="27"/>
      <x:c r="Z172" s="27"/>
      <x:c r="AA172" s="27"/>
      <x:c r="AB172" s="27"/>
      <x:c r="AC172" s="27"/>
      <x:c r="AD172" s="27"/>
      <x:c r="AE172" s="27"/>
      <x:c r="AF172" s="27"/>
      <x:c r="AG172" s="27"/>
      <x:c r="AH172" s="27"/>
      <x:c r="AI172" s="27"/>
      <x:c r="AJ172" s="27"/>
      <x:c r="AK172" s="27"/>
      <x:c r="AL172" s="27"/>
      <x:c r="AM172" s="27"/>
      <x:c r="AN172" s="27"/>
      <x:c r="AO172" s="27"/>
      <x:c r="AP172" s="27"/>
      <x:c r="AQ172" s="27"/>
      <x:c r="AR172" s="27"/>
      <x:c r="AS172" s="27"/>
      <x:c r="AT172" s="27"/>
      <x:c r="AU172" s="27"/>
      <x:c r="AV172" s="27"/>
      <x:c r="AW172" s="27"/>
      <x:c r="AX172" s="27"/>
      <x:c r="AY172" s="27"/>
      <x:c r="AZ172" s="27"/>
    </x:row>
    <x:row r="173">
      <x:c r="A173" s="27"/>
      <x:c r="B173" s="27"/>
      <x:c r="C173" s="27"/>
      <x:c r="D173" s="27"/>
      <x:c r="E173" s="27"/>
      <x:c r="F173" s="27"/>
      <x:c r="G173" s="27"/>
      <x:c r="H173" s="27"/>
      <x:c r="I173" s="27"/>
      <x:c r="J173" s="27"/>
      <x:c r="K173" s="27"/>
      <x:c r="L173" s="27"/>
      <x:c r="M173" s="27"/>
      <x:c r="N173" s="27"/>
      <x:c r="O173" s="27"/>
      <x:c r="P173" s="27"/>
      <x:c r="Q173" s="27"/>
      <x:c r="R173" s="27"/>
      <x:c r="S173" s="27"/>
      <x:c r="T173" s="27"/>
      <x:c r="U173" s="27"/>
      <x:c r="V173" s="27"/>
      <x:c r="W173" s="27"/>
      <x:c r="X173" s="27"/>
      <x:c r="Y173" s="27"/>
      <x:c r="Z173" s="27"/>
      <x:c r="AA173" s="27"/>
      <x:c r="AB173" s="27"/>
      <x:c r="AC173" s="27"/>
      <x:c r="AD173" s="27"/>
      <x:c r="AE173" s="27"/>
      <x:c r="AF173" s="27"/>
      <x:c r="AG173" s="27"/>
      <x:c r="AH173" s="27"/>
      <x:c r="AI173" s="27"/>
      <x:c r="AJ173" s="27"/>
      <x:c r="AK173" s="27"/>
      <x:c r="AL173" s="27"/>
      <x:c r="AM173" s="27"/>
      <x:c r="AN173" s="27"/>
      <x:c r="AO173" s="27"/>
      <x:c r="AP173" s="27"/>
      <x:c r="AQ173" s="27"/>
      <x:c r="AR173" s="27"/>
      <x:c r="AS173" s="27"/>
      <x:c r="AT173" s="27"/>
      <x:c r="AU173" s="27"/>
      <x:c r="AV173" s="27"/>
      <x:c r="AW173" s="27"/>
      <x:c r="AX173" s="27"/>
      <x:c r="AY173" s="27"/>
      <x:c r="AZ173" s="27"/>
    </x:row>
    <x:row r="174">
      <x:c r="A174" s="27"/>
      <x:c r="B174" s="27"/>
      <x:c r="C174" s="27"/>
      <x:c r="D174" s="27"/>
      <x:c r="E174" s="27"/>
      <x:c r="F174" s="27"/>
      <x:c r="G174" s="27"/>
      <x:c r="H174" s="27"/>
      <x:c r="I174" s="27"/>
      <x:c r="J174" s="27"/>
      <x:c r="K174" s="27"/>
      <x:c r="L174" s="27"/>
      <x:c r="M174" s="27"/>
      <x:c r="N174" s="27"/>
      <x:c r="O174" s="27"/>
      <x:c r="P174" s="27"/>
      <x:c r="Q174" s="27"/>
      <x:c r="R174" s="27"/>
      <x:c r="S174" s="27"/>
      <x:c r="T174" s="27"/>
      <x:c r="U174" s="27"/>
      <x:c r="V174" s="27"/>
      <x:c r="W174" s="27"/>
      <x:c r="X174" s="27"/>
      <x:c r="Y174" s="27"/>
      <x:c r="Z174" s="27"/>
      <x:c r="AA174" s="27"/>
      <x:c r="AB174" s="27"/>
      <x:c r="AC174" s="27"/>
      <x:c r="AD174" s="27"/>
      <x:c r="AE174" s="27"/>
      <x:c r="AF174" s="27"/>
      <x:c r="AG174" s="27"/>
      <x:c r="AH174" s="27"/>
      <x:c r="AI174" s="27"/>
      <x:c r="AJ174" s="27"/>
      <x:c r="AK174" s="27"/>
      <x:c r="AL174" s="27"/>
      <x:c r="AM174" s="27"/>
      <x:c r="AN174" s="27"/>
      <x:c r="AO174" s="27"/>
      <x:c r="AP174" s="27"/>
      <x:c r="AQ174" s="27"/>
      <x:c r="AR174" s="27"/>
      <x:c r="AS174" s="27"/>
      <x:c r="AT174" s="27"/>
      <x:c r="AU174" s="27"/>
      <x:c r="AV174" s="27"/>
      <x:c r="AW174" s="27"/>
      <x:c r="AX174" s="27"/>
      <x:c r="AY174" s="27"/>
      <x:c r="AZ174" s="27"/>
    </x:row>
    <x:row r="175">
      <x:c r="A175" s="27"/>
      <x:c r="B175" s="27"/>
      <x:c r="C175" s="27"/>
      <x:c r="D175" s="27"/>
      <x:c r="E175" s="27"/>
      <x:c r="F175" s="27"/>
      <x:c r="G175" s="27"/>
      <x:c r="H175" s="27"/>
      <x:c r="I175" s="27"/>
      <x:c r="J175" s="27"/>
      <x:c r="K175" s="27"/>
      <x:c r="L175" s="27"/>
      <x:c r="M175" s="27"/>
      <x:c r="N175" s="27"/>
      <x:c r="O175" s="27"/>
      <x:c r="P175" s="27"/>
      <x:c r="Q175" s="27"/>
      <x:c r="R175" s="27"/>
      <x:c r="S175" s="27"/>
      <x:c r="T175" s="27"/>
      <x:c r="U175" s="27"/>
      <x:c r="V175" s="27"/>
      <x:c r="W175" s="27"/>
      <x:c r="X175" s="27"/>
      <x:c r="Y175" s="27"/>
      <x:c r="Z175" s="27"/>
      <x:c r="AA175" s="27"/>
      <x:c r="AB175" s="27"/>
      <x:c r="AC175" s="27"/>
      <x:c r="AD175" s="27"/>
      <x:c r="AE175" s="27"/>
      <x:c r="AF175" s="27"/>
      <x:c r="AG175" s="27"/>
      <x:c r="AH175" s="27"/>
      <x:c r="AI175" s="27"/>
      <x:c r="AJ175" s="27"/>
      <x:c r="AK175" s="27"/>
      <x:c r="AL175" s="27"/>
      <x:c r="AM175" s="27"/>
      <x:c r="AN175" s="27"/>
      <x:c r="AO175" s="27"/>
      <x:c r="AP175" s="27"/>
      <x:c r="AQ175" s="27"/>
      <x:c r="AR175" s="27"/>
      <x:c r="AS175" s="27"/>
      <x:c r="AT175" s="27"/>
      <x:c r="AU175" s="27"/>
      <x:c r="AV175" s="27"/>
      <x:c r="AW175" s="27"/>
      <x:c r="AX175" s="27"/>
      <x:c r="AY175" s="27"/>
      <x:c r="AZ175" s="27"/>
    </x:row>
    <x:row r="176">
      <x:c r="A176" s="27"/>
      <x:c r="B176" s="27"/>
      <x:c r="C176" s="27"/>
      <x:c r="D176" s="27"/>
      <x:c r="E176" s="27"/>
      <x:c r="F176" s="27"/>
      <x:c r="G176" s="27"/>
      <x:c r="H176" s="27"/>
      <x:c r="I176" s="27"/>
      <x:c r="J176" s="27"/>
      <x:c r="K176" s="27"/>
      <x:c r="L176" s="27"/>
      <x:c r="M176" s="27"/>
      <x:c r="N176" s="27"/>
      <x:c r="O176" s="27"/>
      <x:c r="P176" s="27"/>
      <x:c r="Q176" s="27"/>
      <x:c r="R176" s="27"/>
      <x:c r="S176" s="27"/>
      <x:c r="T176" s="27"/>
      <x:c r="U176" s="27"/>
      <x:c r="V176" s="27"/>
      <x:c r="W176" s="27"/>
      <x:c r="X176" s="27"/>
      <x:c r="Y176" s="27"/>
      <x:c r="Z176" s="27"/>
      <x:c r="AA176" s="27"/>
      <x:c r="AB176" s="27"/>
      <x:c r="AC176" s="27"/>
      <x:c r="AD176" s="27"/>
      <x:c r="AE176" s="27"/>
      <x:c r="AF176" s="27"/>
      <x:c r="AG176" s="27"/>
      <x:c r="AH176" s="27"/>
      <x:c r="AI176" s="27"/>
      <x:c r="AJ176" s="27"/>
      <x:c r="AK176" s="27"/>
      <x:c r="AL176" s="27"/>
      <x:c r="AM176" s="27"/>
      <x:c r="AN176" s="27"/>
      <x:c r="AO176" s="27"/>
      <x:c r="AP176" s="27"/>
      <x:c r="AQ176" s="27"/>
      <x:c r="AR176" s="27"/>
      <x:c r="AS176" s="27"/>
      <x:c r="AT176" s="27"/>
      <x:c r="AU176" s="27"/>
      <x:c r="AV176" s="27"/>
      <x:c r="AW176" s="27"/>
      <x:c r="AX176" s="27"/>
      <x:c r="AY176" s="27"/>
      <x:c r="AZ176" s="27"/>
    </x:row>
    <x:row r="177">
      <x:c r="A177" s="27"/>
      <x:c r="B177" s="27"/>
      <x:c r="C177" s="27"/>
      <x:c r="D177" s="27"/>
      <x:c r="E177" s="27"/>
      <x:c r="F177" s="27"/>
      <x:c r="G177" s="27"/>
      <x:c r="H177" s="27"/>
      <x:c r="I177" s="27"/>
      <x:c r="J177" s="27"/>
      <x:c r="K177" s="27"/>
      <x:c r="L177" s="27"/>
      <x:c r="M177" s="27"/>
      <x:c r="N177" s="27"/>
      <x:c r="O177" s="27"/>
      <x:c r="P177" s="27"/>
      <x:c r="Q177" s="27"/>
      <x:c r="R177" s="27"/>
      <x:c r="S177" s="27"/>
      <x:c r="T177" s="27"/>
      <x:c r="U177" s="27"/>
      <x:c r="V177" s="27"/>
      <x:c r="W177" s="27"/>
      <x:c r="X177" s="27"/>
      <x:c r="Y177" s="27"/>
      <x:c r="Z177" s="27"/>
      <x:c r="AA177" s="27"/>
      <x:c r="AB177" s="27"/>
      <x:c r="AC177" s="27"/>
      <x:c r="AD177" s="27"/>
      <x:c r="AE177" s="27"/>
      <x:c r="AF177" s="27"/>
      <x:c r="AG177" s="27"/>
      <x:c r="AH177" s="27"/>
      <x:c r="AI177" s="27"/>
      <x:c r="AJ177" s="27"/>
      <x:c r="AK177" s="27"/>
      <x:c r="AL177" s="27"/>
      <x:c r="AM177" s="27"/>
      <x:c r="AN177" s="27"/>
      <x:c r="AO177" s="27"/>
      <x:c r="AP177" s="27"/>
      <x:c r="AQ177" s="27"/>
      <x:c r="AR177" s="27"/>
      <x:c r="AS177" s="27"/>
      <x:c r="AT177" s="27"/>
      <x:c r="AU177" s="27"/>
      <x:c r="AV177" s="27"/>
      <x:c r="AW177" s="27"/>
      <x:c r="AX177" s="27"/>
      <x:c r="AY177" s="27"/>
      <x:c r="AZ177" s="27"/>
    </x:row>
    <x:row r="178">
      <x:c r="A178" s="27"/>
      <x:c r="B178" s="27"/>
      <x:c r="C178" s="27"/>
      <x:c r="D178" s="27"/>
      <x:c r="E178" s="27"/>
      <x:c r="F178" s="27"/>
      <x:c r="G178" s="27"/>
      <x:c r="H178" s="27"/>
      <x:c r="I178" s="27"/>
      <x:c r="J178" s="27"/>
      <x:c r="K178" s="27"/>
      <x:c r="L178" s="27"/>
      <x:c r="M178" s="27"/>
      <x:c r="N178" s="27"/>
      <x:c r="O178" s="27"/>
      <x:c r="P178" s="27"/>
      <x:c r="Q178" s="27"/>
      <x:c r="R178" s="27"/>
      <x:c r="S178" s="27"/>
      <x:c r="T178" s="27"/>
      <x:c r="U178" s="27"/>
      <x:c r="V178" s="27"/>
      <x:c r="W178" s="27"/>
      <x:c r="X178" s="27"/>
      <x:c r="Y178" s="27"/>
      <x:c r="Z178" s="27"/>
      <x:c r="AA178" s="27"/>
      <x:c r="AB178" s="27"/>
      <x:c r="AC178" s="27"/>
      <x:c r="AD178" s="27"/>
      <x:c r="AE178" s="27"/>
      <x:c r="AF178" s="27"/>
      <x:c r="AG178" s="27"/>
      <x:c r="AH178" s="27"/>
      <x:c r="AI178" s="27"/>
      <x:c r="AJ178" s="27"/>
      <x:c r="AK178" s="27"/>
      <x:c r="AL178" s="27"/>
      <x:c r="AM178" s="27"/>
      <x:c r="AN178" s="27"/>
      <x:c r="AO178" s="27"/>
      <x:c r="AP178" s="27"/>
      <x:c r="AQ178" s="27"/>
      <x:c r="AR178" s="27"/>
      <x:c r="AS178" s="27"/>
      <x:c r="AT178" s="27"/>
      <x:c r="AU178" s="27"/>
      <x:c r="AV178" s="27"/>
      <x:c r="AW178" s="27"/>
      <x:c r="AX178" s="27"/>
      <x:c r="AY178" s="27"/>
      <x:c r="AZ178" s="27"/>
    </x:row>
    <x:row r="179">
      <x:c r="A179" s="27"/>
      <x:c r="B179" s="27"/>
      <x:c r="C179" s="27"/>
      <x:c r="D179" s="27"/>
      <x:c r="E179" s="27"/>
      <x:c r="F179" s="27"/>
      <x:c r="G179" s="27"/>
      <x:c r="H179" s="27"/>
      <x:c r="I179" s="27"/>
      <x:c r="J179" s="27"/>
      <x:c r="K179" s="27"/>
      <x:c r="L179" s="27"/>
      <x:c r="M179" s="27"/>
      <x:c r="N179" s="27"/>
      <x:c r="O179" s="27"/>
      <x:c r="P179" s="27"/>
      <x:c r="Q179" s="27"/>
      <x:c r="R179" s="27"/>
      <x:c r="S179" s="27"/>
      <x:c r="T179" s="27"/>
      <x:c r="U179" s="27"/>
      <x:c r="V179" s="27"/>
      <x:c r="W179" s="27"/>
      <x:c r="X179" s="27"/>
      <x:c r="Y179" s="27"/>
      <x:c r="Z179" s="27"/>
      <x:c r="AA179" s="27"/>
      <x:c r="AB179" s="27"/>
      <x:c r="AC179" s="27"/>
      <x:c r="AD179" s="27"/>
      <x:c r="AE179" s="27"/>
      <x:c r="AF179" s="27"/>
      <x:c r="AG179" s="27"/>
      <x:c r="AH179" s="27"/>
      <x:c r="AI179" s="27"/>
      <x:c r="AJ179" s="27"/>
      <x:c r="AK179" s="27"/>
      <x:c r="AL179" s="27"/>
      <x:c r="AM179" s="27"/>
      <x:c r="AN179" s="27"/>
      <x:c r="AO179" s="27"/>
      <x:c r="AP179" s="27"/>
      <x:c r="AQ179" s="27"/>
      <x:c r="AR179" s="27"/>
      <x:c r="AS179" s="27"/>
      <x:c r="AT179" s="27"/>
      <x:c r="AU179" s="27"/>
      <x:c r="AV179" s="27"/>
      <x:c r="AW179" s="27"/>
      <x:c r="AX179" s="27"/>
      <x:c r="AY179" s="27"/>
      <x:c r="AZ179" s="27"/>
    </x:row>
    <x:row r="180">
      <x:c r="A180" s="27"/>
      <x:c r="B180" s="27"/>
      <x:c r="C180" s="27"/>
      <x:c r="D180" s="27"/>
      <x:c r="E180" s="27"/>
      <x:c r="F180" s="27"/>
      <x:c r="G180" s="27"/>
      <x:c r="H180" s="27"/>
      <x:c r="I180" s="27"/>
      <x:c r="J180" s="27"/>
      <x:c r="K180" s="27"/>
      <x:c r="L180" s="27"/>
      <x:c r="M180" s="27"/>
      <x:c r="N180" s="27"/>
      <x:c r="O180" s="27"/>
      <x:c r="P180" s="27"/>
      <x:c r="Q180" s="27"/>
      <x:c r="R180" s="27"/>
      <x:c r="S180" s="27"/>
      <x:c r="T180" s="27"/>
      <x:c r="U180" s="27"/>
      <x:c r="V180" s="27"/>
      <x:c r="W180" s="27"/>
      <x:c r="X180" s="27"/>
      <x:c r="Y180" s="27"/>
      <x:c r="Z180" s="27"/>
      <x:c r="AA180" s="27"/>
      <x:c r="AB180" s="27"/>
      <x:c r="AC180" s="27"/>
      <x:c r="AD180" s="27"/>
      <x:c r="AE180" s="27"/>
      <x:c r="AF180" s="27"/>
      <x:c r="AG180" s="27"/>
      <x:c r="AH180" s="27"/>
      <x:c r="AI180" s="27"/>
      <x:c r="AJ180" s="27"/>
      <x:c r="AK180" s="27"/>
      <x:c r="AL180" s="27"/>
      <x:c r="AM180" s="27"/>
      <x:c r="AN180" s="27"/>
      <x:c r="AO180" s="27"/>
      <x:c r="AP180" s="27"/>
      <x:c r="AQ180" s="27"/>
      <x:c r="AR180" s="27"/>
      <x:c r="AS180" s="27"/>
      <x:c r="AT180" s="27"/>
      <x:c r="AU180" s="27"/>
      <x:c r="AV180" s="27"/>
      <x:c r="AW180" s="27"/>
      <x:c r="AX180" s="27"/>
      <x:c r="AY180" s="27"/>
      <x:c r="AZ180" s="27"/>
    </x:row>
    <x:row r="181">
      <x:c r="A181" s="27"/>
      <x:c r="B181" s="27"/>
      <x:c r="C181" s="27"/>
      <x:c r="D181" s="27"/>
      <x:c r="E181" s="27"/>
      <x:c r="F181" s="27"/>
      <x:c r="G181" s="27"/>
      <x:c r="H181" s="27"/>
      <x:c r="I181" s="27"/>
      <x:c r="J181" s="27"/>
      <x:c r="K181" s="27"/>
      <x:c r="L181" s="27"/>
      <x:c r="M181" s="27"/>
      <x:c r="N181" s="27"/>
      <x:c r="O181" s="27"/>
      <x:c r="P181" s="27"/>
      <x:c r="Q181" s="27"/>
      <x:c r="R181" s="27"/>
      <x:c r="S181" s="27"/>
      <x:c r="T181" s="27"/>
      <x:c r="U181" s="27"/>
      <x:c r="V181" s="27"/>
      <x:c r="W181" s="27"/>
      <x:c r="X181" s="27"/>
      <x:c r="Y181" s="27"/>
      <x:c r="Z181" s="27"/>
      <x:c r="AA181" s="27"/>
      <x:c r="AB181" s="27"/>
      <x:c r="AC181" s="27"/>
      <x:c r="AD181" s="27"/>
      <x:c r="AE181" s="27"/>
      <x:c r="AF181" s="27"/>
      <x:c r="AG181" s="27"/>
      <x:c r="AH181" s="27"/>
      <x:c r="AI181" s="27"/>
      <x:c r="AJ181" s="27"/>
      <x:c r="AK181" s="27"/>
      <x:c r="AL181" s="27"/>
      <x:c r="AM181" s="27"/>
      <x:c r="AN181" s="27"/>
      <x:c r="AO181" s="27"/>
      <x:c r="AP181" s="27"/>
      <x:c r="AQ181" s="27"/>
      <x:c r="AR181" s="27"/>
      <x:c r="AS181" s="27"/>
      <x:c r="AT181" s="27"/>
      <x:c r="AU181" s="27"/>
      <x:c r="AV181" s="27"/>
      <x:c r="AW181" s="27"/>
      <x:c r="AX181" s="27"/>
      <x:c r="AY181" s="27"/>
      <x:c r="AZ181" s="27"/>
    </x:row>
    <x:row r="182">
      <x:c r="A182" s="27"/>
      <x:c r="B182" s="27"/>
      <x:c r="C182" s="27"/>
      <x:c r="D182" s="27"/>
      <x:c r="E182" s="27"/>
      <x:c r="F182" s="27"/>
      <x:c r="G182" s="27"/>
      <x:c r="H182" s="27"/>
      <x:c r="I182" s="27"/>
      <x:c r="J182" s="27"/>
      <x:c r="K182" s="27"/>
      <x:c r="L182" s="27"/>
      <x:c r="M182" s="27"/>
      <x:c r="N182" s="27"/>
      <x:c r="O182" s="27"/>
      <x:c r="P182" s="27"/>
      <x:c r="Q182" s="27"/>
      <x:c r="R182" s="27"/>
      <x:c r="S182" s="27"/>
      <x:c r="T182" s="27"/>
      <x:c r="U182" s="27"/>
      <x:c r="V182" s="27"/>
      <x:c r="W182" s="27"/>
      <x:c r="X182" s="27"/>
      <x:c r="Y182" s="27"/>
      <x:c r="Z182" s="27"/>
      <x:c r="AA182" s="27"/>
      <x:c r="AB182" s="27"/>
      <x:c r="AC182" s="27"/>
      <x:c r="AD182" s="27"/>
      <x:c r="AE182" s="27"/>
      <x:c r="AF182" s="27"/>
      <x:c r="AG182" s="27"/>
      <x:c r="AH182" s="27"/>
      <x:c r="AI182" s="27"/>
      <x:c r="AJ182" s="27"/>
      <x:c r="AK182" s="27"/>
      <x:c r="AL182" s="27"/>
      <x:c r="AM182" s="27"/>
      <x:c r="AN182" s="27"/>
      <x:c r="AO182" s="27"/>
      <x:c r="AP182" s="27"/>
      <x:c r="AQ182" s="27"/>
      <x:c r="AR182" s="27"/>
      <x:c r="AS182" s="27"/>
      <x:c r="AT182" s="27"/>
      <x:c r="AU182" s="27"/>
      <x:c r="AV182" s="27"/>
      <x:c r="AW182" s="27"/>
      <x:c r="AX182" s="27"/>
      <x:c r="AY182" s="27"/>
      <x:c r="AZ182" s="27"/>
    </x:row>
    <x:row r="183">
      <x:c r="A183" s="27"/>
      <x:c r="B183" s="27"/>
      <x:c r="C183" s="27"/>
      <x:c r="D183" s="27"/>
      <x:c r="E183" s="27"/>
      <x:c r="F183" s="27"/>
      <x:c r="G183" s="27"/>
      <x:c r="H183" s="27"/>
      <x:c r="I183" s="27"/>
      <x:c r="J183" s="27"/>
      <x:c r="K183" s="27"/>
      <x:c r="L183" s="27"/>
      <x:c r="M183" s="27"/>
      <x:c r="N183" s="27"/>
      <x:c r="O183" s="27"/>
      <x:c r="P183" s="27"/>
      <x:c r="Q183" s="27"/>
      <x:c r="R183" s="27"/>
      <x:c r="S183" s="27"/>
      <x:c r="T183" s="27"/>
      <x:c r="U183" s="27"/>
      <x:c r="V183" s="27"/>
      <x:c r="W183" s="27"/>
      <x:c r="X183" s="27"/>
      <x:c r="Y183" s="27"/>
      <x:c r="Z183" s="27"/>
      <x:c r="AA183" s="27"/>
      <x:c r="AB183" s="27"/>
      <x:c r="AC183" s="27"/>
      <x:c r="AD183" s="27"/>
      <x:c r="AE183" s="27"/>
      <x:c r="AF183" s="27"/>
      <x:c r="AG183" s="27"/>
      <x:c r="AH183" s="27"/>
      <x:c r="AI183" s="27"/>
      <x:c r="AJ183" s="27"/>
      <x:c r="AK183" s="27"/>
      <x:c r="AL183" s="27"/>
      <x:c r="AM183" s="27"/>
      <x:c r="AN183" s="27"/>
      <x:c r="AO183" s="27"/>
      <x:c r="AP183" s="27"/>
      <x:c r="AQ183" s="27"/>
      <x:c r="AR183" s="27"/>
      <x:c r="AS183" s="27"/>
      <x:c r="AT183" s="27"/>
      <x:c r="AU183" s="27"/>
      <x:c r="AV183" s="27"/>
      <x:c r="AW183" s="27"/>
      <x:c r="AX183" s="27"/>
      <x:c r="AY183" s="27"/>
      <x:c r="AZ183" s="27"/>
    </x:row>
    <x:row r="184">
      <x:c r="A184" s="27"/>
      <x:c r="B184" s="27"/>
      <x:c r="C184" s="27"/>
      <x:c r="D184" s="27"/>
      <x:c r="E184" s="27"/>
      <x:c r="F184" s="27"/>
      <x:c r="G184" s="27"/>
      <x:c r="H184" s="27"/>
      <x:c r="I184" s="27"/>
      <x:c r="J184" s="27"/>
      <x:c r="K184" s="27"/>
      <x:c r="L184" s="27"/>
      <x:c r="M184" s="27"/>
      <x:c r="N184" s="27"/>
      <x:c r="O184" s="27"/>
      <x:c r="P184" s="27"/>
      <x:c r="Q184" s="27"/>
      <x:c r="R184" s="27"/>
      <x:c r="S184" s="27"/>
      <x:c r="T184" s="27"/>
      <x:c r="U184" s="27"/>
      <x:c r="V184" s="27"/>
      <x:c r="W184" s="27"/>
      <x:c r="X184" s="27"/>
      <x:c r="Y184" s="27"/>
      <x:c r="Z184" s="27"/>
      <x:c r="AA184" s="27"/>
      <x:c r="AB184" s="27"/>
      <x:c r="AC184" s="27"/>
      <x:c r="AD184" s="27"/>
      <x:c r="AE184" s="27"/>
      <x:c r="AF184" s="27"/>
      <x:c r="AG184" s="27"/>
      <x:c r="AH184" s="27"/>
      <x:c r="AI184" s="27"/>
      <x:c r="AJ184" s="27"/>
      <x:c r="AK184" s="27"/>
      <x:c r="AL184" s="27"/>
      <x:c r="AM184" s="27"/>
      <x:c r="AN184" s="27"/>
      <x:c r="AO184" s="27"/>
      <x:c r="AP184" s="27"/>
      <x:c r="AQ184" s="27"/>
      <x:c r="AR184" s="27"/>
      <x:c r="AS184" s="27"/>
      <x:c r="AT184" s="27"/>
      <x:c r="AU184" s="27"/>
      <x:c r="AV184" s="27"/>
      <x:c r="AW184" s="27"/>
      <x:c r="AX184" s="27"/>
      <x:c r="AY184" s="27"/>
      <x:c r="AZ184" s="27"/>
    </x:row>
    <x:row r="185">
      <x:c r="A185" s="27"/>
      <x:c r="B185" s="27"/>
      <x:c r="C185" s="27"/>
      <x:c r="D185" s="27"/>
      <x:c r="E185" s="27"/>
      <x:c r="F185" s="27"/>
      <x:c r="G185" s="27"/>
      <x:c r="H185" s="27"/>
      <x:c r="I185" s="27"/>
      <x:c r="J185" s="27"/>
      <x:c r="K185" s="27"/>
      <x:c r="L185" s="27"/>
      <x:c r="M185" s="27"/>
      <x:c r="N185" s="27"/>
      <x:c r="O185" s="27"/>
      <x:c r="P185" s="27"/>
      <x:c r="Q185" s="27"/>
      <x:c r="R185" s="27"/>
      <x:c r="S185" s="27"/>
      <x:c r="T185" s="27"/>
      <x:c r="U185" s="27"/>
      <x:c r="V185" s="27"/>
      <x:c r="W185" s="27"/>
      <x:c r="X185" s="27"/>
      <x:c r="Y185" s="27"/>
      <x:c r="Z185" s="27"/>
      <x:c r="AA185" s="27"/>
      <x:c r="AB185" s="27"/>
      <x:c r="AC185" s="27"/>
      <x:c r="AD185" s="27"/>
      <x:c r="AE185" s="27"/>
      <x:c r="AF185" s="27"/>
      <x:c r="AG185" s="27"/>
      <x:c r="AH185" s="27"/>
      <x:c r="AI185" s="27"/>
      <x:c r="AJ185" s="27"/>
      <x:c r="AK185" s="27"/>
      <x:c r="AL185" s="27"/>
      <x:c r="AM185" s="27"/>
      <x:c r="AN185" s="27"/>
      <x:c r="AO185" s="27"/>
      <x:c r="AP185" s="27"/>
      <x:c r="AQ185" s="27"/>
      <x:c r="AR185" s="27"/>
      <x:c r="AS185" s="27"/>
      <x:c r="AT185" s="27"/>
      <x:c r="AU185" s="27"/>
      <x:c r="AV185" s="27"/>
      <x:c r="AW185" s="27"/>
      <x:c r="AX185" s="27"/>
      <x:c r="AY185" s="27"/>
      <x:c r="AZ185" s="27"/>
    </x:row>
    <x:row r="186">
      <x:c r="A186" s="27"/>
      <x:c r="B186" s="27"/>
      <x:c r="C186" s="27"/>
      <x:c r="D186" s="27"/>
      <x:c r="E186" s="27"/>
      <x:c r="F186" s="27"/>
      <x:c r="G186" s="27"/>
      <x:c r="H186" s="27"/>
      <x:c r="I186" s="27"/>
      <x:c r="J186" s="27"/>
      <x:c r="K186" s="27"/>
      <x:c r="L186" s="27"/>
      <x:c r="M186" s="27"/>
      <x:c r="N186" s="27"/>
      <x:c r="O186" s="27"/>
      <x:c r="P186" s="27"/>
      <x:c r="Q186" s="27"/>
      <x:c r="R186" s="27"/>
      <x:c r="S186" s="27"/>
      <x:c r="T186" s="27"/>
      <x:c r="U186" s="27"/>
      <x:c r="V186" s="27"/>
      <x:c r="W186" s="27"/>
      <x:c r="X186" s="27"/>
      <x:c r="Y186" s="27"/>
      <x:c r="Z186" s="27"/>
      <x:c r="AA186" s="27"/>
      <x:c r="AB186" s="27"/>
      <x:c r="AC186" s="27"/>
      <x:c r="AD186" s="27"/>
      <x:c r="AE186" s="27"/>
      <x:c r="AF186" s="27"/>
      <x:c r="AG186" s="27"/>
      <x:c r="AH186" s="27"/>
      <x:c r="AI186" s="27"/>
      <x:c r="AJ186" s="27"/>
      <x:c r="AK186" s="27"/>
      <x:c r="AL186" s="27"/>
      <x:c r="AM186" s="27"/>
      <x:c r="AN186" s="27"/>
      <x:c r="AO186" s="27"/>
      <x:c r="AP186" s="27"/>
      <x:c r="AQ186" s="27"/>
      <x:c r="AR186" s="27"/>
      <x:c r="AS186" s="27"/>
      <x:c r="AT186" s="27"/>
      <x:c r="AU186" s="27"/>
      <x:c r="AV186" s="27"/>
      <x:c r="AW186" s="27"/>
      <x:c r="AX186" s="27"/>
      <x:c r="AY186" s="27"/>
      <x:c r="AZ186" s="27"/>
    </x:row>
    <x:row r="187">
      <x:c r="A187" s="27"/>
      <x:c r="B187" s="27"/>
      <x:c r="C187" s="27"/>
      <x:c r="D187" s="27"/>
      <x:c r="E187" s="27"/>
      <x:c r="F187" s="27"/>
      <x:c r="G187" s="27"/>
      <x:c r="H187" s="27"/>
      <x:c r="I187" s="27"/>
      <x:c r="J187" s="27"/>
      <x:c r="K187" s="27"/>
      <x:c r="L187" s="27"/>
      <x:c r="M187" s="27"/>
      <x:c r="N187" s="27"/>
      <x:c r="O187" s="27"/>
      <x:c r="P187" s="27"/>
      <x:c r="Q187" s="27"/>
      <x:c r="R187" s="27"/>
      <x:c r="S187" s="27"/>
      <x:c r="T187" s="27"/>
      <x:c r="U187" s="27"/>
      <x:c r="V187" s="27"/>
      <x:c r="W187" s="27"/>
      <x:c r="X187" s="27"/>
      <x:c r="Y187" s="27"/>
      <x:c r="Z187" s="27"/>
      <x:c r="AA187" s="27"/>
      <x:c r="AB187" s="27"/>
      <x:c r="AC187" s="27"/>
      <x:c r="AD187" s="27"/>
      <x:c r="AE187" s="27"/>
      <x:c r="AF187" s="27"/>
      <x:c r="AG187" s="27"/>
      <x:c r="AH187" s="27"/>
      <x:c r="AI187" s="27"/>
      <x:c r="AJ187" s="27"/>
      <x:c r="AK187" s="27"/>
      <x:c r="AL187" s="27"/>
      <x:c r="AM187" s="27"/>
      <x:c r="AN187" s="27"/>
      <x:c r="AO187" s="27"/>
      <x:c r="AP187" s="27"/>
      <x:c r="AQ187" s="27"/>
      <x:c r="AR187" s="27"/>
      <x:c r="AS187" s="27"/>
      <x:c r="AT187" s="27"/>
      <x:c r="AU187" s="27"/>
      <x:c r="AV187" s="27"/>
      <x:c r="AW187" s="27"/>
      <x:c r="AX187" s="27"/>
      <x:c r="AY187" s="27"/>
      <x:c r="AZ187" s="27"/>
    </x:row>
    <x:row r="188">
      <x:c r="A188" s="27"/>
      <x:c r="B188" s="27"/>
      <x:c r="C188" s="27"/>
      <x:c r="D188" s="27"/>
      <x:c r="E188" s="27"/>
      <x:c r="F188" s="27"/>
      <x:c r="G188" s="27"/>
      <x:c r="H188" s="27"/>
      <x:c r="I188" s="27"/>
      <x:c r="J188" s="27"/>
      <x:c r="K188" s="27"/>
      <x:c r="L188" s="27"/>
      <x:c r="M188" s="27"/>
      <x:c r="N188" s="27"/>
      <x:c r="O188" s="27"/>
      <x:c r="P188" s="27"/>
      <x:c r="Q188" s="27"/>
      <x:c r="R188" s="27"/>
      <x:c r="S188" s="27"/>
      <x:c r="T188" s="27"/>
      <x:c r="U188" s="27"/>
      <x:c r="V188" s="27"/>
      <x:c r="W188" s="27"/>
      <x:c r="X188" s="27"/>
      <x:c r="Y188" s="27"/>
      <x:c r="Z188" s="27"/>
      <x:c r="AA188" s="27"/>
      <x:c r="AB188" s="27"/>
      <x:c r="AC188" s="27"/>
      <x:c r="AD188" s="27"/>
      <x:c r="AE188" s="27"/>
      <x:c r="AF188" s="27"/>
      <x:c r="AG188" s="27"/>
      <x:c r="AH188" s="27"/>
      <x:c r="AI188" s="27"/>
      <x:c r="AJ188" s="27"/>
      <x:c r="AK188" s="27"/>
      <x:c r="AL188" s="27"/>
      <x:c r="AM188" s="27"/>
      <x:c r="AN188" s="27"/>
      <x:c r="AO188" s="27"/>
      <x:c r="AP188" s="27"/>
      <x:c r="AQ188" s="27"/>
      <x:c r="AR188" s="27"/>
      <x:c r="AS188" s="27"/>
      <x:c r="AT188" s="27"/>
      <x:c r="AU188" s="27"/>
      <x:c r="AV188" s="27"/>
      <x:c r="AW188" s="27"/>
      <x:c r="AX188" s="27"/>
      <x:c r="AY188" s="27"/>
      <x:c r="AZ188" s="27"/>
    </x:row>
    <x:row r="189">
      <x:c r="A189" s="27"/>
      <x:c r="B189" s="27"/>
      <x:c r="C189" s="27"/>
      <x:c r="D189" s="27"/>
      <x:c r="E189" s="27"/>
      <x:c r="F189" s="27"/>
      <x:c r="G189" s="27"/>
      <x:c r="H189" s="27"/>
      <x:c r="I189" s="27"/>
      <x:c r="J189" s="27"/>
      <x:c r="K189" s="27"/>
      <x:c r="L189" s="27"/>
      <x:c r="M189" s="27"/>
      <x:c r="N189" s="27"/>
      <x:c r="O189" s="27"/>
      <x:c r="P189" s="27"/>
      <x:c r="Q189" s="27"/>
      <x:c r="R189" s="27"/>
      <x:c r="S189" s="27"/>
      <x:c r="T189" s="27"/>
      <x:c r="U189" s="27"/>
      <x:c r="V189" s="27"/>
      <x:c r="W189" s="27"/>
      <x:c r="X189" s="27"/>
      <x:c r="Y189" s="27"/>
      <x:c r="Z189" s="27"/>
      <x:c r="AA189" s="27"/>
      <x:c r="AB189" s="27"/>
      <x:c r="AC189" s="27"/>
      <x:c r="AD189" s="27"/>
      <x:c r="AE189" s="27"/>
      <x:c r="AF189" s="27"/>
      <x:c r="AG189" s="27"/>
      <x:c r="AH189" s="27"/>
      <x:c r="AI189" s="27"/>
      <x:c r="AJ189" s="27"/>
      <x:c r="AK189" s="27"/>
      <x:c r="AL189" s="27"/>
      <x:c r="AM189" s="27"/>
      <x:c r="AN189" s="27"/>
      <x:c r="AO189" s="27"/>
      <x:c r="AP189" s="27"/>
      <x:c r="AQ189" s="27"/>
      <x:c r="AR189" s="27"/>
      <x:c r="AS189" s="27"/>
      <x:c r="AT189" s="27"/>
      <x:c r="AU189" s="27"/>
      <x:c r="AV189" s="27"/>
      <x:c r="AW189" s="27"/>
      <x:c r="AX189" s="27"/>
      <x:c r="AY189" s="27"/>
      <x:c r="AZ189" s="27"/>
    </x:row>
    <x:row r="190">
      <x:c r="A190" s="27"/>
      <x:c r="B190" s="27"/>
      <x:c r="C190" s="27"/>
      <x:c r="D190" s="27"/>
      <x:c r="E190" s="27"/>
      <x:c r="F190" s="27"/>
      <x:c r="G190" s="27"/>
      <x:c r="H190" s="27"/>
      <x:c r="I190" s="27"/>
      <x:c r="J190" s="27"/>
      <x:c r="K190" s="27"/>
      <x:c r="L190" s="27"/>
      <x:c r="M190" s="27"/>
      <x:c r="N190" s="27"/>
      <x:c r="O190" s="27"/>
      <x:c r="P190" s="27"/>
      <x:c r="Q190" s="27"/>
      <x:c r="R190" s="27"/>
      <x:c r="S190" s="27"/>
      <x:c r="T190" s="27"/>
      <x:c r="U190" s="27"/>
      <x:c r="V190" s="27"/>
      <x:c r="W190" s="27"/>
      <x:c r="X190" s="27"/>
      <x:c r="Y190" s="27"/>
      <x:c r="Z190" s="27"/>
      <x:c r="AA190" s="27"/>
      <x:c r="AB190" s="27"/>
      <x:c r="AC190" s="27"/>
      <x:c r="AD190" s="27"/>
      <x:c r="AE190" s="27"/>
      <x:c r="AF190" s="27"/>
      <x:c r="AG190" s="27"/>
      <x:c r="AH190" s="27"/>
      <x:c r="AI190" s="27"/>
      <x:c r="AJ190" s="27"/>
      <x:c r="AK190" s="27"/>
      <x:c r="AL190" s="27"/>
      <x:c r="AM190" s="27"/>
      <x:c r="AN190" s="27"/>
      <x:c r="AO190" s="27"/>
      <x:c r="AP190" s="27"/>
      <x:c r="AQ190" s="27"/>
      <x:c r="AR190" s="27"/>
      <x:c r="AS190" s="27"/>
      <x:c r="AT190" s="27"/>
      <x:c r="AU190" s="27"/>
      <x:c r="AV190" s="27"/>
      <x:c r="AW190" s="27"/>
      <x:c r="AX190" s="27"/>
      <x:c r="AY190" s="27"/>
      <x:c r="AZ190" s="27"/>
    </x:row>
    <x:row r="191">
      <x:c r="A191" s="27"/>
      <x:c r="B191" s="27"/>
      <x:c r="C191" s="27"/>
      <x:c r="D191" s="27"/>
      <x:c r="E191" s="27"/>
      <x:c r="F191" s="27"/>
      <x:c r="G191" s="27"/>
      <x:c r="H191" s="27"/>
      <x:c r="I191" s="27"/>
      <x:c r="J191" s="27"/>
      <x:c r="K191" s="27"/>
      <x:c r="L191" s="27"/>
      <x:c r="M191" s="27"/>
      <x:c r="N191" s="27"/>
      <x:c r="O191" s="27"/>
      <x:c r="P191" s="27"/>
      <x:c r="Q191" s="27"/>
      <x:c r="R191" s="27"/>
      <x:c r="S191" s="27"/>
      <x:c r="T191" s="27"/>
      <x:c r="U191" s="27"/>
      <x:c r="V191" s="27"/>
      <x:c r="W191" s="27"/>
      <x:c r="X191" s="27"/>
      <x:c r="Y191" s="27"/>
      <x:c r="Z191" s="27"/>
      <x:c r="AA191" s="27"/>
      <x:c r="AB191" s="27"/>
      <x:c r="AC191" s="27"/>
      <x:c r="AD191" s="27"/>
      <x:c r="AE191" s="27"/>
      <x:c r="AF191" s="27"/>
      <x:c r="AG191" s="27"/>
      <x:c r="AH191" s="27"/>
      <x:c r="AI191" s="27"/>
      <x:c r="AJ191" s="27"/>
      <x:c r="AK191" s="27"/>
      <x:c r="AL191" s="27"/>
      <x:c r="AM191" s="27"/>
      <x:c r="AN191" s="27"/>
      <x:c r="AO191" s="27"/>
      <x:c r="AP191" s="27"/>
      <x:c r="AQ191" s="27"/>
      <x:c r="AR191" s="27"/>
      <x:c r="AS191" s="27"/>
      <x:c r="AT191" s="27"/>
      <x:c r="AU191" s="27"/>
      <x:c r="AV191" s="27"/>
      <x:c r="AW191" s="27"/>
      <x:c r="AX191" s="27"/>
      <x:c r="AY191" s="27"/>
      <x:c r="AZ191" s="27"/>
    </x:row>
    <x:row r="192">
      <x:c r="A192" s="27"/>
      <x:c r="B192" s="27"/>
      <x:c r="C192" s="27"/>
      <x:c r="D192" s="27"/>
      <x:c r="E192" s="27"/>
      <x:c r="F192" s="27"/>
      <x:c r="G192" s="27"/>
      <x:c r="H192" s="27"/>
      <x:c r="I192" s="27"/>
      <x:c r="J192" s="27"/>
      <x:c r="K192" s="27"/>
      <x:c r="L192" s="27"/>
      <x:c r="M192" s="27"/>
      <x:c r="N192" s="27"/>
      <x:c r="O192" s="27"/>
      <x:c r="P192" s="27"/>
      <x:c r="Q192" s="27"/>
      <x:c r="R192" s="27"/>
      <x:c r="S192" s="27"/>
      <x:c r="T192" s="27"/>
      <x:c r="U192" s="27"/>
      <x:c r="V192" s="27"/>
      <x:c r="W192" s="27"/>
      <x:c r="X192" s="27"/>
      <x:c r="Y192" s="27"/>
      <x:c r="Z192" s="27"/>
      <x:c r="AA192" s="27"/>
      <x:c r="AB192" s="27"/>
      <x:c r="AC192" s="27"/>
      <x:c r="AD192" s="27"/>
      <x:c r="AE192" s="27"/>
      <x:c r="AF192" s="27"/>
      <x:c r="AG192" s="27"/>
      <x:c r="AH192" s="27"/>
      <x:c r="AI192" s="27"/>
      <x:c r="AJ192" s="27"/>
      <x:c r="AK192" s="27"/>
      <x:c r="AL192" s="27"/>
      <x:c r="AM192" s="27"/>
      <x:c r="AN192" s="27"/>
      <x:c r="AO192" s="27"/>
      <x:c r="AP192" s="27"/>
      <x:c r="AQ192" s="27"/>
      <x:c r="AR192" s="27"/>
      <x:c r="AS192" s="27"/>
      <x:c r="AT192" s="27"/>
      <x:c r="AU192" s="27"/>
      <x:c r="AV192" s="27"/>
      <x:c r="AW192" s="27"/>
      <x:c r="AX192" s="27"/>
      <x:c r="AY192" s="27"/>
      <x:c r="AZ192" s="27"/>
    </x:row>
    <x:row r="193">
      <x:c r="A193" s="27"/>
      <x:c r="B193" s="27"/>
      <x:c r="C193" s="27"/>
      <x:c r="D193" s="27"/>
      <x:c r="E193" s="27"/>
      <x:c r="F193" s="27"/>
      <x:c r="G193" s="27"/>
      <x:c r="H193" s="27"/>
      <x:c r="I193" s="27"/>
      <x:c r="J193" s="27"/>
      <x:c r="K193" s="27"/>
      <x:c r="L193" s="27"/>
      <x:c r="M193" s="27"/>
      <x:c r="N193" s="27"/>
      <x:c r="O193" s="27"/>
      <x:c r="P193" s="27"/>
      <x:c r="Q193" s="27"/>
      <x:c r="R193" s="27"/>
      <x:c r="S193" s="27"/>
      <x:c r="T193" s="27"/>
      <x:c r="U193" s="27"/>
      <x:c r="V193" s="27"/>
      <x:c r="W193" s="27"/>
      <x:c r="X193" s="27"/>
      <x:c r="Y193" s="27"/>
      <x:c r="Z193" s="27"/>
      <x:c r="AA193" s="27"/>
      <x:c r="AB193" s="27"/>
      <x:c r="AC193" s="27"/>
      <x:c r="AD193" s="27"/>
      <x:c r="AE193" s="27"/>
      <x:c r="AF193" s="27"/>
      <x:c r="AG193" s="27"/>
      <x:c r="AH193" s="27"/>
      <x:c r="AI193" s="27"/>
      <x:c r="AJ193" s="27"/>
      <x:c r="AK193" s="27"/>
      <x:c r="AL193" s="27"/>
      <x:c r="AM193" s="27"/>
      <x:c r="AN193" s="27"/>
      <x:c r="AO193" s="27"/>
      <x:c r="AP193" s="27"/>
      <x:c r="AQ193" s="27"/>
      <x:c r="AR193" s="27"/>
      <x:c r="AS193" s="27"/>
      <x:c r="AT193" s="27"/>
      <x:c r="AU193" s="27"/>
      <x:c r="AV193" s="27"/>
      <x:c r="AW193" s="27"/>
      <x:c r="AX193" s="27"/>
      <x:c r="AY193" s="27"/>
      <x:c r="AZ193" s="27"/>
    </x:row>
    <x:row r="194">
      <x:c r="A194" s="27"/>
      <x:c r="B194" s="27"/>
      <x:c r="C194" s="27"/>
      <x:c r="D194" s="27"/>
      <x:c r="E194" s="27"/>
      <x:c r="F194" s="27"/>
      <x:c r="G194" s="27"/>
      <x:c r="H194" s="27"/>
      <x:c r="I194" s="27"/>
      <x:c r="J194" s="27"/>
      <x:c r="K194" s="27"/>
      <x:c r="L194" s="27"/>
      <x:c r="M194" s="27"/>
      <x:c r="N194" s="27"/>
      <x:c r="O194" s="27"/>
      <x:c r="P194" s="27"/>
      <x:c r="Q194" s="27"/>
      <x:c r="R194" s="27"/>
      <x:c r="S194" s="27"/>
      <x:c r="T194" s="27"/>
      <x:c r="U194" s="27"/>
      <x:c r="V194" s="27"/>
      <x:c r="W194" s="27"/>
      <x:c r="X194" s="27"/>
      <x:c r="Y194" s="27"/>
      <x:c r="Z194" s="27"/>
      <x:c r="AA194" s="27"/>
      <x:c r="AB194" s="27"/>
      <x:c r="AC194" s="27"/>
      <x:c r="AD194" s="27"/>
      <x:c r="AE194" s="27"/>
      <x:c r="AF194" s="27"/>
      <x:c r="AG194" s="27"/>
      <x:c r="AH194" s="27"/>
      <x:c r="AI194" s="27"/>
      <x:c r="AJ194" s="27"/>
      <x:c r="AK194" s="27"/>
      <x:c r="AL194" s="27"/>
      <x:c r="AM194" s="27"/>
      <x:c r="AN194" s="27"/>
      <x:c r="AO194" s="27"/>
      <x:c r="AP194" s="27"/>
      <x:c r="AQ194" s="27"/>
      <x:c r="AR194" s="27"/>
      <x:c r="AS194" s="27"/>
      <x:c r="AT194" s="27"/>
      <x:c r="AU194" s="27"/>
      <x:c r="AV194" s="27"/>
      <x:c r="AW194" s="27"/>
      <x:c r="AX194" s="27"/>
      <x:c r="AY194" s="27"/>
      <x:c r="AZ194" s="27"/>
    </x:row>
    <x:row r="195">
      <x:c r="A195" s="27"/>
      <x:c r="B195" s="27"/>
      <x:c r="C195" s="27"/>
      <x:c r="D195" s="27"/>
      <x:c r="E195" s="27"/>
      <x:c r="F195" s="27"/>
      <x:c r="G195" s="27"/>
      <x:c r="H195" s="27"/>
      <x:c r="I195" s="27"/>
      <x:c r="J195" s="27"/>
      <x:c r="K195" s="27"/>
      <x:c r="L195" s="27"/>
      <x:c r="M195" s="27"/>
      <x:c r="N195" s="27"/>
      <x:c r="O195" s="27"/>
      <x:c r="P195" s="27"/>
      <x:c r="Q195" s="27"/>
      <x:c r="R195" s="27"/>
      <x:c r="S195" s="27"/>
      <x:c r="T195" s="27"/>
      <x:c r="U195" s="27"/>
      <x:c r="V195" s="27"/>
      <x:c r="W195" s="27"/>
      <x:c r="X195" s="27"/>
      <x:c r="Y195" s="27"/>
      <x:c r="Z195" s="27"/>
      <x:c r="AA195" s="27"/>
      <x:c r="AB195" s="27"/>
      <x:c r="AC195" s="27"/>
      <x:c r="AD195" s="27"/>
      <x:c r="AE195" s="27"/>
      <x:c r="AF195" s="27"/>
      <x:c r="AG195" s="27"/>
      <x:c r="AH195" s="27"/>
      <x:c r="AI195" s="27"/>
      <x:c r="AJ195" s="27"/>
      <x:c r="AK195" s="27"/>
      <x:c r="AL195" s="27"/>
      <x:c r="AM195" s="27"/>
      <x:c r="AN195" s="27"/>
      <x:c r="AO195" s="27"/>
      <x:c r="AP195" s="27"/>
      <x:c r="AQ195" s="27"/>
      <x:c r="AR195" s="27"/>
      <x:c r="AS195" s="27"/>
      <x:c r="AT195" s="27"/>
      <x:c r="AU195" s="27"/>
      <x:c r="AV195" s="27"/>
      <x:c r="AW195" s="27"/>
      <x:c r="AX195" s="27"/>
      <x:c r="AY195" s="27"/>
      <x:c r="AZ195" s="27"/>
    </x:row>
    <x:row r="196">
      <x:c r="A196" s="27"/>
      <x:c r="B196" s="27"/>
      <x:c r="C196" s="27"/>
      <x:c r="D196" s="27"/>
      <x:c r="E196" s="27"/>
      <x:c r="F196" s="27"/>
      <x:c r="G196" s="27"/>
      <x:c r="H196" s="27"/>
      <x:c r="I196" s="27"/>
      <x:c r="J196" s="27"/>
      <x:c r="K196" s="27"/>
      <x:c r="L196" s="27"/>
      <x:c r="M196" s="27"/>
      <x:c r="N196" s="27"/>
      <x:c r="O196" s="27"/>
      <x:c r="P196" s="27"/>
      <x:c r="Q196" s="27"/>
      <x:c r="R196" s="27"/>
      <x:c r="S196" s="27"/>
      <x:c r="T196" s="27"/>
      <x:c r="U196" s="27"/>
      <x:c r="V196" s="27"/>
      <x:c r="W196" s="27"/>
      <x:c r="X196" s="27"/>
      <x:c r="Y196" s="27"/>
      <x:c r="Z196" s="27"/>
      <x:c r="AA196" s="27"/>
      <x:c r="AB196" s="27"/>
      <x:c r="AC196" s="27"/>
      <x:c r="AD196" s="27"/>
      <x:c r="AE196" s="27"/>
      <x:c r="AF196" s="27"/>
      <x:c r="AG196" s="27"/>
      <x:c r="AH196" s="27"/>
      <x:c r="AI196" s="27"/>
      <x:c r="AJ196" s="27"/>
      <x:c r="AK196" s="27"/>
      <x:c r="AL196" s="27"/>
      <x:c r="AM196" s="27"/>
      <x:c r="AN196" s="27"/>
      <x:c r="AO196" s="27"/>
      <x:c r="AP196" s="27"/>
      <x:c r="AQ196" s="27"/>
      <x:c r="AR196" s="27"/>
      <x:c r="AS196" s="27"/>
      <x:c r="AT196" s="27"/>
      <x:c r="AU196" s="27"/>
      <x:c r="AV196" s="27"/>
      <x:c r="AW196" s="27"/>
      <x:c r="AX196" s="27"/>
      <x:c r="AY196" s="27"/>
      <x:c r="AZ196" s="27"/>
    </x:row>
    <x:row r="197">
      <x:c r="A197" s="27"/>
      <x:c r="B197" s="27"/>
      <x:c r="C197" s="27"/>
      <x:c r="D197" s="27"/>
      <x:c r="E197" s="27"/>
      <x:c r="F197" s="27"/>
      <x:c r="G197" s="27"/>
      <x:c r="H197" s="27"/>
      <x:c r="I197" s="27"/>
      <x:c r="J197" s="27"/>
      <x:c r="K197" s="27"/>
      <x:c r="L197" s="27"/>
      <x:c r="M197" s="27"/>
      <x:c r="N197" s="27"/>
      <x:c r="O197" s="27"/>
      <x:c r="P197" s="27"/>
      <x:c r="Q197" s="27"/>
      <x:c r="R197" s="27"/>
      <x:c r="S197" s="27"/>
      <x:c r="T197" s="27"/>
      <x:c r="U197" s="27"/>
      <x:c r="V197" s="27"/>
      <x:c r="W197" s="27"/>
      <x:c r="X197" s="27"/>
      <x:c r="Y197" s="27"/>
      <x:c r="Z197" s="27"/>
      <x:c r="AA197" s="27"/>
      <x:c r="AB197" s="27"/>
      <x:c r="AC197" s="27"/>
      <x:c r="AD197" s="27"/>
      <x:c r="AE197" s="27"/>
      <x:c r="AF197" s="27"/>
      <x:c r="AG197" s="27"/>
      <x:c r="AH197" s="27"/>
      <x:c r="AI197" s="27"/>
      <x:c r="AJ197" s="27"/>
      <x:c r="AK197" s="27"/>
      <x:c r="AL197" s="27"/>
      <x:c r="AM197" s="27"/>
      <x:c r="AN197" s="27"/>
      <x:c r="AO197" s="27"/>
      <x:c r="AP197" s="27"/>
      <x:c r="AQ197" s="27"/>
      <x:c r="AR197" s="27"/>
      <x:c r="AS197" s="27"/>
      <x:c r="AT197" s="27"/>
      <x:c r="AU197" s="27"/>
      <x:c r="AV197" s="27"/>
      <x:c r="AW197" s="27"/>
      <x:c r="AX197" s="27"/>
      <x:c r="AY197" s="27"/>
      <x:c r="AZ197" s="27"/>
    </x:row>
    <x:row r="198">
      <x:c r="A198" s="27"/>
      <x:c r="B198" s="27"/>
      <x:c r="C198" s="27"/>
      <x:c r="D198" s="27"/>
      <x:c r="E198" s="27"/>
      <x:c r="F198" s="27"/>
      <x:c r="G198" s="27"/>
      <x:c r="H198" s="27"/>
      <x:c r="I198" s="27"/>
      <x:c r="J198" s="27"/>
      <x:c r="K198" s="27"/>
      <x:c r="L198" s="27"/>
      <x:c r="M198" s="27"/>
      <x:c r="N198" s="27"/>
      <x:c r="O198" s="27"/>
      <x:c r="P198" s="27"/>
      <x:c r="Q198" s="27"/>
      <x:c r="R198" s="27"/>
      <x:c r="S198" s="27"/>
      <x:c r="T198" s="27"/>
      <x:c r="U198" s="27"/>
      <x:c r="V198" s="27"/>
      <x:c r="W198" s="27"/>
      <x:c r="X198" s="27"/>
      <x:c r="Y198" s="27"/>
      <x:c r="Z198" s="27"/>
      <x:c r="AA198" s="27"/>
      <x:c r="AB198" s="27"/>
      <x:c r="AC198" s="27"/>
      <x:c r="AD198" s="27"/>
      <x:c r="AE198" s="27"/>
      <x:c r="AF198" s="27"/>
      <x:c r="AG198" s="27"/>
      <x:c r="AH198" s="27"/>
      <x:c r="AI198" s="27"/>
      <x:c r="AJ198" s="27"/>
      <x:c r="AK198" s="27"/>
      <x:c r="AL198" s="27"/>
      <x:c r="AM198" s="27"/>
      <x:c r="AN198" s="27"/>
      <x:c r="AO198" s="27"/>
      <x:c r="AP198" s="27"/>
      <x:c r="AQ198" s="27"/>
      <x:c r="AR198" s="27"/>
      <x:c r="AS198" s="27"/>
      <x:c r="AT198" s="27"/>
      <x:c r="AU198" s="27"/>
      <x:c r="AV198" s="27"/>
      <x:c r="AW198" s="27"/>
      <x:c r="AX198" s="27"/>
      <x:c r="AY198" s="27"/>
      <x:c r="AZ198" s="27"/>
    </x:row>
    <x:row r="199">
      <x:c r="A199" s="27"/>
      <x:c r="B199" s="27"/>
      <x:c r="C199" s="27"/>
      <x:c r="D199" s="27"/>
      <x:c r="E199" s="27"/>
      <x:c r="F199" s="27"/>
      <x:c r="G199" s="27"/>
      <x:c r="H199" s="27"/>
      <x:c r="I199" s="27"/>
      <x:c r="J199" s="27"/>
      <x:c r="K199" s="27"/>
      <x:c r="L199" s="27"/>
      <x:c r="M199" s="27"/>
      <x:c r="N199" s="27"/>
      <x:c r="O199" s="27"/>
      <x:c r="P199" s="27"/>
      <x:c r="Q199" s="27"/>
      <x:c r="R199" s="27"/>
      <x:c r="S199" s="27"/>
      <x:c r="T199" s="27"/>
      <x:c r="U199" s="27"/>
      <x:c r="V199" s="27"/>
      <x:c r="W199" s="27"/>
      <x:c r="X199" s="27"/>
      <x:c r="Y199" s="27"/>
      <x:c r="Z199" s="27"/>
      <x:c r="AA199" s="27"/>
      <x:c r="AB199" s="27"/>
      <x:c r="AC199" s="27"/>
      <x:c r="AD199" s="27"/>
      <x:c r="AE199" s="27"/>
      <x:c r="AF199" s="27"/>
      <x:c r="AG199" s="27"/>
      <x:c r="AH199" s="27"/>
      <x:c r="AI199" s="27"/>
      <x:c r="AJ199" s="27"/>
      <x:c r="AK199" s="27"/>
      <x:c r="AL199" s="27"/>
      <x:c r="AM199" s="27"/>
      <x:c r="AN199" s="27"/>
      <x:c r="AO199" s="27"/>
      <x:c r="AP199" s="27"/>
      <x:c r="AQ199" s="27"/>
      <x:c r="AR199" s="27"/>
      <x:c r="AS199" s="27"/>
      <x:c r="AT199" s="27"/>
      <x:c r="AU199" s="27"/>
      <x:c r="AV199" s="27"/>
      <x:c r="AW199" s="27"/>
      <x:c r="AX199" s="27"/>
      <x:c r="AY199" s="27"/>
      <x:c r="AZ199" s="27"/>
    </x:row>
    <x:row r="200">
      <x:c r="A200" s="27"/>
      <x:c r="B200" s="27"/>
      <x:c r="C200" s="27"/>
      <x:c r="D200" s="27"/>
      <x:c r="E200" s="27"/>
      <x:c r="F200" s="27"/>
      <x:c r="G200" s="27"/>
      <x:c r="H200" s="27"/>
      <x:c r="I200" s="27"/>
      <x:c r="J200" s="27"/>
      <x:c r="K200" s="27"/>
      <x:c r="L200" s="27"/>
      <x:c r="M200" s="27"/>
      <x:c r="N200" s="27"/>
      <x:c r="O200" s="27"/>
      <x:c r="P200" s="27"/>
      <x:c r="Q200" s="27"/>
      <x:c r="R200" s="27"/>
      <x:c r="S200" s="27"/>
      <x:c r="T200" s="27"/>
      <x:c r="U200" s="27"/>
      <x:c r="V200" s="27"/>
      <x:c r="W200" s="27"/>
      <x:c r="X200" s="27"/>
      <x:c r="Y200" s="27"/>
      <x:c r="Z200" s="27"/>
      <x:c r="AA200" s="27"/>
      <x:c r="AB200" s="27"/>
      <x:c r="AC200" s="27"/>
      <x:c r="AD200" s="27"/>
      <x:c r="AE200" s="27"/>
      <x:c r="AF200" s="27"/>
      <x:c r="AG200" s="27"/>
      <x:c r="AH200" s="27"/>
      <x:c r="AI200" s="27"/>
      <x:c r="AJ200" s="27"/>
      <x:c r="AK200" s="27"/>
      <x:c r="AL200" s="27"/>
      <x:c r="AM200" s="27"/>
      <x:c r="AN200" s="27"/>
      <x:c r="AO200" s="27"/>
      <x:c r="AP200" s="27"/>
      <x:c r="AQ200" s="27"/>
      <x:c r="AR200" s="27"/>
      <x:c r="AS200" s="27"/>
      <x:c r="AT200" s="27"/>
      <x:c r="AU200" s="27"/>
      <x:c r="AV200" s="27"/>
      <x:c r="AW200" s="27"/>
      <x:c r="AX200" s="27"/>
      <x:c r="AY200" s="27"/>
      <x:c r="AZ200" s="27"/>
    </x:row>
  </x:sheetData>
  <x:mergeCells>
    <x:mergeCell ref="A1:I1"/>
    <x:mergeCell ref="A2:I2"/>
  </x:mergeCells>
  <x:pageMargins left="0.7" right="0.7" top="0.75" bottom="0.75" header="0.3" footer="0.3"/>
  <x:tableParts count="1">
    <x:tablePart xmlns:r="http://schemas.openxmlformats.org/officeDocument/2006/relationships" r:id="Ra27bafecd69d4a74"/>
  </x:tableParts>
</x:worksheet>
</file>

<file path=xl/worksheets/sheet6.xml><?xml version="1.0" encoding="utf-8"?>
<x:worksheet xmlns:x="http://schemas.openxmlformats.org/spreadsheetml/2006/main">
  <x:sheetFormatPr defaultRowHeight="15"/>
  <x:cols>
    <x:col min="1" max="1" width="16" hidden="0" customWidth="1"/>
    <x:col min="2" max="2" width="20" hidden="0" customWidth="1"/>
    <x:col min="3" max="3" width="70" hidden="0" customWidth="1"/>
    <x:col min="4" max="4" width="22" hidden="0" customWidth="1"/>
    <x:col min="5" max="5" width="18" hidden="0" customWidth="1"/>
    <x:col min="6" max="6" width="55" hidden="0" customWidth="1"/>
    <x:col min="7" max="7" width="38" hidden="0" customWidth="1"/>
    <x:col min="8" max="8" width="20" hidden="0" customWidth="1"/>
    <x:col min="9" max="9" width="16" hidden="0" customWidth="1"/>
    <x:col min="10" max="10" width="55" hidden="0" customWidth="1"/>
  </x:cols>
  <x:sheetData>
    <x:row r="1" ht="28" customHeight="1">
      <x:c r="A1" s="26" t="str">
        <x:v>Operation Pancake Research Findings</x:v>
      </x:c>
      <x:c r="B1" s="26"/>
      <x:c r="C1" s="26"/>
      <x:c r="D1" s="26"/>
      <x:c r="E1" s="26"/>
      <x:c r="F1" s="26"/>
      <x:c r="G1" s="26"/>
      <x:c r="H1" s="26"/>
      <x:c r="I1" s="26"/>
      <x:c r="J1" s="26"/>
      <x:c r="K1" s="27"/>
      <x:c r="L1" s="27"/>
      <x:c r="M1" s="27"/>
      <x:c r="N1" s="27"/>
      <x:c r="O1" s="27"/>
      <x:c r="P1" s="27"/>
      <x:c r="Q1" s="27"/>
      <x:c r="R1" s="27"/>
      <x:c r="S1" s="27"/>
      <x:c r="T1" s="27"/>
      <x:c r="U1" s="27"/>
      <x:c r="V1" s="27"/>
      <x:c r="W1" s="27"/>
      <x:c r="X1" s="27"/>
      <x:c r="Y1" s="27"/>
      <x:c r="Z1" s="27"/>
      <x:c r="AA1" s="27"/>
      <x:c r="AB1" s="27"/>
      <x:c r="AC1" s="27"/>
      <x:c r="AD1" s="27"/>
      <x:c r="AE1" s="27"/>
      <x:c r="AF1" s="27"/>
      <x:c r="AG1" s="27"/>
      <x:c r="AH1" s="27"/>
      <x:c r="AI1" s="27"/>
      <x:c r="AJ1" s="27"/>
      <x:c r="AK1" s="27"/>
      <x:c r="AL1" s="27"/>
      <x:c r="AM1" s="27"/>
      <x:c r="AN1" s="27"/>
      <x:c r="AO1" s="27"/>
      <x:c r="AP1" s="27"/>
      <x:c r="AQ1" s="27"/>
      <x:c r="AR1" s="27"/>
      <x:c r="AS1" s="27"/>
      <x:c r="AT1" s="27"/>
      <x:c r="AU1" s="27"/>
      <x:c r="AV1" s="27"/>
      <x:c r="AW1" s="27"/>
      <x:c r="AX1" s="27"/>
      <x:c r="AY1" s="27"/>
      <x:c r="AZ1" s="27"/>
    </x:row>
    <x:row r="2" ht="34" customHeight="1">
      <x:c r="A2" s="28" t="str">
        <x:v>Hypotheses and conclusions are explicitly separated from observed facts. Confidence can change as evidence accumulates.</x:v>
      </x:c>
      <x:c r="B2" s="28"/>
      <x:c r="C2" s="28"/>
      <x:c r="D2" s="28"/>
      <x:c r="E2" s="28"/>
      <x:c r="F2" s="28"/>
      <x:c r="G2" s="28"/>
      <x:c r="H2" s="28"/>
      <x:c r="I2" s="28"/>
      <x:c r="J2" s="28"/>
      <x:c r="K2" s="27"/>
      <x:c r="L2" s="27"/>
      <x:c r="M2" s="27"/>
      <x:c r="N2" s="27"/>
      <x:c r="O2" s="27"/>
      <x:c r="P2" s="27"/>
      <x:c r="Q2" s="27"/>
      <x:c r="R2" s="27"/>
      <x:c r="S2" s="27"/>
      <x:c r="T2" s="27"/>
      <x:c r="U2" s="27"/>
      <x:c r="V2" s="27"/>
      <x:c r="W2" s="27"/>
      <x:c r="X2" s="27"/>
      <x:c r="Y2" s="27"/>
      <x:c r="Z2" s="27"/>
      <x:c r="AA2" s="27"/>
      <x:c r="AB2" s="27"/>
      <x:c r="AC2" s="27"/>
      <x:c r="AD2" s="27"/>
      <x:c r="AE2" s="27"/>
      <x:c r="AF2" s="27"/>
      <x:c r="AG2" s="27"/>
      <x:c r="AH2" s="27"/>
      <x:c r="AI2" s="27"/>
      <x:c r="AJ2" s="27"/>
      <x:c r="AK2" s="27"/>
      <x:c r="AL2" s="27"/>
      <x:c r="AM2" s="27"/>
      <x:c r="AN2" s="27"/>
      <x:c r="AO2" s="27"/>
      <x:c r="AP2" s="27"/>
      <x:c r="AQ2" s="27"/>
      <x:c r="AR2" s="27"/>
      <x:c r="AS2" s="27"/>
      <x:c r="AT2" s="27"/>
      <x:c r="AU2" s="27"/>
      <x:c r="AV2" s="27"/>
      <x:c r="AW2" s="27"/>
      <x:c r="AX2" s="27"/>
      <x:c r="AY2" s="27"/>
      <x:c r="AZ2" s="27"/>
    </x:row>
    <x:row r="3">
      <x:c r="A3" s="27"/>
      <x:c r="B3" s="27"/>
      <x:c r="C3" s="27"/>
      <x:c r="D3" s="27"/>
      <x:c r="E3" s="27"/>
      <x:c r="F3" s="27"/>
      <x:c r="G3" s="27"/>
      <x:c r="H3" s="27"/>
      <x:c r="I3" s="27"/>
      <x:c r="J3" s="27"/>
      <x:c r="K3" s="27"/>
      <x:c r="L3" s="27"/>
      <x:c r="M3" s="27"/>
      <x:c r="N3" s="27"/>
      <x:c r="O3" s="27"/>
      <x:c r="P3" s="27"/>
      <x:c r="Q3" s="27"/>
      <x:c r="R3" s="27"/>
      <x:c r="S3" s="27"/>
      <x:c r="T3" s="27"/>
      <x:c r="U3" s="27"/>
      <x:c r="V3" s="27"/>
      <x:c r="W3" s="27"/>
      <x:c r="X3" s="27"/>
      <x:c r="Y3" s="27"/>
      <x:c r="Z3" s="27"/>
      <x:c r="AA3" s="27"/>
      <x:c r="AB3" s="27"/>
      <x:c r="AC3" s="27"/>
      <x:c r="AD3" s="27"/>
      <x:c r="AE3" s="27"/>
      <x:c r="AF3" s="27"/>
      <x:c r="AG3" s="27"/>
      <x:c r="AH3" s="27"/>
      <x:c r="AI3" s="27"/>
      <x:c r="AJ3" s="27"/>
      <x:c r="AK3" s="27"/>
      <x:c r="AL3" s="27"/>
      <x:c r="AM3" s="27"/>
      <x:c r="AN3" s="27"/>
      <x:c r="AO3" s="27"/>
      <x:c r="AP3" s="27"/>
      <x:c r="AQ3" s="27"/>
      <x:c r="AR3" s="27"/>
      <x:c r="AS3" s="27"/>
      <x:c r="AT3" s="27"/>
      <x:c r="AU3" s="27"/>
      <x:c r="AV3" s="27"/>
      <x:c r="AW3" s="27"/>
      <x:c r="AX3" s="27"/>
      <x:c r="AY3" s="27"/>
      <x:c r="AZ3" s="27"/>
    </x:row>
    <x:row r="4" ht="30" customHeight="1">
      <x:c r="A4" s="29" t="str">
        <x:v>Finding_ID</x:v>
      </x:c>
      <x:c r="B4" s="29" t="str">
        <x:v>Area</x:v>
      </x:c>
      <x:c r="C4" s="29" t="str">
        <x:v>Claim</x:v>
      </x:c>
      <x:c r="D4" s="29" t="str">
        <x:v>Status</x:v>
      </x:c>
      <x:c r="E4" s="29" t="str">
        <x:v>Confidence</x:v>
      </x:c>
      <x:c r="F4" s="29" t="str">
        <x:v>Supporting_Evidence</x:v>
      </x:c>
      <x:c r="G4" s="29" t="str">
        <x:v>Contradicting_Evidence</x:v>
      </x:c>
      <x:c r="H4" s="29" t="str">
        <x:v>Model_Version</x:v>
      </x:c>
      <x:c r="I4" s="29" t="str">
        <x:v>Last_Validated</x:v>
      </x:c>
      <x:c r="J4" s="29" t="str">
        <x:v>Notes</x:v>
      </x:c>
      <x:c r="K4" s="27"/>
      <x:c r="L4" s="27"/>
      <x:c r="M4" s="27"/>
      <x:c r="N4" s="27"/>
      <x:c r="O4" s="27"/>
      <x:c r="P4" s="27"/>
      <x:c r="Q4" s="27"/>
      <x:c r="R4" s="27"/>
      <x:c r="S4" s="27"/>
      <x:c r="T4" s="27"/>
      <x:c r="U4" s="27"/>
      <x:c r="V4" s="27"/>
      <x:c r="W4" s="27"/>
      <x:c r="X4" s="27"/>
      <x:c r="Y4" s="27"/>
      <x:c r="Z4" s="27"/>
      <x:c r="AA4" s="27"/>
      <x:c r="AB4" s="27"/>
      <x:c r="AC4" s="27"/>
      <x:c r="AD4" s="27"/>
      <x:c r="AE4" s="27"/>
      <x:c r="AF4" s="27"/>
      <x:c r="AG4" s="27"/>
      <x:c r="AH4" s="27"/>
      <x:c r="AI4" s="27"/>
      <x:c r="AJ4" s="27"/>
      <x:c r="AK4" s="27"/>
      <x:c r="AL4" s="27"/>
      <x:c r="AM4" s="27"/>
      <x:c r="AN4" s="27"/>
      <x:c r="AO4" s="27"/>
      <x:c r="AP4" s="27"/>
      <x:c r="AQ4" s="27"/>
      <x:c r="AR4" s="27"/>
      <x:c r="AS4" s="27"/>
      <x:c r="AT4" s="27"/>
      <x:c r="AU4" s="27"/>
      <x:c r="AV4" s="27"/>
      <x:c r="AW4" s="27"/>
      <x:c r="AX4" s="27"/>
      <x:c r="AY4" s="27"/>
      <x:c r="AZ4" s="27"/>
    </x:row>
    <x:row r="5">
      <x:c r="A5" s="30" t="str">
        <x:v>TE-F-001</x:v>
      </x:c>
      <x:c r="B5" s="30" t="str">
        <x:v>TE hidden OVR</x:v>
      </x:c>
      <x:c r="C5" s="30" t="str">
        <x:v>Players can occupy different hidden-score locations within the same displayed OVR band.</x:v>
      </x:c>
      <x:c r="D5" s="30" t="str">
        <x:v>Working conclusion</x:v>
      </x:c>
      <x:c r="E5" s="30" t="str">
        <x:v>High</x:v>
      </x:c>
      <x:c r="F5" s="30" t="str">
        <x:v>Same-OVR comparisons and upgrade threshold behavior</x:v>
      </x:c>
      <x:c r="G5" s="30" t="str"/>
      <x:c r="H5" s="30" t="str">
        <x:v>TE-model-pre-v1</x:v>
      </x:c>
      <x:c r="I5" s="30" t="str">
        <x:v>2026-08-01</x:v>
      </x:c>
      <x:c r="J5" s="30" t="str">
        <x:v>Displayed OVR likely applies a curve/band/rounding step after a weighted score.</x:v>
      </x:c>
      <x:c r="K5" s="27"/>
      <x:c r="L5" s="27"/>
      <x:c r="M5" s="27"/>
      <x:c r="N5" s="27"/>
      <x:c r="O5" s="27"/>
      <x:c r="P5" s="27"/>
      <x:c r="Q5" s="27"/>
      <x:c r="R5" s="27"/>
      <x:c r="S5" s="27"/>
      <x:c r="T5" s="27"/>
      <x:c r="U5" s="27"/>
      <x:c r="V5" s="27"/>
      <x:c r="W5" s="27"/>
      <x:c r="X5" s="27"/>
      <x:c r="Y5" s="27"/>
      <x:c r="Z5" s="27"/>
      <x:c r="AA5" s="27"/>
      <x:c r="AB5" s="27"/>
      <x:c r="AC5" s="27"/>
      <x:c r="AD5" s="27"/>
      <x:c r="AE5" s="27"/>
      <x:c r="AF5" s="27"/>
      <x:c r="AG5" s="27"/>
      <x:c r="AH5" s="27"/>
      <x:c r="AI5" s="27"/>
      <x:c r="AJ5" s="27"/>
      <x:c r="AK5" s="27"/>
      <x:c r="AL5" s="27"/>
      <x:c r="AM5" s="27"/>
      <x:c r="AN5" s="27"/>
      <x:c r="AO5" s="27"/>
      <x:c r="AP5" s="27"/>
      <x:c r="AQ5" s="27"/>
      <x:c r="AR5" s="27"/>
      <x:c r="AS5" s="27"/>
      <x:c r="AT5" s="27"/>
      <x:c r="AU5" s="27"/>
      <x:c r="AV5" s="27"/>
      <x:c r="AW5" s="27"/>
      <x:c r="AX5" s="27"/>
      <x:c r="AY5" s="27"/>
      <x:c r="AZ5" s="27"/>
    </x:row>
    <x:row r="6">
      <x:c r="A6" s="30" t="str">
        <x:v>TE-F-002</x:v>
      </x:c>
      <x:c r="B6" s="30" t="str">
        <x:v>TE threshold</x:v>
      </x:c>
      <x:c r="C6" s="30" t="str">
        <x:v>Hidden score near ~403 appears high-82; ~405 appears near the 83 breakpoint.</x:v>
      </x:c>
      <x:c r="D6" s="30" t="str">
        <x:v>Working hypothesis</x:v>
      </x:c>
      <x:c r="E6" s="30" t="str">
        <x:v>Medium-High</x:v>
      </x:c>
      <x:c r="F6" s="30" t="str">
        <x:v>Prior Operation Pancake TE threshold tests</x:v>
      </x:c>
      <x:c r="G6" s="30" t="str"/>
      <x:c r="H6" s="30" t="str">
        <x:v>TE-model-pre-v1</x:v>
      </x:c>
      <x:c r="I6" s="30" t="str">
        <x:v>2026-08-01</x:v>
      </x:c>
      <x:c r="J6" s="30" t="str">
        <x:v>Must be revalidated against structured card set.</x:v>
      </x:c>
      <x:c r="K6" s="27"/>
      <x:c r="L6" s="27"/>
      <x:c r="M6" s="27"/>
      <x:c r="N6" s="27"/>
      <x:c r="O6" s="27"/>
      <x:c r="P6" s="27"/>
      <x:c r="Q6" s="27"/>
      <x:c r="R6" s="27"/>
      <x:c r="S6" s="27"/>
      <x:c r="T6" s="27"/>
      <x:c r="U6" s="27"/>
      <x:c r="V6" s="27"/>
      <x:c r="W6" s="27"/>
      <x:c r="X6" s="27"/>
      <x:c r="Y6" s="27"/>
      <x:c r="Z6" s="27"/>
      <x:c r="AA6" s="27"/>
      <x:c r="AB6" s="27"/>
      <x:c r="AC6" s="27"/>
      <x:c r="AD6" s="27"/>
      <x:c r="AE6" s="27"/>
      <x:c r="AF6" s="27"/>
      <x:c r="AG6" s="27"/>
      <x:c r="AH6" s="27"/>
      <x:c r="AI6" s="27"/>
      <x:c r="AJ6" s="27"/>
      <x:c r="AK6" s="27"/>
      <x:c r="AL6" s="27"/>
      <x:c r="AM6" s="27"/>
      <x:c r="AN6" s="27"/>
      <x:c r="AO6" s="27"/>
      <x:c r="AP6" s="27"/>
      <x:c r="AQ6" s="27"/>
      <x:c r="AR6" s="27"/>
      <x:c r="AS6" s="27"/>
      <x:c r="AT6" s="27"/>
      <x:c r="AU6" s="27"/>
      <x:c r="AV6" s="27"/>
      <x:c r="AW6" s="27"/>
      <x:c r="AX6" s="27"/>
      <x:c r="AY6" s="27"/>
      <x:c r="AZ6" s="27"/>
    </x:row>
    <x:row r="7">
      <x:c r="A7" s="30" t="str">
        <x:v>TE-F-003</x:v>
      </x:c>
      <x:c r="B7" s="30" t="str">
        <x:v>TE formula architecture</x:v>
      </x:c>
      <x:c r="C7" s="30" t="str">
        <x:v>A weighted attribute model plus nonlinear/curve conversion is more plausible than a simple Big-3 sum.</x:v>
      </x:c>
      <x:c r="D7" s="30" t="str">
        <x:v>Working hypothesis</x:v>
      </x:c>
      <x:c r="E7" s="30" t="str">
        <x:v>High</x:v>
      </x:c>
      <x:c r="F7" s="30" t="str">
        <x:v>Madden 19 XML-derived precedent + CFB27 same-OVR variation</x:v>
      </x:c>
      <x:c r="G7" s="30" t="str"/>
      <x:c r="H7" s="30" t="str">
        <x:v>TE-model-pre-v1</x:v>
      </x:c>
      <x:c r="I7" s="30" t="str">
        <x:v>2026-08-01</x:v>
      </x:c>
      <x:c r="J7" s="30" t="str">
        <x:v>Historical Madden formula used weighted average plus Desired High/Low scaling.</x:v>
      </x:c>
      <x:c r="K7" s="27"/>
      <x:c r="L7" s="27"/>
      <x:c r="M7" s="27"/>
      <x:c r="N7" s="27"/>
      <x:c r="O7" s="27"/>
      <x:c r="P7" s="27"/>
      <x:c r="Q7" s="27"/>
      <x:c r="R7" s="27"/>
      <x:c r="S7" s="27"/>
      <x:c r="T7" s="27"/>
      <x:c r="U7" s="27"/>
      <x:c r="V7" s="27"/>
      <x:c r="W7" s="27"/>
      <x:c r="X7" s="27"/>
      <x:c r="Y7" s="27"/>
      <x:c r="Z7" s="27"/>
      <x:c r="AA7" s="27"/>
      <x:c r="AB7" s="27"/>
      <x:c r="AC7" s="27"/>
      <x:c r="AD7" s="27"/>
      <x:c r="AE7" s="27"/>
      <x:c r="AF7" s="27"/>
      <x:c r="AG7" s="27"/>
      <x:c r="AH7" s="27"/>
      <x:c r="AI7" s="27"/>
      <x:c r="AJ7" s="27"/>
      <x:c r="AK7" s="27"/>
      <x:c r="AL7" s="27"/>
      <x:c r="AM7" s="27"/>
      <x:c r="AN7" s="27"/>
      <x:c r="AO7" s="27"/>
      <x:c r="AP7" s="27"/>
      <x:c r="AQ7" s="27"/>
      <x:c r="AR7" s="27"/>
      <x:c r="AS7" s="27"/>
      <x:c r="AT7" s="27"/>
      <x:c r="AU7" s="27"/>
      <x:c r="AV7" s="27"/>
      <x:c r="AW7" s="27"/>
      <x:c r="AX7" s="27"/>
      <x:c r="AY7" s="27"/>
      <x:c r="AZ7" s="27"/>
    </x:row>
    <x:row r="8">
      <x:c r="A8" s="30" t="str">
        <x:v>TE-F-004</x:v>
      </x:c>
      <x:c r="B8" s="30" t="str">
        <x:v>Archetypes</x:v>
      </x:c>
      <x:c r="C8" s="30" t="str">
        <x:v>TE archetypes in CFB27 dataset include Gritty Possession, Vertical Threat, Physical Route Runner, and Pure Blocker.</x:v>
      </x:c>
      <x:c r="D8" s="30" t="str">
        <x:v>Observed</x:v>
      </x:c>
      <x:c r="E8" s="30" t="str">
        <x:v>Confirmed</x:v>
      </x:c>
      <x:c r="F8" s="30" t="str">
        <x:v>TE_Cards source pages</x:v>
      </x:c>
      <x:c r="G8" s="30" t="str"/>
      <x:c r="H8" s="30" t="str">
        <x:v>n/a</x:v>
      </x:c>
      <x:c r="I8" s="30" t="str">
        <x:v>2026-08-01</x:v>
      </x:c>
      <x:c r="J8" s="30" t="str">
        <x:v>Do not collapse CFB27 archetype names into Madden 19 names without evidence.</x:v>
      </x:c>
      <x:c r="K8" s="27"/>
      <x:c r="L8" s="27"/>
      <x:c r="M8" s="27"/>
      <x:c r="N8" s="27"/>
      <x:c r="O8" s="27"/>
      <x:c r="P8" s="27"/>
      <x:c r="Q8" s="27"/>
      <x:c r="R8" s="27"/>
      <x:c r="S8" s="27"/>
      <x:c r="T8" s="27"/>
      <x:c r="U8" s="27"/>
      <x:c r="V8" s="27"/>
      <x:c r="W8" s="27"/>
      <x:c r="X8" s="27"/>
      <x:c r="Y8" s="27"/>
      <x:c r="Z8" s="27"/>
      <x:c r="AA8" s="27"/>
      <x:c r="AB8" s="27"/>
      <x:c r="AC8" s="27"/>
      <x:c r="AD8" s="27"/>
      <x:c r="AE8" s="27"/>
      <x:c r="AF8" s="27"/>
      <x:c r="AG8" s="27"/>
      <x:c r="AH8" s="27"/>
      <x:c r="AI8" s="27"/>
      <x:c r="AJ8" s="27"/>
      <x:c r="AK8" s="27"/>
      <x:c r="AL8" s="27"/>
      <x:c r="AM8" s="27"/>
      <x:c r="AN8" s="27"/>
      <x:c r="AO8" s="27"/>
      <x:c r="AP8" s="27"/>
      <x:c r="AQ8" s="27"/>
      <x:c r="AR8" s="27"/>
      <x:c r="AS8" s="27"/>
      <x:c r="AT8" s="27"/>
      <x:c r="AU8" s="27"/>
      <x:c r="AV8" s="27"/>
      <x:c r="AW8" s="27"/>
      <x:c r="AX8" s="27"/>
      <x:c r="AY8" s="27"/>
      <x:c r="AZ8" s="27"/>
    </x:row>
    <x:row r="9">
      <x:c r="A9" s="30" t="str">
        <x:v>M19-F-001</x:v>
      </x:c>
      <x:c r="B9" s="30" t="str">
        <x:v>Madden 19 formula</x:v>
      </x:c>
      <x:c r="C9" s="30" t="str">
        <x:v>Madden displayed OVR was not simply the raw weighted average; a curve using Desired High/Desired Low was reported.</x:v>
      </x:c>
      <x:c r="D9" s="30" t="str">
        <x:v>External reference</x:v>
      </x:c>
      <x:c r="E9" s="30" t="str">
        <x:v>High</x:v>
      </x:c>
      <x:c r="F9" s="30" t="str">
        <x:v>Madden 19 Reddit/XML discussion</x:v>
      </x:c>
      <x:c r="G9" s="30" t="str"/>
      <x:c r="H9" s="30" t="str">
        <x:v>Reference</x:v>
      </x:c>
      <x:c r="I9" s="30" t="str">
        <x:v>2026-08-01</x:v>
      </x:c>
      <x:c r="J9" s="30" t="str">
        <x:v>Reported formula: Overall=(W-L)*(99/(H-L)).</x:v>
      </x:c>
      <x:c r="K9" s="27"/>
      <x:c r="L9" s="27"/>
      <x:c r="M9" s="27"/>
      <x:c r="N9" s="27"/>
      <x:c r="O9" s="27"/>
      <x:c r="P9" s="27"/>
      <x:c r="Q9" s="27"/>
      <x:c r="R9" s="27"/>
      <x:c r="S9" s="27"/>
      <x:c r="T9" s="27"/>
      <x:c r="U9" s="27"/>
      <x:c r="V9" s="27"/>
      <x:c r="W9" s="27"/>
      <x:c r="X9" s="27"/>
      <x:c r="Y9" s="27"/>
      <x:c r="Z9" s="27"/>
      <x:c r="AA9" s="27"/>
      <x:c r="AB9" s="27"/>
      <x:c r="AC9" s="27"/>
      <x:c r="AD9" s="27"/>
      <x:c r="AE9" s="27"/>
      <x:c r="AF9" s="27"/>
      <x:c r="AG9" s="27"/>
      <x:c r="AH9" s="27"/>
      <x:c r="AI9" s="27"/>
      <x:c r="AJ9" s="27"/>
      <x:c r="AK9" s="27"/>
      <x:c r="AL9" s="27"/>
      <x:c r="AM9" s="27"/>
      <x:c r="AN9" s="27"/>
      <x:c r="AO9" s="27"/>
      <x:c r="AP9" s="27"/>
      <x:c r="AQ9" s="27"/>
      <x:c r="AR9" s="27"/>
      <x:c r="AS9" s="27"/>
      <x:c r="AT9" s="27"/>
      <x:c r="AU9" s="27"/>
      <x:c r="AV9" s="27"/>
      <x:c r="AW9" s="27"/>
      <x:c r="AX9" s="27"/>
      <x:c r="AY9" s="27"/>
      <x:c r="AZ9" s="27"/>
    </x:row>
    <x:row r="10">
      <x:c r="A10" s="30" t="str">
        <x:v>DB-F-001</x:v>
      </x:c>
      <x:c r="B10" s="30" t="str">
        <x:v>Data governance</x:v>
      </x:c>
      <x:c r="C10" s="30" t="str">
        <x:v>Raw cards, external references, and research hypotheses must remain separate.</x:v>
      </x:c>
      <x:c r="D10" s="30" t="str">
        <x:v>Project rule</x:v>
      </x:c>
      <x:c r="E10" s="30" t="str">
        <x:v>Confirmed</x:v>
      </x:c>
      <x:c r="F10" s="30" t="str">
        <x:v>Operation Pancake governance</x:v>
      </x:c>
      <x:c r="G10" s="30" t="str"/>
      <x:c r="H10" s="30" t="str">
        <x:v>v1.0</x:v>
      </x:c>
      <x:c r="I10" s="30" t="str">
        <x:v>2026-08-01</x:v>
      </x:c>
      <x:c r="J10" s="30" t="str">
        <x:v>Canonical database rule.</x:v>
      </x:c>
      <x:c r="K10" s="27"/>
      <x:c r="L10" s="27"/>
      <x:c r="M10" s="27"/>
      <x:c r="N10" s="27"/>
      <x:c r="O10" s="27"/>
      <x:c r="P10" s="27"/>
      <x:c r="Q10" s="27"/>
      <x:c r="R10" s="27"/>
      <x:c r="S10" s="27"/>
      <x:c r="T10" s="27"/>
      <x:c r="U10" s="27"/>
      <x:c r="V10" s="27"/>
      <x:c r="W10" s="27"/>
      <x:c r="X10" s="27"/>
      <x:c r="Y10" s="27"/>
      <x:c r="Z10" s="27"/>
      <x:c r="AA10" s="27"/>
      <x:c r="AB10" s="27"/>
      <x:c r="AC10" s="27"/>
      <x:c r="AD10" s="27"/>
      <x:c r="AE10" s="27"/>
      <x:c r="AF10" s="27"/>
      <x:c r="AG10" s="27"/>
      <x:c r="AH10" s="27"/>
      <x:c r="AI10" s="27"/>
      <x:c r="AJ10" s="27"/>
      <x:c r="AK10" s="27"/>
      <x:c r="AL10" s="27"/>
      <x:c r="AM10" s="27"/>
      <x:c r="AN10" s="27"/>
      <x:c r="AO10" s="27"/>
      <x:c r="AP10" s="27"/>
      <x:c r="AQ10" s="27"/>
      <x:c r="AR10" s="27"/>
      <x:c r="AS10" s="27"/>
      <x:c r="AT10" s="27"/>
      <x:c r="AU10" s="27"/>
      <x:c r="AV10" s="27"/>
      <x:c r="AW10" s="27"/>
      <x:c r="AX10" s="27"/>
      <x:c r="AY10" s="27"/>
      <x:c r="AZ10" s="27"/>
    </x:row>
    <x:row r="11">
      <x:c r="A11" s="27" t="str">
        <x:v>TE-F-005</x:v>
      </x:c>
      <x:c r="B11" s="27" t="str">
        <x:v>TE weighted model</x:v>
      </x:c>
      <x:c r="C11" s="27" t="str">
        <x:v>Madden 19 Possession weights perfectly order all observed Gritty cards across different OVRs (15/15 pairs).</x:v>
      </x:c>
      <x:c r="D11" s="27" t="str">
        <x:v>Candidate validated</x:v>
      </x:c>
      <x:c r="E11" s="27" t="str">
        <x:v>High</x:v>
      </x:c>
      <x:c r="F11" s="27" t="str">
        <x:v>TE_Analysis v1.1; 7 Gritty cards</x:v>
      </x:c>
      <x:c r="G11" s="27" t="str"/>
      <x:c r="H11" s="27" t="str">
        <x:v>TE-MODEL-001</x:v>
      </x:c>
      <x:c r="I11" s="27" t="str">
        <x:v>2026-08-01</x:v>
      </x:c>
      <x:c r="J11" s="27" t="str">
        <x:v>Scope limited to OVR 83–85.</x:v>
      </x:c>
      <x:c r="K11" s="27"/>
      <x:c r="L11" s="27"/>
      <x:c r="M11" s="27"/>
      <x:c r="N11" s="27"/>
      <x:c r="O11" s="27"/>
      <x:c r="P11" s="27"/>
      <x:c r="Q11" s="27"/>
      <x:c r="R11" s="27"/>
      <x:c r="S11" s="27"/>
      <x:c r="T11" s="27"/>
      <x:c r="U11" s="27"/>
      <x:c r="V11" s="27"/>
      <x:c r="W11" s="27"/>
      <x:c r="X11" s="27"/>
      <x:c r="Y11" s="27"/>
      <x:c r="Z11" s="27"/>
      <x:c r="AA11" s="27"/>
      <x:c r="AB11" s="27"/>
      <x:c r="AC11" s="27"/>
      <x:c r="AD11" s="27"/>
      <x:c r="AE11" s="27"/>
      <x:c r="AF11" s="27"/>
      <x:c r="AG11" s="27"/>
      <x:c r="AH11" s="27"/>
      <x:c r="AI11" s="27"/>
      <x:c r="AJ11" s="27"/>
      <x:c r="AK11" s="27"/>
      <x:c r="AL11" s="27"/>
      <x:c r="AM11" s="27"/>
      <x:c r="AN11" s="27"/>
      <x:c r="AO11" s="27"/>
      <x:c r="AP11" s="27"/>
      <x:c r="AQ11" s="27"/>
      <x:c r="AR11" s="27"/>
      <x:c r="AS11" s="27"/>
      <x:c r="AT11" s="27"/>
      <x:c r="AU11" s="27"/>
      <x:c r="AV11" s="27"/>
      <x:c r="AW11" s="27"/>
      <x:c r="AX11" s="27"/>
      <x:c r="AY11" s="27"/>
      <x:c r="AZ11" s="27"/>
    </x:row>
    <x:row r="12">
      <x:c r="A12" s="27" t="str">
        <x:v>TE-F-006</x:v>
      </x:c>
      <x:c r="B12" s="27" t="str">
        <x:v>TE weighted model</x:v>
      </x:c>
      <x:c r="C12" s="27" t="str">
        <x:v>Madden 19 Vertical Threat weights perfectly order all observed Vertical Threat cards across different OVRs (7/7 pairs).</x:v>
      </x:c>
      <x:c r="D12" s="27" t="str">
        <x:v>Candidate validated</x:v>
      </x:c>
      <x:c r="E12" s="27" t="str">
        <x:v>High</x:v>
      </x:c>
      <x:c r="F12" s="27" t="str">
        <x:v>TE_Analysis v1.1; 5 VT cards</x:v>
      </x:c>
      <x:c r="G12" s="27" t="str"/>
      <x:c r="H12" s="27" t="str">
        <x:v>TE-MODEL-002</x:v>
      </x:c>
      <x:c r="I12" s="27" t="str">
        <x:v>2026-08-01</x:v>
      </x:c>
      <x:c r="J12" s="27" t="str">
        <x:v>Elusiveness(2) unavailable; remaining 98 points renormalized.</x:v>
      </x:c>
      <x:c r="K12" s="27"/>
      <x:c r="L12" s="27"/>
      <x:c r="M12" s="27"/>
      <x:c r="N12" s="27"/>
      <x:c r="O12" s="27"/>
      <x:c r="P12" s="27"/>
      <x:c r="Q12" s="27"/>
      <x:c r="R12" s="27"/>
      <x:c r="S12" s="27"/>
      <x:c r="T12" s="27"/>
      <x:c r="U12" s="27"/>
      <x:c r="V12" s="27"/>
      <x:c r="W12" s="27"/>
      <x:c r="X12" s="27"/>
      <x:c r="Y12" s="27"/>
      <x:c r="Z12" s="27"/>
      <x:c r="AA12" s="27"/>
      <x:c r="AB12" s="27"/>
      <x:c r="AC12" s="27"/>
      <x:c r="AD12" s="27"/>
      <x:c r="AE12" s="27"/>
      <x:c r="AF12" s="27"/>
      <x:c r="AG12" s="27"/>
      <x:c r="AH12" s="27"/>
      <x:c r="AI12" s="27"/>
      <x:c r="AJ12" s="27"/>
      <x:c r="AK12" s="27"/>
      <x:c r="AL12" s="27"/>
      <x:c r="AM12" s="27"/>
      <x:c r="AN12" s="27"/>
      <x:c r="AO12" s="27"/>
      <x:c r="AP12" s="27"/>
      <x:c r="AQ12" s="27"/>
      <x:c r="AR12" s="27"/>
      <x:c r="AS12" s="27"/>
      <x:c r="AT12" s="27"/>
      <x:c r="AU12" s="27"/>
      <x:c r="AV12" s="27"/>
      <x:c r="AW12" s="27"/>
      <x:c r="AX12" s="27"/>
      <x:c r="AY12" s="27"/>
      <x:c r="AZ12" s="27"/>
    </x:row>
    <x:row r="13">
      <x:c r="A13" s="27" t="str">
        <x:v>TE-F-007</x:v>
      </x:c>
      <x:c r="B13" s="27" t="str">
        <x:v>TE Physical Route Runner</x:v>
      </x:c>
      <x:c r="C13" s="27" t="str">
        <x:v>Physical Route Runner is much closer to Vertical Threat weighting than Possession weighting.</x:v>
      </x:c>
      <x:c r="D13" s="27" t="str">
        <x:v>Working conclusion</x:v>
      </x:c>
      <x:c r="E13" s="27" t="str">
        <x:v>Medium-High</x:v>
      </x:c>
      <x:c r="F13" s="27" t="str">
        <x:v>Raw VT model 38/39 cross-OVR pairs; fitted 71/29 blend 39/39</x:v>
      </x:c>
      <x:c r="G13" s="27" t="str"/>
      <x:c r="H13" s="27" t="str">
        <x:v>TE-MODEL-003</x:v>
      </x:c>
      <x:c r="I13" s="27" t="str">
        <x:v>2026-08-01</x:v>
      </x:c>
      <x:c r="J13" s="27" t="str">
        <x:v>Blend itself is not yet holdout-validated.</x:v>
      </x:c>
      <x:c r="K13" s="27"/>
      <x:c r="L13" s="27"/>
      <x:c r="M13" s="27"/>
      <x:c r="N13" s="27"/>
      <x:c r="O13" s="27"/>
      <x:c r="P13" s="27"/>
      <x:c r="Q13" s="27"/>
      <x:c r="R13" s="27"/>
      <x:c r="S13" s="27"/>
      <x:c r="T13" s="27"/>
      <x:c r="U13" s="27"/>
      <x:c r="V13" s="27"/>
      <x:c r="W13" s="27"/>
      <x:c r="X13" s="27"/>
      <x:c r="Y13" s="27"/>
      <x:c r="Z13" s="27"/>
      <x:c r="AA13" s="27"/>
      <x:c r="AB13" s="27"/>
      <x:c r="AC13" s="27"/>
      <x:c r="AD13" s="27"/>
      <x:c r="AE13" s="27"/>
      <x:c r="AF13" s="27"/>
      <x:c r="AG13" s="27"/>
      <x:c r="AH13" s="27"/>
      <x:c r="AI13" s="27"/>
      <x:c r="AJ13" s="27"/>
      <x:c r="AK13" s="27"/>
      <x:c r="AL13" s="27"/>
      <x:c r="AM13" s="27"/>
      <x:c r="AN13" s="27"/>
      <x:c r="AO13" s="27"/>
      <x:c r="AP13" s="27"/>
      <x:c r="AQ13" s="27"/>
      <x:c r="AR13" s="27"/>
      <x:c r="AS13" s="27"/>
      <x:c r="AT13" s="27"/>
      <x:c r="AU13" s="27"/>
      <x:c r="AV13" s="27"/>
      <x:c r="AW13" s="27"/>
      <x:c r="AX13" s="27"/>
      <x:c r="AY13" s="27"/>
      <x:c r="AZ13" s="27"/>
    </x:row>
    <x:row r="14">
      <x:c r="A14" s="27" t="str">
        <x:v>TE-F-008</x:v>
      </x:c>
      <x:c r="B14" s="27" t="str">
        <x:v>TE Big 3 / front stats</x:v>
      </x:c>
      <x:c r="C14" s="27" t="str">
        <x:v>Simple front-five total is inferior to archetype-weighted scoring.</x:v>
      </x:c>
      <x:c r="D14" s="27" t="str">
        <x:v>Candidate rejected as universal formula</x:v>
      </x:c>
      <x:c r="E14" s="27" t="str">
        <x:v>High</x:v>
      </x:c>
      <x:c r="F14" s="27" t="str">
        <x:v>Front-five: Gritty 14/15; VT 5/7; Physical 28/39 versus weighted candidates 15/15, 7/7, 39/39</x:v>
      </x:c>
      <x:c r="G14" s="27" t="str"/>
      <x:c r="H14" s="27" t="str">
        <x:v>TE-model-v1.1</x:v>
      </x:c>
      <x:c r="I14" s="27" t="str">
        <x:v>2026-08-01</x:v>
      </x:c>
      <x:c r="J14" s="27" t="str">
        <x:v>Front-card stats remain useful descriptive features, but not a universal OVR formula.</x:v>
      </x:c>
      <x:c r="K14" s="27"/>
      <x:c r="L14" s="27"/>
      <x:c r="M14" s="27"/>
      <x:c r="N14" s="27"/>
      <x:c r="O14" s="27"/>
      <x:c r="P14" s="27"/>
      <x:c r="Q14" s="27"/>
      <x:c r="R14" s="27"/>
      <x:c r="S14" s="27"/>
      <x:c r="T14" s="27"/>
      <x:c r="U14" s="27"/>
      <x:c r="V14" s="27"/>
      <x:c r="W14" s="27"/>
      <x:c r="X14" s="27"/>
      <x:c r="Y14" s="27"/>
      <x:c r="Z14" s="27"/>
      <x:c r="AA14" s="27"/>
      <x:c r="AB14" s="27"/>
      <x:c r="AC14" s="27"/>
      <x:c r="AD14" s="27"/>
      <x:c r="AE14" s="27"/>
      <x:c r="AF14" s="27"/>
      <x:c r="AG14" s="27"/>
      <x:c r="AH14" s="27"/>
      <x:c r="AI14" s="27"/>
      <x:c r="AJ14" s="27"/>
      <x:c r="AK14" s="27"/>
      <x:c r="AL14" s="27"/>
      <x:c r="AM14" s="27"/>
      <x:c r="AN14" s="27"/>
      <x:c r="AO14" s="27"/>
      <x:c r="AP14" s="27"/>
      <x:c r="AQ14" s="27"/>
      <x:c r="AR14" s="27"/>
      <x:c r="AS14" s="27"/>
      <x:c r="AT14" s="27"/>
      <x:c r="AU14" s="27"/>
      <x:c r="AV14" s="27"/>
      <x:c r="AW14" s="27"/>
      <x:c r="AX14" s="27"/>
      <x:c r="AY14" s="27"/>
      <x:c r="AZ14" s="27"/>
    </x:row>
    <x:row r="15">
      <x:c r="A15" s="27" t="str">
        <x:v>TE-F-009</x:v>
      </x:c>
      <x:c r="B15" s="27" t="str">
        <x:v>TE threshold</x:v>
      </x:c>
      <x:c r="C15" s="27" t="str">
        <x:v>Gritty candidate-score threshold intervals: 83→84 lies between 80.010 and 80.180; 84→85 lies between 80.960 and 81.630.</x:v>
      </x:c>
      <x:c r="D15" s="27" t="str">
        <x:v>Observed interval</x:v>
      </x:c>
      <x:c r="E15" s="27" t="str">
        <x:v>High</x:v>
      </x:c>
      <x:c r="F15" s="27" t="str">
        <x:v>All structured Gritty cards</x:v>
      </x:c>
      <x:c r="G15" s="27" t="str"/>
      <x:c r="H15" s="27" t="str">
        <x:v>TE-MODEL-001</x:v>
      </x:c>
      <x:c r="I15" s="27" t="str">
        <x:v>2026-08-01</x:v>
      </x:c>
      <x:c r="J15" s="27" t="str">
        <x:v>Intervals, not exact cut points.</x:v>
      </x:c>
      <x:c r="K15" s="27"/>
      <x:c r="L15" s="27"/>
      <x:c r="M15" s="27"/>
      <x:c r="N15" s="27"/>
      <x:c r="O15" s="27"/>
      <x:c r="P15" s="27"/>
      <x:c r="Q15" s="27"/>
      <x:c r="R15" s="27"/>
      <x:c r="S15" s="27"/>
      <x:c r="T15" s="27"/>
      <x:c r="U15" s="27"/>
      <x:c r="V15" s="27"/>
      <x:c r="W15" s="27"/>
      <x:c r="X15" s="27"/>
      <x:c r="Y15" s="27"/>
      <x:c r="Z15" s="27"/>
      <x:c r="AA15" s="27"/>
      <x:c r="AB15" s="27"/>
      <x:c r="AC15" s="27"/>
      <x:c r="AD15" s="27"/>
      <x:c r="AE15" s="27"/>
      <x:c r="AF15" s="27"/>
      <x:c r="AG15" s="27"/>
      <x:c r="AH15" s="27"/>
      <x:c r="AI15" s="27"/>
      <x:c r="AJ15" s="27"/>
      <x:c r="AK15" s="27"/>
      <x:c r="AL15" s="27"/>
      <x:c r="AM15" s="27"/>
      <x:c r="AN15" s="27"/>
      <x:c r="AO15" s="27"/>
      <x:c r="AP15" s="27"/>
      <x:c r="AQ15" s="27"/>
      <x:c r="AR15" s="27"/>
      <x:c r="AS15" s="27"/>
      <x:c r="AT15" s="27"/>
      <x:c r="AU15" s="27"/>
      <x:c r="AV15" s="27"/>
      <x:c r="AW15" s="27"/>
      <x:c r="AX15" s="27"/>
      <x:c r="AY15" s="27"/>
      <x:c r="AZ15" s="27"/>
    </x:row>
    <x:row r="16">
      <x:c r="A16" s="27" t="str">
        <x:v>TE-F-010</x:v>
      </x:c>
      <x:c r="B16" s="27" t="str">
        <x:v>TE threshold</x:v>
      </x:c>
      <x:c r="C16" s="27" t="str">
        <x:v>Vertical Threat candidate-score threshold intervals: 83→84 lies between 78.837 and 79.582; 84→85 lies between 79.918 and 80.643.</x:v>
      </x:c>
      <x:c r="D16" s="27" t="str">
        <x:v>Observed interval</x:v>
      </x:c>
      <x:c r="E16" s="27" t="str">
        <x:v>High</x:v>
      </x:c>
      <x:c r="F16" s="27" t="str">
        <x:v>All structured VT cards</x:v>
      </x:c>
      <x:c r="G16" s="27" t="str"/>
      <x:c r="H16" s="27" t="str">
        <x:v>TE-MODEL-002</x:v>
      </x:c>
      <x:c r="I16" s="27" t="str">
        <x:v>2026-08-01</x:v>
      </x:c>
      <x:c r="J16" s="27" t="str">
        <x:v>Intervals, not exact cut points.</x:v>
      </x:c>
      <x:c r="K16" s="27"/>
      <x:c r="L16" s="27"/>
      <x:c r="M16" s="27"/>
      <x:c r="N16" s="27"/>
      <x:c r="O16" s="27"/>
      <x:c r="P16" s="27"/>
      <x:c r="Q16" s="27"/>
      <x:c r="R16" s="27"/>
      <x:c r="S16" s="27"/>
      <x:c r="T16" s="27"/>
      <x:c r="U16" s="27"/>
      <x:c r="V16" s="27"/>
      <x:c r="W16" s="27"/>
      <x:c r="X16" s="27"/>
      <x:c r="Y16" s="27"/>
      <x:c r="Z16" s="27"/>
      <x:c r="AA16" s="27"/>
      <x:c r="AB16" s="27"/>
      <x:c r="AC16" s="27"/>
      <x:c r="AD16" s="27"/>
      <x:c r="AE16" s="27"/>
      <x:c r="AF16" s="27"/>
      <x:c r="AG16" s="27"/>
      <x:c r="AH16" s="27"/>
      <x:c r="AI16" s="27"/>
      <x:c r="AJ16" s="27"/>
      <x:c r="AK16" s="27"/>
      <x:c r="AL16" s="27"/>
      <x:c r="AM16" s="27"/>
      <x:c r="AN16" s="27"/>
      <x:c r="AO16" s="27"/>
      <x:c r="AP16" s="27"/>
      <x:c r="AQ16" s="27"/>
      <x:c r="AR16" s="27"/>
      <x:c r="AS16" s="27"/>
      <x:c r="AT16" s="27"/>
      <x:c r="AU16" s="27"/>
      <x:c r="AV16" s="27"/>
      <x:c r="AW16" s="27"/>
      <x:c r="AX16" s="27"/>
      <x:c r="AY16" s="27"/>
      <x:c r="AZ16" s="27"/>
    </x:row>
    <x:row r="17">
      <x:c r="A17" s="27" t="str">
        <x:v>TE-F-011</x:v>
      </x:c>
      <x:c r="B17" s="27" t="str">
        <x:v>TE threshold</x:v>
      </x:c>
      <x:c r="C17" s="27" t="str">
        <x:v>Physical Route Runner blend-score intervals: 83→84 lies between 79.345 and 80.028; 84→85 lies between 80.609 and 80.852.</x:v>
      </x:c>
      <x:c r="D17" s="27" t="str">
        <x:v>Observed interval</x:v>
      </x:c>
      <x:c r="E17" s="27" t="str">
        <x:v>Medium</x:v>
      </x:c>
      <x:c r="F17" s="27" t="str">
        <x:v>All structured Physical Route Runner cards</x:v>
      </x:c>
      <x:c r="G17" s="27" t="str"/>
      <x:c r="H17" s="27" t="str">
        <x:v>TE-MODEL-003</x:v>
      </x:c>
      <x:c r="I17" s="27" t="str">
        <x:v>2026-08-01</x:v>
      </x:c>
      <x:c r="J17" s="27" t="str">
        <x:v>Fitted blend; requires independent validation.</x:v>
      </x:c>
      <x:c r="K17" s="27"/>
      <x:c r="L17" s="27"/>
      <x:c r="M17" s="27"/>
      <x:c r="N17" s="27"/>
      <x:c r="O17" s="27"/>
      <x:c r="P17" s="27"/>
      <x:c r="Q17" s="27"/>
      <x:c r="R17" s="27"/>
      <x:c r="S17" s="27"/>
      <x:c r="T17" s="27"/>
      <x:c r="U17" s="27"/>
      <x:c r="V17" s="27"/>
      <x:c r="W17" s="27"/>
      <x:c r="X17" s="27"/>
      <x:c r="Y17" s="27"/>
      <x:c r="Z17" s="27"/>
      <x:c r="AA17" s="27"/>
      <x:c r="AB17" s="27"/>
      <x:c r="AC17" s="27"/>
      <x:c r="AD17" s="27"/>
      <x:c r="AE17" s="27"/>
      <x:c r="AF17" s="27"/>
      <x:c r="AG17" s="27"/>
      <x:c r="AH17" s="27"/>
      <x:c r="AI17" s="27"/>
      <x:c r="AJ17" s="27"/>
      <x:c r="AK17" s="27"/>
      <x:c r="AL17" s="27"/>
      <x:c r="AM17" s="27"/>
      <x:c r="AN17" s="27"/>
      <x:c r="AO17" s="27"/>
      <x:c r="AP17" s="27"/>
      <x:c r="AQ17" s="27"/>
      <x:c r="AR17" s="27"/>
      <x:c r="AS17" s="27"/>
      <x:c r="AT17" s="27"/>
      <x:c r="AU17" s="27"/>
      <x:c r="AV17" s="27"/>
      <x:c r="AW17" s="27"/>
      <x:c r="AX17" s="27"/>
      <x:c r="AY17" s="27"/>
      <x:c r="AZ17" s="27"/>
    </x:row>
    <x:row r="18">
      <x:c r="A18" s="27" t="str">
        <x:v>TE-F-012</x:v>
      </x:c>
      <x:c r="B18" s="27" t="str">
        <x:v>TE blind validation</x:v>
      </x:c>
      <x:c r="C18" s="27" t="str">
        <x:v>Frozen v1.1 Physical Route Runner blend achieved 304/304 correct blind cross-OVR pair orderings using unique rating profiles.</x:v>
      </x:c>
      <x:c r="D18" s="27" t="str">
        <x:v>Holdout validated</x:v>
      </x:c>
      <x:c r="E18" s="27" t="str">
        <x:v>High</x:v>
      </x:c>
      <x:c r="F18" s="27" t="str">
        <x:v>44-card pages25-69 holdout; 21 PRR cards / 19 unique profiles</x:v>
      </x:c>
      <x:c r="G18" s="27" t="str"/>
      <x:c r="H18" s="27" t="str">
        <x:v>TE-MODEL-003</x:v>
      </x:c>
      <x:c r="I18" s="27" t="str">
        <x:v>2026-08-01</x:v>
      </x:c>
      <x:c r="J18" s="27" t="str">
        <x:v>This is genuine holdout validation because the 71/29 blend was frozen before pages25-69 were extracted.</x:v>
      </x:c>
      <x:c r="K18" s="27"/>
      <x:c r="L18" s="27"/>
      <x:c r="M18" s="27"/>
      <x:c r="N18" s="27"/>
      <x:c r="O18" s="27"/>
      <x:c r="P18" s="27"/>
      <x:c r="Q18" s="27"/>
      <x:c r="R18" s="27"/>
      <x:c r="S18" s="27"/>
      <x:c r="T18" s="27"/>
      <x:c r="U18" s="27"/>
      <x:c r="V18" s="27"/>
      <x:c r="W18" s="27"/>
      <x:c r="X18" s="27"/>
      <x:c r="Y18" s="27"/>
      <x:c r="Z18" s="27"/>
      <x:c r="AA18" s="27"/>
      <x:c r="AB18" s="27"/>
      <x:c r="AC18" s="27"/>
      <x:c r="AD18" s="27"/>
      <x:c r="AE18" s="27"/>
      <x:c r="AF18" s="27"/>
      <x:c r="AG18" s="27"/>
      <x:c r="AH18" s="27"/>
      <x:c r="AI18" s="27"/>
      <x:c r="AJ18" s="27"/>
      <x:c r="AK18" s="27"/>
      <x:c r="AL18" s="27"/>
      <x:c r="AM18" s="27"/>
      <x:c r="AN18" s="27"/>
      <x:c r="AO18" s="27"/>
      <x:c r="AP18" s="27"/>
      <x:c r="AQ18" s="27"/>
      <x:c r="AR18" s="27"/>
      <x:c r="AS18" s="27"/>
      <x:c r="AT18" s="27"/>
      <x:c r="AU18" s="27"/>
      <x:c r="AV18" s="27"/>
      <x:c r="AW18" s="27"/>
      <x:c r="AX18" s="27"/>
      <x:c r="AY18" s="27"/>
      <x:c r="AZ18" s="27"/>
    </x:row>
    <x:row r="19">
      <x:c r="A19" s="27" t="str">
        <x:v>TE-F-013</x:v>
      </x:c>
      <x:c r="B19" s="27" t="str">
        <x:v>TE blind validation</x:v>
      </x:c>
      <x:c r="C19" s="27" t="str">
        <x:v>Frozen v1.1 Gritty Possession model achieved 82/83 blind cross-OVR pairs (98.8%), with one 0.030-score inversion.</x:v>
      </x:c>
      <x:c r="D19" s="27" t="str">
        <x:v>Holdout validated with exception</x:v>
      </x:c>
      <x:c r="E19" s="27" t="str">
        <x:v>High</x:v>
      </x:c>
      <x:c r="F19" s="27" t="str">
        <x:v>9 new Gritty cards; one inversion Jalen Hoffman 81 vs Christian Bentancur 80</x:v>
      </x:c>
      <x:c r="G19" s="27" t="str"/>
      <x:c r="H19" s="27" t="str">
        <x:v>TE-MODEL-001</x:v>
      </x:c>
      <x:c r="I19" s="27" t="str">
        <x:v>2026-08-01</x:v>
      </x:c>
      <x:c r="J19" s="27" t="str">
        <x:v>Strong evidence Madden19 Possession architecture is close, but not exact enough to call solved.</x:v>
      </x:c>
      <x:c r="K19" s="27"/>
      <x:c r="L19" s="27"/>
      <x:c r="M19" s="27"/>
      <x:c r="N19" s="27"/>
      <x:c r="O19" s="27"/>
      <x:c r="P19" s="27"/>
      <x:c r="Q19" s="27"/>
      <x:c r="R19" s="27"/>
      <x:c r="S19" s="27"/>
      <x:c r="T19" s="27"/>
      <x:c r="U19" s="27"/>
      <x:c r="V19" s="27"/>
      <x:c r="W19" s="27"/>
      <x:c r="X19" s="27"/>
      <x:c r="Y19" s="27"/>
      <x:c r="Z19" s="27"/>
      <x:c r="AA19" s="27"/>
      <x:c r="AB19" s="27"/>
      <x:c r="AC19" s="27"/>
      <x:c r="AD19" s="27"/>
      <x:c r="AE19" s="27"/>
      <x:c r="AF19" s="27"/>
      <x:c r="AG19" s="27"/>
      <x:c r="AH19" s="27"/>
      <x:c r="AI19" s="27"/>
      <x:c r="AJ19" s="27"/>
      <x:c r="AK19" s="27"/>
      <x:c r="AL19" s="27"/>
      <x:c r="AM19" s="27"/>
      <x:c r="AN19" s="27"/>
      <x:c r="AO19" s="27"/>
      <x:c r="AP19" s="27"/>
      <x:c r="AQ19" s="27"/>
      <x:c r="AR19" s="27"/>
      <x:c r="AS19" s="27"/>
      <x:c r="AT19" s="27"/>
      <x:c r="AU19" s="27"/>
      <x:c r="AV19" s="27"/>
      <x:c r="AW19" s="27"/>
      <x:c r="AX19" s="27"/>
      <x:c r="AY19" s="27"/>
      <x:c r="AZ19" s="27"/>
    </x:row>
    <x:row r="20">
      <x:c r="A20" s="27" t="str">
        <x:v>TE-F-014</x:v>
      </x:c>
      <x:c r="B20" s="27" t="str">
        <x:v>TE blind validation</x:v>
      </x:c>
      <x:c r="C20" s="27" t="str">
        <x:v>Frozen v1.1 Vertical Threat model achieved 124/133 blind cross-OVR pairs (93.2%) and failed 9 pair comparisons.</x:v>
      </x:c>
      <x:c r="D20" s="27" t="str">
        <x:v>Candidate partially falsified</x:v>
      </x:c>
      <x:c r="E20" s="27" t="str">
        <x:v>Medium-High</x:v>
      </x:c>
      <x:c r="F20" s="27" t="str">
        <x:v>14 new VT cards; failures concentrated around Jelani Thurman 81 and Mason Mini 81</x:v>
      </x:c>
      <x:c r="G20" s="27" t="str"/>
      <x:c r="H20" s="27" t="str">
        <x:v>TE-MODEL-002</x:v>
      </x:c>
      <x:c r="I20" s="27" t="str">
        <x:v>2026-08-01</x:v>
      </x:c>
      <x:c r="J20" s="27" t="str">
        <x:v>The Madden19 VT prior is predictive but is not the exact CFB27 VT formula.</x:v>
      </x:c>
      <x:c r="K20" s="27"/>
      <x:c r="L20" s="27"/>
      <x:c r="M20" s="27"/>
      <x:c r="N20" s="27"/>
      <x:c r="O20" s="27"/>
      <x:c r="P20" s="27"/>
      <x:c r="Q20" s="27"/>
      <x:c r="R20" s="27"/>
      <x:c r="S20" s="27"/>
      <x:c r="T20" s="27"/>
      <x:c r="U20" s="27"/>
      <x:c r="V20" s="27"/>
      <x:c r="W20" s="27"/>
      <x:c r="X20" s="27"/>
      <x:c r="Y20" s="27"/>
      <x:c r="Z20" s="27"/>
      <x:c r="AA20" s="27"/>
      <x:c r="AB20" s="27"/>
      <x:c r="AC20" s="27"/>
      <x:c r="AD20" s="27"/>
      <x:c r="AE20" s="27"/>
      <x:c r="AF20" s="27"/>
      <x:c r="AG20" s="27"/>
      <x:c r="AH20" s="27"/>
      <x:c r="AI20" s="27"/>
      <x:c r="AJ20" s="27"/>
      <x:c r="AK20" s="27"/>
      <x:c r="AL20" s="27"/>
      <x:c r="AM20" s="27"/>
      <x:c r="AN20" s="27"/>
      <x:c r="AO20" s="27"/>
      <x:c r="AP20" s="27"/>
      <x:c r="AQ20" s="27"/>
      <x:c r="AR20" s="27"/>
      <x:c r="AS20" s="27"/>
      <x:c r="AT20" s="27"/>
      <x:c r="AU20" s="27"/>
      <x:c r="AV20" s="27"/>
      <x:c r="AW20" s="27"/>
      <x:c r="AX20" s="27"/>
      <x:c r="AY20" s="27"/>
      <x:c r="AZ20" s="27"/>
    </x:row>
    <x:row r="21">
      <x:c r="A21" s="27" t="str">
        <x:v>TE-F-015</x:v>
      </x:c>
      <x:c r="B21" s="27" t="str">
        <x:v>TE failure diagnostic</x:v>
      </x:c>
      <x:c r="C21" s="27" t="str">
        <x:v>Six of nine VT blind-test failures involve 81 OVR Jelani Thurman, whose blocking ratings are exceptionally strong for a Vertical Threat card.</x:v>
      </x:c>
      <x:c r="D21" s="27" t="str">
        <x:v>Working hypothesis</x:v>
      </x:c>
      <x:c r="E21" s="27" t="str">
        <x:v>Medium</x:v>
      </x:c>
      <x:c r="F21" s="27" t="str">
        <x:v>Jelani Thurman page44; failure-pair table in TE_Blind_Test_v1.1</x:v>
      </x:c>
      <x:c r="G21" s="27" t="str"/>
      <x:c r="H21" s="27" t="str">
        <x:v>TE-MODEL-002</x:v>
      </x:c>
      <x:c r="I21" s="27" t="str">
        <x:v>2026-08-01</x:v>
      </x:c>
      <x:c r="J21" s="27" t="str">
        <x:v>Suggests CFB27 VT OVR may credit blocking/general attributes more than Madden19 VT weights, or may use broader position scoring.</x:v>
      </x:c>
      <x:c r="K21" s="27"/>
      <x:c r="L21" s="27"/>
      <x:c r="M21" s="27"/>
      <x:c r="N21" s="27"/>
      <x:c r="O21" s="27"/>
      <x:c r="P21" s="27"/>
      <x:c r="Q21" s="27"/>
      <x:c r="R21" s="27"/>
      <x:c r="S21" s="27"/>
      <x:c r="T21" s="27"/>
      <x:c r="U21" s="27"/>
      <x:c r="V21" s="27"/>
      <x:c r="W21" s="27"/>
      <x:c r="X21" s="27"/>
      <x:c r="Y21" s="27"/>
      <x:c r="Z21" s="27"/>
      <x:c r="AA21" s="27"/>
      <x:c r="AB21" s="27"/>
      <x:c r="AC21" s="27"/>
      <x:c r="AD21" s="27"/>
      <x:c r="AE21" s="27"/>
      <x:c r="AF21" s="27"/>
      <x:c r="AG21" s="27"/>
      <x:c r="AH21" s="27"/>
      <x:c r="AI21" s="27"/>
      <x:c r="AJ21" s="27"/>
      <x:c r="AK21" s="27"/>
      <x:c r="AL21" s="27"/>
      <x:c r="AM21" s="27"/>
      <x:c r="AN21" s="27"/>
      <x:c r="AO21" s="27"/>
      <x:c r="AP21" s="27"/>
      <x:c r="AQ21" s="27"/>
      <x:c r="AR21" s="27"/>
      <x:c r="AS21" s="27"/>
      <x:c r="AT21" s="27"/>
      <x:c r="AU21" s="27"/>
      <x:c r="AV21" s="27"/>
      <x:c r="AW21" s="27"/>
      <x:c r="AX21" s="27"/>
      <x:c r="AY21" s="27"/>
      <x:c r="AZ21" s="27"/>
    </x:row>
    <x:row r="22">
      <x:c r="A22" s="27" t="str">
        <x:v>TE-F-016</x:v>
      </x:c>
      <x:c r="B22" s="27" t="str">
        <x:v>TE dataset</x:v>
      </x:c>
      <x:c r="C22" s="27" t="str">
        <x:v>TE pages25-69 yielded 44 unique real card records; page62 was an exact duplicate screenshot of page61 and was not double-counted.</x:v>
      </x:c>
      <x:c r="D22" s="27" t="str">
        <x:v>Observed</x:v>
      </x:c>
      <x:c r="E22" s="27" t="str">
        <x:v>Confirmed</x:v>
      </x:c>
      <x:c r="F22" s="27" t="str">
        <x:v>SRC-TE-002</x:v>
      </x:c>
      <x:c r="G22" s="27" t="str"/>
      <x:c r="H22" s="27" t="str">
        <x:v>Database v1.2</x:v>
      </x:c>
      <x:c r="I22" s="27" t="str">
        <x:v>2026-08-01</x:v>
      </x:c>
      <x:c r="J22" s="27" t="str">
        <x:v>Canonical TE_Cards now contains 68 specific card/version records.</x:v>
      </x:c>
      <x:c r="K22" s="27"/>
      <x:c r="L22" s="27"/>
      <x:c r="M22" s="27"/>
      <x:c r="N22" s="27"/>
      <x:c r="O22" s="27"/>
      <x:c r="P22" s="27"/>
      <x:c r="Q22" s="27"/>
      <x:c r="R22" s="27"/>
      <x:c r="S22" s="27"/>
      <x:c r="T22" s="27"/>
      <x:c r="U22" s="27"/>
      <x:c r="V22" s="27"/>
      <x:c r="W22" s="27"/>
      <x:c r="X22" s="27"/>
      <x:c r="Y22" s="27"/>
      <x:c r="Z22" s="27"/>
      <x:c r="AA22" s="27"/>
      <x:c r="AB22" s="27"/>
      <x:c r="AC22" s="27"/>
      <x:c r="AD22" s="27"/>
      <x:c r="AE22" s="27"/>
      <x:c r="AF22" s="27"/>
      <x:c r="AG22" s="27"/>
      <x:c r="AH22" s="27"/>
      <x:c r="AI22" s="27"/>
      <x:c r="AJ22" s="27"/>
      <x:c r="AK22" s="27"/>
      <x:c r="AL22" s="27"/>
      <x:c r="AM22" s="27"/>
      <x:c r="AN22" s="27"/>
      <x:c r="AO22" s="27"/>
      <x:c r="AP22" s="27"/>
      <x:c r="AQ22" s="27"/>
      <x:c r="AR22" s="27"/>
      <x:c r="AS22" s="27"/>
      <x:c r="AT22" s="27"/>
      <x:c r="AU22" s="27"/>
      <x:c r="AV22" s="27"/>
      <x:c r="AW22" s="27"/>
      <x:c r="AX22" s="27"/>
      <x:c r="AY22" s="27"/>
      <x:c r="AZ22" s="27"/>
    </x:row>
    <x:row r="23">
      <x:c r="A23" s="27" t="str">
        <x:v>TE-F-017</x:v>
      </x:c>
      <x:c r="B23" s="27" t="str">
        <x:v>TE Vertical Threat architecture</x:v>
      </x:c>
      <x:c r="C23" s="27" t="str">
        <x:v>The nine v1.1 failures separate into low-CIT overvaluation and blocking-undervaluation failure families.</x:v>
      </x:c>
      <x:c r="D23" s="27" t="str">
        <x:v>Working conclusion</x:v>
      </x:c>
      <x:c r="E23" s="27" t="str">
        <x:v>High</x:v>
      </x:c>
      <x:c r="F23" s="27" t="str">
        <x:v>Nine frozen v1.1 failure pairs</x:v>
      </x:c>
      <x:c r="G23" s="27" t="str"/>
      <x:c r="H23" s="27" t="str">
        <x:v>TE-MODEL-005</x:v>
      </x:c>
      <x:c r="I23" s="27" t="str">
        <x:v>2026-08-01</x:v>
      </x:c>
      <x:c r="J23" s="27" t="str">
        <x:v>Mason/Jaleel identify CIT; Jelani identifies blocking-value omission.</x:v>
      </x:c>
      <x:c r="K23" s="27"/>
      <x:c r="L23" s="27"/>
      <x:c r="M23" s="27"/>
      <x:c r="N23" s="27"/>
      <x:c r="O23" s="27"/>
      <x:c r="P23" s="27"/>
      <x:c r="Q23" s="27"/>
      <x:c r="R23" s="27"/>
      <x:c r="S23" s="27"/>
      <x:c r="T23" s="27"/>
      <x:c r="U23" s="27"/>
      <x:c r="V23" s="27"/>
      <x:c r="W23" s="27"/>
      <x:c r="X23" s="27"/>
      <x:c r="Y23" s="27"/>
      <x:c r="Z23" s="27"/>
      <x:c r="AA23" s="27"/>
      <x:c r="AB23" s="27"/>
      <x:c r="AC23" s="27"/>
      <x:c r="AD23" s="27"/>
      <x:c r="AE23" s="27"/>
      <x:c r="AF23" s="27"/>
      <x:c r="AG23" s="27"/>
      <x:c r="AH23" s="27"/>
      <x:c r="AI23" s="27"/>
      <x:c r="AJ23" s="27"/>
      <x:c r="AK23" s="27"/>
      <x:c r="AL23" s="27"/>
      <x:c r="AM23" s="27"/>
      <x:c r="AN23" s="27"/>
      <x:c r="AO23" s="27"/>
      <x:c r="AP23" s="27"/>
      <x:c r="AQ23" s="27"/>
      <x:c r="AR23" s="27"/>
      <x:c r="AS23" s="27"/>
      <x:c r="AT23" s="27"/>
      <x:c r="AU23" s="27"/>
      <x:c r="AV23" s="27"/>
      <x:c r="AW23" s="27"/>
      <x:c r="AX23" s="27"/>
      <x:c r="AY23" s="27"/>
      <x:c r="AZ23" s="27"/>
    </x:row>
    <x:row r="24">
      <x:c r="A24" s="27" t="str">
        <x:v>TE-F-018</x:v>
      </x:c>
      <x:c r="B24" s="27" t="str">
        <x:v>TE Vertical Threat v1.2</x:v>
      </x:c>
      <x:c r="C24" s="27" t="str">
        <x:v>Research-only candidate v1.2 adds 0.400×(CIT−75) and 0.400×(BlockingScore−75) to v1.1 and repairs 9/9 research failures.</x:v>
      </x:c>
      <x:c r="D24" s="27" t="str">
        <x:v>Research fit</x:v>
      </x:c>
      <x:c r="E24" s="27" t="str">
        <x:v>High on research set</x:v>
      </x:c>
      <x:c r="F24" s="27" t="str">
        <x:v>Nine failure pairs only</x:v>
      </x:c>
      <x:c r="G24" s="27" t="str"/>
      <x:c r="H24" s="27" t="str">
        <x:v>TE-MODEL-005</x:v>
      </x:c>
      <x:c r="I24" s="27" t="str">
        <x:v>2026-08-01</x:v>
      </x:c>
      <x:c r="J24" s="27" t="str">
        <x:v>Candidate selected without validation data.</x:v>
      </x:c>
      <x:c r="K24" s="27"/>
      <x:c r="L24" s="27"/>
      <x:c r="M24" s="27"/>
      <x:c r="N24" s="27"/>
      <x:c r="O24" s="27"/>
      <x:c r="P24" s="27"/>
      <x:c r="Q24" s="27"/>
      <x:c r="R24" s="27"/>
      <x:c r="S24" s="27"/>
      <x:c r="T24" s="27"/>
      <x:c r="U24" s="27"/>
      <x:c r="V24" s="27"/>
      <x:c r="W24" s="27"/>
      <x:c r="X24" s="27"/>
      <x:c r="Y24" s="27"/>
      <x:c r="Z24" s="27"/>
      <x:c r="AA24" s="27"/>
      <x:c r="AB24" s="27"/>
      <x:c r="AC24" s="27"/>
      <x:c r="AD24" s="27"/>
      <x:c r="AE24" s="27"/>
      <x:c r="AF24" s="27"/>
      <x:c r="AG24" s="27"/>
      <x:c r="AH24" s="27"/>
      <x:c r="AI24" s="27"/>
      <x:c r="AJ24" s="27"/>
      <x:c r="AK24" s="27"/>
      <x:c r="AL24" s="27"/>
      <x:c r="AM24" s="27"/>
      <x:c r="AN24" s="27"/>
      <x:c r="AO24" s="27"/>
      <x:c r="AP24" s="27"/>
      <x:c r="AQ24" s="27"/>
      <x:c r="AR24" s="27"/>
      <x:c r="AS24" s="27"/>
      <x:c r="AT24" s="27"/>
      <x:c r="AU24" s="27"/>
      <x:c r="AV24" s="27"/>
      <x:c r="AW24" s="27"/>
      <x:c r="AX24" s="27"/>
      <x:c r="AY24" s="27"/>
      <x:c r="AZ24" s="27"/>
    </x:row>
    <x:row r="25">
      <x:c r="A25" s="27" t="str">
        <x:v>TE-F-019</x:v>
      </x:c>
      <x:c r="B25" s="27" t="str">
        <x:v>TE Vertical Threat validation</x:v>
      </x:c>
      <x:c r="C25" s="27" t="str">
        <x:v>Independent player-disjoint validation fell from v1.1 17/17 to v1.2 13/17; v1.2 is rejected as the replacement predictive model.</x:v>
      </x:c>
      <x:c r="D25" s="27" t="str">
        <x:v>Validated rejection</x:v>
      </x:c>
      <x:c r="E25" s="27" t="str">
        <x:v>High</x:v>
      </x:c>
      <x:c r="F25" s="27" t="str">
        <x:v>Validation players absent from failure research set</x:v>
      </x:c>
      <x:c r="G25" s="27" t="str"/>
      <x:c r="H25" s="27" t="str">
        <x:v>TE-MODEL-005</x:v>
      </x:c>
      <x:c r="I25" s="27" t="str">
        <x:v>2026-08-01</x:v>
      </x:c>
      <x:c r="J25" s="27" t="str">
        <x:v>Do not overwrite v1.1 with v1.2.</x:v>
      </x:c>
      <x:c r="K25" s="27"/>
      <x:c r="L25" s="27"/>
      <x:c r="M25" s="27"/>
      <x:c r="N25" s="27"/>
      <x:c r="O25" s="27"/>
      <x:c r="P25" s="27"/>
      <x:c r="Q25" s="27"/>
      <x:c r="R25" s="27"/>
      <x:c r="S25" s="27"/>
      <x:c r="T25" s="27"/>
      <x:c r="U25" s="27"/>
      <x:c r="V25" s="27"/>
      <x:c r="W25" s="27"/>
      <x:c r="X25" s="27"/>
      <x:c r="Y25" s="27"/>
      <x:c r="Z25" s="27"/>
      <x:c r="AA25" s="27"/>
      <x:c r="AB25" s="27"/>
      <x:c r="AC25" s="27"/>
      <x:c r="AD25" s="27"/>
      <x:c r="AE25" s="27"/>
      <x:c r="AF25" s="27"/>
      <x:c r="AG25" s="27"/>
      <x:c r="AH25" s="27"/>
      <x:c r="AI25" s="27"/>
      <x:c r="AJ25" s="27"/>
      <x:c r="AK25" s="27"/>
      <x:c r="AL25" s="27"/>
      <x:c r="AM25" s="27"/>
      <x:c r="AN25" s="27"/>
      <x:c r="AO25" s="27"/>
      <x:c r="AP25" s="27"/>
      <x:c r="AQ25" s="27"/>
      <x:c r="AR25" s="27"/>
      <x:c r="AS25" s="27"/>
      <x:c r="AT25" s="27"/>
      <x:c r="AU25" s="27"/>
      <x:c r="AV25" s="27"/>
      <x:c r="AW25" s="27"/>
      <x:c r="AX25" s="27"/>
      <x:c r="AY25" s="27"/>
      <x:c r="AZ25" s="27"/>
    </x:row>
    <x:row r="26">
      <x:c r="A26" s="27" t="str">
        <x:v>TE-F-020</x:v>
      </x:c>
      <x:c r="B26" s="27" t="str">
        <x:v>TE Vertical Threat blocking</x:v>
      </x:c>
      <x:c r="C26" s="27" t="str">
        <x:v>Across all nine v1.1 failure pairs, the higher-OVR TE has both higher LBK and higher IBL.</x:v>
      </x:c>
      <x:c r="D26" s="27" t="str">
        <x:v>Observed diagnostic</x:v>
      </x:c>
      <x:c r="E26" s="27" t="str">
        <x:v>High</x:v>
      </x:c>
      <x:c r="F26" s="27" t="str">
        <x:v>Nine frozen v1.1 failures</x:v>
      </x:c>
      <x:c r="G26" s="27" t="str"/>
      <x:c r="H26" s="27" t="str">
        <x:v>TE-MODEL-006</x:v>
      </x:c>
      <x:c r="I26" s="27" t="str">
        <x:v>2026-08-01</x:v>
      </x:c>
      <x:c r="J26" s="27" t="str">
        <x:v>LBK avg higher-minus-lower +16.11; IBL +13.56. Both attributes had zero weight in historical Madden 19 VT.</x:v>
      </x:c>
      <x:c r="K26" s="27"/>
      <x:c r="L26" s="27"/>
      <x:c r="M26" s="27"/>
      <x:c r="N26" s="27"/>
      <x:c r="O26" s="27"/>
      <x:c r="P26" s="27"/>
      <x:c r="Q26" s="27"/>
      <x:c r="R26" s="27"/>
      <x:c r="S26" s="27"/>
      <x:c r="T26" s="27"/>
      <x:c r="U26" s="27"/>
      <x:c r="V26" s="27"/>
      <x:c r="W26" s="27"/>
      <x:c r="X26" s="27"/>
      <x:c r="Y26" s="27"/>
      <x:c r="Z26" s="27"/>
      <x:c r="AA26" s="27"/>
      <x:c r="AB26" s="27"/>
      <x:c r="AC26" s="27"/>
      <x:c r="AD26" s="27"/>
      <x:c r="AE26" s="27"/>
      <x:c r="AF26" s="27"/>
      <x:c r="AG26" s="27"/>
      <x:c r="AH26" s="27"/>
      <x:c r="AI26" s="27"/>
      <x:c r="AJ26" s="27"/>
      <x:c r="AK26" s="27"/>
      <x:c r="AL26" s="27"/>
      <x:c r="AM26" s="27"/>
      <x:c r="AN26" s="27"/>
      <x:c r="AO26" s="27"/>
      <x:c r="AP26" s="27"/>
      <x:c r="AQ26" s="27"/>
      <x:c r="AR26" s="27"/>
      <x:c r="AS26" s="27"/>
      <x:c r="AT26" s="27"/>
      <x:c r="AU26" s="27"/>
      <x:c r="AV26" s="27"/>
      <x:c r="AW26" s="27"/>
      <x:c r="AX26" s="27"/>
      <x:c r="AY26" s="27"/>
      <x:c r="AZ26" s="27"/>
    </x:row>
    <x:row r="27">
      <x:c r="A27" s="27" t="str">
        <x:v>TE-F-021</x:v>
      </x:c>
      <x:c r="B27" s="27" t="str">
        <x:v>TE Vertical Threat v1.3</x:v>
      </x:c>
      <x:c r="C27" s="27" t="str">
        <x:v>Minimal research-selected v1.3 adds +2 LBK and +3 IBL to the frozen Madden-style VT weights.</x:v>
      </x:c>
      <x:c r="D27" s="27" t="str">
        <x:v>Promoted predictive candidate</x:v>
      </x:c>
      <x:c r="E27" s="27" t="str">
        <x:v>High</x:v>
      </x:c>
      <x:c r="F27" s="27" t="str">
        <x:v>Research-only architecture search + untouched validation</x:v>
      </x:c>
      <x:c r="G27" s="27" t="str"/>
      <x:c r="H27" s="27" t="str">
        <x:v>TE-MODEL-006</x:v>
      </x:c>
      <x:c r="I27" s="27" t="str">
        <x:v>2026-08-01</x:v>
      </x:c>
      <x:c r="J27" s="27" t="str">
        <x:v>Fixes 7/9 historical failures without using validation data for tuning.</x:v>
      </x:c>
      <x:c r="K27" s="27"/>
      <x:c r="L27" s="27"/>
      <x:c r="M27" s="27"/>
      <x:c r="N27" s="27"/>
      <x:c r="O27" s="27"/>
      <x:c r="P27" s="27"/>
      <x:c r="Q27" s="27"/>
      <x:c r="R27" s="27"/>
      <x:c r="S27" s="27"/>
      <x:c r="T27" s="27"/>
      <x:c r="U27" s="27"/>
      <x:c r="V27" s="27"/>
      <x:c r="W27" s="27"/>
      <x:c r="X27" s="27"/>
      <x:c r="Y27" s="27"/>
      <x:c r="Z27" s="27"/>
      <x:c r="AA27" s="27"/>
      <x:c r="AB27" s="27"/>
      <x:c r="AC27" s="27"/>
      <x:c r="AD27" s="27"/>
      <x:c r="AE27" s="27"/>
      <x:c r="AF27" s="27"/>
      <x:c r="AG27" s="27"/>
      <x:c r="AH27" s="27"/>
      <x:c r="AI27" s="27"/>
      <x:c r="AJ27" s="27"/>
      <x:c r="AK27" s="27"/>
      <x:c r="AL27" s="27"/>
      <x:c r="AM27" s="27"/>
      <x:c r="AN27" s="27"/>
      <x:c r="AO27" s="27"/>
      <x:c r="AP27" s="27"/>
      <x:c r="AQ27" s="27"/>
      <x:c r="AR27" s="27"/>
      <x:c r="AS27" s="27"/>
      <x:c r="AT27" s="27"/>
      <x:c r="AU27" s="27"/>
      <x:c r="AV27" s="27"/>
      <x:c r="AW27" s="27"/>
      <x:c r="AX27" s="27"/>
      <x:c r="AY27" s="27"/>
      <x:c r="AZ27" s="27"/>
    </x:row>
    <x:row r="28">
      <x:c r="A28" s="27" t="str">
        <x:v>TE-F-022</x:v>
      </x:c>
      <x:c r="B28" s="27" t="str">
        <x:v>TE Vertical Threat validation</x:v>
      </x:c>
      <x:c r="C28" s="27" t="str">
        <x:v>v1.3 preserves player-disjoint validation at 17/17 and improves all-VT pair ordering to 138/140 (98.6%).</x:v>
      </x:c>
      <x:c r="D28" s="27" t="str">
        <x:v>Independent validation</x:v>
      </x:c>
      <x:c r="E28" s="27" t="str">
        <x:v>High</x:v>
      </x:c>
      <x:c r="F28" s="27" t="str">
        <x:v>Untouched validation subset + full VT audit</x:v>
      </x:c>
      <x:c r="G28" s="27" t="str"/>
      <x:c r="H28" s="27" t="str">
        <x:v>TE-MODEL-006</x:v>
      </x:c>
      <x:c r="I28" s="27" t="str">
        <x:v>2026-08-01</x:v>
      </x:c>
      <x:c r="J28" s="27" t="str">
        <x:v>v1.1 was 131/140; v1.2 rejected candidate 116/140.</x:v>
      </x:c>
      <x:c r="K28" s="27"/>
      <x:c r="L28" s="27"/>
      <x:c r="M28" s="27"/>
      <x:c r="N28" s="27"/>
      <x:c r="O28" s="27"/>
      <x:c r="P28" s="27"/>
      <x:c r="Q28" s="27"/>
      <x:c r="R28" s="27"/>
      <x:c r="S28" s="27"/>
      <x:c r="T28" s="27"/>
      <x:c r="U28" s="27"/>
      <x:c r="V28" s="27"/>
      <x:c r="W28" s="27"/>
      <x:c r="X28" s="27"/>
      <x:c r="Y28" s="27"/>
      <x:c r="Z28" s="27"/>
      <x:c r="AA28" s="27"/>
      <x:c r="AB28" s="27"/>
      <x:c r="AC28" s="27"/>
      <x:c r="AD28" s="27"/>
      <x:c r="AE28" s="27"/>
      <x:c r="AF28" s="27"/>
      <x:c r="AG28" s="27"/>
      <x:c r="AH28" s="27"/>
      <x:c r="AI28" s="27"/>
      <x:c r="AJ28" s="27"/>
      <x:c r="AK28" s="27"/>
      <x:c r="AL28" s="27"/>
      <x:c r="AM28" s="27"/>
      <x:c r="AN28" s="27"/>
      <x:c r="AO28" s="27"/>
      <x:c r="AP28" s="27"/>
      <x:c r="AQ28" s="27"/>
      <x:c r="AR28" s="27"/>
      <x:c r="AS28" s="27"/>
      <x:c r="AT28" s="27"/>
      <x:c r="AU28" s="27"/>
      <x:c r="AV28" s="27"/>
      <x:c r="AW28" s="27"/>
      <x:c r="AX28" s="27"/>
      <x:c r="AY28" s="27"/>
      <x:c r="AZ28" s="27"/>
    </x:row>
    <x:row r="29">
      <x:c r="A29" s="27" t="str">
        <x:v>TE-F-023</x:v>
      </x:c>
      <x:c r="B29" s="27" t="str">
        <x:v>TE Vertical Threat residuals</x:v>
      </x:c>
      <x:c r="C29" s="27" t="str">
        <x:v>Two v1.3 inversions remain: Luke Reynolds 82 vs Mason Mini 81, and Jelani Thurman 81 vs Hunter Tipton 80.</x:v>
      </x:c>
      <x:c r="D29" s="27" t="str">
        <x:v>Open research cases</x:v>
      </x:c>
      <x:c r="E29" s="27" t="str">
        <x:v>Confirmed</x:v>
      </x:c>
      <x:c r="F29" s="27" t="str">
        <x:v>Full VT pair audit</x:v>
      </x:c>
      <x:c r="G29" s="27" t="str"/>
      <x:c r="H29" s="27" t="str">
        <x:v>TE-MODEL-006</x:v>
      </x:c>
      <x:c r="I29" s="27" t="str">
        <x:v>2026-08-01</x:v>
      </x:c>
      <x:c r="J29" s="27" t="str">
        <x:v>Do not refit until new prospective cards arrive; these are targeted diagnostic cases.</x:v>
      </x:c>
      <x:c r="K29" s="27"/>
      <x:c r="L29" s="27"/>
      <x:c r="M29" s="27"/>
      <x:c r="N29" s="27"/>
      <x:c r="O29" s="27"/>
      <x:c r="P29" s="27"/>
      <x:c r="Q29" s="27"/>
      <x:c r="R29" s="27"/>
      <x:c r="S29" s="27"/>
      <x:c r="T29" s="27"/>
      <x:c r="U29" s="27"/>
      <x:c r="V29" s="27"/>
      <x:c r="W29" s="27"/>
      <x:c r="X29" s="27"/>
      <x:c r="Y29" s="27"/>
      <x:c r="Z29" s="27"/>
      <x:c r="AA29" s="27"/>
      <x:c r="AB29" s="27"/>
      <x:c r="AC29" s="27"/>
      <x:c r="AD29" s="27"/>
      <x:c r="AE29" s="27"/>
      <x:c r="AF29" s="27"/>
      <x:c r="AG29" s="27"/>
      <x:c r="AH29" s="27"/>
      <x:c r="AI29" s="27"/>
      <x:c r="AJ29" s="27"/>
      <x:c r="AK29" s="27"/>
      <x:c r="AL29" s="27"/>
      <x:c r="AM29" s="27"/>
      <x:c r="AN29" s="27"/>
      <x:c r="AO29" s="27"/>
      <x:c r="AP29" s="27"/>
      <x:c r="AQ29" s="27"/>
      <x:c r="AR29" s="27"/>
      <x:c r="AS29" s="27"/>
      <x:c r="AT29" s="27"/>
      <x:c r="AU29" s="27"/>
      <x:c r="AV29" s="27"/>
      <x:c r="AW29" s="27"/>
      <x:c r="AX29" s="27"/>
      <x:c r="AY29" s="27"/>
      <x:c r="AZ29" s="27"/>
    </x:row>
    <x:row r="30">
      <x:c r="A30" s="27" t="str">
        <x:v>TE-F-024</x:v>
      </x:c>
      <x:c r="B30" s="27" t="str">
        <x:v>VT residual A</x:v>
      </x:c>
      <x:c r="C30" s="27" t="str">
        <x:v>Luke Reynolds 82 vs Mason Mini 81 remains unexplained by frozen v1.3. Luke leads CIT by 13 and IBL by 11; Mason leads STR by 13, AWR by 7, MRR by 6, RLS by 11 and BTK by 14.</x:v>
      </x:c>
      <x:c r="D30" s="27" t="str">
        <x:v>Unresolved</x:v>
      </x:c>
      <x:c r="E30" s="27" t="str">
        <x:v>Medium</x:v>
      </x:c>
      <x:c r="F30" s="27" t="str">
        <x:v>TE_VT_Architecture residual A</x:v>
      </x:c>
      <x:c r="G30" s="27" t="str"/>
      <x:c r="H30" s="27" t="str">
        <x:v>TE-MODEL-006</x:v>
      </x:c>
      <x:c r="I30" s="27" t="str">
        <x:v>2026-08-01</x:v>
      </x:c>
      <x:c r="J30" s="27" t="str">
        <x:v>No simple single-attribute, low-CIT, blocking-blend, rounding, or program hypothesis generalizes well enough to identify a cause.</x:v>
      </x:c>
      <x:c r="K30" s="27"/>
      <x:c r="L30" s="27"/>
      <x:c r="M30" s="27"/>
      <x:c r="N30" s="27"/>
      <x:c r="O30" s="27"/>
      <x:c r="P30" s="27"/>
      <x:c r="Q30" s="27"/>
      <x:c r="R30" s="27"/>
      <x:c r="S30" s="27"/>
      <x:c r="T30" s="27"/>
      <x:c r="U30" s="27"/>
      <x:c r="V30" s="27"/>
      <x:c r="W30" s="27"/>
      <x:c r="X30" s="27"/>
      <x:c r="Y30" s="27"/>
      <x:c r="Z30" s="27"/>
      <x:c r="AA30" s="27"/>
      <x:c r="AB30" s="27"/>
      <x:c r="AC30" s="27"/>
      <x:c r="AD30" s="27"/>
      <x:c r="AE30" s="27"/>
      <x:c r="AF30" s="27"/>
      <x:c r="AG30" s="27"/>
      <x:c r="AH30" s="27"/>
      <x:c r="AI30" s="27"/>
      <x:c r="AJ30" s="27"/>
      <x:c r="AK30" s="27"/>
      <x:c r="AL30" s="27"/>
      <x:c r="AM30" s="27"/>
      <x:c r="AN30" s="27"/>
      <x:c r="AO30" s="27"/>
      <x:c r="AP30" s="27"/>
      <x:c r="AQ30" s="27"/>
      <x:c r="AR30" s="27"/>
      <x:c r="AS30" s="27"/>
      <x:c r="AT30" s="27"/>
      <x:c r="AU30" s="27"/>
      <x:c r="AV30" s="27"/>
      <x:c r="AW30" s="27"/>
      <x:c r="AX30" s="27"/>
      <x:c r="AY30" s="27"/>
      <x:c r="AZ30" s="27"/>
    </x:row>
    <x:row r="31">
      <x:c r="A31" s="27" t="str">
        <x:v>TE-F-025</x:v>
      </x:c>
      <x:c r="B31" s="27" t="str">
        <x:v>VT residual B</x:v>
      </x:c>
      <x:c r="C31" s="27" t="str">
        <x:v>Jelani Thurman 81 vs Hunter Tipton 80 strongly suggests missing non-receiving positional value: Jelani leads IBL +14, STR +12, RBP +9 and also outranks Hunter under Possession and Blocking reference scores.</x:v>
      </x:c>
      <x:c r="D31" s="27" t="str">
        <x:v>Working conclusion</x:v>
      </x:c>
      <x:c r="E31" s="27" t="str">
        <x:v>High</x:v>
      </x:c>
      <x:c r="F31" s="27" t="str">
        <x:v>TE_VT_Architecture residual B</x:v>
      </x:c>
      <x:c r="G31" s="27" t="str"/>
      <x:c r="H31" s="27" t="str">
        <x:v>TE-MODEL-006</x:v>
      </x:c>
      <x:c r="I31" s="27" t="str">
        <x:v>2026-08-01</x:v>
      </x:c>
      <x:c r="J31" s="27" t="str">
        <x:v>Post-hoc STR+3, COD+4 or extra IBL can repair this pair and improve full ordering to 139/140, but none is prospectively validated.</x:v>
      </x:c>
      <x:c r="K31" s="27"/>
      <x:c r="L31" s="27"/>
      <x:c r="M31" s="27"/>
      <x:c r="N31" s="27"/>
      <x:c r="O31" s="27"/>
      <x:c r="P31" s="27"/>
      <x:c r="Q31" s="27"/>
      <x:c r="R31" s="27"/>
      <x:c r="S31" s="27"/>
      <x:c r="T31" s="27"/>
      <x:c r="U31" s="27"/>
      <x:c r="V31" s="27"/>
      <x:c r="W31" s="27"/>
      <x:c r="X31" s="27"/>
      <x:c r="Y31" s="27"/>
      <x:c r="Z31" s="27"/>
      <x:c r="AA31" s="27"/>
      <x:c r="AB31" s="27"/>
      <x:c r="AC31" s="27"/>
      <x:c r="AD31" s="27"/>
      <x:c r="AE31" s="27"/>
      <x:c r="AF31" s="27"/>
      <x:c r="AG31" s="27"/>
      <x:c r="AH31" s="27"/>
      <x:c r="AI31" s="27"/>
      <x:c r="AJ31" s="27"/>
      <x:c r="AK31" s="27"/>
      <x:c r="AL31" s="27"/>
      <x:c r="AM31" s="27"/>
      <x:c r="AN31" s="27"/>
      <x:c r="AO31" s="27"/>
      <x:c r="AP31" s="27"/>
      <x:c r="AQ31" s="27"/>
      <x:c r="AR31" s="27"/>
      <x:c r="AS31" s="27"/>
      <x:c r="AT31" s="27"/>
      <x:c r="AU31" s="27"/>
      <x:c r="AV31" s="27"/>
      <x:c r="AW31" s="27"/>
      <x:c r="AX31" s="27"/>
      <x:c r="AY31" s="27"/>
      <x:c r="AZ31" s="27"/>
    </x:row>
    <x:row r="32">
      <x:c r="A32" s="27" t="str">
        <x:v>TE-F-026</x:v>
      </x:c>
      <x:c r="B32" s="27" t="str">
        <x:v>VT program effects</x:v>
      </x:c>
      <x:c r="C32" s="27" t="str">
        <x:v>Program identity is not supported as a direct OVR modifier.</x:v>
      </x:c>
      <x:c r="D32" s="27" t="str">
        <x:v>Rejected hypothesis</x:v>
      </x:c>
      <x:c r="E32" s="27" t="str">
        <x:v>High</x:v>
      </x:c>
      <x:c r="F32" s="27" t="str">
        <x:v>Same-player/same-OVR cross-program controls; Jelani/Hunter both Core Rare</x:v>
      </x:c>
      <x:c r="G32" s="27" t="str"/>
      <x:c r="H32" s="27" t="str">
        <x:v>TE-MODEL-006</x:v>
      </x:c>
      <x:c r="I32" s="27" t="str">
        <x:v>2026-08-01</x:v>
      </x:c>
      <x:c r="J32" s="27" t="str">
        <x:v>Program versions can redistribute ratings but identical ratings/OVR also occur across different program labels.</x:v>
      </x:c>
      <x:c r="K32" s="27"/>
      <x:c r="L32" s="27"/>
      <x:c r="M32" s="27"/>
      <x:c r="N32" s="27"/>
      <x:c r="O32" s="27"/>
      <x:c r="P32" s="27"/>
      <x:c r="Q32" s="27"/>
      <x:c r="R32" s="27"/>
      <x:c r="S32" s="27"/>
      <x:c r="T32" s="27"/>
      <x:c r="U32" s="27"/>
      <x:c r="V32" s="27"/>
      <x:c r="W32" s="27"/>
      <x:c r="X32" s="27"/>
      <x:c r="Y32" s="27"/>
      <x:c r="Z32" s="27"/>
      <x:c r="AA32" s="27"/>
      <x:c r="AB32" s="27"/>
      <x:c r="AC32" s="27"/>
      <x:c r="AD32" s="27"/>
      <x:c r="AE32" s="27"/>
      <x:c r="AF32" s="27"/>
      <x:c r="AG32" s="27"/>
      <x:c r="AH32" s="27"/>
      <x:c r="AI32" s="27"/>
      <x:c r="AJ32" s="27"/>
      <x:c r="AK32" s="27"/>
      <x:c r="AL32" s="27"/>
      <x:c r="AM32" s="27"/>
      <x:c r="AN32" s="27"/>
      <x:c r="AO32" s="27"/>
      <x:c r="AP32" s="27"/>
      <x:c r="AQ32" s="27"/>
      <x:c r="AR32" s="27"/>
      <x:c r="AS32" s="27"/>
      <x:c r="AT32" s="27"/>
      <x:c r="AU32" s="27"/>
      <x:c r="AV32" s="27"/>
      <x:c r="AW32" s="27"/>
      <x:c r="AX32" s="27"/>
      <x:c r="AY32" s="27"/>
      <x:c r="AZ32" s="27"/>
    </x:row>
    <x:row r="33">
      <x:c r="A33" s="27" t="str">
        <x:v>TE-F-027</x:v>
      </x:c>
      <x:c r="B33" s="27" t="str">
        <x:v>VT rounding</x:v>
      </x:c>
      <x:c r="C33" s="27" t="str">
        <x:v>Simple final rounding/threshold conversion cannot by itself explain the two residual inversions under a monotonic v1.3 score.</x:v>
      </x:c>
      <x:c r="D33" s="27" t="str">
        <x:v>Rejected as sole explanation</x:v>
      </x:c>
      <x:c r="E33" s="27" t="str">
        <x:v>High</x:v>
      </x:c>
      <x:c r="F33" s="27" t="str">
        <x:v>v1.3 band overlap analysis</x:v>
      </x:c>
      <x:c r="G33" s="27" t="str"/>
      <x:c r="H33" s="27" t="str">
        <x:v>TE-MODEL-006</x:v>
      </x:c>
      <x:c r="I33" s="27" t="str">
        <x:v>2026-08-01</x:v>
      </x:c>
      <x:c r="J33" s="27" t="str">
        <x:v>80→81 overlap 0.301 and 81→82 overlap 0.534 correspond exactly to residual pairs, requiring another input/weight/modifier.</x:v>
      </x:c>
      <x:c r="K33" s="27"/>
      <x:c r="L33" s="27"/>
      <x:c r="M33" s="27"/>
      <x:c r="N33" s="27"/>
      <x:c r="O33" s="27"/>
      <x:c r="P33" s="27"/>
      <x:c r="Q33" s="27"/>
      <x:c r="R33" s="27"/>
      <x:c r="S33" s="27"/>
      <x:c r="T33" s="27"/>
      <x:c r="U33" s="27"/>
      <x:c r="V33" s="27"/>
      <x:c r="W33" s="27"/>
      <x:c r="X33" s="27"/>
      <x:c r="Y33" s="27"/>
      <x:c r="Z33" s="27"/>
      <x:c r="AA33" s="27"/>
      <x:c r="AB33" s="27"/>
      <x:c r="AC33" s="27"/>
      <x:c r="AD33" s="27"/>
      <x:c r="AE33" s="27"/>
      <x:c r="AF33" s="27"/>
      <x:c r="AG33" s="27"/>
      <x:c r="AH33" s="27"/>
      <x:c r="AI33" s="27"/>
      <x:c r="AJ33" s="27"/>
      <x:c r="AK33" s="27"/>
      <x:c r="AL33" s="27"/>
      <x:c r="AM33" s="27"/>
      <x:c r="AN33" s="27"/>
      <x:c r="AO33" s="27"/>
      <x:c r="AP33" s="27"/>
      <x:c r="AQ33" s="27"/>
      <x:c r="AR33" s="27"/>
      <x:c r="AS33" s="27"/>
      <x:c r="AT33" s="27"/>
      <x:c r="AU33" s="27"/>
      <x:c r="AV33" s="27"/>
      <x:c r="AW33" s="27"/>
      <x:c r="AX33" s="27"/>
      <x:c r="AY33" s="27"/>
      <x:c r="AZ33" s="27"/>
    </x:row>
    <x:row r="34">
      <x:c r="A34" s="27" t="str">
        <x:v>TE-F-028</x:v>
      </x:c>
      <x:c r="B34" s="27" t="str">
        <x:v>Shared TE positional component</x:v>
      </x:c>
      <x:c r="C34" s="27" t="str">
        <x:v>Evidence moderately supports small position-wide competency weights embedded inside archetype formulas, but rejects a large separate universal/max blocking score.</x:v>
      </x:c>
      <x:c r="D34" s="27" t="str">
        <x:v>Working architectural hypothesis</x:v>
      </x:c>
      <x:c r="E34" s="27" t="str">
        <x:v>Medium</x:v>
      </x:c>
      <x:c r="F34" s="27" t="str">
        <x:v>Gritty/PRR/VT model comparison + universal blocking-mix tests</x:v>
      </x:c>
      <x:c r="G34" s="27" t="str"/>
      <x:c r="H34" s="27" t="str">
        <x:v>TE-MODEL-006</x:v>
      </x:c>
      <x:c r="I34" s="27" t="str">
        <x:v>2026-08-01</x:v>
      </x:c>
      <x:c r="J34" s="27" t="str">
        <x:v>LBK/IBL appear across successful archetype models; 2% shared blocking mix is neutral, while 5–15%, max-of-archetypes, and 25% blend degrade ordering.</x:v>
      </x:c>
      <x:c r="K34" s="27"/>
      <x:c r="L34" s="27"/>
      <x:c r="M34" s="27"/>
      <x:c r="N34" s="27"/>
      <x:c r="O34" s="27"/>
      <x:c r="P34" s="27"/>
      <x:c r="Q34" s="27"/>
      <x:c r="R34" s="27"/>
      <x:c r="S34" s="27"/>
      <x:c r="T34" s="27"/>
      <x:c r="U34" s="27"/>
      <x:c r="V34" s="27"/>
      <x:c r="W34" s="27"/>
      <x:c r="X34" s="27"/>
      <x:c r="Y34" s="27"/>
      <x:c r="Z34" s="27"/>
      <x:c r="AA34" s="27"/>
      <x:c r="AB34" s="27"/>
      <x:c r="AC34" s="27"/>
      <x:c r="AD34" s="27"/>
      <x:c r="AE34" s="27"/>
      <x:c r="AF34" s="27"/>
      <x:c r="AG34" s="27"/>
      <x:c r="AH34" s="27"/>
      <x:c r="AI34" s="27"/>
      <x:c r="AJ34" s="27"/>
      <x:c r="AK34" s="27"/>
      <x:c r="AL34" s="27"/>
      <x:c r="AM34" s="27"/>
      <x:c r="AN34" s="27"/>
      <x:c r="AO34" s="27"/>
      <x:c r="AP34" s="27"/>
      <x:c r="AQ34" s="27"/>
      <x:c r="AR34" s="27"/>
      <x:c r="AS34" s="27"/>
      <x:c r="AT34" s="27"/>
      <x:c r="AU34" s="27"/>
      <x:c r="AV34" s="27"/>
      <x:c r="AW34" s="27"/>
      <x:c r="AX34" s="27"/>
      <x:c r="AY34" s="27"/>
      <x:c r="AZ34" s="27"/>
    </x:row>
    <x:row r="35">
      <x:c r="A35" s="27" t="str">
        <x:v>TE-F-029</x:v>
      </x:c>
      <x:c r="B35" s="27" t="str">
        <x:v>VT prospective validation</x:v>
      </x:c>
      <x:c r="C35" s="27" t="str">
        <x:v>Frozen VT v1.3 now has a permanent prospective-validation protocol separating future cards from legacy development/validation evidence.</x:v>
      </x:c>
      <x:c r="D35" s="27" t="str">
        <x:v>Project rule</x:v>
      </x:c>
      <x:c r="E35" s="27" t="str">
        <x:v>Confirmed</x:v>
      </x:c>
      <x:c r="F35" s="27" t="str">
        <x:v>TE_VT_Prospective sheet</x:v>
      </x:c>
      <x:c r="G35" s="27" t="str"/>
      <x:c r="H35" s="27" t="str">
        <x:v>TE-MODEL-006</x:v>
      </x:c>
      <x:c r="I35" s="27" t="str">
        <x:v>2026-08-01</x:v>
      </x:c>
      <x:c r="J35" s="27" t="str">
        <x:v>Every future eligible VT card is scored and classified PASS/FAILURE/THRESHOLD CASE/UNRESOLVED before any refit.</x:v>
      </x:c>
      <x:c r="K35" s="27"/>
      <x:c r="L35" s="27"/>
      <x:c r="M35" s="27"/>
      <x:c r="N35" s="27"/>
      <x:c r="O35" s="27"/>
      <x:c r="P35" s="27"/>
      <x:c r="Q35" s="27"/>
      <x:c r="R35" s="27"/>
      <x:c r="S35" s="27"/>
      <x:c r="T35" s="27"/>
      <x:c r="U35" s="27"/>
      <x:c r="V35" s="27"/>
      <x:c r="W35" s="27"/>
      <x:c r="X35" s="27"/>
      <x:c r="Y35" s="27"/>
      <x:c r="Z35" s="27"/>
      <x:c r="AA35" s="27"/>
      <x:c r="AB35" s="27"/>
      <x:c r="AC35" s="27"/>
      <x:c r="AD35" s="27"/>
      <x:c r="AE35" s="27"/>
      <x:c r="AF35" s="27"/>
      <x:c r="AG35" s="27"/>
      <x:c r="AH35" s="27"/>
      <x:c r="AI35" s="27"/>
      <x:c r="AJ35" s="27"/>
      <x:c r="AK35" s="27"/>
      <x:c r="AL35" s="27"/>
      <x:c r="AM35" s="27"/>
      <x:c r="AN35" s="27"/>
      <x:c r="AO35" s="27"/>
      <x:c r="AP35" s="27"/>
      <x:c r="AQ35" s="27"/>
      <x:c r="AR35" s="27"/>
      <x:c r="AS35" s="27"/>
      <x:c r="AT35" s="27"/>
      <x:c r="AU35" s="27"/>
      <x:c r="AV35" s="27"/>
      <x:c r="AW35" s="27"/>
      <x:c r="AX35" s="27"/>
      <x:c r="AY35" s="27"/>
      <x:c r="AZ35" s="27"/>
    </x:row>
    <x:row r="36">
      <x:c r="A36" s="27" t="str">
        <x:v>TE-F-030</x:v>
      </x:c>
      <x:c r="B36" s="27" t="str">
        <x:v>Operational research standard</x:v>
      </x:c>
      <x:c r="C36" s="27" t="str">
        <x:v>Archetype models at ≥98% cross-OVR accuracy with surviving independent validation and no systematic failure pattern are classified OPERATIONALLY SOLVED.</x:v>
      </x:c>
      <x:c r="D36" s="27" t="str">
        <x:v>Project rule</x:v>
      </x:c>
      <x:c r="E36" s="27" t="str">
        <x:v>Confirmed</x:v>
      </x:c>
      <x:c r="F36" s="27" t="str">
        <x:v>User-approved practical standard</x:v>
      </x:c>
      <x:c r="G36" s="27" t="str"/>
      <x:c r="H36" s="27" t="str">
        <x:v>Governance</x:v>
      </x:c>
      <x:c r="I36" s="27" t="str">
        <x:v>2026-08-01</x:v>
      </x:c>
      <x:c r="J36" s="27" t="str">
        <x:v>Do not chase isolated outliers after this point.</x:v>
      </x:c>
      <x:c r="K36" s="27"/>
      <x:c r="L36" s="27"/>
      <x:c r="M36" s="27"/>
      <x:c r="N36" s="27"/>
      <x:c r="O36" s="27"/>
      <x:c r="P36" s="27"/>
      <x:c r="Q36" s="27"/>
      <x:c r="R36" s="27"/>
      <x:c r="S36" s="27"/>
      <x:c r="T36" s="27"/>
      <x:c r="U36" s="27"/>
      <x:c r="V36" s="27"/>
      <x:c r="W36" s="27"/>
      <x:c r="X36" s="27"/>
      <x:c r="Y36" s="27"/>
      <x:c r="Z36" s="27"/>
      <x:c r="AA36" s="27"/>
      <x:c r="AB36" s="27"/>
      <x:c r="AC36" s="27"/>
      <x:c r="AD36" s="27"/>
      <x:c r="AE36" s="27"/>
      <x:c r="AF36" s="27"/>
      <x:c r="AG36" s="27"/>
      <x:c r="AH36" s="27"/>
      <x:c r="AI36" s="27"/>
      <x:c r="AJ36" s="27"/>
      <x:c r="AK36" s="27"/>
      <x:c r="AL36" s="27"/>
      <x:c r="AM36" s="27"/>
      <x:c r="AN36" s="27"/>
      <x:c r="AO36" s="27"/>
      <x:c r="AP36" s="27"/>
      <x:c r="AQ36" s="27"/>
      <x:c r="AR36" s="27"/>
      <x:c r="AS36" s="27"/>
      <x:c r="AT36" s="27"/>
      <x:c r="AU36" s="27"/>
      <x:c r="AV36" s="27"/>
      <x:c r="AW36" s="27"/>
      <x:c r="AX36" s="27"/>
      <x:c r="AY36" s="27"/>
      <x:c r="AZ36" s="27"/>
    </x:row>
    <x:row r="37">
      <x:c r="A37" s="27" t="str">
        <x:v>TE-F-031</x:v>
      </x:c>
      <x:c r="B37" s="27" t="str">
        <x:v>Gritty Possession final status</x:v>
      </x:c>
      <x:c r="C37" s="27" t="str">
        <x:v>M19 Possession-based Gritty model is operationally solved at 97/98 (99.0%) overall and 82/83 (98.8%) blind/holdout-involved.</x:v>
      </x:c>
      <x:c r="D37" s="27" t="str">
        <x:v>Operationally solved</x:v>
      </x:c>
      <x:c r="E37" s="27" t="str">
        <x:v>High</x:v>
      </x:c>
      <x:c r="F37" s="27" t="str">
        <x:v>TE_Gritty_Audit</x:v>
      </x:c>
      <x:c r="G37" s="27" t="str"/>
      <x:c r="H37" s="27" t="str">
        <x:v>TE-MODEL-001</x:v>
      </x:c>
      <x:c r="I37" s="27" t="str">
        <x:v>2026-08-01</x:v>
      </x:c>
      <x:c r="J37" s="27" t="str">
        <x:v>One 0.030 inversion retained without refit.</x:v>
      </x:c>
      <x:c r="K37" s="27"/>
      <x:c r="L37" s="27"/>
      <x:c r="M37" s="27"/>
      <x:c r="N37" s="27"/>
      <x:c r="O37" s="27"/>
      <x:c r="P37" s="27"/>
      <x:c r="Q37" s="27"/>
      <x:c r="R37" s="27"/>
      <x:c r="S37" s="27"/>
      <x:c r="T37" s="27"/>
      <x:c r="U37" s="27"/>
      <x:c r="V37" s="27"/>
      <x:c r="W37" s="27"/>
      <x:c r="X37" s="27"/>
      <x:c r="Y37" s="27"/>
      <x:c r="Z37" s="27"/>
      <x:c r="AA37" s="27"/>
      <x:c r="AB37" s="27"/>
      <x:c r="AC37" s="27"/>
      <x:c r="AD37" s="27"/>
      <x:c r="AE37" s="27"/>
      <x:c r="AF37" s="27"/>
      <x:c r="AG37" s="27"/>
      <x:c r="AH37" s="27"/>
      <x:c r="AI37" s="27"/>
      <x:c r="AJ37" s="27"/>
      <x:c r="AK37" s="27"/>
      <x:c r="AL37" s="27"/>
      <x:c r="AM37" s="27"/>
      <x:c r="AN37" s="27"/>
      <x:c r="AO37" s="27"/>
      <x:c r="AP37" s="27"/>
      <x:c r="AQ37" s="27"/>
      <x:c r="AR37" s="27"/>
      <x:c r="AS37" s="27"/>
      <x:c r="AT37" s="27"/>
      <x:c r="AU37" s="27"/>
      <x:c r="AV37" s="27"/>
      <x:c r="AW37" s="27"/>
      <x:c r="AX37" s="27"/>
      <x:c r="AY37" s="27"/>
      <x:c r="AZ37" s="27"/>
    </x:row>
    <x:row r="38">
      <x:c r="A38" s="27" t="str">
        <x:v>TE-F-032</x:v>
      </x:c>
      <x:c r="B38" s="27" t="str">
        <x:v>Physical Route Runner final status</x:v>
      </x:c>
      <x:c r="C38" s="27" t="str">
        <x:v>71% VT / 29% Possession PRR model is operationally solved at 404/404 (100%) overall and 365/365 (100%) blind/holdout-involved.</x:v>
      </x:c>
      <x:c r="D38" s="27" t="str">
        <x:v>Operationally solved</x:v>
      </x:c>
      <x:c r="E38" s="27" t="str">
        <x:v>High</x:v>
      </x:c>
      <x:c r="F38" s="27" t="str">
        <x:v>TE_PRR_Audit</x:v>
      </x:c>
      <x:c r="G38" s="27" t="str"/>
      <x:c r="H38" s="27" t="str">
        <x:v>TE-MODEL-003</x:v>
      </x:c>
      <x:c r="I38" s="27" t="str">
        <x:v>2026-08-01</x:v>
      </x:c>
      <x:c r="J38" s="27" t="str">
        <x:v>No cross-OVR inversions observed.</x:v>
      </x:c>
      <x:c r="K38" s="27"/>
      <x:c r="L38" s="27"/>
      <x:c r="M38" s="27"/>
      <x:c r="N38" s="27"/>
      <x:c r="O38" s="27"/>
      <x:c r="P38" s="27"/>
      <x:c r="Q38" s="27"/>
      <x:c r="R38" s="27"/>
      <x:c r="S38" s="27"/>
      <x:c r="T38" s="27"/>
      <x:c r="U38" s="27"/>
      <x:c r="V38" s="27"/>
      <x:c r="W38" s="27"/>
      <x:c r="X38" s="27"/>
      <x:c r="Y38" s="27"/>
      <x:c r="Z38" s="27"/>
      <x:c r="AA38" s="27"/>
      <x:c r="AB38" s="27"/>
      <x:c r="AC38" s="27"/>
      <x:c r="AD38" s="27"/>
      <x:c r="AE38" s="27"/>
      <x:c r="AF38" s="27"/>
      <x:c r="AG38" s="27"/>
      <x:c r="AH38" s="27"/>
      <x:c r="AI38" s="27"/>
      <x:c r="AJ38" s="27"/>
      <x:c r="AK38" s="27"/>
      <x:c r="AL38" s="27"/>
      <x:c r="AM38" s="27"/>
      <x:c r="AN38" s="27"/>
      <x:c r="AO38" s="27"/>
      <x:c r="AP38" s="27"/>
      <x:c r="AQ38" s="27"/>
      <x:c r="AR38" s="27"/>
      <x:c r="AS38" s="27"/>
      <x:c r="AT38" s="27"/>
      <x:c r="AU38" s="27"/>
      <x:c r="AV38" s="27"/>
      <x:c r="AW38" s="27"/>
      <x:c r="AX38" s="27"/>
      <x:c r="AY38" s="27"/>
      <x:c r="AZ38" s="27"/>
    </x:row>
    <x:row r="39">
      <x:c r="A39" s="27" t="str">
        <x:v>TE-F-033</x:v>
      </x:c>
      <x:c r="B39" s="27" t="str">
        <x:v>Pure Blocker status</x:v>
      </x:c>
      <x:c r="C39" s="27" t="str">
        <x:v>Pure Blocker remains insufficiently sampled and is excluded from formula-derived Moneyball scoring.</x:v>
      </x:c>
      <x:c r="D39" s="27" t="str">
        <x:v>Insufficient evidence</x:v>
      </x:c>
      <x:c r="E39" s="27" t="str">
        <x:v>High</x:v>
      </x:c>
      <x:c r="F39" s="27" t="str">
        <x:v>Only Ethan Malafa 84 currently structured</x:v>
      </x:c>
      <x:c r="G39" s="27" t="str"/>
      <x:c r="H39" s="27" t="str">
        <x:v>TE-MODEL-004</x:v>
      </x:c>
      <x:c r="I39" s="27" t="str">
        <x:v>2026-08-01</x:v>
      </x:c>
      <x:c r="J39" s="27" t="str">
        <x:v>Target at least five more cards across ≥3 OVR tiers.</x:v>
      </x:c>
      <x:c r="K39" s="27"/>
      <x:c r="L39" s="27"/>
      <x:c r="M39" s="27"/>
      <x:c r="N39" s="27"/>
      <x:c r="O39" s="27"/>
      <x:c r="P39" s="27"/>
      <x:c r="Q39" s="27"/>
      <x:c r="R39" s="27"/>
      <x:c r="S39" s="27"/>
      <x:c r="T39" s="27"/>
      <x:c r="U39" s="27"/>
      <x:c r="V39" s="27"/>
      <x:c r="W39" s="27"/>
      <x:c r="X39" s="27"/>
      <x:c r="Y39" s="27"/>
      <x:c r="Z39" s="27"/>
      <x:c r="AA39" s="27"/>
      <x:c r="AB39" s="27"/>
      <x:c r="AC39" s="27"/>
      <x:c r="AD39" s="27"/>
      <x:c r="AE39" s="27"/>
      <x:c r="AF39" s="27"/>
      <x:c r="AG39" s="27"/>
      <x:c r="AH39" s="27"/>
      <x:c r="AI39" s="27"/>
      <x:c r="AJ39" s="27"/>
      <x:c r="AK39" s="27"/>
      <x:c r="AL39" s="27"/>
      <x:c r="AM39" s="27"/>
      <x:c r="AN39" s="27"/>
      <x:c r="AO39" s="27"/>
      <x:c r="AP39" s="27"/>
      <x:c r="AQ39" s="27"/>
      <x:c r="AR39" s="27"/>
      <x:c r="AS39" s="27"/>
      <x:c r="AT39" s="27"/>
      <x:c r="AU39" s="27"/>
      <x:c r="AV39" s="27"/>
      <x:c r="AW39" s="27"/>
      <x:c r="AX39" s="27"/>
      <x:c r="AY39" s="27"/>
      <x:c r="AZ39" s="27"/>
    </x:row>
    <x:row r="40">
      <x:c r="A40" s="27" t="str">
        <x:v>TE-F-034</x:v>
      </x:c>
      <x:c r="B40" s="27" t="str">
        <x:v>TE formula phase</x:v>
      </x:c>
      <x:c r="C40" s="27" t="str">
        <x:v>Three operationally solved archetypes cover more than 98% of the structured TE database; TE formula research is operationally complete for Moneyball purposes with Pure Blocker as an explicit exception.</x:v>
      </x:c>
      <x:c r="D40" s="27" t="str">
        <x:v>Phase complete — operational</x:v>
      </x:c>
      <x:c r="E40" s="27" t="str">
        <x:v>High</x:v>
      </x:c>
      <x:c r="F40" s="27" t="str">
        <x:v>TE_STATUS_BOARD</x:v>
      </x:c>
      <x:c r="G40" s="27" t="str"/>
      <x:c r="H40" s="27" t="str">
        <x:v>TE Formula Phase</x:v>
      </x:c>
      <x:c r="I40" s="27" t="str">
        <x:v>2026-08-01</x:v>
      </x:c>
      <x:c r="J40" s="27" t="str">
        <x:v>Solved coverage 67/68 (98.5%).</x:v>
      </x:c>
      <x:c r="K40" s="27"/>
      <x:c r="L40" s="27"/>
      <x:c r="M40" s="27"/>
      <x:c r="N40" s="27"/>
      <x:c r="O40" s="27"/>
      <x:c r="P40" s="27"/>
      <x:c r="Q40" s="27"/>
      <x:c r="R40" s="27"/>
      <x:c r="S40" s="27"/>
      <x:c r="T40" s="27"/>
      <x:c r="U40" s="27"/>
      <x:c r="V40" s="27"/>
      <x:c r="W40" s="27"/>
      <x:c r="X40" s="27"/>
      <x:c r="Y40" s="27"/>
      <x:c r="Z40" s="27"/>
      <x:c r="AA40" s="27"/>
      <x:c r="AB40" s="27"/>
      <x:c r="AC40" s="27"/>
      <x:c r="AD40" s="27"/>
      <x:c r="AE40" s="27"/>
      <x:c r="AF40" s="27"/>
      <x:c r="AG40" s="27"/>
      <x:c r="AH40" s="27"/>
      <x:c r="AI40" s="27"/>
      <x:c r="AJ40" s="27"/>
      <x:c r="AK40" s="27"/>
      <x:c r="AL40" s="27"/>
      <x:c r="AM40" s="27"/>
      <x:c r="AN40" s="27"/>
      <x:c r="AO40" s="27"/>
      <x:c r="AP40" s="27"/>
      <x:c r="AQ40" s="27"/>
      <x:c r="AR40" s="27"/>
      <x:c r="AS40" s="27"/>
      <x:c r="AT40" s="27"/>
      <x:c r="AU40" s="27"/>
      <x:c r="AV40" s="27"/>
      <x:c r="AW40" s="27"/>
      <x:c r="AX40" s="27"/>
      <x:c r="AY40" s="27"/>
      <x:c r="AZ40" s="27"/>
    </x:row>
    <x:row r="41">
      <x:c r="A41" s="27" t="str">
        <x:v>TE-MB-F-001</x:v>
      </x:c>
      <x:c r="B41" s="27" t="str">
        <x:v>TE Moneyball framework</x:v>
      </x:c>
      <x:c r="C41" s="27" t="str">
        <x:v>Displayed OVR and football utility are separated explicitly: frozen OVR models estimate EA valuation, while FUS estimates preliminary football usefulness.</x:v>
      </x:c>
      <x:c r="D41" s="27" t="str">
        <x:v>Framework established</x:v>
      </x:c>
      <x:c r="E41" s="27" t="str">
        <x:v>Confirmed</x:v>
      </x:c>
      <x:c r="F41" s="27" t="str">
        <x:v>TE_Moneyball_Method</x:v>
      </x:c>
      <x:c r="G41" s="27" t="str"/>
      <x:c r="H41" s="27" t="str">
        <x:v>TE-MONEY-001</x:v>
      </x:c>
      <x:c r="I41" s="27" t="str">
        <x:v>2026-08-01</x:v>
      </x:c>
      <x:c r="J41" s="27" t="str">
        <x:v>Utility weights are hypotheses pending gameplay calibration.</x:v>
      </x:c>
      <x:c r="K41" s="27"/>
      <x:c r="L41" s="27"/>
      <x:c r="M41" s="27"/>
      <x:c r="N41" s="27"/>
      <x:c r="O41" s="27"/>
      <x:c r="P41" s="27"/>
      <x:c r="Q41" s="27"/>
      <x:c r="R41" s="27"/>
      <x:c r="S41" s="27"/>
      <x:c r="T41" s="27"/>
      <x:c r="U41" s="27"/>
      <x:c r="V41" s="27"/>
      <x:c r="W41" s="27"/>
      <x:c r="X41" s="27"/>
      <x:c r="Y41" s="27"/>
      <x:c r="Z41" s="27"/>
      <x:c r="AA41" s="27"/>
      <x:c r="AB41" s="27"/>
      <x:c r="AC41" s="27"/>
      <x:c r="AD41" s="27"/>
      <x:c r="AE41" s="27"/>
      <x:c r="AF41" s="27"/>
      <x:c r="AG41" s="27"/>
      <x:c r="AH41" s="27"/>
      <x:c r="AI41" s="27"/>
      <x:c r="AJ41" s="27"/>
      <x:c r="AK41" s="27"/>
      <x:c r="AL41" s="27"/>
      <x:c r="AM41" s="27"/>
      <x:c r="AN41" s="27"/>
      <x:c r="AO41" s="27"/>
      <x:c r="AP41" s="27"/>
      <x:c r="AQ41" s="27"/>
      <x:c r="AR41" s="27"/>
      <x:c r="AS41" s="27"/>
      <x:c r="AT41" s="27"/>
      <x:c r="AU41" s="27"/>
      <x:c r="AV41" s="27"/>
      <x:c r="AW41" s="27"/>
      <x:c r="AX41" s="27"/>
      <x:c r="AY41" s="27"/>
      <x:c r="AZ41" s="27"/>
    </x:row>
    <x:row r="42">
      <x:c r="A42" s="27" t="str">
        <x:v>TE-MB-F-002</x:v>
      </x:c>
      <x:c r="B42" s="27" t="str">
        <x:v>TE football value</x:v>
      </x:c>
      <x:c r="C42" s="27" t="str">
        <x:v>Moneyball v1.0 ranks cards by Utility Surplus relative to expected FUS at the same displayed OVR; price is not included.</x:v>
      </x:c>
      <x:c r="D42" s="27" t="str">
        <x:v>Preliminary model</x:v>
      </x:c>
      <x:c r="E42" s="27" t="str">
        <x:v>Medium</x:v>
      </x:c>
      <x:c r="F42" s="27" t="str">
        <x:v>67 solved-archetype cards</x:v>
      </x:c>
      <x:c r="G42" s="27" t="str"/>
      <x:c r="H42" s="27" t="str">
        <x:v>TE-MONEY-001</x:v>
      </x:c>
      <x:c r="I42" s="27" t="str">
        <x:v>2026-08-01</x:v>
      </x:c>
      <x:c r="J42" s="27" t="str">
        <x:v>Football value, not coin value.</x:v>
      </x:c>
      <x:c r="K42" s="27"/>
      <x:c r="L42" s="27"/>
      <x:c r="M42" s="27"/>
      <x:c r="N42" s="27"/>
      <x:c r="O42" s="27"/>
      <x:c r="P42" s="27"/>
      <x:c r="Q42" s="27"/>
      <x:c r="R42" s="27"/>
      <x:c r="S42" s="27"/>
      <x:c r="T42" s="27"/>
      <x:c r="U42" s="27"/>
      <x:c r="V42" s="27"/>
      <x:c r="W42" s="27"/>
      <x:c r="X42" s="27"/>
      <x:c r="Y42" s="27"/>
      <x:c r="Z42" s="27"/>
      <x:c r="AA42" s="27"/>
      <x:c r="AB42" s="27"/>
      <x:c r="AC42" s="27"/>
      <x:c r="AD42" s="27"/>
      <x:c r="AE42" s="27"/>
      <x:c r="AF42" s="27"/>
      <x:c r="AG42" s="27"/>
      <x:c r="AH42" s="27"/>
      <x:c r="AI42" s="27"/>
      <x:c r="AJ42" s="27"/>
      <x:c r="AK42" s="27"/>
      <x:c r="AL42" s="27"/>
      <x:c r="AM42" s="27"/>
      <x:c r="AN42" s="27"/>
      <x:c r="AO42" s="27"/>
      <x:c r="AP42" s="27"/>
      <x:c r="AQ42" s="27"/>
      <x:c r="AR42" s="27"/>
      <x:c r="AS42" s="27"/>
      <x:c r="AT42" s="27"/>
      <x:c r="AU42" s="27"/>
      <x:c r="AV42" s="27"/>
      <x:c r="AW42" s="27"/>
      <x:c r="AX42" s="27"/>
      <x:c r="AY42" s="27"/>
      <x:c r="AZ42" s="27"/>
    </x:row>
    <x:row r="43">
      <x:c r="A43" s="27" t="str">
        <x:v>TE-MB-F-003</x:v>
      </x:c>
      <x:c r="B43" s="27" t="str">
        <x:v>Attribute valuation</x:v>
      </x:c>
      <x:c r="C43" s="27" t="str">
        <x:v>Positive Utility−EA weight gaps identify candidate undervalued attributes; negative gaps identify candidate OVR-overvalued attributes.</x:v>
      </x:c>
      <x:c r="D43" s="27" t="str">
        <x:v>Working hypothesis</x:v>
      </x:c>
      <x:c r="E43" s="27" t="str">
        <x:v>Medium</x:v>
      </x:c>
      <x:c r="F43" s="27" t="str">
        <x:v>Frozen OVR weights vs transparent utility weights</x:v>
      </x:c>
      <x:c r="G43" s="27" t="str"/>
      <x:c r="H43" s="27" t="str">
        <x:v>TE-MONEY-001</x:v>
      </x:c>
      <x:c r="I43" s="27" t="str">
        <x:v>2026-08-01</x:v>
      </x:c>
      <x:c r="J43" s="27" t="str">
        <x:v>Must be calibrated using gameplay/simulation outcomes.</x:v>
      </x:c>
      <x:c r="K43" s="27"/>
      <x:c r="L43" s="27"/>
      <x:c r="M43" s="27"/>
      <x:c r="N43" s="27"/>
      <x:c r="O43" s="27"/>
      <x:c r="P43" s="27"/>
      <x:c r="Q43" s="27"/>
      <x:c r="R43" s="27"/>
      <x:c r="S43" s="27"/>
      <x:c r="T43" s="27"/>
      <x:c r="U43" s="27"/>
      <x:c r="V43" s="27"/>
      <x:c r="W43" s="27"/>
      <x:c r="X43" s="27"/>
      <x:c r="Y43" s="27"/>
      <x:c r="Z43" s="27"/>
      <x:c r="AA43" s="27"/>
      <x:c r="AB43" s="27"/>
      <x:c r="AC43" s="27"/>
      <x:c r="AD43" s="27"/>
      <x:c r="AE43" s="27"/>
      <x:c r="AF43" s="27"/>
      <x:c r="AG43" s="27"/>
      <x:c r="AH43" s="27"/>
      <x:c r="AI43" s="27"/>
      <x:c r="AJ43" s="27"/>
      <x:c r="AK43" s="27"/>
      <x:c r="AL43" s="27"/>
      <x:c r="AM43" s="27"/>
      <x:c r="AN43" s="27"/>
      <x:c r="AO43" s="27"/>
      <x:c r="AP43" s="27"/>
      <x:c r="AQ43" s="27"/>
      <x:c r="AR43" s="27"/>
      <x:c r="AS43" s="27"/>
      <x:c r="AT43" s="27"/>
      <x:c r="AU43" s="27"/>
      <x:c r="AV43" s="27"/>
      <x:c r="AW43" s="27"/>
      <x:c r="AX43" s="27"/>
      <x:c r="AY43" s="27"/>
      <x:c r="AZ43" s="27"/>
    </x:row>
    <x:row r="44">
      <x:c r="A44" s="27" t="str">
        <x:v>TE-MB-F-004</x:v>
      </x:c>
      <x:c r="B44" s="27" t="str">
        <x:v>Validation architecture</x:v>
      </x:c>
      <x:c r="C44" s="27" t="str">
        <x:v>Moneyball v1.1 separates receiving, contested, routes, YAC, blocking, and balanced outcomes and freezes v1.0 weights during evidence collection.</x:v>
      </x:c>
      <x:c r="D44" s="27" t="str">
        <x:v>Framework established</x:v>
      </x:c>
      <x:c r="E44" s="27" t="str">
        <x:v>Confirmed</x:v>
      </x:c>
      <x:c r="F44" s="27" t="str">
        <x:v>TE_Validation_Plan</x:v>
      </x:c>
      <x:c r="G44" s="27" t="str"/>
      <x:c r="H44" s="27" t="str">
        <x:v>TE-MONEY-VAL-001</x:v>
      </x:c>
      <x:c r="I44" s="27" t="str">
        <x:v>2026-08-01</x:v>
      </x:c>
      <x:c r="J44" s="27" t="str">
        <x:v>Independent holdout required before promotion.</x:v>
      </x:c>
      <x:c r="K44" s="27"/>
      <x:c r="L44" s="27"/>
      <x:c r="M44" s="27"/>
      <x:c r="N44" s="27"/>
      <x:c r="O44" s="27"/>
      <x:c r="P44" s="27"/>
      <x:c r="Q44" s="27"/>
      <x:c r="R44" s="27"/>
      <x:c r="S44" s="27"/>
      <x:c r="T44" s="27"/>
      <x:c r="U44" s="27"/>
      <x:c r="V44" s="27"/>
      <x:c r="W44" s="27"/>
      <x:c r="X44" s="27"/>
      <x:c r="Y44" s="27"/>
      <x:c r="Z44" s="27"/>
      <x:c r="AA44" s="27"/>
      <x:c r="AB44" s="27"/>
      <x:c r="AC44" s="27"/>
      <x:c r="AD44" s="27"/>
      <x:c r="AE44" s="27"/>
      <x:c r="AF44" s="27"/>
      <x:c r="AG44" s="27"/>
      <x:c r="AH44" s="27"/>
      <x:c r="AI44" s="27"/>
      <x:c r="AJ44" s="27"/>
      <x:c r="AK44" s="27"/>
      <x:c r="AL44" s="27"/>
      <x:c r="AM44" s="27"/>
      <x:c r="AN44" s="27"/>
      <x:c r="AO44" s="27"/>
      <x:c r="AP44" s="27"/>
      <x:c r="AQ44" s="27"/>
      <x:c r="AR44" s="27"/>
      <x:c r="AS44" s="27"/>
      <x:c r="AT44" s="27"/>
      <x:c r="AU44" s="27"/>
      <x:c r="AV44" s="27"/>
      <x:c r="AW44" s="27"/>
      <x:c r="AX44" s="27"/>
      <x:c r="AY44" s="27"/>
      <x:c r="AZ44" s="27"/>
    </x:row>
    <x:row r="45">
      <x:c r="A45" s="27" t="str">
        <x:v>TE-MB-F-005</x:v>
      </x:c>
      <x:c r="B45" s="27" t="str">
        <x:v>Market framework</x:v>
      </x:c>
      <x:c r="C45" s="27" t="str">
        <x:v>Market ingestion now supports timestamped price, rolling median, low/high, population/liquidity, price/FUS, price/role score and value tier without inventing prices.</x:v>
      </x:c>
      <x:c r="D45" s="27" t="str">
        <x:v>Framework established</x:v>
      </x:c>
      <x:c r="E45" s="27" t="str">
        <x:v>Confirmed</x:v>
      </x:c>
      <x:c r="F45" s="27" t="str">
        <x:v>TE_Market_Prices</x:v>
      </x:c>
      <x:c r="G45" s="27" t="str"/>
      <x:c r="H45" s="27" t="str">
        <x:v>TE-MONEY-VAL-001</x:v>
      </x:c>
      <x:c r="I45" s="27" t="str">
        <x:v>2026-08-01</x:v>
      </x:c>
      <x:c r="J45" s="27" t="str">
        <x:v>All price fields blank until observed.</x:v>
      </x:c>
      <x:c r="K45" s="27"/>
      <x:c r="L45" s="27"/>
      <x:c r="M45" s="27"/>
      <x:c r="N45" s="27"/>
      <x:c r="O45" s="27"/>
      <x:c r="P45" s="27"/>
      <x:c r="Q45" s="27"/>
      <x:c r="R45" s="27"/>
      <x:c r="S45" s="27"/>
      <x:c r="T45" s="27"/>
      <x:c r="U45" s="27"/>
      <x:c r="V45" s="27"/>
      <x:c r="W45" s="27"/>
      <x:c r="X45" s="27"/>
      <x:c r="Y45" s="27"/>
      <x:c r="Z45" s="27"/>
      <x:c r="AA45" s="27"/>
      <x:c r="AB45" s="27"/>
      <x:c r="AC45" s="27"/>
      <x:c r="AD45" s="27"/>
      <x:c r="AE45" s="27"/>
      <x:c r="AF45" s="27"/>
      <x:c r="AG45" s="27"/>
      <x:c r="AH45" s="27"/>
      <x:c r="AI45" s="27"/>
      <x:c r="AJ45" s="27"/>
      <x:c r="AK45" s="27"/>
      <x:c r="AL45" s="27"/>
      <x:c r="AM45" s="27"/>
      <x:c r="AN45" s="27"/>
      <x:c r="AO45" s="27"/>
      <x:c r="AP45" s="27"/>
      <x:c r="AQ45" s="27"/>
      <x:c r="AR45" s="27"/>
      <x:c r="AS45" s="27"/>
      <x:c r="AT45" s="27"/>
      <x:c r="AU45" s="27"/>
      <x:c r="AV45" s="27"/>
      <x:c r="AW45" s="27"/>
      <x:c r="AX45" s="27"/>
      <x:c r="AY45" s="27"/>
      <x:c r="AZ45" s="27"/>
    </x:row>
    <x:row r="46">
      <x:c r="A46" s="270" t="str">
        <x:v>QB-F-001</x:v>
      </x:c>
      <x:c r="B46" s="270" t="str">
        <x:v>QB dataset</x:v>
      </x:c>
      <x:c r="C46" s="270" t="str">
        <x:v>The audited source contains 73 unique 80+ card/version records; page56 is an exact page45 duplicate.</x:v>
      </x:c>
      <x:c r="D46" s="270" t="str">
        <x:v>Observed</x:v>
      </x:c>
      <x:c r="E46" s="270" t="str">
        <x:v>Confirmed</x:v>
      </x:c>
      <x:c r="F46" s="270" t="str">
        <x:v>SRC-QB-001</x:v>
      </x:c>
      <x:c r="G46" s="270"/>
      <x:c r="H46" s="270" t="str">
        <x:v>QB audit v1.0</x:v>
      </x:c>
      <x:c r="I46" s="270" t="str">
        <x:v>2026-08-01</x:v>
      </x:c>
      <x:c r="J46" s="270" t="str">
        <x:v>Distinct program versions with identical ratings remain separate card records but one model profile.</x:v>
      </x:c>
      <x:c r="K46" s="27"/>
      <x:c r="L46" s="27"/>
      <x:c r="M46" s="27"/>
      <x:c r="N46" s="27"/>
      <x:c r="O46" s="27"/>
      <x:c r="P46" s="27"/>
      <x:c r="Q46" s="27"/>
      <x:c r="R46" s="27"/>
      <x:c r="S46" s="27"/>
      <x:c r="T46" s="27"/>
      <x:c r="U46" s="27"/>
      <x:c r="V46" s="27"/>
      <x:c r="W46" s="27"/>
      <x:c r="X46" s="27"/>
      <x:c r="Y46" s="27"/>
      <x:c r="Z46" s="27"/>
      <x:c r="AA46" s="27"/>
      <x:c r="AB46" s="27"/>
      <x:c r="AC46" s="27"/>
      <x:c r="AD46" s="27"/>
      <x:c r="AE46" s="27"/>
      <x:c r="AF46" s="27"/>
      <x:c r="AG46" s="27"/>
      <x:c r="AH46" s="27"/>
      <x:c r="AI46" s="27"/>
      <x:c r="AJ46" s="27"/>
      <x:c r="AK46" s="27"/>
      <x:c r="AL46" s="27"/>
      <x:c r="AM46" s="27"/>
      <x:c r="AN46" s="27"/>
      <x:c r="AO46" s="27"/>
      <x:c r="AP46" s="27"/>
      <x:c r="AQ46" s="27"/>
      <x:c r="AR46" s="27"/>
      <x:c r="AS46" s="27"/>
      <x:c r="AT46" s="27"/>
      <x:c r="AU46" s="27"/>
      <x:c r="AV46" s="27"/>
      <x:c r="AW46" s="27"/>
      <x:c r="AX46" s="27"/>
      <x:c r="AY46" s="27"/>
      <x:c r="AZ46" s="27"/>
    </x:row>
    <x:row r="47">
      <x:c r="A47" s="267" t="str">
        <x:v>QB-F-002</x:v>
      </x:c>
      <x:c r="B47" s="267" t="str">
        <x:v>QB architecture</x:v>
      </x:c>
      <x:c r="C47" s="267" t="str">
        <x:v>A shared QB positional weighting component is sufficient for Pocket Passer, Backfield Creator, and Dual Threat.</x:v>
      </x:c>
      <x:c r="D47" s="267" t="str">
        <x:v>Operational conclusion</x:v>
      </x:c>
      <x:c r="E47" s="267" t="str">
        <x:v>High</x:v>
      </x:c>
      <x:c r="F47" s="267" t="str">
        <x:v>100% within-archetype validation; 99.25% global holdout</x:v>
      </x:c>
      <x:c r="G47" s="267"/>
      <x:c r="H47" s="267" t="str">
        <x:v>QB-SHARED-001</x:v>
      </x:c>
      <x:c r="I47" s="267" t="str">
        <x:v>2026-08-01</x:v>
      </x:c>
      <x:c r="J47" s="267" t="str">
        <x:v>No archetype weight modifier is needed to meet the ≥98% standard.</x:v>
      </x:c>
      <x:c r="K47" s="27"/>
      <x:c r="L47" s="27"/>
      <x:c r="M47" s="27"/>
      <x:c r="N47" s="27"/>
      <x:c r="O47" s="27"/>
      <x:c r="P47" s="27"/>
      <x:c r="Q47" s="27"/>
      <x:c r="R47" s="27"/>
      <x:c r="S47" s="27"/>
      <x:c r="T47" s="27"/>
      <x:c r="U47" s="27"/>
      <x:c r="V47" s="27"/>
      <x:c r="W47" s="27"/>
      <x:c r="X47" s="27"/>
      <x:c r="Y47" s="27"/>
      <x:c r="Z47" s="27"/>
      <x:c r="AA47" s="27"/>
      <x:c r="AB47" s="27"/>
      <x:c r="AC47" s="27"/>
      <x:c r="AD47" s="27"/>
      <x:c r="AE47" s="27"/>
      <x:c r="AF47" s="27"/>
      <x:c r="AG47" s="27"/>
      <x:c r="AH47" s="27"/>
      <x:c r="AI47" s="27"/>
      <x:c r="AJ47" s="27"/>
      <x:c r="AK47" s="27"/>
      <x:c r="AL47" s="27"/>
      <x:c r="AM47" s="27"/>
      <x:c r="AN47" s="27"/>
      <x:c r="AO47" s="27"/>
      <x:c r="AP47" s="27"/>
      <x:c r="AQ47" s="27"/>
      <x:c r="AR47" s="27"/>
      <x:c r="AS47" s="27"/>
      <x:c r="AT47" s="27"/>
      <x:c r="AU47" s="27"/>
      <x:c r="AV47" s="27"/>
      <x:c r="AW47" s="27"/>
      <x:c r="AX47" s="27"/>
      <x:c r="AY47" s="27"/>
      <x:c r="AZ47" s="27"/>
    </x:row>
    <x:row r="48">
      <x:c r="A48" s="270" t="str">
        <x:v>QB-F-003</x:v>
      </x:c>
      <x:c r="B48" s="270" t="str">
        <x:v>QB formula</x:v>
      </x:c>
      <x:c r="C48" s="270" t="str">
        <x:v>Frozen rank score uses 3 SPD, 1 ACC, 8 AGI, 10 AWR, 18 THP, 12 SAC, 12 MAC, 18 DAC, 1 RUN, 9 TUP, 4 PAC, 4 BSK.</x:v>
      </x:c>
      <x:c r="D48" s="270" t="str">
        <x:v>Operationally solved</x:v>
      </x:c>
      <x:c r="E48" s="270" t="str">
        <x:v>High</x:v>
      </x:c>
      <x:c r="F48" s="270" t="str">
        <x:v>Development-only fit + untouched validation</x:v>
      </x:c>
      <x:c r="G48" s="270"/>
      <x:c r="H48" s="270" t="str">
        <x:v>QB-SHARED-001</x:v>
      </x:c>
      <x:c r="I48" s="270" t="str">
        <x:v>2026-08-01</x:v>
      </x:c>
      <x:c r="J48" s="270" t="str">
        <x:v>Divide weighted sum by 100; use empirical nonlinear bands for displayed OVR.</x:v>
      </x:c>
      <x:c r="K48" s="27"/>
      <x:c r="L48" s="27"/>
      <x:c r="M48" s="27"/>
      <x:c r="N48" s="27"/>
      <x:c r="O48" s="27"/>
      <x:c r="P48" s="27"/>
      <x:c r="Q48" s="27"/>
      <x:c r="R48" s="27"/>
      <x:c r="S48" s="27"/>
      <x:c r="T48" s="27"/>
      <x:c r="U48" s="27"/>
      <x:c r="V48" s="27"/>
      <x:c r="W48" s="27"/>
      <x:c r="X48" s="27"/>
      <x:c r="Y48" s="27"/>
      <x:c r="Z48" s="27"/>
      <x:c r="AA48" s="27"/>
      <x:c r="AB48" s="27"/>
      <x:c r="AC48" s="27"/>
      <x:c r="AD48" s="27"/>
      <x:c r="AE48" s="27"/>
      <x:c r="AF48" s="27"/>
      <x:c r="AG48" s="27"/>
      <x:c r="AH48" s="27"/>
      <x:c r="AI48" s="27"/>
      <x:c r="AJ48" s="27"/>
      <x:c r="AK48" s="27"/>
      <x:c r="AL48" s="27"/>
      <x:c r="AM48" s="27"/>
      <x:c r="AN48" s="27"/>
      <x:c r="AO48" s="27"/>
      <x:c r="AP48" s="27"/>
      <x:c r="AQ48" s="27"/>
      <x:c r="AR48" s="27"/>
      <x:c r="AS48" s="27"/>
      <x:c r="AT48" s="27"/>
      <x:c r="AU48" s="27"/>
      <x:c r="AV48" s="27"/>
      <x:c r="AW48" s="27"/>
      <x:c r="AX48" s="27"/>
      <x:c r="AY48" s="27"/>
      <x:c r="AZ48" s="27"/>
    </x:row>
    <x:row r="49">
      <x:c r="A49" s="267" t="str">
        <x:v>QB-F-004</x:v>
      </x:c>
      <x:c r="B49" s="267" t="str">
        <x:v>QB validation</x:v>
      </x:c>
      <x:c r="C49" s="267" t="str">
        <x:v>Shared model achieves 929/936 (99.25%) global holdout-involved and 2046/2057 (99.47%) full cross-OVR ordering.</x:v>
      </x:c>
      <x:c r="D49" s="267" t="str">
        <x:v>Independent validation</x:v>
      </x:c>
      <x:c r="E49" s="267" t="str">
        <x:v>High</x:v>
      </x:c>
      <x:c r="F49" s="267" t="str">
        <x:v>Player-disjoint holdout</x:v>
      </x:c>
      <x:c r="G49" s="267"/>
      <x:c r="H49" s="267" t="str">
        <x:v>QB-SHARED-001</x:v>
      </x:c>
      <x:c r="I49" s="267" t="str">
        <x:v>2026-08-01</x:v>
      </x:c>
      <x:c r="J49" s="267" t="str">
        <x:v>11 cross-archetype inversions retained without refit.</x:v>
      </x:c>
      <x:c r="K49" s="27"/>
      <x:c r="L49" s="27"/>
      <x:c r="M49" s="27"/>
      <x:c r="N49" s="27"/>
      <x:c r="O49" s="27"/>
      <x:c r="P49" s="27"/>
      <x:c r="Q49" s="27"/>
      <x:c r="R49" s="27"/>
      <x:c r="S49" s="27"/>
      <x:c r="T49" s="27"/>
      <x:c r="U49" s="27"/>
      <x:c r="V49" s="27"/>
      <x:c r="W49" s="27"/>
      <x:c r="X49" s="27"/>
      <x:c r="Y49" s="27"/>
      <x:c r="Z49" s="27"/>
      <x:c r="AA49" s="27"/>
      <x:c r="AB49" s="27"/>
      <x:c r="AC49" s="27"/>
      <x:c r="AD49" s="27"/>
      <x:c r="AE49" s="27"/>
      <x:c r="AF49" s="27"/>
      <x:c r="AG49" s="27"/>
      <x:c r="AH49" s="27"/>
      <x:c r="AI49" s="27"/>
      <x:c r="AJ49" s="27"/>
      <x:c r="AK49" s="27"/>
      <x:c r="AL49" s="27"/>
      <x:c r="AM49" s="27"/>
      <x:c r="AN49" s="27"/>
      <x:c r="AO49" s="27"/>
      <x:c r="AP49" s="27"/>
      <x:c r="AQ49" s="27"/>
      <x:c r="AR49" s="27"/>
      <x:c r="AS49" s="27"/>
      <x:c r="AT49" s="27"/>
      <x:c r="AU49" s="27"/>
      <x:c r="AV49" s="27"/>
      <x:c r="AW49" s="27"/>
      <x:c r="AX49" s="27"/>
      <x:c r="AY49" s="27"/>
      <x:c r="AZ49" s="27"/>
    </x:row>
    <x:row r="50">
      <x:c r="A50" s="270" t="str">
        <x:v>QB-F-005</x:v>
      </x:c>
      <x:c r="B50" s="270" t="str">
        <x:v>QB archetype overfit</x:v>
      </x:c>
      <x:c r="C50" s="270" t="str">
        <x:v>Separate Backfield Creator and Dual Threat fits scored 100% development but only 94.4% and 90.0% validation.</x:v>
      </x:c>
      <x:c r="D50" s="270" t="str">
        <x:v>Validated rejection</x:v>
      </x:c>
      <x:c r="E50" s="270" t="str">
        <x:v>High</x:v>
      </x:c>
      <x:c r="F50" s="270" t="str">
        <x:v>Frozen holdout results</x:v>
      </x:c>
      <x:c r="G50" s="270"/>
      <x:c r="H50" s="270" t="str">
        <x:v>QB-ARCH-BC-001 / QB-ARCH-DT-001</x:v>
      </x:c>
      <x:c r="I50" s="270" t="str">
        <x:v>2026-08-01</x:v>
      </x:c>
      <x:c r="J50" s="270" t="str">
        <x:v>Preserved; not production models.</x:v>
      </x:c>
      <x:c r="K50" s="27"/>
      <x:c r="L50" s="27"/>
      <x:c r="M50" s="27"/>
      <x:c r="N50" s="27"/>
      <x:c r="O50" s="27"/>
      <x:c r="P50" s="27"/>
      <x:c r="Q50" s="27"/>
      <x:c r="R50" s="27"/>
      <x:c r="S50" s="27"/>
      <x:c r="T50" s="27"/>
      <x:c r="U50" s="27"/>
      <x:c r="V50" s="27"/>
      <x:c r="W50" s="27"/>
      <x:c r="X50" s="27"/>
      <x:c r="Y50" s="27"/>
      <x:c r="Z50" s="27"/>
      <x:c r="AA50" s="27"/>
      <x:c r="AB50" s="27"/>
      <x:c r="AC50" s="27"/>
      <x:c r="AD50" s="27"/>
      <x:c r="AE50" s="27"/>
      <x:c r="AF50" s="27"/>
      <x:c r="AG50" s="27"/>
      <x:c r="AH50" s="27"/>
      <x:c r="AI50" s="27"/>
      <x:c r="AJ50" s="27"/>
      <x:c r="AK50" s="27"/>
      <x:c r="AL50" s="27"/>
      <x:c r="AM50" s="27"/>
      <x:c r="AN50" s="27"/>
      <x:c r="AO50" s="27"/>
      <x:c r="AP50" s="27"/>
      <x:c r="AQ50" s="27"/>
      <x:c r="AR50" s="27"/>
      <x:c r="AS50" s="27"/>
      <x:c r="AT50" s="27"/>
      <x:c r="AU50" s="27"/>
      <x:c r="AV50" s="27"/>
      <x:c r="AW50" s="27"/>
      <x:c r="AX50" s="27"/>
      <x:c r="AY50" s="27"/>
      <x:c r="AZ50" s="27"/>
    </x:row>
    <x:row r="51">
      <x:c r="A51" s="267" t="str">
        <x:v>QB-F-006</x:v>
      </x:c>
      <x:c r="B51" s="267" t="str">
        <x:v>Madden 19 reference</x:v>
      </x:c>
      <x:c r="C51" s="267" t="str">
        <x:v>Historical QB weights are useful priors but do not transfer exactly to CFB27.</x:v>
      </x:c>
      <x:c r="D51" s="267" t="str">
        <x:v>External prior partially retained</x:v>
      </x:c>
      <x:c r="E51" s="267" t="str">
        <x:v>High</x:v>
      </x:c>
      <x:c r="F51" s="267" t="str">
        <x:v>PP dev: best historical West Coast 600/622 (96.5%)</x:v>
      </x:c>
      <x:c r="G51" s="267"/>
      <x:c r="H51" s="267" t="str">
        <x:v>SRC-M19-QB-001</x:v>
      </x:c>
      <x:c r="I51" s="267" t="str">
        <x:v>2026-08-01</x:v>
      </x:c>
      <x:c r="J51" s="267" t="str">
        <x:v>Historical architecture only.</x:v>
      </x:c>
      <x:c r="K51" s="27"/>
      <x:c r="L51" s="27"/>
      <x:c r="M51" s="27"/>
      <x:c r="N51" s="27"/>
      <x:c r="O51" s="27"/>
      <x:c r="P51" s="27"/>
      <x:c r="Q51" s="27"/>
      <x:c r="R51" s="27"/>
      <x:c r="S51" s="27"/>
      <x:c r="T51" s="27"/>
      <x:c r="U51" s="27"/>
      <x:c r="V51" s="27"/>
      <x:c r="W51" s="27"/>
      <x:c r="X51" s="27"/>
      <x:c r="Y51" s="27"/>
      <x:c r="Z51" s="27"/>
      <x:c r="AA51" s="27"/>
      <x:c r="AB51" s="27"/>
      <x:c r="AC51" s="27"/>
      <x:c r="AD51" s="27"/>
      <x:c r="AE51" s="27"/>
      <x:c r="AF51" s="27"/>
      <x:c r="AG51" s="27"/>
      <x:c r="AH51" s="27"/>
      <x:c r="AI51" s="27"/>
      <x:c r="AJ51" s="27"/>
      <x:c r="AK51" s="27"/>
      <x:c r="AL51" s="27"/>
      <x:c r="AM51" s="27"/>
      <x:c r="AN51" s="27"/>
      <x:c r="AO51" s="27"/>
      <x:c r="AP51" s="27"/>
      <x:c r="AQ51" s="27"/>
      <x:c r="AR51" s="27"/>
      <x:c r="AS51" s="27"/>
      <x:c r="AT51" s="27"/>
      <x:c r="AU51" s="27"/>
      <x:c r="AV51" s="27"/>
      <x:c r="AW51" s="27"/>
      <x:c r="AX51" s="27"/>
      <x:c r="AY51" s="27"/>
      <x:c r="AZ51" s="27"/>
    </x:row>
    <x:row r="52">
      <x:c r="A52" s="270" t="str">
        <x:v>QB-F-007</x:v>
      </x:c>
      <x:c r="B52" s="270" t="str">
        <x:v>QB attribute influence</x:v>
      </x:c>
      <x:c r="C52" s="270" t="str">
        <x:v>Major: THP, DAC. Moderate: AGI, AWR, SAC, MAC, TUP. Low: SPD, ACC, RUN, PAC, BSK. Structural zero: STR, TGH, TAC.</x:v>
      </x:c>
      <x:c r="D52" s="270" t="str">
        <x:v>Frozen-model classification</x:v>
      </x:c>
      <x:c r="E52" s="270" t="str">
        <x:v>High predictive / noncausal</x:v>
      </x:c>
      <x:c r="F52" s="270" t="str">
        <x:v>QB-SHARED-001</x:v>
      </x:c>
      <x:c r="G52" s="270"/>
      <x:c r="H52" s="270" t="str">
        <x:v>QB-SHARED-001</x:v>
      </x:c>
      <x:c r="I52" s="270" t="str">
        <x:v>2026-08-01</x:v>
      </x:c>
      <x:c r="J52" s="270" t="str">
        <x:v>Zero means no weight needed for this predictive model; it is not a claim of zero gameplay value.</x:v>
      </x:c>
      <x:c r="K52" s="27"/>
      <x:c r="L52" s="27"/>
      <x:c r="M52" s="27"/>
      <x:c r="N52" s="27"/>
      <x:c r="O52" s="27"/>
      <x:c r="P52" s="27"/>
      <x:c r="Q52" s="27"/>
      <x:c r="R52" s="27"/>
      <x:c r="S52" s="27"/>
      <x:c r="T52" s="27"/>
      <x:c r="U52" s="27"/>
      <x:c r="V52" s="27"/>
      <x:c r="W52" s="27"/>
      <x:c r="X52" s="27"/>
      <x:c r="Y52" s="27"/>
      <x:c r="Z52" s="27"/>
      <x:c r="AA52" s="27"/>
      <x:c r="AB52" s="27"/>
      <x:c r="AC52" s="27"/>
      <x:c r="AD52" s="27"/>
      <x:c r="AE52" s="27"/>
      <x:c r="AF52" s="27"/>
      <x:c r="AG52" s="27"/>
      <x:c r="AH52" s="27"/>
      <x:c r="AI52" s="27"/>
      <x:c r="AJ52" s="27"/>
      <x:c r="AK52" s="27"/>
      <x:c r="AL52" s="27"/>
      <x:c r="AM52" s="27"/>
      <x:c r="AN52" s="27"/>
      <x:c r="AO52" s="27"/>
      <x:c r="AP52" s="27"/>
      <x:c r="AQ52" s="27"/>
      <x:c r="AR52" s="27"/>
      <x:c r="AS52" s="27"/>
      <x:c r="AT52" s="27"/>
      <x:c r="AU52" s="27"/>
      <x:c r="AV52" s="27"/>
      <x:c r="AW52" s="27"/>
      <x:c r="AX52" s="27"/>
      <x:c r="AY52" s="27"/>
      <x:c r="AZ52" s="27"/>
    </x:row>
    <x:row r="53">
      <x:c r="A53" s="267" t="str">
        <x:v>QB-F-008</x:v>
      </x:c>
      <x:c r="B53" s="267" t="str">
        <x:v>Optional mobility attributes</x:v>
      </x:c>
      <x:c r="C53" s="267" t="str">
        <x:v>CAR/BCV/JKM/SPM/TRK/SFA/COD/BTK are not consistently visible across all source pages.</x:v>
      </x:c>
      <x:c r="D53" s="267" t="str">
        <x:v>Unresolved</x:v>
      </x:c>
      <x:c r="E53" s="267" t="str">
        <x:v>High</x:v>
      </x:c>
      <x:c r="F53" s="267" t="str">
        <x:v>Source crop audit</x:v>
      </x:c>
      <x:c r="G53" s="267"/>
      <x:c r="H53" s="267" t="str">
        <x:v>QB Formula Phase</x:v>
      </x:c>
      <x:c r="I53" s="267" t="str">
        <x:v>2026-08-01</x:v>
      </x:c>
      <x:c r="J53" s="267" t="str">
        <x:v>Excluded from complete-case fit; blanks/backlog used instead of guessing.</x:v>
      </x:c>
      <x:c r="K53" s="27"/>
      <x:c r="L53" s="27"/>
      <x:c r="M53" s="27"/>
      <x:c r="N53" s="27"/>
      <x:c r="O53" s="27"/>
      <x:c r="P53" s="27"/>
      <x:c r="Q53" s="27"/>
      <x:c r="R53" s="27"/>
      <x:c r="S53" s="27"/>
      <x:c r="T53" s="27"/>
      <x:c r="U53" s="27"/>
      <x:c r="V53" s="27"/>
      <x:c r="W53" s="27"/>
      <x:c r="X53" s="27"/>
      <x:c r="Y53" s="27"/>
      <x:c r="Z53" s="27"/>
      <x:c r="AA53" s="27"/>
      <x:c r="AB53" s="27"/>
      <x:c r="AC53" s="27"/>
      <x:c r="AD53" s="27"/>
      <x:c r="AE53" s="27"/>
      <x:c r="AF53" s="27"/>
      <x:c r="AG53" s="27"/>
      <x:c r="AH53" s="27"/>
      <x:c r="AI53" s="27"/>
      <x:c r="AJ53" s="27"/>
      <x:c r="AK53" s="27"/>
      <x:c r="AL53" s="27"/>
      <x:c r="AM53" s="27"/>
      <x:c r="AN53" s="27"/>
      <x:c r="AO53" s="27"/>
      <x:c r="AP53" s="27"/>
      <x:c r="AQ53" s="27"/>
      <x:c r="AR53" s="27"/>
      <x:c r="AS53" s="27"/>
      <x:c r="AT53" s="27"/>
      <x:c r="AU53" s="27"/>
      <x:c r="AV53" s="27"/>
      <x:c r="AW53" s="27"/>
      <x:c r="AX53" s="27"/>
      <x:c r="AY53" s="27"/>
      <x:c r="AZ53" s="27"/>
    </x:row>
    <x:row r="54">
      <x:c r="A54" s="270" t="str">
        <x:v>QB-F-009</x:v>
      </x:c>
      <x:c r="B54" s="270" t="str">
        <x:v>QB progression</x:v>
      </x:c>
      <x:c r="C54" s="270" t="str">
        <x:v>Joey Harrington 79→81→84→86 provides same-program boundary evidence and is consistent with the frozen shared score ordering.</x:v>
      </x:c>
      <x:c r="D54" s="270" t="str">
        <x:v>Observed boundary support</x:v>
      </x:c>
      <x:c r="E54" s="270" t="str">
        <x:v>High</x:v>
      </x:c>
      <x:c r="F54" s="270" t="str">
        <x:v>SRC-QB-002</x:v>
      </x:c>
      <x:c r="G54" s="270"/>
      <x:c r="H54" s="270" t="str">
        <x:v>QB-SHARED-001</x:v>
      </x:c>
      <x:c r="I54" s="270" t="str">
        <x:v>2026-08-01</x:v>
      </x:c>
      <x:c r="J54" s="270" t="str">
        <x:v>No intermediate thresholds inferred where no card exists.</x:v>
      </x:c>
      <x:c r="K54" s="27"/>
      <x:c r="L54" s="27"/>
      <x:c r="M54" s="27"/>
      <x:c r="N54" s="27"/>
      <x:c r="O54" s="27"/>
      <x:c r="P54" s="27"/>
      <x:c r="Q54" s="27"/>
      <x:c r="R54" s="27"/>
      <x:c r="S54" s="27"/>
      <x:c r="T54" s="27"/>
      <x:c r="U54" s="27"/>
      <x:c r="V54" s="27"/>
      <x:c r="W54" s="27"/>
      <x:c r="X54" s="27"/>
      <x:c r="Y54" s="27"/>
      <x:c r="Z54" s="27"/>
      <x:c r="AA54" s="27"/>
      <x:c r="AB54" s="27"/>
      <x:c r="AC54" s="27"/>
      <x:c r="AD54" s="27"/>
      <x:c r="AE54" s="27"/>
      <x:c r="AF54" s="27"/>
      <x:c r="AG54" s="27"/>
      <x:c r="AH54" s="27"/>
      <x:c r="AI54" s="27"/>
      <x:c r="AJ54" s="27"/>
      <x:c r="AK54" s="27"/>
      <x:c r="AL54" s="27"/>
      <x:c r="AM54" s="27"/>
      <x:c r="AN54" s="27"/>
      <x:c r="AO54" s="27"/>
      <x:c r="AP54" s="27"/>
      <x:c r="AQ54" s="27"/>
      <x:c r="AR54" s="27"/>
      <x:c r="AS54" s="27"/>
      <x:c r="AT54" s="27"/>
      <x:c r="AU54" s="27"/>
      <x:c r="AV54" s="27"/>
      <x:c r="AW54" s="27"/>
      <x:c r="AX54" s="27"/>
      <x:c r="AY54" s="27"/>
      <x:c r="AZ54" s="27"/>
    </x:row>
    <x:row r="55">
      <x:c r="A55" s="267" t="str">
        <x:v>QB-F-010</x:v>
      </x:c>
      <x:c r="B55" s="267" t="str">
        <x:v>Pure Runner</x:v>
      </x:c>
      <x:c r="C55" s="267" t="str">
        <x:v>Pure Runner remains below the minimum evidence floor: 3 profiles, 2 OVR tiers, 2 cross-OVR pairs, no holdout.</x:v>
      </x:c>
      <x:c r="D55" s="267" t="str">
        <x:v>Insufficient evidence</x:v>
      </x:c>
      <x:c r="E55" s="267" t="str">
        <x:v>High</x:v>
      </x:c>
      <x:c r="F55" s="267" t="str">
        <x:v>SRC-QB-001</x:v>
      </x:c>
      <x:c r="G55" s="267"/>
      <x:c r="H55" s="267" t="str">
        <x:v>QB-PR-REF-001</x:v>
      </x:c>
      <x:c r="I55" s="267" t="str">
        <x:v>2026-08-01</x:v>
      </x:c>
      <x:c r="J55" s="267" t="str">
        <x:v>Complete exact acquisition and controlled-upgrade assignment before fitting.</x:v>
      </x:c>
      <x:c r="K55" s="27"/>
      <x:c r="L55" s="27"/>
      <x:c r="M55" s="27"/>
      <x:c r="N55" s="27"/>
      <x:c r="O55" s="27"/>
      <x:c r="P55" s="27"/>
      <x:c r="Q55" s="27"/>
      <x:c r="R55" s="27"/>
      <x:c r="S55" s="27"/>
      <x:c r="T55" s="27"/>
      <x:c r="U55" s="27"/>
      <x:c r="V55" s="27"/>
      <x:c r="W55" s="27"/>
      <x:c r="X55" s="27"/>
      <x:c r="Y55" s="27"/>
      <x:c r="Z55" s="27"/>
      <x:c r="AA55" s="27"/>
      <x:c r="AB55" s="27"/>
      <x:c r="AC55" s="27"/>
      <x:c r="AD55" s="27"/>
      <x:c r="AE55" s="27"/>
      <x:c r="AF55" s="27"/>
      <x:c r="AG55" s="27"/>
      <x:c r="AH55" s="27"/>
      <x:c r="AI55" s="27"/>
      <x:c r="AJ55" s="27"/>
      <x:c r="AK55" s="27"/>
      <x:c r="AL55" s="27"/>
      <x:c r="AM55" s="27"/>
      <x:c r="AN55" s="27"/>
      <x:c r="AO55" s="27"/>
      <x:c r="AP55" s="27"/>
      <x:c r="AQ55" s="27"/>
      <x:c r="AR55" s="27"/>
      <x:c r="AS55" s="27"/>
      <x:c r="AT55" s="27"/>
      <x:c r="AU55" s="27"/>
      <x:c r="AV55" s="27"/>
      <x:c r="AW55" s="27"/>
      <x:c r="AX55" s="27"/>
      <x:c r="AY55" s="27"/>
      <x:c r="AZ55" s="27"/>
    </x:row>
    <x:row r="56">
      <x:c r="A56" s="270" t="str">
        <x:v>QB-F-011</x:v>
      </x:c>
      <x:c r="B56" s="270" t="str">
        <x:v>QB phase</x:v>
      </x:c>
      <x:c r="C56" s="270" t="str">
        <x:v>Every adequately represented QB archetype meets the ≥98% operational standard under QB-SHARED-001.</x:v>
      </x:c>
      <x:c r="D56" s="270" t="str">
        <x:v>PHASE COMPLETE — OPERATIONAL</x:v>
      </x:c>
      <x:c r="E56" s="270" t="str">
        <x:v>High</x:v>
      </x:c>
      <x:c r="F56" s="270" t="str">
        <x:v>QB_STATUS_BOARD</x:v>
      </x:c>
      <x:c r="G56" s="270"/>
      <x:c r="H56" s="270" t="str">
        <x:v>QB Formula Phase</x:v>
      </x:c>
      <x:c r="I56" s="270" t="str">
        <x:v>2026-08-01</x:v>
      </x:c>
      <x:c r="J56" s="270" t="str">
        <x:v>Pure Runner retained as explicit inadequate-sample exception.</x:v>
      </x:c>
      <x:c r="K56" s="27"/>
      <x:c r="L56" s="27"/>
      <x:c r="M56" s="27"/>
      <x:c r="N56" s="27"/>
      <x:c r="O56" s="27"/>
      <x:c r="P56" s="27"/>
      <x:c r="Q56" s="27"/>
      <x:c r="R56" s="27"/>
      <x:c r="S56" s="27"/>
      <x:c r="T56" s="27"/>
      <x:c r="U56" s="27"/>
      <x:c r="V56" s="27"/>
      <x:c r="W56" s="27"/>
      <x:c r="X56" s="27"/>
      <x:c r="Y56" s="27"/>
      <x:c r="Z56" s="27"/>
      <x:c r="AA56" s="27"/>
      <x:c r="AB56" s="27"/>
      <x:c r="AC56" s="27"/>
      <x:c r="AD56" s="27"/>
      <x:c r="AE56" s="27"/>
      <x:c r="AF56" s="27"/>
      <x:c r="AG56" s="27"/>
      <x:c r="AH56" s="27"/>
      <x:c r="AI56" s="27"/>
      <x:c r="AJ56" s="27"/>
      <x:c r="AK56" s="27"/>
      <x:c r="AL56" s="27"/>
      <x:c r="AM56" s="27"/>
      <x:c r="AN56" s="27"/>
      <x:c r="AO56" s="27"/>
      <x:c r="AP56" s="27"/>
      <x:c r="AQ56" s="27"/>
      <x:c r="AR56" s="27"/>
      <x:c r="AS56" s="27"/>
      <x:c r="AT56" s="27"/>
      <x:c r="AU56" s="27"/>
      <x:c r="AV56" s="27"/>
      <x:c r="AW56" s="27"/>
      <x:c r="AX56" s="27"/>
      <x:c r="AY56" s="27"/>
      <x:c r="AZ56" s="27"/>
    </x:row>
    <x:row r="57">
      <x:c r="A57" s="27"/>
      <x:c r="B57" s="27"/>
      <x:c r="C57" s="27"/>
      <x:c r="D57" s="27"/>
      <x:c r="E57" s="27"/>
      <x:c r="F57" s="27"/>
      <x:c r="G57" s="27"/>
      <x:c r="H57" s="27"/>
      <x:c r="I57" s="27"/>
      <x:c r="J57" s="27"/>
      <x:c r="K57" s="27"/>
      <x:c r="L57" s="27"/>
      <x:c r="M57" s="27"/>
      <x:c r="N57" s="27"/>
      <x:c r="O57" s="27"/>
      <x:c r="P57" s="27"/>
      <x:c r="Q57" s="27"/>
      <x:c r="R57" s="27"/>
      <x:c r="S57" s="27"/>
      <x:c r="T57" s="27"/>
      <x:c r="U57" s="27"/>
      <x:c r="V57" s="27"/>
      <x:c r="W57" s="27"/>
      <x:c r="X57" s="27"/>
      <x:c r="Y57" s="27"/>
      <x:c r="Z57" s="27"/>
      <x:c r="AA57" s="27"/>
      <x:c r="AB57" s="27"/>
      <x:c r="AC57" s="27"/>
      <x:c r="AD57" s="27"/>
      <x:c r="AE57" s="27"/>
      <x:c r="AF57" s="27"/>
      <x:c r="AG57" s="27"/>
      <x:c r="AH57" s="27"/>
      <x:c r="AI57" s="27"/>
      <x:c r="AJ57" s="27"/>
      <x:c r="AK57" s="27"/>
      <x:c r="AL57" s="27"/>
      <x:c r="AM57" s="27"/>
      <x:c r="AN57" s="27"/>
      <x:c r="AO57" s="27"/>
      <x:c r="AP57" s="27"/>
      <x:c r="AQ57" s="27"/>
      <x:c r="AR57" s="27"/>
      <x:c r="AS57" s="27"/>
      <x:c r="AT57" s="27"/>
      <x:c r="AU57" s="27"/>
      <x:c r="AV57" s="27"/>
      <x:c r="AW57" s="27"/>
      <x:c r="AX57" s="27"/>
      <x:c r="AY57" s="27"/>
      <x:c r="AZ57" s="27"/>
    </x:row>
    <x:row r="58">
      <x:c r="A58" s="27"/>
      <x:c r="B58" s="27"/>
      <x:c r="C58" s="27"/>
      <x:c r="D58" s="27"/>
      <x:c r="E58" s="27"/>
      <x:c r="F58" s="27"/>
      <x:c r="G58" s="27"/>
      <x:c r="H58" s="27"/>
      <x:c r="I58" s="27"/>
      <x:c r="J58" s="27"/>
      <x:c r="K58" s="27"/>
      <x:c r="L58" s="27"/>
      <x:c r="M58" s="27"/>
      <x:c r="N58" s="27"/>
      <x:c r="O58" s="27"/>
      <x:c r="P58" s="27"/>
      <x:c r="Q58" s="27"/>
      <x:c r="R58" s="27"/>
      <x:c r="S58" s="27"/>
      <x:c r="T58" s="27"/>
      <x:c r="U58" s="27"/>
      <x:c r="V58" s="27"/>
      <x:c r="W58" s="27"/>
      <x:c r="X58" s="27"/>
      <x:c r="Y58" s="27"/>
      <x:c r="Z58" s="27"/>
      <x:c r="AA58" s="27"/>
      <x:c r="AB58" s="27"/>
      <x:c r="AC58" s="27"/>
      <x:c r="AD58" s="27"/>
      <x:c r="AE58" s="27"/>
      <x:c r="AF58" s="27"/>
      <x:c r="AG58" s="27"/>
      <x:c r="AH58" s="27"/>
      <x:c r="AI58" s="27"/>
      <x:c r="AJ58" s="27"/>
      <x:c r="AK58" s="27"/>
      <x:c r="AL58" s="27"/>
      <x:c r="AM58" s="27"/>
      <x:c r="AN58" s="27"/>
      <x:c r="AO58" s="27"/>
      <x:c r="AP58" s="27"/>
      <x:c r="AQ58" s="27"/>
      <x:c r="AR58" s="27"/>
      <x:c r="AS58" s="27"/>
      <x:c r="AT58" s="27"/>
      <x:c r="AU58" s="27"/>
      <x:c r="AV58" s="27"/>
      <x:c r="AW58" s="27"/>
      <x:c r="AX58" s="27"/>
      <x:c r="AY58" s="27"/>
      <x:c r="AZ58" s="27"/>
    </x:row>
    <x:row r="59">
      <x:c r="A59" s="27"/>
      <x:c r="B59" s="27"/>
      <x:c r="C59" s="27"/>
      <x:c r="D59" s="27"/>
      <x:c r="E59" s="27"/>
      <x:c r="F59" s="27"/>
      <x:c r="G59" s="27"/>
      <x:c r="H59" s="27"/>
      <x:c r="I59" s="27"/>
      <x:c r="J59" s="27"/>
      <x:c r="K59" s="27"/>
      <x:c r="L59" s="27"/>
      <x:c r="M59" s="27"/>
      <x:c r="N59" s="27"/>
      <x:c r="O59" s="27"/>
      <x:c r="P59" s="27"/>
      <x:c r="Q59" s="27"/>
      <x:c r="R59" s="27"/>
      <x:c r="S59" s="27"/>
      <x:c r="T59" s="27"/>
      <x:c r="U59" s="27"/>
      <x:c r="V59" s="27"/>
      <x:c r="W59" s="27"/>
      <x:c r="X59" s="27"/>
      <x:c r="Y59" s="27"/>
      <x:c r="Z59" s="27"/>
      <x:c r="AA59" s="27"/>
      <x:c r="AB59" s="27"/>
      <x:c r="AC59" s="27"/>
      <x:c r="AD59" s="27"/>
      <x:c r="AE59" s="27"/>
      <x:c r="AF59" s="27"/>
      <x:c r="AG59" s="27"/>
      <x:c r="AH59" s="27"/>
      <x:c r="AI59" s="27"/>
      <x:c r="AJ59" s="27"/>
      <x:c r="AK59" s="27"/>
      <x:c r="AL59" s="27"/>
      <x:c r="AM59" s="27"/>
      <x:c r="AN59" s="27"/>
      <x:c r="AO59" s="27"/>
      <x:c r="AP59" s="27"/>
      <x:c r="AQ59" s="27"/>
      <x:c r="AR59" s="27"/>
      <x:c r="AS59" s="27"/>
      <x:c r="AT59" s="27"/>
      <x:c r="AU59" s="27"/>
      <x:c r="AV59" s="27"/>
      <x:c r="AW59" s="27"/>
      <x:c r="AX59" s="27"/>
      <x:c r="AY59" s="27"/>
      <x:c r="AZ59" s="27"/>
    </x:row>
    <x:row r="60">
      <x:c r="A60" s="27"/>
      <x:c r="B60" s="27"/>
      <x:c r="C60" s="27"/>
      <x:c r="D60" s="27"/>
      <x:c r="E60" s="27"/>
      <x:c r="F60" s="27"/>
      <x:c r="G60" s="27"/>
      <x:c r="H60" s="27"/>
      <x:c r="I60" s="27"/>
      <x:c r="J60" s="27"/>
      <x:c r="K60" s="27"/>
      <x:c r="L60" s="27"/>
      <x:c r="M60" s="27"/>
      <x:c r="N60" s="27"/>
      <x:c r="O60" s="27"/>
      <x:c r="P60" s="27"/>
      <x:c r="Q60" s="27"/>
      <x:c r="R60" s="27"/>
      <x:c r="S60" s="27"/>
      <x:c r="T60" s="27"/>
      <x:c r="U60" s="27"/>
      <x:c r="V60" s="27"/>
      <x:c r="W60" s="27"/>
      <x:c r="X60" s="27"/>
      <x:c r="Y60" s="27"/>
      <x:c r="Z60" s="27"/>
      <x:c r="AA60" s="27"/>
      <x:c r="AB60" s="27"/>
      <x:c r="AC60" s="27"/>
      <x:c r="AD60" s="27"/>
      <x:c r="AE60" s="27"/>
      <x:c r="AF60" s="27"/>
      <x:c r="AG60" s="27"/>
      <x:c r="AH60" s="27"/>
      <x:c r="AI60" s="27"/>
      <x:c r="AJ60" s="27"/>
      <x:c r="AK60" s="27"/>
      <x:c r="AL60" s="27"/>
      <x:c r="AM60" s="27"/>
      <x:c r="AN60" s="27"/>
      <x:c r="AO60" s="27"/>
      <x:c r="AP60" s="27"/>
      <x:c r="AQ60" s="27"/>
      <x:c r="AR60" s="27"/>
      <x:c r="AS60" s="27"/>
      <x:c r="AT60" s="27"/>
      <x:c r="AU60" s="27"/>
      <x:c r="AV60" s="27"/>
      <x:c r="AW60" s="27"/>
      <x:c r="AX60" s="27"/>
      <x:c r="AY60" s="27"/>
      <x:c r="AZ60" s="27"/>
    </x:row>
    <x:row r="61">
      <x:c r="A61" s="27"/>
      <x:c r="B61" s="27"/>
      <x:c r="C61" s="27"/>
      <x:c r="D61" s="27"/>
      <x:c r="E61" s="27"/>
      <x:c r="F61" s="27"/>
      <x:c r="G61" s="27"/>
      <x:c r="H61" s="27"/>
      <x:c r="I61" s="27"/>
      <x:c r="J61" s="27"/>
      <x:c r="K61" s="27"/>
      <x:c r="L61" s="27"/>
      <x:c r="M61" s="27"/>
      <x:c r="N61" s="27"/>
      <x:c r="O61" s="27"/>
      <x:c r="P61" s="27"/>
      <x:c r="Q61" s="27"/>
      <x:c r="R61" s="27"/>
      <x:c r="S61" s="27"/>
      <x:c r="T61" s="27"/>
      <x:c r="U61" s="27"/>
      <x:c r="V61" s="27"/>
      <x:c r="W61" s="27"/>
      <x:c r="X61" s="27"/>
      <x:c r="Y61" s="27"/>
      <x:c r="Z61" s="27"/>
      <x:c r="AA61" s="27"/>
      <x:c r="AB61" s="27"/>
      <x:c r="AC61" s="27"/>
      <x:c r="AD61" s="27"/>
      <x:c r="AE61" s="27"/>
      <x:c r="AF61" s="27"/>
      <x:c r="AG61" s="27"/>
      <x:c r="AH61" s="27"/>
      <x:c r="AI61" s="27"/>
      <x:c r="AJ61" s="27"/>
      <x:c r="AK61" s="27"/>
      <x:c r="AL61" s="27"/>
      <x:c r="AM61" s="27"/>
      <x:c r="AN61" s="27"/>
      <x:c r="AO61" s="27"/>
      <x:c r="AP61" s="27"/>
      <x:c r="AQ61" s="27"/>
      <x:c r="AR61" s="27"/>
      <x:c r="AS61" s="27"/>
      <x:c r="AT61" s="27"/>
      <x:c r="AU61" s="27"/>
      <x:c r="AV61" s="27"/>
      <x:c r="AW61" s="27"/>
      <x:c r="AX61" s="27"/>
      <x:c r="AY61" s="27"/>
      <x:c r="AZ61" s="27"/>
    </x:row>
    <x:row r="62">
      <x:c r="A62" s="27"/>
      <x:c r="B62" s="27"/>
      <x:c r="C62" s="27"/>
      <x:c r="D62" s="27"/>
      <x:c r="E62" s="27"/>
      <x:c r="F62" s="27"/>
      <x:c r="G62" s="27"/>
      <x:c r="H62" s="27"/>
      <x:c r="I62" s="27"/>
      <x:c r="J62" s="27"/>
      <x:c r="K62" s="27"/>
      <x:c r="L62" s="27"/>
      <x:c r="M62" s="27"/>
      <x:c r="N62" s="27"/>
      <x:c r="O62" s="27"/>
      <x:c r="P62" s="27"/>
      <x:c r="Q62" s="27"/>
      <x:c r="R62" s="27"/>
      <x:c r="S62" s="27"/>
      <x:c r="T62" s="27"/>
      <x:c r="U62" s="27"/>
      <x:c r="V62" s="27"/>
      <x:c r="W62" s="27"/>
      <x:c r="X62" s="27"/>
      <x:c r="Y62" s="27"/>
      <x:c r="Z62" s="27"/>
      <x:c r="AA62" s="27"/>
      <x:c r="AB62" s="27"/>
      <x:c r="AC62" s="27"/>
      <x:c r="AD62" s="27"/>
      <x:c r="AE62" s="27"/>
      <x:c r="AF62" s="27"/>
      <x:c r="AG62" s="27"/>
      <x:c r="AH62" s="27"/>
      <x:c r="AI62" s="27"/>
      <x:c r="AJ62" s="27"/>
      <x:c r="AK62" s="27"/>
      <x:c r="AL62" s="27"/>
      <x:c r="AM62" s="27"/>
      <x:c r="AN62" s="27"/>
      <x:c r="AO62" s="27"/>
      <x:c r="AP62" s="27"/>
      <x:c r="AQ62" s="27"/>
      <x:c r="AR62" s="27"/>
      <x:c r="AS62" s="27"/>
      <x:c r="AT62" s="27"/>
      <x:c r="AU62" s="27"/>
      <x:c r="AV62" s="27"/>
      <x:c r="AW62" s="27"/>
      <x:c r="AX62" s="27"/>
      <x:c r="AY62" s="27"/>
      <x:c r="AZ62" s="27"/>
    </x:row>
    <x:row r="63">
      <x:c r="A63" s="27"/>
      <x:c r="B63" s="27"/>
      <x:c r="C63" s="27"/>
      <x:c r="D63" s="27"/>
      <x:c r="E63" s="27"/>
      <x:c r="F63" s="27"/>
      <x:c r="G63" s="27"/>
      <x:c r="H63" s="27"/>
      <x:c r="I63" s="27"/>
      <x:c r="J63" s="27"/>
      <x:c r="K63" s="27"/>
      <x:c r="L63" s="27"/>
      <x:c r="M63" s="27"/>
      <x:c r="N63" s="27"/>
      <x:c r="O63" s="27"/>
      <x:c r="P63" s="27"/>
      <x:c r="Q63" s="27"/>
      <x:c r="R63" s="27"/>
      <x:c r="S63" s="27"/>
      <x:c r="T63" s="27"/>
      <x:c r="U63" s="27"/>
      <x:c r="V63" s="27"/>
      <x:c r="W63" s="27"/>
      <x:c r="X63" s="27"/>
      <x:c r="Y63" s="27"/>
      <x:c r="Z63" s="27"/>
      <x:c r="AA63" s="27"/>
      <x:c r="AB63" s="27"/>
      <x:c r="AC63" s="27"/>
      <x:c r="AD63" s="27"/>
      <x:c r="AE63" s="27"/>
      <x:c r="AF63" s="27"/>
      <x:c r="AG63" s="27"/>
      <x:c r="AH63" s="27"/>
      <x:c r="AI63" s="27"/>
      <x:c r="AJ63" s="27"/>
      <x:c r="AK63" s="27"/>
      <x:c r="AL63" s="27"/>
      <x:c r="AM63" s="27"/>
      <x:c r="AN63" s="27"/>
      <x:c r="AO63" s="27"/>
      <x:c r="AP63" s="27"/>
      <x:c r="AQ63" s="27"/>
      <x:c r="AR63" s="27"/>
      <x:c r="AS63" s="27"/>
      <x:c r="AT63" s="27"/>
      <x:c r="AU63" s="27"/>
      <x:c r="AV63" s="27"/>
      <x:c r="AW63" s="27"/>
      <x:c r="AX63" s="27"/>
      <x:c r="AY63" s="27"/>
      <x:c r="AZ63" s="27"/>
    </x:row>
    <x:row r="64">
      <x:c r="A64" s="27"/>
      <x:c r="B64" s="27"/>
      <x:c r="C64" s="27"/>
      <x:c r="D64" s="27"/>
      <x:c r="E64" s="27"/>
      <x:c r="F64" s="27"/>
      <x:c r="G64" s="27"/>
      <x:c r="H64" s="27"/>
      <x:c r="I64" s="27"/>
      <x:c r="J64" s="27"/>
      <x:c r="K64" s="27"/>
      <x:c r="L64" s="27"/>
      <x:c r="M64" s="27"/>
      <x:c r="N64" s="27"/>
      <x:c r="O64" s="27"/>
      <x:c r="P64" s="27"/>
      <x:c r="Q64" s="27"/>
      <x:c r="R64" s="27"/>
      <x:c r="S64" s="27"/>
      <x:c r="T64" s="27"/>
      <x:c r="U64" s="27"/>
      <x:c r="V64" s="27"/>
      <x:c r="W64" s="27"/>
      <x:c r="X64" s="27"/>
      <x:c r="Y64" s="27"/>
      <x:c r="Z64" s="27"/>
      <x:c r="AA64" s="27"/>
      <x:c r="AB64" s="27"/>
      <x:c r="AC64" s="27"/>
      <x:c r="AD64" s="27"/>
      <x:c r="AE64" s="27"/>
      <x:c r="AF64" s="27"/>
      <x:c r="AG64" s="27"/>
      <x:c r="AH64" s="27"/>
      <x:c r="AI64" s="27"/>
      <x:c r="AJ64" s="27"/>
      <x:c r="AK64" s="27"/>
      <x:c r="AL64" s="27"/>
      <x:c r="AM64" s="27"/>
      <x:c r="AN64" s="27"/>
      <x:c r="AO64" s="27"/>
      <x:c r="AP64" s="27"/>
      <x:c r="AQ64" s="27"/>
      <x:c r="AR64" s="27"/>
      <x:c r="AS64" s="27"/>
      <x:c r="AT64" s="27"/>
      <x:c r="AU64" s="27"/>
      <x:c r="AV64" s="27"/>
      <x:c r="AW64" s="27"/>
      <x:c r="AX64" s="27"/>
      <x:c r="AY64" s="27"/>
      <x:c r="AZ64" s="27"/>
    </x:row>
    <x:row r="65">
      <x:c r="A65" s="27"/>
      <x:c r="B65" s="27"/>
      <x:c r="C65" s="27"/>
      <x:c r="D65" s="27"/>
      <x:c r="E65" s="27"/>
      <x:c r="F65" s="27"/>
      <x:c r="G65" s="27"/>
      <x:c r="H65" s="27"/>
      <x:c r="I65" s="27"/>
      <x:c r="J65" s="27"/>
      <x:c r="K65" s="27"/>
      <x:c r="L65" s="27"/>
      <x:c r="M65" s="27"/>
      <x:c r="N65" s="27"/>
      <x:c r="O65" s="27"/>
      <x:c r="P65" s="27"/>
      <x:c r="Q65" s="27"/>
      <x:c r="R65" s="27"/>
      <x:c r="S65" s="27"/>
      <x:c r="T65" s="27"/>
      <x:c r="U65" s="27"/>
      <x:c r="V65" s="27"/>
      <x:c r="W65" s="27"/>
      <x:c r="X65" s="27"/>
      <x:c r="Y65" s="27"/>
      <x:c r="Z65" s="27"/>
      <x:c r="AA65" s="27"/>
      <x:c r="AB65" s="27"/>
      <x:c r="AC65" s="27"/>
      <x:c r="AD65" s="27"/>
      <x:c r="AE65" s="27"/>
      <x:c r="AF65" s="27"/>
      <x:c r="AG65" s="27"/>
      <x:c r="AH65" s="27"/>
      <x:c r="AI65" s="27"/>
      <x:c r="AJ65" s="27"/>
      <x:c r="AK65" s="27"/>
      <x:c r="AL65" s="27"/>
      <x:c r="AM65" s="27"/>
      <x:c r="AN65" s="27"/>
      <x:c r="AO65" s="27"/>
      <x:c r="AP65" s="27"/>
      <x:c r="AQ65" s="27"/>
      <x:c r="AR65" s="27"/>
      <x:c r="AS65" s="27"/>
      <x:c r="AT65" s="27"/>
      <x:c r="AU65" s="27"/>
      <x:c r="AV65" s="27"/>
      <x:c r="AW65" s="27"/>
      <x:c r="AX65" s="27"/>
      <x:c r="AY65" s="27"/>
      <x:c r="AZ65" s="27"/>
    </x:row>
    <x:row r="66">
      <x:c r="A66" s="27"/>
      <x:c r="B66" s="27"/>
      <x:c r="C66" s="27"/>
      <x:c r="D66" s="27"/>
      <x:c r="E66" s="27"/>
      <x:c r="F66" s="27"/>
      <x:c r="G66" s="27"/>
      <x:c r="H66" s="27"/>
      <x:c r="I66" s="27"/>
      <x:c r="J66" s="27"/>
      <x:c r="K66" s="27"/>
      <x:c r="L66" s="27"/>
      <x:c r="M66" s="27"/>
      <x:c r="N66" s="27"/>
      <x:c r="O66" s="27"/>
      <x:c r="P66" s="27"/>
      <x:c r="Q66" s="27"/>
      <x:c r="R66" s="27"/>
      <x:c r="S66" s="27"/>
      <x:c r="T66" s="27"/>
      <x:c r="U66" s="27"/>
      <x:c r="V66" s="27"/>
      <x:c r="W66" s="27"/>
      <x:c r="X66" s="27"/>
      <x:c r="Y66" s="27"/>
      <x:c r="Z66" s="27"/>
      <x:c r="AA66" s="27"/>
      <x:c r="AB66" s="27"/>
      <x:c r="AC66" s="27"/>
      <x:c r="AD66" s="27"/>
      <x:c r="AE66" s="27"/>
      <x:c r="AF66" s="27"/>
      <x:c r="AG66" s="27"/>
      <x:c r="AH66" s="27"/>
      <x:c r="AI66" s="27"/>
      <x:c r="AJ66" s="27"/>
      <x:c r="AK66" s="27"/>
      <x:c r="AL66" s="27"/>
      <x:c r="AM66" s="27"/>
      <x:c r="AN66" s="27"/>
      <x:c r="AO66" s="27"/>
      <x:c r="AP66" s="27"/>
      <x:c r="AQ66" s="27"/>
      <x:c r="AR66" s="27"/>
      <x:c r="AS66" s="27"/>
      <x:c r="AT66" s="27"/>
      <x:c r="AU66" s="27"/>
      <x:c r="AV66" s="27"/>
      <x:c r="AW66" s="27"/>
      <x:c r="AX66" s="27"/>
      <x:c r="AY66" s="27"/>
      <x:c r="AZ66" s="27"/>
    </x:row>
    <x:row r="67">
      <x:c r="A67" s="27"/>
      <x:c r="B67" s="27"/>
      <x:c r="C67" s="27"/>
      <x:c r="D67" s="27"/>
      <x:c r="E67" s="27"/>
      <x:c r="F67" s="27"/>
      <x:c r="G67" s="27"/>
      <x:c r="H67" s="27"/>
      <x:c r="I67" s="27"/>
      <x:c r="J67" s="27"/>
      <x:c r="K67" s="27"/>
      <x:c r="L67" s="27"/>
      <x:c r="M67" s="27"/>
      <x:c r="N67" s="27"/>
      <x:c r="O67" s="27"/>
      <x:c r="P67" s="27"/>
      <x:c r="Q67" s="27"/>
      <x:c r="R67" s="27"/>
      <x:c r="S67" s="27"/>
      <x:c r="T67" s="27"/>
      <x:c r="U67" s="27"/>
      <x:c r="V67" s="27"/>
      <x:c r="W67" s="27"/>
      <x:c r="X67" s="27"/>
      <x:c r="Y67" s="27"/>
      <x:c r="Z67" s="27"/>
      <x:c r="AA67" s="27"/>
      <x:c r="AB67" s="27"/>
      <x:c r="AC67" s="27"/>
      <x:c r="AD67" s="27"/>
      <x:c r="AE67" s="27"/>
      <x:c r="AF67" s="27"/>
      <x:c r="AG67" s="27"/>
      <x:c r="AH67" s="27"/>
      <x:c r="AI67" s="27"/>
      <x:c r="AJ67" s="27"/>
      <x:c r="AK67" s="27"/>
      <x:c r="AL67" s="27"/>
      <x:c r="AM67" s="27"/>
      <x:c r="AN67" s="27"/>
      <x:c r="AO67" s="27"/>
      <x:c r="AP67" s="27"/>
      <x:c r="AQ67" s="27"/>
      <x:c r="AR67" s="27"/>
      <x:c r="AS67" s="27"/>
      <x:c r="AT67" s="27"/>
      <x:c r="AU67" s="27"/>
      <x:c r="AV67" s="27"/>
      <x:c r="AW67" s="27"/>
      <x:c r="AX67" s="27"/>
      <x:c r="AY67" s="27"/>
      <x:c r="AZ67" s="27"/>
    </x:row>
    <x:row r="68">
      <x:c r="A68" s="27"/>
      <x:c r="B68" s="27"/>
      <x:c r="C68" s="27"/>
      <x:c r="D68" s="27"/>
      <x:c r="E68" s="27"/>
      <x:c r="F68" s="27"/>
      <x:c r="G68" s="27"/>
      <x:c r="H68" s="27"/>
      <x:c r="I68" s="27"/>
      <x:c r="J68" s="27"/>
      <x:c r="K68" s="27"/>
      <x:c r="L68" s="27"/>
      <x:c r="M68" s="27"/>
      <x:c r="N68" s="27"/>
      <x:c r="O68" s="27"/>
      <x:c r="P68" s="27"/>
      <x:c r="Q68" s="27"/>
      <x:c r="R68" s="27"/>
      <x:c r="S68" s="27"/>
      <x:c r="T68" s="27"/>
      <x:c r="U68" s="27"/>
      <x:c r="V68" s="27"/>
      <x:c r="W68" s="27"/>
      <x:c r="X68" s="27"/>
      <x:c r="Y68" s="27"/>
      <x:c r="Z68" s="27"/>
      <x:c r="AA68" s="27"/>
      <x:c r="AB68" s="27"/>
      <x:c r="AC68" s="27"/>
      <x:c r="AD68" s="27"/>
      <x:c r="AE68" s="27"/>
      <x:c r="AF68" s="27"/>
      <x:c r="AG68" s="27"/>
      <x:c r="AH68" s="27"/>
      <x:c r="AI68" s="27"/>
      <x:c r="AJ68" s="27"/>
      <x:c r="AK68" s="27"/>
      <x:c r="AL68" s="27"/>
      <x:c r="AM68" s="27"/>
      <x:c r="AN68" s="27"/>
      <x:c r="AO68" s="27"/>
      <x:c r="AP68" s="27"/>
      <x:c r="AQ68" s="27"/>
      <x:c r="AR68" s="27"/>
      <x:c r="AS68" s="27"/>
      <x:c r="AT68" s="27"/>
      <x:c r="AU68" s="27"/>
      <x:c r="AV68" s="27"/>
      <x:c r="AW68" s="27"/>
      <x:c r="AX68" s="27"/>
      <x:c r="AY68" s="27"/>
      <x:c r="AZ68" s="27"/>
    </x:row>
    <x:row r="69">
      <x:c r="A69" s="27"/>
      <x:c r="B69" s="27"/>
      <x:c r="C69" s="27"/>
      <x:c r="D69" s="27"/>
      <x:c r="E69" s="27"/>
      <x:c r="F69" s="27"/>
      <x:c r="G69" s="27"/>
      <x:c r="H69" s="27"/>
      <x:c r="I69" s="27"/>
      <x:c r="J69" s="27"/>
      <x:c r="K69" s="27"/>
      <x:c r="L69" s="27"/>
      <x:c r="M69" s="27"/>
      <x:c r="N69" s="27"/>
      <x:c r="O69" s="27"/>
      <x:c r="P69" s="27"/>
      <x:c r="Q69" s="27"/>
      <x:c r="R69" s="27"/>
      <x:c r="S69" s="27"/>
      <x:c r="T69" s="27"/>
      <x:c r="U69" s="27"/>
      <x:c r="V69" s="27"/>
      <x:c r="W69" s="27"/>
      <x:c r="X69" s="27"/>
      <x:c r="Y69" s="27"/>
      <x:c r="Z69" s="27"/>
      <x:c r="AA69" s="27"/>
      <x:c r="AB69" s="27"/>
      <x:c r="AC69" s="27"/>
      <x:c r="AD69" s="27"/>
      <x:c r="AE69" s="27"/>
      <x:c r="AF69" s="27"/>
      <x:c r="AG69" s="27"/>
      <x:c r="AH69" s="27"/>
      <x:c r="AI69" s="27"/>
      <x:c r="AJ69" s="27"/>
      <x:c r="AK69" s="27"/>
      <x:c r="AL69" s="27"/>
      <x:c r="AM69" s="27"/>
      <x:c r="AN69" s="27"/>
      <x:c r="AO69" s="27"/>
      <x:c r="AP69" s="27"/>
      <x:c r="AQ69" s="27"/>
      <x:c r="AR69" s="27"/>
      <x:c r="AS69" s="27"/>
      <x:c r="AT69" s="27"/>
      <x:c r="AU69" s="27"/>
      <x:c r="AV69" s="27"/>
      <x:c r="AW69" s="27"/>
      <x:c r="AX69" s="27"/>
      <x:c r="AY69" s="27"/>
      <x:c r="AZ69" s="27"/>
    </x:row>
    <x:row r="70">
      <x:c r="A70" s="27"/>
      <x:c r="B70" s="27"/>
      <x:c r="C70" s="27"/>
      <x:c r="D70" s="27"/>
      <x:c r="E70" s="27"/>
      <x:c r="F70" s="27"/>
      <x:c r="G70" s="27"/>
      <x:c r="H70" s="27"/>
      <x:c r="I70" s="27"/>
      <x:c r="J70" s="27"/>
      <x:c r="K70" s="27"/>
      <x:c r="L70" s="27"/>
      <x:c r="M70" s="27"/>
      <x:c r="N70" s="27"/>
      <x:c r="O70" s="27"/>
      <x:c r="P70" s="27"/>
      <x:c r="Q70" s="27"/>
      <x:c r="R70" s="27"/>
      <x:c r="S70" s="27"/>
      <x:c r="T70" s="27"/>
      <x:c r="U70" s="27"/>
      <x:c r="V70" s="27"/>
      <x:c r="W70" s="27"/>
      <x:c r="X70" s="27"/>
      <x:c r="Y70" s="27"/>
      <x:c r="Z70" s="27"/>
      <x:c r="AA70" s="27"/>
      <x:c r="AB70" s="27"/>
      <x:c r="AC70" s="27"/>
      <x:c r="AD70" s="27"/>
      <x:c r="AE70" s="27"/>
      <x:c r="AF70" s="27"/>
      <x:c r="AG70" s="27"/>
      <x:c r="AH70" s="27"/>
      <x:c r="AI70" s="27"/>
      <x:c r="AJ70" s="27"/>
      <x:c r="AK70" s="27"/>
      <x:c r="AL70" s="27"/>
      <x:c r="AM70" s="27"/>
      <x:c r="AN70" s="27"/>
      <x:c r="AO70" s="27"/>
      <x:c r="AP70" s="27"/>
      <x:c r="AQ70" s="27"/>
      <x:c r="AR70" s="27"/>
      <x:c r="AS70" s="27"/>
      <x:c r="AT70" s="27"/>
      <x:c r="AU70" s="27"/>
      <x:c r="AV70" s="27"/>
      <x:c r="AW70" s="27"/>
      <x:c r="AX70" s="27"/>
      <x:c r="AY70" s="27"/>
      <x:c r="AZ70" s="27"/>
    </x:row>
    <x:row r="71">
      <x:c r="A71" s="27"/>
      <x:c r="B71" s="27"/>
      <x:c r="C71" s="27"/>
      <x:c r="D71" s="27"/>
      <x:c r="E71" s="27"/>
      <x:c r="F71" s="27"/>
      <x:c r="G71" s="27"/>
      <x:c r="H71" s="27"/>
      <x:c r="I71" s="27"/>
      <x:c r="J71" s="27"/>
      <x:c r="K71" s="27"/>
      <x:c r="L71" s="27"/>
      <x:c r="M71" s="27"/>
      <x:c r="N71" s="27"/>
      <x:c r="O71" s="27"/>
      <x:c r="P71" s="27"/>
      <x:c r="Q71" s="27"/>
      <x:c r="R71" s="27"/>
      <x:c r="S71" s="27"/>
      <x:c r="T71" s="27"/>
      <x:c r="U71" s="27"/>
      <x:c r="V71" s="27"/>
      <x:c r="W71" s="27"/>
      <x:c r="X71" s="27"/>
      <x:c r="Y71" s="27"/>
      <x:c r="Z71" s="27"/>
      <x:c r="AA71" s="27"/>
      <x:c r="AB71" s="27"/>
      <x:c r="AC71" s="27"/>
      <x:c r="AD71" s="27"/>
      <x:c r="AE71" s="27"/>
      <x:c r="AF71" s="27"/>
      <x:c r="AG71" s="27"/>
      <x:c r="AH71" s="27"/>
      <x:c r="AI71" s="27"/>
      <x:c r="AJ71" s="27"/>
      <x:c r="AK71" s="27"/>
      <x:c r="AL71" s="27"/>
      <x:c r="AM71" s="27"/>
      <x:c r="AN71" s="27"/>
      <x:c r="AO71" s="27"/>
      <x:c r="AP71" s="27"/>
      <x:c r="AQ71" s="27"/>
      <x:c r="AR71" s="27"/>
      <x:c r="AS71" s="27"/>
      <x:c r="AT71" s="27"/>
      <x:c r="AU71" s="27"/>
      <x:c r="AV71" s="27"/>
      <x:c r="AW71" s="27"/>
      <x:c r="AX71" s="27"/>
      <x:c r="AY71" s="27"/>
      <x:c r="AZ71" s="27"/>
    </x:row>
    <x:row r="72">
      <x:c r="A72" s="27"/>
      <x:c r="B72" s="27"/>
      <x:c r="C72" s="27"/>
      <x:c r="D72" s="27"/>
      <x:c r="E72" s="27"/>
      <x:c r="F72" s="27"/>
      <x:c r="G72" s="27"/>
      <x:c r="H72" s="27"/>
      <x:c r="I72" s="27"/>
      <x:c r="J72" s="27"/>
      <x:c r="K72" s="27"/>
      <x:c r="L72" s="27"/>
      <x:c r="M72" s="27"/>
      <x:c r="N72" s="27"/>
      <x:c r="O72" s="27"/>
      <x:c r="P72" s="27"/>
      <x:c r="Q72" s="27"/>
      <x:c r="R72" s="27"/>
      <x:c r="S72" s="27"/>
      <x:c r="T72" s="27"/>
      <x:c r="U72" s="27"/>
      <x:c r="V72" s="27"/>
      <x:c r="W72" s="27"/>
      <x:c r="X72" s="27"/>
      <x:c r="Y72" s="27"/>
      <x:c r="Z72" s="27"/>
      <x:c r="AA72" s="27"/>
      <x:c r="AB72" s="27"/>
      <x:c r="AC72" s="27"/>
      <x:c r="AD72" s="27"/>
      <x:c r="AE72" s="27"/>
      <x:c r="AF72" s="27"/>
      <x:c r="AG72" s="27"/>
      <x:c r="AH72" s="27"/>
      <x:c r="AI72" s="27"/>
      <x:c r="AJ72" s="27"/>
      <x:c r="AK72" s="27"/>
      <x:c r="AL72" s="27"/>
      <x:c r="AM72" s="27"/>
      <x:c r="AN72" s="27"/>
      <x:c r="AO72" s="27"/>
      <x:c r="AP72" s="27"/>
      <x:c r="AQ72" s="27"/>
      <x:c r="AR72" s="27"/>
      <x:c r="AS72" s="27"/>
      <x:c r="AT72" s="27"/>
      <x:c r="AU72" s="27"/>
      <x:c r="AV72" s="27"/>
      <x:c r="AW72" s="27"/>
      <x:c r="AX72" s="27"/>
      <x:c r="AY72" s="27"/>
      <x:c r="AZ72" s="27"/>
    </x:row>
    <x:row r="73">
      <x:c r="A73" s="27"/>
      <x:c r="B73" s="27"/>
      <x:c r="C73" s="27"/>
      <x:c r="D73" s="27"/>
      <x:c r="E73" s="27"/>
      <x:c r="F73" s="27"/>
      <x:c r="G73" s="27"/>
      <x:c r="H73" s="27"/>
      <x:c r="I73" s="27"/>
      <x:c r="J73" s="27"/>
      <x:c r="K73" s="27"/>
      <x:c r="L73" s="27"/>
      <x:c r="M73" s="27"/>
      <x:c r="N73" s="27"/>
      <x:c r="O73" s="27"/>
      <x:c r="P73" s="27"/>
      <x:c r="Q73" s="27"/>
      <x:c r="R73" s="27"/>
      <x:c r="S73" s="27"/>
      <x:c r="T73" s="27"/>
      <x:c r="U73" s="27"/>
      <x:c r="V73" s="27"/>
      <x:c r="W73" s="27"/>
      <x:c r="X73" s="27"/>
      <x:c r="Y73" s="27"/>
      <x:c r="Z73" s="27"/>
      <x:c r="AA73" s="27"/>
      <x:c r="AB73" s="27"/>
      <x:c r="AC73" s="27"/>
      <x:c r="AD73" s="27"/>
      <x:c r="AE73" s="27"/>
      <x:c r="AF73" s="27"/>
      <x:c r="AG73" s="27"/>
      <x:c r="AH73" s="27"/>
      <x:c r="AI73" s="27"/>
      <x:c r="AJ73" s="27"/>
      <x:c r="AK73" s="27"/>
      <x:c r="AL73" s="27"/>
      <x:c r="AM73" s="27"/>
      <x:c r="AN73" s="27"/>
      <x:c r="AO73" s="27"/>
      <x:c r="AP73" s="27"/>
      <x:c r="AQ73" s="27"/>
      <x:c r="AR73" s="27"/>
      <x:c r="AS73" s="27"/>
      <x:c r="AT73" s="27"/>
      <x:c r="AU73" s="27"/>
      <x:c r="AV73" s="27"/>
      <x:c r="AW73" s="27"/>
      <x:c r="AX73" s="27"/>
      <x:c r="AY73" s="27"/>
      <x:c r="AZ73" s="27"/>
    </x:row>
    <x:row r="74">
      <x:c r="A74" s="27"/>
      <x:c r="B74" s="27"/>
      <x:c r="C74" s="27"/>
      <x:c r="D74" s="27"/>
      <x:c r="E74" s="27"/>
      <x:c r="F74" s="27"/>
      <x:c r="G74" s="27"/>
      <x:c r="H74" s="27"/>
      <x:c r="I74" s="27"/>
      <x:c r="J74" s="27"/>
      <x:c r="K74" s="27"/>
      <x:c r="L74" s="27"/>
      <x:c r="M74" s="27"/>
      <x:c r="N74" s="27"/>
      <x:c r="O74" s="27"/>
      <x:c r="P74" s="27"/>
      <x:c r="Q74" s="27"/>
      <x:c r="R74" s="27"/>
      <x:c r="S74" s="27"/>
      <x:c r="T74" s="27"/>
      <x:c r="U74" s="27"/>
      <x:c r="V74" s="27"/>
      <x:c r="W74" s="27"/>
      <x:c r="X74" s="27"/>
      <x:c r="Y74" s="27"/>
      <x:c r="Z74" s="27"/>
      <x:c r="AA74" s="27"/>
      <x:c r="AB74" s="27"/>
      <x:c r="AC74" s="27"/>
      <x:c r="AD74" s="27"/>
      <x:c r="AE74" s="27"/>
      <x:c r="AF74" s="27"/>
      <x:c r="AG74" s="27"/>
      <x:c r="AH74" s="27"/>
      <x:c r="AI74" s="27"/>
      <x:c r="AJ74" s="27"/>
      <x:c r="AK74" s="27"/>
      <x:c r="AL74" s="27"/>
      <x:c r="AM74" s="27"/>
      <x:c r="AN74" s="27"/>
      <x:c r="AO74" s="27"/>
      <x:c r="AP74" s="27"/>
      <x:c r="AQ74" s="27"/>
      <x:c r="AR74" s="27"/>
      <x:c r="AS74" s="27"/>
      <x:c r="AT74" s="27"/>
      <x:c r="AU74" s="27"/>
      <x:c r="AV74" s="27"/>
      <x:c r="AW74" s="27"/>
      <x:c r="AX74" s="27"/>
      <x:c r="AY74" s="27"/>
      <x:c r="AZ74" s="27"/>
    </x:row>
    <x:row r="75">
      <x:c r="A75" s="27"/>
      <x:c r="B75" s="27"/>
      <x:c r="C75" s="27"/>
      <x:c r="D75" s="27"/>
      <x:c r="E75" s="27"/>
      <x:c r="F75" s="27"/>
      <x:c r="G75" s="27"/>
      <x:c r="H75" s="27"/>
      <x:c r="I75" s="27"/>
      <x:c r="J75" s="27"/>
      <x:c r="K75" s="27"/>
      <x:c r="L75" s="27"/>
      <x:c r="M75" s="27"/>
      <x:c r="N75" s="27"/>
      <x:c r="O75" s="27"/>
      <x:c r="P75" s="27"/>
      <x:c r="Q75" s="27"/>
      <x:c r="R75" s="27"/>
      <x:c r="S75" s="27"/>
      <x:c r="T75" s="27"/>
      <x:c r="U75" s="27"/>
      <x:c r="V75" s="27"/>
      <x:c r="W75" s="27"/>
      <x:c r="X75" s="27"/>
      <x:c r="Y75" s="27"/>
      <x:c r="Z75" s="27"/>
      <x:c r="AA75" s="27"/>
      <x:c r="AB75" s="27"/>
      <x:c r="AC75" s="27"/>
      <x:c r="AD75" s="27"/>
      <x:c r="AE75" s="27"/>
      <x:c r="AF75" s="27"/>
      <x:c r="AG75" s="27"/>
      <x:c r="AH75" s="27"/>
      <x:c r="AI75" s="27"/>
      <x:c r="AJ75" s="27"/>
      <x:c r="AK75" s="27"/>
      <x:c r="AL75" s="27"/>
      <x:c r="AM75" s="27"/>
      <x:c r="AN75" s="27"/>
      <x:c r="AO75" s="27"/>
      <x:c r="AP75" s="27"/>
      <x:c r="AQ75" s="27"/>
      <x:c r="AR75" s="27"/>
      <x:c r="AS75" s="27"/>
      <x:c r="AT75" s="27"/>
      <x:c r="AU75" s="27"/>
      <x:c r="AV75" s="27"/>
      <x:c r="AW75" s="27"/>
      <x:c r="AX75" s="27"/>
      <x:c r="AY75" s="27"/>
      <x:c r="AZ75" s="27"/>
    </x:row>
    <x:row r="76">
      <x:c r="A76" s="27"/>
      <x:c r="B76" s="27"/>
      <x:c r="C76" s="27"/>
      <x:c r="D76" s="27"/>
      <x:c r="E76" s="27"/>
      <x:c r="F76" s="27"/>
      <x:c r="G76" s="27"/>
      <x:c r="H76" s="27"/>
      <x:c r="I76" s="27"/>
      <x:c r="J76" s="27"/>
      <x:c r="K76" s="27"/>
      <x:c r="L76" s="27"/>
      <x:c r="M76" s="27"/>
      <x:c r="N76" s="27"/>
      <x:c r="O76" s="27"/>
      <x:c r="P76" s="27"/>
      <x:c r="Q76" s="27"/>
      <x:c r="R76" s="27"/>
      <x:c r="S76" s="27"/>
      <x:c r="T76" s="27"/>
      <x:c r="U76" s="27"/>
      <x:c r="V76" s="27"/>
      <x:c r="W76" s="27"/>
      <x:c r="X76" s="27"/>
      <x:c r="Y76" s="27"/>
      <x:c r="Z76" s="27"/>
      <x:c r="AA76" s="27"/>
      <x:c r="AB76" s="27"/>
      <x:c r="AC76" s="27"/>
      <x:c r="AD76" s="27"/>
      <x:c r="AE76" s="27"/>
      <x:c r="AF76" s="27"/>
      <x:c r="AG76" s="27"/>
      <x:c r="AH76" s="27"/>
      <x:c r="AI76" s="27"/>
      <x:c r="AJ76" s="27"/>
      <x:c r="AK76" s="27"/>
      <x:c r="AL76" s="27"/>
      <x:c r="AM76" s="27"/>
      <x:c r="AN76" s="27"/>
      <x:c r="AO76" s="27"/>
      <x:c r="AP76" s="27"/>
      <x:c r="AQ76" s="27"/>
      <x:c r="AR76" s="27"/>
      <x:c r="AS76" s="27"/>
      <x:c r="AT76" s="27"/>
      <x:c r="AU76" s="27"/>
      <x:c r="AV76" s="27"/>
      <x:c r="AW76" s="27"/>
      <x:c r="AX76" s="27"/>
      <x:c r="AY76" s="27"/>
      <x:c r="AZ76" s="27"/>
    </x:row>
    <x:row r="77">
      <x:c r="A77" s="27"/>
      <x:c r="B77" s="27"/>
      <x:c r="C77" s="27"/>
      <x:c r="D77" s="27"/>
      <x:c r="E77" s="27"/>
      <x:c r="F77" s="27"/>
      <x:c r="G77" s="27"/>
      <x:c r="H77" s="27"/>
      <x:c r="I77" s="27"/>
      <x:c r="J77" s="27"/>
      <x:c r="K77" s="27"/>
      <x:c r="L77" s="27"/>
      <x:c r="M77" s="27"/>
      <x:c r="N77" s="27"/>
      <x:c r="O77" s="27"/>
      <x:c r="P77" s="27"/>
      <x:c r="Q77" s="27"/>
      <x:c r="R77" s="27"/>
      <x:c r="S77" s="27"/>
      <x:c r="T77" s="27"/>
      <x:c r="U77" s="27"/>
      <x:c r="V77" s="27"/>
      <x:c r="W77" s="27"/>
      <x:c r="X77" s="27"/>
      <x:c r="Y77" s="27"/>
      <x:c r="Z77" s="27"/>
      <x:c r="AA77" s="27"/>
      <x:c r="AB77" s="27"/>
      <x:c r="AC77" s="27"/>
      <x:c r="AD77" s="27"/>
      <x:c r="AE77" s="27"/>
      <x:c r="AF77" s="27"/>
      <x:c r="AG77" s="27"/>
      <x:c r="AH77" s="27"/>
      <x:c r="AI77" s="27"/>
      <x:c r="AJ77" s="27"/>
      <x:c r="AK77" s="27"/>
      <x:c r="AL77" s="27"/>
      <x:c r="AM77" s="27"/>
      <x:c r="AN77" s="27"/>
      <x:c r="AO77" s="27"/>
      <x:c r="AP77" s="27"/>
      <x:c r="AQ77" s="27"/>
      <x:c r="AR77" s="27"/>
      <x:c r="AS77" s="27"/>
      <x:c r="AT77" s="27"/>
      <x:c r="AU77" s="27"/>
      <x:c r="AV77" s="27"/>
      <x:c r="AW77" s="27"/>
      <x:c r="AX77" s="27"/>
      <x:c r="AY77" s="27"/>
      <x:c r="AZ77" s="27"/>
    </x:row>
    <x:row r="78">
      <x:c r="A78" s="27"/>
      <x:c r="B78" s="27"/>
      <x:c r="C78" s="27"/>
      <x:c r="D78" s="27"/>
      <x:c r="E78" s="27"/>
      <x:c r="F78" s="27"/>
      <x:c r="G78" s="27"/>
      <x:c r="H78" s="27"/>
      <x:c r="I78" s="27"/>
      <x:c r="J78" s="27"/>
      <x:c r="K78" s="27"/>
      <x:c r="L78" s="27"/>
      <x:c r="M78" s="27"/>
      <x:c r="N78" s="27"/>
      <x:c r="O78" s="27"/>
      <x:c r="P78" s="27"/>
      <x:c r="Q78" s="27"/>
      <x:c r="R78" s="27"/>
      <x:c r="S78" s="27"/>
      <x:c r="T78" s="27"/>
      <x:c r="U78" s="27"/>
      <x:c r="V78" s="27"/>
      <x:c r="W78" s="27"/>
      <x:c r="X78" s="27"/>
      <x:c r="Y78" s="27"/>
      <x:c r="Z78" s="27"/>
      <x:c r="AA78" s="27"/>
      <x:c r="AB78" s="27"/>
      <x:c r="AC78" s="27"/>
      <x:c r="AD78" s="27"/>
      <x:c r="AE78" s="27"/>
      <x:c r="AF78" s="27"/>
      <x:c r="AG78" s="27"/>
      <x:c r="AH78" s="27"/>
      <x:c r="AI78" s="27"/>
      <x:c r="AJ78" s="27"/>
      <x:c r="AK78" s="27"/>
      <x:c r="AL78" s="27"/>
      <x:c r="AM78" s="27"/>
      <x:c r="AN78" s="27"/>
      <x:c r="AO78" s="27"/>
      <x:c r="AP78" s="27"/>
      <x:c r="AQ78" s="27"/>
      <x:c r="AR78" s="27"/>
      <x:c r="AS78" s="27"/>
      <x:c r="AT78" s="27"/>
      <x:c r="AU78" s="27"/>
      <x:c r="AV78" s="27"/>
      <x:c r="AW78" s="27"/>
      <x:c r="AX78" s="27"/>
      <x:c r="AY78" s="27"/>
      <x:c r="AZ78" s="27"/>
    </x:row>
    <x:row r="79">
      <x:c r="A79" s="27"/>
      <x:c r="B79" s="27"/>
      <x:c r="C79" s="27"/>
      <x:c r="D79" s="27"/>
      <x:c r="E79" s="27"/>
      <x:c r="F79" s="27"/>
      <x:c r="G79" s="27"/>
      <x:c r="H79" s="27"/>
      <x:c r="I79" s="27"/>
      <x:c r="J79" s="27"/>
      <x:c r="K79" s="27"/>
      <x:c r="L79" s="27"/>
      <x:c r="M79" s="27"/>
      <x:c r="N79" s="27"/>
      <x:c r="O79" s="27"/>
      <x:c r="P79" s="27"/>
      <x:c r="Q79" s="27"/>
      <x:c r="R79" s="27"/>
      <x:c r="S79" s="27"/>
      <x:c r="T79" s="27"/>
      <x:c r="U79" s="27"/>
      <x:c r="V79" s="27"/>
      <x:c r="W79" s="27"/>
      <x:c r="X79" s="27"/>
      <x:c r="Y79" s="27"/>
      <x:c r="Z79" s="27"/>
      <x:c r="AA79" s="27"/>
      <x:c r="AB79" s="27"/>
      <x:c r="AC79" s="27"/>
      <x:c r="AD79" s="27"/>
      <x:c r="AE79" s="27"/>
      <x:c r="AF79" s="27"/>
      <x:c r="AG79" s="27"/>
      <x:c r="AH79" s="27"/>
      <x:c r="AI79" s="27"/>
      <x:c r="AJ79" s="27"/>
      <x:c r="AK79" s="27"/>
      <x:c r="AL79" s="27"/>
      <x:c r="AM79" s="27"/>
      <x:c r="AN79" s="27"/>
      <x:c r="AO79" s="27"/>
      <x:c r="AP79" s="27"/>
      <x:c r="AQ79" s="27"/>
      <x:c r="AR79" s="27"/>
      <x:c r="AS79" s="27"/>
      <x:c r="AT79" s="27"/>
      <x:c r="AU79" s="27"/>
      <x:c r="AV79" s="27"/>
      <x:c r="AW79" s="27"/>
      <x:c r="AX79" s="27"/>
      <x:c r="AY79" s="27"/>
      <x:c r="AZ79" s="27"/>
    </x:row>
    <x:row r="80">
      <x:c r="A80" s="27"/>
      <x:c r="B80" s="27"/>
      <x:c r="C80" s="27"/>
      <x:c r="D80" s="27"/>
      <x:c r="E80" s="27"/>
      <x:c r="F80" s="27"/>
      <x:c r="G80" s="27"/>
      <x:c r="H80" s="27"/>
      <x:c r="I80" s="27"/>
      <x:c r="J80" s="27"/>
      <x:c r="K80" s="27"/>
      <x:c r="L80" s="27"/>
      <x:c r="M80" s="27"/>
      <x:c r="N80" s="27"/>
      <x:c r="O80" s="27"/>
      <x:c r="P80" s="27"/>
      <x:c r="Q80" s="27"/>
      <x:c r="R80" s="27"/>
      <x:c r="S80" s="27"/>
      <x:c r="T80" s="27"/>
      <x:c r="U80" s="27"/>
      <x:c r="V80" s="27"/>
      <x:c r="W80" s="27"/>
      <x:c r="X80" s="27"/>
      <x:c r="Y80" s="27"/>
      <x:c r="Z80" s="27"/>
      <x:c r="AA80" s="27"/>
      <x:c r="AB80" s="27"/>
      <x:c r="AC80" s="27"/>
      <x:c r="AD80" s="27"/>
      <x:c r="AE80" s="27"/>
      <x:c r="AF80" s="27"/>
      <x:c r="AG80" s="27"/>
      <x:c r="AH80" s="27"/>
      <x:c r="AI80" s="27"/>
      <x:c r="AJ80" s="27"/>
      <x:c r="AK80" s="27"/>
      <x:c r="AL80" s="27"/>
      <x:c r="AM80" s="27"/>
      <x:c r="AN80" s="27"/>
      <x:c r="AO80" s="27"/>
      <x:c r="AP80" s="27"/>
      <x:c r="AQ80" s="27"/>
      <x:c r="AR80" s="27"/>
      <x:c r="AS80" s="27"/>
      <x:c r="AT80" s="27"/>
      <x:c r="AU80" s="27"/>
      <x:c r="AV80" s="27"/>
      <x:c r="AW80" s="27"/>
      <x:c r="AX80" s="27"/>
      <x:c r="AY80" s="27"/>
      <x:c r="AZ80" s="27"/>
    </x:row>
    <x:row r="81">
      <x:c r="A81" s="27"/>
      <x:c r="B81" s="27"/>
      <x:c r="C81" s="27"/>
      <x:c r="D81" s="27"/>
      <x:c r="E81" s="27"/>
      <x:c r="F81" s="27"/>
      <x:c r="G81" s="27"/>
      <x:c r="H81" s="27"/>
      <x:c r="I81" s="27"/>
      <x:c r="J81" s="27"/>
      <x:c r="K81" s="27"/>
      <x:c r="L81" s="27"/>
      <x:c r="M81" s="27"/>
      <x:c r="N81" s="27"/>
      <x:c r="O81" s="27"/>
      <x:c r="P81" s="27"/>
      <x:c r="Q81" s="27"/>
      <x:c r="R81" s="27"/>
      <x:c r="S81" s="27"/>
      <x:c r="T81" s="27"/>
      <x:c r="U81" s="27"/>
      <x:c r="V81" s="27"/>
      <x:c r="W81" s="27"/>
      <x:c r="X81" s="27"/>
      <x:c r="Y81" s="27"/>
      <x:c r="Z81" s="27"/>
      <x:c r="AA81" s="27"/>
      <x:c r="AB81" s="27"/>
      <x:c r="AC81" s="27"/>
      <x:c r="AD81" s="27"/>
      <x:c r="AE81" s="27"/>
      <x:c r="AF81" s="27"/>
      <x:c r="AG81" s="27"/>
      <x:c r="AH81" s="27"/>
      <x:c r="AI81" s="27"/>
      <x:c r="AJ81" s="27"/>
      <x:c r="AK81" s="27"/>
      <x:c r="AL81" s="27"/>
      <x:c r="AM81" s="27"/>
      <x:c r="AN81" s="27"/>
      <x:c r="AO81" s="27"/>
      <x:c r="AP81" s="27"/>
      <x:c r="AQ81" s="27"/>
      <x:c r="AR81" s="27"/>
      <x:c r="AS81" s="27"/>
      <x:c r="AT81" s="27"/>
      <x:c r="AU81" s="27"/>
      <x:c r="AV81" s="27"/>
      <x:c r="AW81" s="27"/>
      <x:c r="AX81" s="27"/>
      <x:c r="AY81" s="27"/>
      <x:c r="AZ81" s="27"/>
    </x:row>
    <x:row r="82">
      <x:c r="A82" s="27"/>
      <x:c r="B82" s="27"/>
      <x:c r="C82" s="27"/>
      <x:c r="D82" s="27"/>
      <x:c r="E82" s="27"/>
      <x:c r="F82" s="27"/>
      <x:c r="G82" s="27"/>
      <x:c r="H82" s="27"/>
      <x:c r="I82" s="27"/>
      <x:c r="J82" s="27"/>
      <x:c r="K82" s="27"/>
      <x:c r="L82" s="27"/>
      <x:c r="M82" s="27"/>
      <x:c r="N82" s="27"/>
      <x:c r="O82" s="27"/>
      <x:c r="P82" s="27"/>
      <x:c r="Q82" s="27"/>
      <x:c r="R82" s="27"/>
      <x:c r="S82" s="27"/>
      <x:c r="T82" s="27"/>
      <x:c r="U82" s="27"/>
      <x:c r="V82" s="27"/>
      <x:c r="W82" s="27"/>
      <x:c r="X82" s="27"/>
      <x:c r="Y82" s="27"/>
      <x:c r="Z82" s="27"/>
      <x:c r="AA82" s="27"/>
      <x:c r="AB82" s="27"/>
      <x:c r="AC82" s="27"/>
      <x:c r="AD82" s="27"/>
      <x:c r="AE82" s="27"/>
      <x:c r="AF82" s="27"/>
      <x:c r="AG82" s="27"/>
      <x:c r="AH82" s="27"/>
      <x:c r="AI82" s="27"/>
      <x:c r="AJ82" s="27"/>
      <x:c r="AK82" s="27"/>
      <x:c r="AL82" s="27"/>
      <x:c r="AM82" s="27"/>
      <x:c r="AN82" s="27"/>
      <x:c r="AO82" s="27"/>
      <x:c r="AP82" s="27"/>
      <x:c r="AQ82" s="27"/>
      <x:c r="AR82" s="27"/>
      <x:c r="AS82" s="27"/>
      <x:c r="AT82" s="27"/>
      <x:c r="AU82" s="27"/>
      <x:c r="AV82" s="27"/>
      <x:c r="AW82" s="27"/>
      <x:c r="AX82" s="27"/>
      <x:c r="AY82" s="27"/>
      <x:c r="AZ82" s="27"/>
    </x:row>
    <x:row r="83">
      <x:c r="A83" s="27"/>
      <x:c r="B83" s="27"/>
      <x:c r="C83" s="27"/>
      <x:c r="D83" s="27"/>
      <x:c r="E83" s="27"/>
      <x:c r="F83" s="27"/>
      <x:c r="G83" s="27"/>
      <x:c r="H83" s="27"/>
      <x:c r="I83" s="27"/>
      <x:c r="J83" s="27"/>
      <x:c r="K83" s="27"/>
      <x:c r="L83" s="27"/>
      <x:c r="M83" s="27"/>
      <x:c r="N83" s="27"/>
      <x:c r="O83" s="27"/>
      <x:c r="P83" s="27"/>
      <x:c r="Q83" s="27"/>
      <x:c r="R83" s="27"/>
      <x:c r="S83" s="27"/>
      <x:c r="T83" s="27"/>
      <x:c r="U83" s="27"/>
      <x:c r="V83" s="27"/>
      <x:c r="W83" s="27"/>
      <x:c r="X83" s="27"/>
      <x:c r="Y83" s="27"/>
      <x:c r="Z83" s="27"/>
      <x:c r="AA83" s="27"/>
      <x:c r="AB83" s="27"/>
      <x:c r="AC83" s="27"/>
      <x:c r="AD83" s="27"/>
      <x:c r="AE83" s="27"/>
      <x:c r="AF83" s="27"/>
      <x:c r="AG83" s="27"/>
      <x:c r="AH83" s="27"/>
      <x:c r="AI83" s="27"/>
      <x:c r="AJ83" s="27"/>
      <x:c r="AK83" s="27"/>
      <x:c r="AL83" s="27"/>
      <x:c r="AM83" s="27"/>
      <x:c r="AN83" s="27"/>
      <x:c r="AO83" s="27"/>
      <x:c r="AP83" s="27"/>
      <x:c r="AQ83" s="27"/>
      <x:c r="AR83" s="27"/>
      <x:c r="AS83" s="27"/>
      <x:c r="AT83" s="27"/>
      <x:c r="AU83" s="27"/>
      <x:c r="AV83" s="27"/>
      <x:c r="AW83" s="27"/>
      <x:c r="AX83" s="27"/>
      <x:c r="AY83" s="27"/>
      <x:c r="AZ83" s="27"/>
    </x:row>
    <x:row r="84">
      <x:c r="A84" s="27"/>
      <x:c r="B84" s="27"/>
      <x:c r="C84" s="27"/>
      <x:c r="D84" s="27"/>
      <x:c r="E84" s="27"/>
      <x:c r="F84" s="27"/>
      <x:c r="G84" s="27"/>
      <x:c r="H84" s="27"/>
      <x:c r="I84" s="27"/>
      <x:c r="J84" s="27"/>
      <x:c r="K84" s="27"/>
      <x:c r="L84" s="27"/>
      <x:c r="M84" s="27"/>
      <x:c r="N84" s="27"/>
      <x:c r="O84" s="27"/>
      <x:c r="P84" s="27"/>
      <x:c r="Q84" s="27"/>
      <x:c r="R84" s="27"/>
      <x:c r="S84" s="27"/>
      <x:c r="T84" s="27"/>
      <x:c r="U84" s="27"/>
      <x:c r="V84" s="27"/>
      <x:c r="W84" s="27"/>
      <x:c r="X84" s="27"/>
      <x:c r="Y84" s="27"/>
      <x:c r="Z84" s="27"/>
      <x:c r="AA84" s="27"/>
      <x:c r="AB84" s="27"/>
      <x:c r="AC84" s="27"/>
      <x:c r="AD84" s="27"/>
      <x:c r="AE84" s="27"/>
      <x:c r="AF84" s="27"/>
      <x:c r="AG84" s="27"/>
      <x:c r="AH84" s="27"/>
      <x:c r="AI84" s="27"/>
      <x:c r="AJ84" s="27"/>
      <x:c r="AK84" s="27"/>
      <x:c r="AL84" s="27"/>
      <x:c r="AM84" s="27"/>
      <x:c r="AN84" s="27"/>
      <x:c r="AO84" s="27"/>
      <x:c r="AP84" s="27"/>
      <x:c r="AQ84" s="27"/>
      <x:c r="AR84" s="27"/>
      <x:c r="AS84" s="27"/>
      <x:c r="AT84" s="27"/>
      <x:c r="AU84" s="27"/>
      <x:c r="AV84" s="27"/>
      <x:c r="AW84" s="27"/>
      <x:c r="AX84" s="27"/>
      <x:c r="AY84" s="27"/>
      <x:c r="AZ84" s="27"/>
    </x:row>
    <x:row r="85">
      <x:c r="A85" s="27"/>
      <x:c r="B85" s="27"/>
      <x:c r="C85" s="27"/>
      <x:c r="D85" s="27"/>
      <x:c r="E85" s="27"/>
      <x:c r="F85" s="27"/>
      <x:c r="G85" s="27"/>
      <x:c r="H85" s="27"/>
      <x:c r="I85" s="27"/>
      <x:c r="J85" s="27"/>
      <x:c r="K85" s="27"/>
      <x:c r="L85" s="27"/>
      <x:c r="M85" s="27"/>
      <x:c r="N85" s="27"/>
      <x:c r="O85" s="27"/>
      <x:c r="P85" s="27"/>
      <x:c r="Q85" s="27"/>
      <x:c r="R85" s="27"/>
      <x:c r="S85" s="27"/>
      <x:c r="T85" s="27"/>
      <x:c r="U85" s="27"/>
      <x:c r="V85" s="27"/>
      <x:c r="W85" s="27"/>
      <x:c r="X85" s="27"/>
      <x:c r="Y85" s="27"/>
      <x:c r="Z85" s="27"/>
      <x:c r="AA85" s="27"/>
      <x:c r="AB85" s="27"/>
      <x:c r="AC85" s="27"/>
      <x:c r="AD85" s="27"/>
      <x:c r="AE85" s="27"/>
      <x:c r="AF85" s="27"/>
      <x:c r="AG85" s="27"/>
      <x:c r="AH85" s="27"/>
      <x:c r="AI85" s="27"/>
      <x:c r="AJ85" s="27"/>
      <x:c r="AK85" s="27"/>
      <x:c r="AL85" s="27"/>
      <x:c r="AM85" s="27"/>
      <x:c r="AN85" s="27"/>
      <x:c r="AO85" s="27"/>
      <x:c r="AP85" s="27"/>
      <x:c r="AQ85" s="27"/>
      <x:c r="AR85" s="27"/>
      <x:c r="AS85" s="27"/>
      <x:c r="AT85" s="27"/>
      <x:c r="AU85" s="27"/>
      <x:c r="AV85" s="27"/>
      <x:c r="AW85" s="27"/>
      <x:c r="AX85" s="27"/>
      <x:c r="AY85" s="27"/>
      <x:c r="AZ85" s="27"/>
    </x:row>
    <x:row r="86">
      <x:c r="A86" s="27"/>
      <x:c r="B86" s="27"/>
      <x:c r="C86" s="27"/>
      <x:c r="D86" s="27"/>
      <x:c r="E86" s="27"/>
      <x:c r="F86" s="27"/>
      <x:c r="G86" s="27"/>
      <x:c r="H86" s="27"/>
      <x:c r="I86" s="27"/>
      <x:c r="J86" s="27"/>
      <x:c r="K86" s="27"/>
      <x:c r="L86" s="27"/>
      <x:c r="M86" s="27"/>
      <x:c r="N86" s="27"/>
      <x:c r="O86" s="27"/>
      <x:c r="P86" s="27"/>
      <x:c r="Q86" s="27"/>
      <x:c r="R86" s="27"/>
      <x:c r="S86" s="27"/>
      <x:c r="T86" s="27"/>
      <x:c r="U86" s="27"/>
      <x:c r="V86" s="27"/>
      <x:c r="W86" s="27"/>
      <x:c r="X86" s="27"/>
      <x:c r="Y86" s="27"/>
      <x:c r="Z86" s="27"/>
      <x:c r="AA86" s="27"/>
      <x:c r="AB86" s="27"/>
      <x:c r="AC86" s="27"/>
      <x:c r="AD86" s="27"/>
      <x:c r="AE86" s="27"/>
      <x:c r="AF86" s="27"/>
      <x:c r="AG86" s="27"/>
      <x:c r="AH86" s="27"/>
      <x:c r="AI86" s="27"/>
      <x:c r="AJ86" s="27"/>
      <x:c r="AK86" s="27"/>
      <x:c r="AL86" s="27"/>
      <x:c r="AM86" s="27"/>
      <x:c r="AN86" s="27"/>
      <x:c r="AO86" s="27"/>
      <x:c r="AP86" s="27"/>
      <x:c r="AQ86" s="27"/>
      <x:c r="AR86" s="27"/>
      <x:c r="AS86" s="27"/>
      <x:c r="AT86" s="27"/>
      <x:c r="AU86" s="27"/>
      <x:c r="AV86" s="27"/>
      <x:c r="AW86" s="27"/>
      <x:c r="AX86" s="27"/>
      <x:c r="AY86" s="27"/>
      <x:c r="AZ86" s="27"/>
    </x:row>
    <x:row r="87">
      <x:c r="A87" s="27"/>
      <x:c r="B87" s="27"/>
      <x:c r="C87" s="27"/>
      <x:c r="D87" s="27"/>
      <x:c r="E87" s="27"/>
      <x:c r="F87" s="27"/>
      <x:c r="G87" s="27"/>
      <x:c r="H87" s="27"/>
      <x:c r="I87" s="27"/>
      <x:c r="J87" s="27"/>
      <x:c r="K87" s="27"/>
      <x:c r="L87" s="27"/>
      <x:c r="M87" s="27"/>
      <x:c r="N87" s="27"/>
      <x:c r="O87" s="27"/>
      <x:c r="P87" s="27"/>
      <x:c r="Q87" s="27"/>
      <x:c r="R87" s="27"/>
      <x:c r="S87" s="27"/>
      <x:c r="T87" s="27"/>
      <x:c r="U87" s="27"/>
      <x:c r="V87" s="27"/>
      <x:c r="W87" s="27"/>
      <x:c r="X87" s="27"/>
      <x:c r="Y87" s="27"/>
      <x:c r="Z87" s="27"/>
      <x:c r="AA87" s="27"/>
      <x:c r="AB87" s="27"/>
      <x:c r="AC87" s="27"/>
      <x:c r="AD87" s="27"/>
      <x:c r="AE87" s="27"/>
      <x:c r="AF87" s="27"/>
      <x:c r="AG87" s="27"/>
      <x:c r="AH87" s="27"/>
      <x:c r="AI87" s="27"/>
      <x:c r="AJ87" s="27"/>
      <x:c r="AK87" s="27"/>
      <x:c r="AL87" s="27"/>
      <x:c r="AM87" s="27"/>
      <x:c r="AN87" s="27"/>
      <x:c r="AO87" s="27"/>
      <x:c r="AP87" s="27"/>
      <x:c r="AQ87" s="27"/>
      <x:c r="AR87" s="27"/>
      <x:c r="AS87" s="27"/>
      <x:c r="AT87" s="27"/>
      <x:c r="AU87" s="27"/>
      <x:c r="AV87" s="27"/>
      <x:c r="AW87" s="27"/>
      <x:c r="AX87" s="27"/>
      <x:c r="AY87" s="27"/>
      <x:c r="AZ87" s="27"/>
    </x:row>
    <x:row r="88">
      <x:c r="A88" s="27"/>
      <x:c r="B88" s="27"/>
      <x:c r="C88" s="27"/>
      <x:c r="D88" s="27"/>
      <x:c r="E88" s="27"/>
      <x:c r="F88" s="27"/>
      <x:c r="G88" s="27"/>
      <x:c r="H88" s="27"/>
      <x:c r="I88" s="27"/>
      <x:c r="J88" s="27"/>
      <x:c r="K88" s="27"/>
      <x:c r="L88" s="27"/>
      <x:c r="M88" s="27"/>
      <x:c r="N88" s="27"/>
      <x:c r="O88" s="27"/>
      <x:c r="P88" s="27"/>
      <x:c r="Q88" s="27"/>
      <x:c r="R88" s="27"/>
      <x:c r="S88" s="27"/>
      <x:c r="T88" s="27"/>
      <x:c r="U88" s="27"/>
      <x:c r="V88" s="27"/>
      <x:c r="W88" s="27"/>
      <x:c r="X88" s="27"/>
      <x:c r="Y88" s="27"/>
      <x:c r="Z88" s="27"/>
      <x:c r="AA88" s="27"/>
      <x:c r="AB88" s="27"/>
      <x:c r="AC88" s="27"/>
      <x:c r="AD88" s="27"/>
      <x:c r="AE88" s="27"/>
      <x:c r="AF88" s="27"/>
      <x:c r="AG88" s="27"/>
      <x:c r="AH88" s="27"/>
      <x:c r="AI88" s="27"/>
      <x:c r="AJ88" s="27"/>
      <x:c r="AK88" s="27"/>
      <x:c r="AL88" s="27"/>
      <x:c r="AM88" s="27"/>
      <x:c r="AN88" s="27"/>
      <x:c r="AO88" s="27"/>
      <x:c r="AP88" s="27"/>
      <x:c r="AQ88" s="27"/>
      <x:c r="AR88" s="27"/>
      <x:c r="AS88" s="27"/>
      <x:c r="AT88" s="27"/>
      <x:c r="AU88" s="27"/>
      <x:c r="AV88" s="27"/>
      <x:c r="AW88" s="27"/>
      <x:c r="AX88" s="27"/>
      <x:c r="AY88" s="27"/>
      <x:c r="AZ88" s="27"/>
    </x:row>
    <x:row r="89">
      <x:c r="A89" s="27"/>
      <x:c r="B89" s="27"/>
      <x:c r="C89" s="27"/>
      <x:c r="D89" s="27"/>
      <x:c r="E89" s="27"/>
      <x:c r="F89" s="27"/>
      <x:c r="G89" s="27"/>
      <x:c r="H89" s="27"/>
      <x:c r="I89" s="27"/>
      <x:c r="J89" s="27"/>
      <x:c r="K89" s="27"/>
      <x:c r="L89" s="27"/>
      <x:c r="M89" s="27"/>
      <x:c r="N89" s="27"/>
      <x:c r="O89" s="27"/>
      <x:c r="P89" s="27"/>
      <x:c r="Q89" s="27"/>
      <x:c r="R89" s="27"/>
      <x:c r="S89" s="27"/>
      <x:c r="T89" s="27"/>
      <x:c r="U89" s="27"/>
      <x:c r="V89" s="27"/>
      <x:c r="W89" s="27"/>
      <x:c r="X89" s="27"/>
      <x:c r="Y89" s="27"/>
      <x:c r="Z89" s="27"/>
      <x:c r="AA89" s="27"/>
      <x:c r="AB89" s="27"/>
      <x:c r="AC89" s="27"/>
      <x:c r="AD89" s="27"/>
      <x:c r="AE89" s="27"/>
      <x:c r="AF89" s="27"/>
      <x:c r="AG89" s="27"/>
      <x:c r="AH89" s="27"/>
      <x:c r="AI89" s="27"/>
      <x:c r="AJ89" s="27"/>
      <x:c r="AK89" s="27"/>
      <x:c r="AL89" s="27"/>
      <x:c r="AM89" s="27"/>
      <x:c r="AN89" s="27"/>
      <x:c r="AO89" s="27"/>
      <x:c r="AP89" s="27"/>
      <x:c r="AQ89" s="27"/>
      <x:c r="AR89" s="27"/>
      <x:c r="AS89" s="27"/>
      <x:c r="AT89" s="27"/>
      <x:c r="AU89" s="27"/>
      <x:c r="AV89" s="27"/>
      <x:c r="AW89" s="27"/>
      <x:c r="AX89" s="27"/>
      <x:c r="AY89" s="27"/>
      <x:c r="AZ89" s="27"/>
    </x:row>
    <x:row r="90">
      <x:c r="A90" s="27"/>
      <x:c r="B90" s="27"/>
      <x:c r="C90" s="27"/>
      <x:c r="D90" s="27"/>
      <x:c r="E90" s="27"/>
      <x:c r="F90" s="27"/>
      <x:c r="G90" s="27"/>
      <x:c r="H90" s="27"/>
      <x:c r="I90" s="27"/>
      <x:c r="J90" s="27"/>
      <x:c r="K90" s="27"/>
      <x:c r="L90" s="27"/>
      <x:c r="M90" s="27"/>
      <x:c r="N90" s="27"/>
      <x:c r="O90" s="27"/>
      <x:c r="P90" s="27"/>
      <x:c r="Q90" s="27"/>
      <x:c r="R90" s="27"/>
      <x:c r="S90" s="27"/>
      <x:c r="T90" s="27"/>
      <x:c r="U90" s="27"/>
      <x:c r="V90" s="27"/>
      <x:c r="W90" s="27"/>
      <x:c r="X90" s="27"/>
      <x:c r="Y90" s="27"/>
      <x:c r="Z90" s="27"/>
      <x:c r="AA90" s="27"/>
      <x:c r="AB90" s="27"/>
      <x:c r="AC90" s="27"/>
      <x:c r="AD90" s="27"/>
      <x:c r="AE90" s="27"/>
      <x:c r="AF90" s="27"/>
      <x:c r="AG90" s="27"/>
      <x:c r="AH90" s="27"/>
      <x:c r="AI90" s="27"/>
      <x:c r="AJ90" s="27"/>
      <x:c r="AK90" s="27"/>
      <x:c r="AL90" s="27"/>
      <x:c r="AM90" s="27"/>
      <x:c r="AN90" s="27"/>
      <x:c r="AO90" s="27"/>
      <x:c r="AP90" s="27"/>
      <x:c r="AQ90" s="27"/>
      <x:c r="AR90" s="27"/>
      <x:c r="AS90" s="27"/>
      <x:c r="AT90" s="27"/>
      <x:c r="AU90" s="27"/>
      <x:c r="AV90" s="27"/>
      <x:c r="AW90" s="27"/>
      <x:c r="AX90" s="27"/>
      <x:c r="AY90" s="27"/>
      <x:c r="AZ90" s="27"/>
    </x:row>
    <x:row r="91">
      <x:c r="A91" s="27"/>
      <x:c r="B91" s="27"/>
      <x:c r="C91" s="27"/>
      <x:c r="D91" s="27"/>
      <x:c r="E91" s="27"/>
      <x:c r="F91" s="27"/>
      <x:c r="G91" s="27"/>
      <x:c r="H91" s="27"/>
      <x:c r="I91" s="27"/>
      <x:c r="J91" s="27"/>
      <x:c r="K91" s="27"/>
      <x:c r="L91" s="27"/>
      <x:c r="M91" s="27"/>
      <x:c r="N91" s="27"/>
      <x:c r="O91" s="27"/>
      <x:c r="P91" s="27"/>
      <x:c r="Q91" s="27"/>
      <x:c r="R91" s="27"/>
      <x:c r="S91" s="27"/>
      <x:c r="T91" s="27"/>
      <x:c r="U91" s="27"/>
      <x:c r="V91" s="27"/>
      <x:c r="W91" s="27"/>
      <x:c r="X91" s="27"/>
      <x:c r="Y91" s="27"/>
      <x:c r="Z91" s="27"/>
      <x:c r="AA91" s="27"/>
      <x:c r="AB91" s="27"/>
      <x:c r="AC91" s="27"/>
      <x:c r="AD91" s="27"/>
      <x:c r="AE91" s="27"/>
      <x:c r="AF91" s="27"/>
      <x:c r="AG91" s="27"/>
      <x:c r="AH91" s="27"/>
      <x:c r="AI91" s="27"/>
      <x:c r="AJ91" s="27"/>
      <x:c r="AK91" s="27"/>
      <x:c r="AL91" s="27"/>
      <x:c r="AM91" s="27"/>
      <x:c r="AN91" s="27"/>
      <x:c r="AO91" s="27"/>
      <x:c r="AP91" s="27"/>
      <x:c r="AQ91" s="27"/>
      <x:c r="AR91" s="27"/>
      <x:c r="AS91" s="27"/>
      <x:c r="AT91" s="27"/>
      <x:c r="AU91" s="27"/>
      <x:c r="AV91" s="27"/>
      <x:c r="AW91" s="27"/>
      <x:c r="AX91" s="27"/>
      <x:c r="AY91" s="27"/>
      <x:c r="AZ91" s="27"/>
    </x:row>
    <x:row r="92">
      <x:c r="A92" s="27"/>
      <x:c r="B92" s="27"/>
      <x:c r="C92" s="27"/>
      <x:c r="D92" s="27"/>
      <x:c r="E92" s="27"/>
      <x:c r="F92" s="27"/>
      <x:c r="G92" s="27"/>
      <x:c r="H92" s="27"/>
      <x:c r="I92" s="27"/>
      <x:c r="J92" s="27"/>
      <x:c r="K92" s="27"/>
      <x:c r="L92" s="27"/>
      <x:c r="M92" s="27"/>
      <x:c r="N92" s="27"/>
      <x:c r="O92" s="27"/>
      <x:c r="P92" s="27"/>
      <x:c r="Q92" s="27"/>
      <x:c r="R92" s="27"/>
      <x:c r="S92" s="27"/>
      <x:c r="T92" s="27"/>
      <x:c r="U92" s="27"/>
      <x:c r="V92" s="27"/>
      <x:c r="W92" s="27"/>
      <x:c r="X92" s="27"/>
      <x:c r="Y92" s="27"/>
      <x:c r="Z92" s="27"/>
      <x:c r="AA92" s="27"/>
      <x:c r="AB92" s="27"/>
      <x:c r="AC92" s="27"/>
      <x:c r="AD92" s="27"/>
      <x:c r="AE92" s="27"/>
      <x:c r="AF92" s="27"/>
      <x:c r="AG92" s="27"/>
      <x:c r="AH92" s="27"/>
      <x:c r="AI92" s="27"/>
      <x:c r="AJ92" s="27"/>
      <x:c r="AK92" s="27"/>
      <x:c r="AL92" s="27"/>
      <x:c r="AM92" s="27"/>
      <x:c r="AN92" s="27"/>
      <x:c r="AO92" s="27"/>
      <x:c r="AP92" s="27"/>
      <x:c r="AQ92" s="27"/>
      <x:c r="AR92" s="27"/>
      <x:c r="AS92" s="27"/>
      <x:c r="AT92" s="27"/>
      <x:c r="AU92" s="27"/>
      <x:c r="AV92" s="27"/>
      <x:c r="AW92" s="27"/>
      <x:c r="AX92" s="27"/>
      <x:c r="AY92" s="27"/>
      <x:c r="AZ92" s="27"/>
    </x:row>
    <x:row r="93">
      <x:c r="A93" s="27"/>
      <x:c r="B93" s="27"/>
      <x:c r="C93" s="27"/>
      <x:c r="D93" s="27"/>
      <x:c r="E93" s="27"/>
      <x:c r="F93" s="27"/>
      <x:c r="G93" s="27"/>
      <x:c r="H93" s="27"/>
      <x:c r="I93" s="27"/>
      <x:c r="J93" s="27"/>
      <x:c r="K93" s="27"/>
      <x:c r="L93" s="27"/>
      <x:c r="M93" s="27"/>
      <x:c r="N93" s="27"/>
      <x:c r="O93" s="27"/>
      <x:c r="P93" s="27"/>
      <x:c r="Q93" s="27"/>
      <x:c r="R93" s="27"/>
      <x:c r="S93" s="27"/>
      <x:c r="T93" s="27"/>
      <x:c r="U93" s="27"/>
      <x:c r="V93" s="27"/>
      <x:c r="W93" s="27"/>
      <x:c r="X93" s="27"/>
      <x:c r="Y93" s="27"/>
      <x:c r="Z93" s="27"/>
      <x:c r="AA93" s="27"/>
      <x:c r="AB93" s="27"/>
      <x:c r="AC93" s="27"/>
      <x:c r="AD93" s="27"/>
      <x:c r="AE93" s="27"/>
      <x:c r="AF93" s="27"/>
      <x:c r="AG93" s="27"/>
      <x:c r="AH93" s="27"/>
      <x:c r="AI93" s="27"/>
      <x:c r="AJ93" s="27"/>
      <x:c r="AK93" s="27"/>
      <x:c r="AL93" s="27"/>
      <x:c r="AM93" s="27"/>
      <x:c r="AN93" s="27"/>
      <x:c r="AO93" s="27"/>
      <x:c r="AP93" s="27"/>
      <x:c r="AQ93" s="27"/>
      <x:c r="AR93" s="27"/>
      <x:c r="AS93" s="27"/>
      <x:c r="AT93" s="27"/>
      <x:c r="AU93" s="27"/>
      <x:c r="AV93" s="27"/>
      <x:c r="AW93" s="27"/>
      <x:c r="AX93" s="27"/>
      <x:c r="AY93" s="27"/>
      <x:c r="AZ93" s="27"/>
    </x:row>
    <x:row r="94">
      <x:c r="A94" s="27"/>
      <x:c r="B94" s="27"/>
      <x:c r="C94" s="27"/>
      <x:c r="D94" s="27"/>
      <x:c r="E94" s="27"/>
      <x:c r="F94" s="27"/>
      <x:c r="G94" s="27"/>
      <x:c r="H94" s="27"/>
      <x:c r="I94" s="27"/>
      <x:c r="J94" s="27"/>
      <x:c r="K94" s="27"/>
      <x:c r="L94" s="27"/>
      <x:c r="M94" s="27"/>
      <x:c r="N94" s="27"/>
      <x:c r="O94" s="27"/>
      <x:c r="P94" s="27"/>
      <x:c r="Q94" s="27"/>
      <x:c r="R94" s="27"/>
      <x:c r="S94" s="27"/>
      <x:c r="T94" s="27"/>
      <x:c r="U94" s="27"/>
      <x:c r="V94" s="27"/>
      <x:c r="W94" s="27"/>
      <x:c r="X94" s="27"/>
      <x:c r="Y94" s="27"/>
      <x:c r="Z94" s="27"/>
      <x:c r="AA94" s="27"/>
      <x:c r="AB94" s="27"/>
      <x:c r="AC94" s="27"/>
      <x:c r="AD94" s="27"/>
      <x:c r="AE94" s="27"/>
      <x:c r="AF94" s="27"/>
      <x:c r="AG94" s="27"/>
      <x:c r="AH94" s="27"/>
      <x:c r="AI94" s="27"/>
      <x:c r="AJ94" s="27"/>
      <x:c r="AK94" s="27"/>
      <x:c r="AL94" s="27"/>
      <x:c r="AM94" s="27"/>
      <x:c r="AN94" s="27"/>
      <x:c r="AO94" s="27"/>
      <x:c r="AP94" s="27"/>
      <x:c r="AQ94" s="27"/>
      <x:c r="AR94" s="27"/>
      <x:c r="AS94" s="27"/>
      <x:c r="AT94" s="27"/>
      <x:c r="AU94" s="27"/>
      <x:c r="AV94" s="27"/>
      <x:c r="AW94" s="27"/>
      <x:c r="AX94" s="27"/>
      <x:c r="AY94" s="27"/>
      <x:c r="AZ94" s="27"/>
    </x:row>
    <x:row r="95">
      <x:c r="A95" s="27"/>
      <x:c r="B95" s="27"/>
      <x:c r="C95" s="27"/>
      <x:c r="D95" s="27"/>
      <x:c r="E95" s="27"/>
      <x:c r="F95" s="27"/>
      <x:c r="G95" s="27"/>
      <x:c r="H95" s="27"/>
      <x:c r="I95" s="27"/>
      <x:c r="J95" s="27"/>
      <x:c r="K95" s="27"/>
      <x:c r="L95" s="27"/>
      <x:c r="M95" s="27"/>
      <x:c r="N95" s="27"/>
      <x:c r="O95" s="27"/>
      <x:c r="P95" s="27"/>
      <x:c r="Q95" s="27"/>
      <x:c r="R95" s="27"/>
      <x:c r="S95" s="27"/>
      <x:c r="T95" s="27"/>
      <x:c r="U95" s="27"/>
      <x:c r="V95" s="27"/>
      <x:c r="W95" s="27"/>
      <x:c r="X95" s="27"/>
      <x:c r="Y95" s="27"/>
      <x:c r="Z95" s="27"/>
      <x:c r="AA95" s="27"/>
      <x:c r="AB95" s="27"/>
      <x:c r="AC95" s="27"/>
      <x:c r="AD95" s="27"/>
      <x:c r="AE95" s="27"/>
      <x:c r="AF95" s="27"/>
      <x:c r="AG95" s="27"/>
      <x:c r="AH95" s="27"/>
      <x:c r="AI95" s="27"/>
      <x:c r="AJ95" s="27"/>
      <x:c r="AK95" s="27"/>
      <x:c r="AL95" s="27"/>
      <x:c r="AM95" s="27"/>
      <x:c r="AN95" s="27"/>
      <x:c r="AO95" s="27"/>
      <x:c r="AP95" s="27"/>
      <x:c r="AQ95" s="27"/>
      <x:c r="AR95" s="27"/>
      <x:c r="AS95" s="27"/>
      <x:c r="AT95" s="27"/>
      <x:c r="AU95" s="27"/>
      <x:c r="AV95" s="27"/>
      <x:c r="AW95" s="27"/>
      <x:c r="AX95" s="27"/>
      <x:c r="AY95" s="27"/>
      <x:c r="AZ95" s="27"/>
    </x:row>
    <x:row r="96">
      <x:c r="A96" s="27"/>
      <x:c r="B96" s="27"/>
      <x:c r="C96" s="27"/>
      <x:c r="D96" s="27"/>
      <x:c r="E96" s="27"/>
      <x:c r="F96" s="27"/>
      <x:c r="G96" s="27"/>
      <x:c r="H96" s="27"/>
      <x:c r="I96" s="27"/>
      <x:c r="J96" s="27"/>
      <x:c r="K96" s="27"/>
      <x:c r="L96" s="27"/>
      <x:c r="M96" s="27"/>
      <x:c r="N96" s="27"/>
      <x:c r="O96" s="27"/>
      <x:c r="P96" s="27"/>
      <x:c r="Q96" s="27"/>
      <x:c r="R96" s="27"/>
      <x:c r="S96" s="27"/>
      <x:c r="T96" s="27"/>
      <x:c r="U96" s="27"/>
      <x:c r="V96" s="27"/>
      <x:c r="W96" s="27"/>
      <x:c r="X96" s="27"/>
      <x:c r="Y96" s="27"/>
      <x:c r="Z96" s="27"/>
      <x:c r="AA96" s="27"/>
      <x:c r="AB96" s="27"/>
      <x:c r="AC96" s="27"/>
      <x:c r="AD96" s="27"/>
      <x:c r="AE96" s="27"/>
      <x:c r="AF96" s="27"/>
      <x:c r="AG96" s="27"/>
      <x:c r="AH96" s="27"/>
      <x:c r="AI96" s="27"/>
      <x:c r="AJ96" s="27"/>
      <x:c r="AK96" s="27"/>
      <x:c r="AL96" s="27"/>
      <x:c r="AM96" s="27"/>
      <x:c r="AN96" s="27"/>
      <x:c r="AO96" s="27"/>
      <x:c r="AP96" s="27"/>
      <x:c r="AQ96" s="27"/>
      <x:c r="AR96" s="27"/>
      <x:c r="AS96" s="27"/>
      <x:c r="AT96" s="27"/>
      <x:c r="AU96" s="27"/>
      <x:c r="AV96" s="27"/>
      <x:c r="AW96" s="27"/>
      <x:c r="AX96" s="27"/>
      <x:c r="AY96" s="27"/>
      <x:c r="AZ96" s="27"/>
    </x:row>
    <x:row r="97">
      <x:c r="A97" s="27"/>
      <x:c r="B97" s="27"/>
      <x:c r="C97" s="27"/>
      <x:c r="D97" s="27"/>
      <x:c r="E97" s="27"/>
      <x:c r="F97" s="27"/>
      <x:c r="G97" s="27"/>
      <x:c r="H97" s="27"/>
      <x:c r="I97" s="27"/>
      <x:c r="J97" s="27"/>
      <x:c r="K97" s="27"/>
      <x:c r="L97" s="27"/>
      <x:c r="M97" s="27"/>
      <x:c r="N97" s="27"/>
      <x:c r="O97" s="27"/>
      <x:c r="P97" s="27"/>
      <x:c r="Q97" s="27"/>
      <x:c r="R97" s="27"/>
      <x:c r="S97" s="27"/>
      <x:c r="T97" s="27"/>
      <x:c r="U97" s="27"/>
      <x:c r="V97" s="27"/>
      <x:c r="W97" s="27"/>
      <x:c r="X97" s="27"/>
      <x:c r="Y97" s="27"/>
      <x:c r="Z97" s="27"/>
      <x:c r="AA97" s="27"/>
      <x:c r="AB97" s="27"/>
      <x:c r="AC97" s="27"/>
      <x:c r="AD97" s="27"/>
      <x:c r="AE97" s="27"/>
      <x:c r="AF97" s="27"/>
      <x:c r="AG97" s="27"/>
      <x:c r="AH97" s="27"/>
      <x:c r="AI97" s="27"/>
      <x:c r="AJ97" s="27"/>
      <x:c r="AK97" s="27"/>
      <x:c r="AL97" s="27"/>
      <x:c r="AM97" s="27"/>
      <x:c r="AN97" s="27"/>
      <x:c r="AO97" s="27"/>
      <x:c r="AP97" s="27"/>
      <x:c r="AQ97" s="27"/>
      <x:c r="AR97" s="27"/>
      <x:c r="AS97" s="27"/>
      <x:c r="AT97" s="27"/>
      <x:c r="AU97" s="27"/>
      <x:c r="AV97" s="27"/>
      <x:c r="AW97" s="27"/>
      <x:c r="AX97" s="27"/>
      <x:c r="AY97" s="27"/>
      <x:c r="AZ97" s="27"/>
    </x:row>
    <x:row r="98">
      <x:c r="A98" s="27"/>
      <x:c r="B98" s="27"/>
      <x:c r="C98" s="27"/>
      <x:c r="D98" s="27"/>
      <x:c r="E98" s="27"/>
      <x:c r="F98" s="27"/>
      <x:c r="G98" s="27"/>
      <x:c r="H98" s="27"/>
      <x:c r="I98" s="27"/>
      <x:c r="J98" s="27"/>
      <x:c r="K98" s="27"/>
      <x:c r="L98" s="27"/>
      <x:c r="M98" s="27"/>
      <x:c r="N98" s="27"/>
      <x:c r="O98" s="27"/>
      <x:c r="P98" s="27"/>
      <x:c r="Q98" s="27"/>
      <x:c r="R98" s="27"/>
      <x:c r="S98" s="27"/>
      <x:c r="T98" s="27"/>
      <x:c r="U98" s="27"/>
      <x:c r="V98" s="27"/>
      <x:c r="W98" s="27"/>
      <x:c r="X98" s="27"/>
      <x:c r="Y98" s="27"/>
      <x:c r="Z98" s="27"/>
      <x:c r="AA98" s="27"/>
      <x:c r="AB98" s="27"/>
      <x:c r="AC98" s="27"/>
      <x:c r="AD98" s="27"/>
      <x:c r="AE98" s="27"/>
      <x:c r="AF98" s="27"/>
      <x:c r="AG98" s="27"/>
      <x:c r="AH98" s="27"/>
      <x:c r="AI98" s="27"/>
      <x:c r="AJ98" s="27"/>
      <x:c r="AK98" s="27"/>
      <x:c r="AL98" s="27"/>
      <x:c r="AM98" s="27"/>
      <x:c r="AN98" s="27"/>
      <x:c r="AO98" s="27"/>
      <x:c r="AP98" s="27"/>
      <x:c r="AQ98" s="27"/>
      <x:c r="AR98" s="27"/>
      <x:c r="AS98" s="27"/>
      <x:c r="AT98" s="27"/>
      <x:c r="AU98" s="27"/>
      <x:c r="AV98" s="27"/>
      <x:c r="AW98" s="27"/>
      <x:c r="AX98" s="27"/>
      <x:c r="AY98" s="27"/>
      <x:c r="AZ98" s="27"/>
    </x:row>
    <x:row r="99">
      <x:c r="A99" s="27"/>
      <x:c r="B99" s="27"/>
      <x:c r="C99" s="27"/>
      <x:c r="D99" s="27"/>
      <x:c r="E99" s="27"/>
      <x:c r="F99" s="27"/>
      <x:c r="G99" s="27"/>
      <x:c r="H99" s="27"/>
      <x:c r="I99" s="27"/>
      <x:c r="J99" s="27"/>
      <x:c r="K99" s="27"/>
      <x:c r="L99" s="27"/>
      <x:c r="M99" s="27"/>
      <x:c r="N99" s="27"/>
      <x:c r="O99" s="27"/>
      <x:c r="P99" s="27"/>
      <x:c r="Q99" s="27"/>
      <x:c r="R99" s="27"/>
      <x:c r="S99" s="27"/>
      <x:c r="T99" s="27"/>
      <x:c r="U99" s="27"/>
      <x:c r="V99" s="27"/>
      <x:c r="W99" s="27"/>
      <x:c r="X99" s="27"/>
      <x:c r="Y99" s="27"/>
      <x:c r="Z99" s="27"/>
      <x:c r="AA99" s="27"/>
      <x:c r="AB99" s="27"/>
      <x:c r="AC99" s="27"/>
      <x:c r="AD99" s="27"/>
      <x:c r="AE99" s="27"/>
      <x:c r="AF99" s="27"/>
      <x:c r="AG99" s="27"/>
      <x:c r="AH99" s="27"/>
      <x:c r="AI99" s="27"/>
      <x:c r="AJ99" s="27"/>
      <x:c r="AK99" s="27"/>
      <x:c r="AL99" s="27"/>
      <x:c r="AM99" s="27"/>
      <x:c r="AN99" s="27"/>
      <x:c r="AO99" s="27"/>
      <x:c r="AP99" s="27"/>
      <x:c r="AQ99" s="27"/>
      <x:c r="AR99" s="27"/>
      <x:c r="AS99" s="27"/>
      <x:c r="AT99" s="27"/>
      <x:c r="AU99" s="27"/>
      <x:c r="AV99" s="27"/>
      <x:c r="AW99" s="27"/>
      <x:c r="AX99" s="27"/>
      <x:c r="AY99" s="27"/>
      <x:c r="AZ99" s="27"/>
    </x:row>
    <x:row r="100">
      <x:c r="A100" s="27"/>
      <x:c r="B100" s="27"/>
      <x:c r="C100" s="27"/>
      <x:c r="D100" s="27"/>
      <x:c r="E100" s="27"/>
      <x:c r="F100" s="27"/>
      <x:c r="G100" s="27"/>
      <x:c r="H100" s="27"/>
      <x:c r="I100" s="27"/>
      <x:c r="J100" s="27"/>
      <x:c r="K100" s="27"/>
      <x:c r="L100" s="27"/>
      <x:c r="M100" s="27"/>
      <x:c r="N100" s="27"/>
      <x:c r="O100" s="27"/>
      <x:c r="P100" s="27"/>
      <x:c r="Q100" s="27"/>
      <x:c r="R100" s="27"/>
      <x:c r="S100" s="27"/>
      <x:c r="T100" s="27"/>
      <x:c r="U100" s="27"/>
      <x:c r="V100" s="27"/>
      <x:c r="W100" s="27"/>
      <x:c r="X100" s="27"/>
      <x:c r="Y100" s="27"/>
      <x:c r="Z100" s="27"/>
      <x:c r="AA100" s="27"/>
      <x:c r="AB100" s="27"/>
      <x:c r="AC100" s="27"/>
      <x:c r="AD100" s="27"/>
      <x:c r="AE100" s="27"/>
      <x:c r="AF100" s="27"/>
      <x:c r="AG100" s="27"/>
      <x:c r="AH100" s="27"/>
      <x:c r="AI100" s="27"/>
      <x:c r="AJ100" s="27"/>
      <x:c r="AK100" s="27"/>
      <x:c r="AL100" s="27"/>
      <x:c r="AM100" s="27"/>
      <x:c r="AN100" s="27"/>
      <x:c r="AO100" s="27"/>
      <x:c r="AP100" s="27"/>
      <x:c r="AQ100" s="27"/>
      <x:c r="AR100" s="27"/>
      <x:c r="AS100" s="27"/>
      <x:c r="AT100" s="27"/>
      <x:c r="AU100" s="27"/>
      <x:c r="AV100" s="27"/>
      <x:c r="AW100" s="27"/>
      <x:c r="AX100" s="27"/>
      <x:c r="AY100" s="27"/>
      <x:c r="AZ100" s="27"/>
    </x:row>
    <x:row r="101">
      <x:c r="A101" s="27"/>
      <x:c r="B101" s="27"/>
      <x:c r="C101" s="27"/>
      <x:c r="D101" s="27"/>
      <x:c r="E101" s="27"/>
      <x:c r="F101" s="27"/>
      <x:c r="G101" s="27"/>
      <x:c r="H101" s="27"/>
      <x:c r="I101" s="27"/>
      <x:c r="J101" s="27"/>
      <x:c r="K101" s="27"/>
      <x:c r="L101" s="27"/>
      <x:c r="M101" s="27"/>
      <x:c r="N101" s="27"/>
      <x:c r="O101" s="27"/>
      <x:c r="P101" s="27"/>
      <x:c r="Q101" s="27"/>
      <x:c r="R101" s="27"/>
      <x:c r="S101" s="27"/>
      <x:c r="T101" s="27"/>
      <x:c r="U101" s="27"/>
      <x:c r="V101" s="27"/>
      <x:c r="W101" s="27"/>
      <x:c r="X101" s="27"/>
      <x:c r="Y101" s="27"/>
      <x:c r="Z101" s="27"/>
      <x:c r="AA101" s="27"/>
      <x:c r="AB101" s="27"/>
      <x:c r="AC101" s="27"/>
      <x:c r="AD101" s="27"/>
      <x:c r="AE101" s="27"/>
      <x:c r="AF101" s="27"/>
      <x:c r="AG101" s="27"/>
      <x:c r="AH101" s="27"/>
      <x:c r="AI101" s="27"/>
      <x:c r="AJ101" s="27"/>
      <x:c r="AK101" s="27"/>
      <x:c r="AL101" s="27"/>
      <x:c r="AM101" s="27"/>
      <x:c r="AN101" s="27"/>
      <x:c r="AO101" s="27"/>
      <x:c r="AP101" s="27"/>
      <x:c r="AQ101" s="27"/>
      <x:c r="AR101" s="27"/>
      <x:c r="AS101" s="27"/>
      <x:c r="AT101" s="27"/>
      <x:c r="AU101" s="27"/>
      <x:c r="AV101" s="27"/>
      <x:c r="AW101" s="27"/>
      <x:c r="AX101" s="27"/>
      <x:c r="AY101" s="27"/>
      <x:c r="AZ101" s="27"/>
    </x:row>
    <x:row r="102">
      <x:c r="A102" s="27"/>
      <x:c r="B102" s="27"/>
      <x:c r="C102" s="27"/>
      <x:c r="D102" s="27"/>
      <x:c r="E102" s="27"/>
      <x:c r="F102" s="27"/>
      <x:c r="G102" s="27"/>
      <x:c r="H102" s="27"/>
      <x:c r="I102" s="27"/>
      <x:c r="J102" s="27"/>
      <x:c r="K102" s="27"/>
      <x:c r="L102" s="27"/>
      <x:c r="M102" s="27"/>
      <x:c r="N102" s="27"/>
      <x:c r="O102" s="27"/>
      <x:c r="P102" s="27"/>
      <x:c r="Q102" s="27"/>
      <x:c r="R102" s="27"/>
      <x:c r="S102" s="27"/>
      <x:c r="T102" s="27"/>
      <x:c r="U102" s="27"/>
      <x:c r="V102" s="27"/>
      <x:c r="W102" s="27"/>
      <x:c r="X102" s="27"/>
      <x:c r="Y102" s="27"/>
      <x:c r="Z102" s="27"/>
      <x:c r="AA102" s="27"/>
      <x:c r="AB102" s="27"/>
      <x:c r="AC102" s="27"/>
      <x:c r="AD102" s="27"/>
      <x:c r="AE102" s="27"/>
      <x:c r="AF102" s="27"/>
      <x:c r="AG102" s="27"/>
      <x:c r="AH102" s="27"/>
      <x:c r="AI102" s="27"/>
      <x:c r="AJ102" s="27"/>
      <x:c r="AK102" s="27"/>
      <x:c r="AL102" s="27"/>
      <x:c r="AM102" s="27"/>
      <x:c r="AN102" s="27"/>
      <x:c r="AO102" s="27"/>
      <x:c r="AP102" s="27"/>
      <x:c r="AQ102" s="27"/>
      <x:c r="AR102" s="27"/>
      <x:c r="AS102" s="27"/>
      <x:c r="AT102" s="27"/>
      <x:c r="AU102" s="27"/>
      <x:c r="AV102" s="27"/>
      <x:c r="AW102" s="27"/>
      <x:c r="AX102" s="27"/>
      <x:c r="AY102" s="27"/>
      <x:c r="AZ102" s="27"/>
    </x:row>
    <x:row r="103">
      <x:c r="A103" s="27"/>
      <x:c r="B103" s="27"/>
      <x:c r="C103" s="27"/>
      <x:c r="D103" s="27"/>
      <x:c r="E103" s="27"/>
      <x:c r="F103" s="27"/>
      <x:c r="G103" s="27"/>
      <x:c r="H103" s="27"/>
      <x:c r="I103" s="27"/>
      <x:c r="J103" s="27"/>
      <x:c r="K103" s="27"/>
      <x:c r="L103" s="27"/>
      <x:c r="M103" s="27"/>
      <x:c r="N103" s="27"/>
      <x:c r="O103" s="27"/>
      <x:c r="P103" s="27"/>
      <x:c r="Q103" s="27"/>
      <x:c r="R103" s="27"/>
      <x:c r="S103" s="27"/>
      <x:c r="T103" s="27"/>
      <x:c r="U103" s="27"/>
      <x:c r="V103" s="27"/>
      <x:c r="W103" s="27"/>
      <x:c r="X103" s="27"/>
      <x:c r="Y103" s="27"/>
      <x:c r="Z103" s="27"/>
      <x:c r="AA103" s="27"/>
      <x:c r="AB103" s="27"/>
      <x:c r="AC103" s="27"/>
      <x:c r="AD103" s="27"/>
      <x:c r="AE103" s="27"/>
      <x:c r="AF103" s="27"/>
      <x:c r="AG103" s="27"/>
      <x:c r="AH103" s="27"/>
      <x:c r="AI103" s="27"/>
      <x:c r="AJ103" s="27"/>
      <x:c r="AK103" s="27"/>
      <x:c r="AL103" s="27"/>
      <x:c r="AM103" s="27"/>
      <x:c r="AN103" s="27"/>
      <x:c r="AO103" s="27"/>
      <x:c r="AP103" s="27"/>
      <x:c r="AQ103" s="27"/>
      <x:c r="AR103" s="27"/>
      <x:c r="AS103" s="27"/>
      <x:c r="AT103" s="27"/>
      <x:c r="AU103" s="27"/>
      <x:c r="AV103" s="27"/>
      <x:c r="AW103" s="27"/>
      <x:c r="AX103" s="27"/>
      <x:c r="AY103" s="27"/>
      <x:c r="AZ103" s="27"/>
    </x:row>
    <x:row r="104">
      <x:c r="A104" s="27"/>
      <x:c r="B104" s="27"/>
      <x:c r="C104" s="27"/>
      <x:c r="D104" s="27"/>
      <x:c r="E104" s="27"/>
      <x:c r="F104" s="27"/>
      <x:c r="G104" s="27"/>
      <x:c r="H104" s="27"/>
      <x:c r="I104" s="27"/>
      <x:c r="J104" s="27"/>
      <x:c r="K104" s="27"/>
      <x:c r="L104" s="27"/>
      <x:c r="M104" s="27"/>
      <x:c r="N104" s="27"/>
      <x:c r="O104" s="27"/>
      <x:c r="P104" s="27"/>
      <x:c r="Q104" s="27"/>
      <x:c r="R104" s="27"/>
      <x:c r="S104" s="27"/>
      <x:c r="T104" s="27"/>
      <x:c r="U104" s="27"/>
      <x:c r="V104" s="27"/>
      <x:c r="W104" s="27"/>
      <x:c r="X104" s="27"/>
      <x:c r="Y104" s="27"/>
      <x:c r="Z104" s="27"/>
      <x:c r="AA104" s="27"/>
      <x:c r="AB104" s="27"/>
      <x:c r="AC104" s="27"/>
      <x:c r="AD104" s="27"/>
      <x:c r="AE104" s="27"/>
      <x:c r="AF104" s="27"/>
      <x:c r="AG104" s="27"/>
      <x:c r="AH104" s="27"/>
      <x:c r="AI104" s="27"/>
      <x:c r="AJ104" s="27"/>
      <x:c r="AK104" s="27"/>
      <x:c r="AL104" s="27"/>
      <x:c r="AM104" s="27"/>
      <x:c r="AN104" s="27"/>
      <x:c r="AO104" s="27"/>
      <x:c r="AP104" s="27"/>
      <x:c r="AQ104" s="27"/>
      <x:c r="AR104" s="27"/>
      <x:c r="AS104" s="27"/>
      <x:c r="AT104" s="27"/>
      <x:c r="AU104" s="27"/>
      <x:c r="AV104" s="27"/>
      <x:c r="AW104" s="27"/>
      <x:c r="AX104" s="27"/>
      <x:c r="AY104" s="27"/>
      <x:c r="AZ104" s="27"/>
    </x:row>
    <x:row r="105">
      <x:c r="A105" s="27"/>
      <x:c r="B105" s="27"/>
      <x:c r="C105" s="27"/>
      <x:c r="D105" s="27"/>
      <x:c r="E105" s="27"/>
      <x:c r="F105" s="27"/>
      <x:c r="G105" s="27"/>
      <x:c r="H105" s="27"/>
      <x:c r="I105" s="27"/>
      <x:c r="J105" s="27"/>
      <x:c r="K105" s="27"/>
      <x:c r="L105" s="27"/>
      <x:c r="M105" s="27"/>
      <x:c r="N105" s="27"/>
      <x:c r="O105" s="27"/>
      <x:c r="P105" s="27"/>
      <x:c r="Q105" s="27"/>
      <x:c r="R105" s="27"/>
      <x:c r="S105" s="27"/>
      <x:c r="T105" s="27"/>
      <x:c r="U105" s="27"/>
      <x:c r="V105" s="27"/>
      <x:c r="W105" s="27"/>
      <x:c r="X105" s="27"/>
      <x:c r="Y105" s="27"/>
      <x:c r="Z105" s="27"/>
      <x:c r="AA105" s="27"/>
      <x:c r="AB105" s="27"/>
      <x:c r="AC105" s="27"/>
      <x:c r="AD105" s="27"/>
      <x:c r="AE105" s="27"/>
      <x:c r="AF105" s="27"/>
      <x:c r="AG105" s="27"/>
      <x:c r="AH105" s="27"/>
      <x:c r="AI105" s="27"/>
      <x:c r="AJ105" s="27"/>
      <x:c r="AK105" s="27"/>
      <x:c r="AL105" s="27"/>
      <x:c r="AM105" s="27"/>
      <x:c r="AN105" s="27"/>
      <x:c r="AO105" s="27"/>
      <x:c r="AP105" s="27"/>
      <x:c r="AQ105" s="27"/>
      <x:c r="AR105" s="27"/>
      <x:c r="AS105" s="27"/>
      <x:c r="AT105" s="27"/>
      <x:c r="AU105" s="27"/>
      <x:c r="AV105" s="27"/>
      <x:c r="AW105" s="27"/>
      <x:c r="AX105" s="27"/>
      <x:c r="AY105" s="27"/>
      <x:c r="AZ105" s="27"/>
    </x:row>
    <x:row r="106">
      <x:c r="A106" s="27"/>
      <x:c r="B106" s="27"/>
      <x:c r="C106" s="27"/>
      <x:c r="D106" s="27"/>
      <x:c r="E106" s="27"/>
      <x:c r="F106" s="27"/>
      <x:c r="G106" s="27"/>
      <x:c r="H106" s="27"/>
      <x:c r="I106" s="27"/>
      <x:c r="J106" s="27"/>
      <x:c r="K106" s="27"/>
      <x:c r="L106" s="27"/>
      <x:c r="M106" s="27"/>
      <x:c r="N106" s="27"/>
      <x:c r="O106" s="27"/>
      <x:c r="P106" s="27"/>
      <x:c r="Q106" s="27"/>
      <x:c r="R106" s="27"/>
      <x:c r="S106" s="27"/>
      <x:c r="T106" s="27"/>
      <x:c r="U106" s="27"/>
      <x:c r="V106" s="27"/>
      <x:c r="W106" s="27"/>
      <x:c r="X106" s="27"/>
      <x:c r="Y106" s="27"/>
      <x:c r="Z106" s="27"/>
      <x:c r="AA106" s="27"/>
      <x:c r="AB106" s="27"/>
      <x:c r="AC106" s="27"/>
      <x:c r="AD106" s="27"/>
      <x:c r="AE106" s="27"/>
      <x:c r="AF106" s="27"/>
      <x:c r="AG106" s="27"/>
      <x:c r="AH106" s="27"/>
      <x:c r="AI106" s="27"/>
      <x:c r="AJ106" s="27"/>
      <x:c r="AK106" s="27"/>
      <x:c r="AL106" s="27"/>
      <x:c r="AM106" s="27"/>
      <x:c r="AN106" s="27"/>
      <x:c r="AO106" s="27"/>
      <x:c r="AP106" s="27"/>
      <x:c r="AQ106" s="27"/>
      <x:c r="AR106" s="27"/>
      <x:c r="AS106" s="27"/>
      <x:c r="AT106" s="27"/>
      <x:c r="AU106" s="27"/>
      <x:c r="AV106" s="27"/>
      <x:c r="AW106" s="27"/>
      <x:c r="AX106" s="27"/>
      <x:c r="AY106" s="27"/>
      <x:c r="AZ106" s="27"/>
    </x:row>
    <x:row r="107">
      <x:c r="A107" s="27"/>
      <x:c r="B107" s="27"/>
      <x:c r="C107" s="27"/>
      <x:c r="D107" s="27"/>
      <x:c r="E107" s="27"/>
      <x:c r="F107" s="27"/>
      <x:c r="G107" s="27"/>
      <x:c r="H107" s="27"/>
      <x:c r="I107" s="27"/>
      <x:c r="J107" s="27"/>
      <x:c r="K107" s="27"/>
      <x:c r="L107" s="27"/>
      <x:c r="M107" s="27"/>
      <x:c r="N107" s="27"/>
      <x:c r="O107" s="27"/>
      <x:c r="P107" s="27"/>
      <x:c r="Q107" s="27"/>
      <x:c r="R107" s="27"/>
      <x:c r="S107" s="27"/>
      <x:c r="T107" s="27"/>
      <x:c r="U107" s="27"/>
      <x:c r="V107" s="27"/>
      <x:c r="W107" s="27"/>
      <x:c r="X107" s="27"/>
      <x:c r="Y107" s="27"/>
      <x:c r="Z107" s="27"/>
      <x:c r="AA107" s="27"/>
      <x:c r="AB107" s="27"/>
      <x:c r="AC107" s="27"/>
      <x:c r="AD107" s="27"/>
      <x:c r="AE107" s="27"/>
      <x:c r="AF107" s="27"/>
      <x:c r="AG107" s="27"/>
      <x:c r="AH107" s="27"/>
      <x:c r="AI107" s="27"/>
      <x:c r="AJ107" s="27"/>
      <x:c r="AK107" s="27"/>
      <x:c r="AL107" s="27"/>
      <x:c r="AM107" s="27"/>
      <x:c r="AN107" s="27"/>
      <x:c r="AO107" s="27"/>
      <x:c r="AP107" s="27"/>
      <x:c r="AQ107" s="27"/>
      <x:c r="AR107" s="27"/>
      <x:c r="AS107" s="27"/>
      <x:c r="AT107" s="27"/>
      <x:c r="AU107" s="27"/>
      <x:c r="AV107" s="27"/>
      <x:c r="AW107" s="27"/>
      <x:c r="AX107" s="27"/>
      <x:c r="AY107" s="27"/>
      <x:c r="AZ107" s="27"/>
    </x:row>
    <x:row r="108">
      <x:c r="A108" s="27"/>
      <x:c r="B108" s="27"/>
      <x:c r="C108" s="27"/>
      <x:c r="D108" s="27"/>
      <x:c r="E108" s="27"/>
      <x:c r="F108" s="27"/>
      <x:c r="G108" s="27"/>
      <x:c r="H108" s="27"/>
      <x:c r="I108" s="27"/>
      <x:c r="J108" s="27"/>
      <x:c r="K108" s="27"/>
      <x:c r="L108" s="27"/>
      <x:c r="M108" s="27"/>
      <x:c r="N108" s="27"/>
      <x:c r="O108" s="27"/>
      <x:c r="P108" s="27"/>
      <x:c r="Q108" s="27"/>
      <x:c r="R108" s="27"/>
      <x:c r="S108" s="27"/>
      <x:c r="T108" s="27"/>
      <x:c r="U108" s="27"/>
      <x:c r="V108" s="27"/>
      <x:c r="W108" s="27"/>
      <x:c r="X108" s="27"/>
      <x:c r="Y108" s="27"/>
      <x:c r="Z108" s="27"/>
      <x:c r="AA108" s="27"/>
      <x:c r="AB108" s="27"/>
      <x:c r="AC108" s="27"/>
      <x:c r="AD108" s="27"/>
      <x:c r="AE108" s="27"/>
      <x:c r="AF108" s="27"/>
      <x:c r="AG108" s="27"/>
      <x:c r="AH108" s="27"/>
      <x:c r="AI108" s="27"/>
      <x:c r="AJ108" s="27"/>
      <x:c r="AK108" s="27"/>
      <x:c r="AL108" s="27"/>
      <x:c r="AM108" s="27"/>
      <x:c r="AN108" s="27"/>
      <x:c r="AO108" s="27"/>
      <x:c r="AP108" s="27"/>
      <x:c r="AQ108" s="27"/>
      <x:c r="AR108" s="27"/>
      <x:c r="AS108" s="27"/>
      <x:c r="AT108" s="27"/>
      <x:c r="AU108" s="27"/>
      <x:c r="AV108" s="27"/>
      <x:c r="AW108" s="27"/>
      <x:c r="AX108" s="27"/>
      <x:c r="AY108" s="27"/>
      <x:c r="AZ108" s="27"/>
    </x:row>
    <x:row r="109">
      <x:c r="A109" s="27"/>
      <x:c r="B109" s="27"/>
      <x:c r="C109" s="27"/>
      <x:c r="D109" s="27"/>
      <x:c r="E109" s="27"/>
      <x:c r="F109" s="27"/>
      <x:c r="G109" s="27"/>
      <x:c r="H109" s="27"/>
      <x:c r="I109" s="27"/>
      <x:c r="J109" s="27"/>
      <x:c r="K109" s="27"/>
      <x:c r="L109" s="27"/>
      <x:c r="M109" s="27"/>
      <x:c r="N109" s="27"/>
      <x:c r="O109" s="27"/>
      <x:c r="P109" s="27"/>
      <x:c r="Q109" s="27"/>
      <x:c r="R109" s="27"/>
      <x:c r="S109" s="27"/>
      <x:c r="T109" s="27"/>
      <x:c r="U109" s="27"/>
      <x:c r="V109" s="27"/>
      <x:c r="W109" s="27"/>
      <x:c r="X109" s="27"/>
      <x:c r="Y109" s="27"/>
      <x:c r="Z109" s="27"/>
      <x:c r="AA109" s="27"/>
      <x:c r="AB109" s="27"/>
      <x:c r="AC109" s="27"/>
      <x:c r="AD109" s="27"/>
      <x:c r="AE109" s="27"/>
      <x:c r="AF109" s="27"/>
      <x:c r="AG109" s="27"/>
      <x:c r="AH109" s="27"/>
      <x:c r="AI109" s="27"/>
      <x:c r="AJ109" s="27"/>
      <x:c r="AK109" s="27"/>
      <x:c r="AL109" s="27"/>
      <x:c r="AM109" s="27"/>
      <x:c r="AN109" s="27"/>
      <x:c r="AO109" s="27"/>
      <x:c r="AP109" s="27"/>
      <x:c r="AQ109" s="27"/>
      <x:c r="AR109" s="27"/>
      <x:c r="AS109" s="27"/>
      <x:c r="AT109" s="27"/>
      <x:c r="AU109" s="27"/>
      <x:c r="AV109" s="27"/>
      <x:c r="AW109" s="27"/>
      <x:c r="AX109" s="27"/>
      <x:c r="AY109" s="27"/>
      <x:c r="AZ109" s="27"/>
    </x:row>
    <x:row r="110">
      <x:c r="A110" s="27"/>
      <x:c r="B110" s="27"/>
      <x:c r="C110" s="27"/>
      <x:c r="D110" s="27"/>
      <x:c r="E110" s="27"/>
      <x:c r="F110" s="27"/>
      <x:c r="G110" s="27"/>
      <x:c r="H110" s="27"/>
      <x:c r="I110" s="27"/>
      <x:c r="J110" s="27"/>
      <x:c r="K110" s="27"/>
      <x:c r="L110" s="27"/>
      <x:c r="M110" s="27"/>
      <x:c r="N110" s="27"/>
      <x:c r="O110" s="27"/>
      <x:c r="P110" s="27"/>
      <x:c r="Q110" s="27"/>
      <x:c r="R110" s="27"/>
      <x:c r="S110" s="27"/>
      <x:c r="T110" s="27"/>
      <x:c r="U110" s="27"/>
      <x:c r="V110" s="27"/>
      <x:c r="W110" s="27"/>
      <x:c r="X110" s="27"/>
      <x:c r="Y110" s="27"/>
      <x:c r="Z110" s="27"/>
      <x:c r="AA110" s="27"/>
      <x:c r="AB110" s="27"/>
      <x:c r="AC110" s="27"/>
      <x:c r="AD110" s="27"/>
      <x:c r="AE110" s="27"/>
      <x:c r="AF110" s="27"/>
      <x:c r="AG110" s="27"/>
      <x:c r="AH110" s="27"/>
      <x:c r="AI110" s="27"/>
      <x:c r="AJ110" s="27"/>
      <x:c r="AK110" s="27"/>
      <x:c r="AL110" s="27"/>
      <x:c r="AM110" s="27"/>
      <x:c r="AN110" s="27"/>
      <x:c r="AO110" s="27"/>
      <x:c r="AP110" s="27"/>
      <x:c r="AQ110" s="27"/>
      <x:c r="AR110" s="27"/>
      <x:c r="AS110" s="27"/>
      <x:c r="AT110" s="27"/>
      <x:c r="AU110" s="27"/>
      <x:c r="AV110" s="27"/>
      <x:c r="AW110" s="27"/>
      <x:c r="AX110" s="27"/>
      <x:c r="AY110" s="27"/>
      <x:c r="AZ110" s="27"/>
    </x:row>
    <x:row r="111">
      <x:c r="A111" s="27"/>
      <x:c r="B111" s="27"/>
      <x:c r="C111" s="27"/>
      <x:c r="D111" s="27"/>
      <x:c r="E111" s="27"/>
      <x:c r="F111" s="27"/>
      <x:c r="G111" s="27"/>
      <x:c r="H111" s="27"/>
      <x:c r="I111" s="27"/>
      <x:c r="J111" s="27"/>
      <x:c r="K111" s="27"/>
      <x:c r="L111" s="27"/>
      <x:c r="M111" s="27"/>
      <x:c r="N111" s="27"/>
      <x:c r="O111" s="27"/>
      <x:c r="P111" s="27"/>
      <x:c r="Q111" s="27"/>
      <x:c r="R111" s="27"/>
      <x:c r="S111" s="27"/>
      <x:c r="T111" s="27"/>
      <x:c r="U111" s="27"/>
      <x:c r="V111" s="27"/>
      <x:c r="W111" s="27"/>
      <x:c r="X111" s="27"/>
      <x:c r="Y111" s="27"/>
      <x:c r="Z111" s="27"/>
      <x:c r="AA111" s="27"/>
      <x:c r="AB111" s="27"/>
      <x:c r="AC111" s="27"/>
      <x:c r="AD111" s="27"/>
      <x:c r="AE111" s="27"/>
      <x:c r="AF111" s="27"/>
      <x:c r="AG111" s="27"/>
      <x:c r="AH111" s="27"/>
      <x:c r="AI111" s="27"/>
      <x:c r="AJ111" s="27"/>
      <x:c r="AK111" s="27"/>
      <x:c r="AL111" s="27"/>
      <x:c r="AM111" s="27"/>
      <x:c r="AN111" s="27"/>
      <x:c r="AO111" s="27"/>
      <x:c r="AP111" s="27"/>
      <x:c r="AQ111" s="27"/>
      <x:c r="AR111" s="27"/>
      <x:c r="AS111" s="27"/>
      <x:c r="AT111" s="27"/>
      <x:c r="AU111" s="27"/>
      <x:c r="AV111" s="27"/>
      <x:c r="AW111" s="27"/>
      <x:c r="AX111" s="27"/>
      <x:c r="AY111" s="27"/>
      <x:c r="AZ111" s="27"/>
    </x:row>
    <x:row r="112">
      <x:c r="A112" s="27"/>
      <x:c r="B112" s="27"/>
      <x:c r="C112" s="27"/>
      <x:c r="D112" s="27"/>
      <x:c r="E112" s="27"/>
      <x:c r="F112" s="27"/>
      <x:c r="G112" s="27"/>
      <x:c r="H112" s="27"/>
      <x:c r="I112" s="27"/>
      <x:c r="J112" s="27"/>
      <x:c r="K112" s="27"/>
      <x:c r="L112" s="27"/>
      <x:c r="M112" s="27"/>
      <x:c r="N112" s="27"/>
      <x:c r="O112" s="27"/>
      <x:c r="P112" s="27"/>
      <x:c r="Q112" s="27"/>
      <x:c r="R112" s="27"/>
      <x:c r="S112" s="27"/>
      <x:c r="T112" s="27"/>
      <x:c r="U112" s="27"/>
      <x:c r="V112" s="27"/>
      <x:c r="W112" s="27"/>
      <x:c r="X112" s="27"/>
      <x:c r="Y112" s="27"/>
      <x:c r="Z112" s="27"/>
      <x:c r="AA112" s="27"/>
      <x:c r="AB112" s="27"/>
      <x:c r="AC112" s="27"/>
      <x:c r="AD112" s="27"/>
      <x:c r="AE112" s="27"/>
      <x:c r="AF112" s="27"/>
      <x:c r="AG112" s="27"/>
      <x:c r="AH112" s="27"/>
      <x:c r="AI112" s="27"/>
      <x:c r="AJ112" s="27"/>
      <x:c r="AK112" s="27"/>
      <x:c r="AL112" s="27"/>
      <x:c r="AM112" s="27"/>
      <x:c r="AN112" s="27"/>
      <x:c r="AO112" s="27"/>
      <x:c r="AP112" s="27"/>
      <x:c r="AQ112" s="27"/>
      <x:c r="AR112" s="27"/>
      <x:c r="AS112" s="27"/>
      <x:c r="AT112" s="27"/>
      <x:c r="AU112" s="27"/>
      <x:c r="AV112" s="27"/>
      <x:c r="AW112" s="27"/>
      <x:c r="AX112" s="27"/>
      <x:c r="AY112" s="27"/>
      <x:c r="AZ112" s="27"/>
    </x:row>
    <x:row r="113">
      <x:c r="A113" s="27"/>
      <x:c r="B113" s="27"/>
      <x:c r="C113" s="27"/>
      <x:c r="D113" s="27"/>
      <x:c r="E113" s="27"/>
      <x:c r="F113" s="27"/>
      <x:c r="G113" s="27"/>
      <x:c r="H113" s="27"/>
      <x:c r="I113" s="27"/>
      <x:c r="J113" s="27"/>
      <x:c r="K113" s="27"/>
      <x:c r="L113" s="27"/>
      <x:c r="M113" s="27"/>
      <x:c r="N113" s="27"/>
      <x:c r="O113" s="27"/>
      <x:c r="P113" s="27"/>
      <x:c r="Q113" s="27"/>
      <x:c r="R113" s="27"/>
      <x:c r="S113" s="27"/>
      <x:c r="T113" s="27"/>
      <x:c r="U113" s="27"/>
      <x:c r="V113" s="27"/>
      <x:c r="W113" s="27"/>
      <x:c r="X113" s="27"/>
      <x:c r="Y113" s="27"/>
      <x:c r="Z113" s="27"/>
      <x:c r="AA113" s="27"/>
      <x:c r="AB113" s="27"/>
      <x:c r="AC113" s="27"/>
      <x:c r="AD113" s="27"/>
      <x:c r="AE113" s="27"/>
      <x:c r="AF113" s="27"/>
      <x:c r="AG113" s="27"/>
      <x:c r="AH113" s="27"/>
      <x:c r="AI113" s="27"/>
      <x:c r="AJ113" s="27"/>
      <x:c r="AK113" s="27"/>
      <x:c r="AL113" s="27"/>
      <x:c r="AM113" s="27"/>
      <x:c r="AN113" s="27"/>
      <x:c r="AO113" s="27"/>
      <x:c r="AP113" s="27"/>
      <x:c r="AQ113" s="27"/>
      <x:c r="AR113" s="27"/>
      <x:c r="AS113" s="27"/>
      <x:c r="AT113" s="27"/>
      <x:c r="AU113" s="27"/>
      <x:c r="AV113" s="27"/>
      <x:c r="AW113" s="27"/>
      <x:c r="AX113" s="27"/>
      <x:c r="AY113" s="27"/>
      <x:c r="AZ113" s="27"/>
    </x:row>
    <x:row r="114">
      <x:c r="A114" s="27"/>
      <x:c r="B114" s="27"/>
      <x:c r="C114" s="27"/>
      <x:c r="D114" s="27"/>
      <x:c r="E114" s="27"/>
      <x:c r="F114" s="27"/>
      <x:c r="G114" s="27"/>
      <x:c r="H114" s="27"/>
      <x:c r="I114" s="27"/>
      <x:c r="J114" s="27"/>
      <x:c r="K114" s="27"/>
      <x:c r="L114" s="27"/>
      <x:c r="M114" s="27"/>
      <x:c r="N114" s="27"/>
      <x:c r="O114" s="27"/>
      <x:c r="P114" s="27"/>
      <x:c r="Q114" s="27"/>
      <x:c r="R114" s="27"/>
      <x:c r="S114" s="27"/>
      <x:c r="T114" s="27"/>
      <x:c r="U114" s="27"/>
      <x:c r="V114" s="27"/>
      <x:c r="W114" s="27"/>
      <x:c r="X114" s="27"/>
      <x:c r="Y114" s="27"/>
      <x:c r="Z114" s="27"/>
      <x:c r="AA114" s="27"/>
      <x:c r="AB114" s="27"/>
      <x:c r="AC114" s="27"/>
      <x:c r="AD114" s="27"/>
      <x:c r="AE114" s="27"/>
      <x:c r="AF114" s="27"/>
      <x:c r="AG114" s="27"/>
      <x:c r="AH114" s="27"/>
      <x:c r="AI114" s="27"/>
      <x:c r="AJ114" s="27"/>
      <x:c r="AK114" s="27"/>
      <x:c r="AL114" s="27"/>
      <x:c r="AM114" s="27"/>
      <x:c r="AN114" s="27"/>
      <x:c r="AO114" s="27"/>
      <x:c r="AP114" s="27"/>
      <x:c r="AQ114" s="27"/>
      <x:c r="AR114" s="27"/>
      <x:c r="AS114" s="27"/>
      <x:c r="AT114" s="27"/>
      <x:c r="AU114" s="27"/>
      <x:c r="AV114" s="27"/>
      <x:c r="AW114" s="27"/>
      <x:c r="AX114" s="27"/>
      <x:c r="AY114" s="27"/>
      <x:c r="AZ114" s="27"/>
    </x:row>
    <x:row r="115">
      <x:c r="A115" s="27"/>
      <x:c r="B115" s="27"/>
      <x:c r="C115" s="27"/>
      <x:c r="D115" s="27"/>
      <x:c r="E115" s="27"/>
      <x:c r="F115" s="27"/>
      <x:c r="G115" s="27"/>
      <x:c r="H115" s="27"/>
      <x:c r="I115" s="27"/>
      <x:c r="J115" s="27"/>
      <x:c r="K115" s="27"/>
      <x:c r="L115" s="27"/>
      <x:c r="M115" s="27"/>
      <x:c r="N115" s="27"/>
      <x:c r="O115" s="27"/>
      <x:c r="P115" s="27"/>
      <x:c r="Q115" s="27"/>
      <x:c r="R115" s="27"/>
      <x:c r="S115" s="27"/>
      <x:c r="T115" s="27"/>
      <x:c r="U115" s="27"/>
      <x:c r="V115" s="27"/>
      <x:c r="W115" s="27"/>
      <x:c r="X115" s="27"/>
      <x:c r="Y115" s="27"/>
      <x:c r="Z115" s="27"/>
      <x:c r="AA115" s="27"/>
      <x:c r="AB115" s="27"/>
      <x:c r="AC115" s="27"/>
      <x:c r="AD115" s="27"/>
      <x:c r="AE115" s="27"/>
      <x:c r="AF115" s="27"/>
      <x:c r="AG115" s="27"/>
      <x:c r="AH115" s="27"/>
      <x:c r="AI115" s="27"/>
      <x:c r="AJ115" s="27"/>
      <x:c r="AK115" s="27"/>
      <x:c r="AL115" s="27"/>
      <x:c r="AM115" s="27"/>
      <x:c r="AN115" s="27"/>
      <x:c r="AO115" s="27"/>
      <x:c r="AP115" s="27"/>
      <x:c r="AQ115" s="27"/>
      <x:c r="AR115" s="27"/>
      <x:c r="AS115" s="27"/>
      <x:c r="AT115" s="27"/>
      <x:c r="AU115" s="27"/>
      <x:c r="AV115" s="27"/>
      <x:c r="AW115" s="27"/>
      <x:c r="AX115" s="27"/>
      <x:c r="AY115" s="27"/>
      <x:c r="AZ115" s="27"/>
    </x:row>
    <x:row r="116">
      <x:c r="A116" s="27"/>
      <x:c r="B116" s="27"/>
      <x:c r="C116" s="27"/>
      <x:c r="D116" s="27"/>
      <x:c r="E116" s="27"/>
      <x:c r="F116" s="27"/>
      <x:c r="G116" s="27"/>
      <x:c r="H116" s="27"/>
      <x:c r="I116" s="27"/>
      <x:c r="J116" s="27"/>
      <x:c r="K116" s="27"/>
      <x:c r="L116" s="27"/>
      <x:c r="M116" s="27"/>
      <x:c r="N116" s="27"/>
      <x:c r="O116" s="27"/>
      <x:c r="P116" s="27"/>
      <x:c r="Q116" s="27"/>
      <x:c r="R116" s="27"/>
      <x:c r="S116" s="27"/>
      <x:c r="T116" s="27"/>
      <x:c r="U116" s="27"/>
      <x:c r="V116" s="27"/>
      <x:c r="W116" s="27"/>
      <x:c r="X116" s="27"/>
      <x:c r="Y116" s="27"/>
      <x:c r="Z116" s="27"/>
      <x:c r="AA116" s="27"/>
      <x:c r="AB116" s="27"/>
      <x:c r="AC116" s="27"/>
      <x:c r="AD116" s="27"/>
      <x:c r="AE116" s="27"/>
      <x:c r="AF116" s="27"/>
      <x:c r="AG116" s="27"/>
      <x:c r="AH116" s="27"/>
      <x:c r="AI116" s="27"/>
      <x:c r="AJ116" s="27"/>
      <x:c r="AK116" s="27"/>
      <x:c r="AL116" s="27"/>
      <x:c r="AM116" s="27"/>
      <x:c r="AN116" s="27"/>
      <x:c r="AO116" s="27"/>
      <x:c r="AP116" s="27"/>
      <x:c r="AQ116" s="27"/>
      <x:c r="AR116" s="27"/>
      <x:c r="AS116" s="27"/>
      <x:c r="AT116" s="27"/>
      <x:c r="AU116" s="27"/>
      <x:c r="AV116" s="27"/>
      <x:c r="AW116" s="27"/>
      <x:c r="AX116" s="27"/>
      <x:c r="AY116" s="27"/>
      <x:c r="AZ116" s="27"/>
    </x:row>
    <x:row r="117">
      <x:c r="A117" s="27"/>
      <x:c r="B117" s="27"/>
      <x:c r="C117" s="27"/>
      <x:c r="D117" s="27"/>
      <x:c r="E117" s="27"/>
      <x:c r="F117" s="27"/>
      <x:c r="G117" s="27"/>
      <x:c r="H117" s="27"/>
      <x:c r="I117" s="27"/>
      <x:c r="J117" s="27"/>
      <x:c r="K117" s="27"/>
      <x:c r="L117" s="27"/>
      <x:c r="M117" s="27"/>
      <x:c r="N117" s="27"/>
      <x:c r="O117" s="27"/>
      <x:c r="P117" s="27"/>
      <x:c r="Q117" s="27"/>
      <x:c r="R117" s="27"/>
      <x:c r="S117" s="27"/>
      <x:c r="T117" s="27"/>
      <x:c r="U117" s="27"/>
      <x:c r="V117" s="27"/>
      <x:c r="W117" s="27"/>
      <x:c r="X117" s="27"/>
      <x:c r="Y117" s="27"/>
      <x:c r="Z117" s="27"/>
      <x:c r="AA117" s="27"/>
      <x:c r="AB117" s="27"/>
      <x:c r="AC117" s="27"/>
      <x:c r="AD117" s="27"/>
      <x:c r="AE117" s="27"/>
      <x:c r="AF117" s="27"/>
      <x:c r="AG117" s="27"/>
      <x:c r="AH117" s="27"/>
      <x:c r="AI117" s="27"/>
      <x:c r="AJ117" s="27"/>
      <x:c r="AK117" s="27"/>
      <x:c r="AL117" s="27"/>
      <x:c r="AM117" s="27"/>
      <x:c r="AN117" s="27"/>
      <x:c r="AO117" s="27"/>
      <x:c r="AP117" s="27"/>
      <x:c r="AQ117" s="27"/>
      <x:c r="AR117" s="27"/>
      <x:c r="AS117" s="27"/>
      <x:c r="AT117" s="27"/>
      <x:c r="AU117" s="27"/>
      <x:c r="AV117" s="27"/>
      <x:c r="AW117" s="27"/>
      <x:c r="AX117" s="27"/>
      <x:c r="AY117" s="27"/>
      <x:c r="AZ117" s="27"/>
    </x:row>
    <x:row r="118">
      <x:c r="A118" s="27"/>
      <x:c r="B118" s="27"/>
      <x:c r="C118" s="27"/>
      <x:c r="D118" s="27"/>
      <x:c r="E118" s="27"/>
      <x:c r="F118" s="27"/>
      <x:c r="G118" s="27"/>
      <x:c r="H118" s="27"/>
      <x:c r="I118" s="27"/>
      <x:c r="J118" s="27"/>
      <x:c r="K118" s="27"/>
      <x:c r="L118" s="27"/>
      <x:c r="M118" s="27"/>
      <x:c r="N118" s="27"/>
      <x:c r="O118" s="27"/>
      <x:c r="P118" s="27"/>
      <x:c r="Q118" s="27"/>
      <x:c r="R118" s="27"/>
      <x:c r="S118" s="27"/>
      <x:c r="T118" s="27"/>
      <x:c r="U118" s="27"/>
      <x:c r="V118" s="27"/>
      <x:c r="W118" s="27"/>
      <x:c r="X118" s="27"/>
      <x:c r="Y118" s="27"/>
      <x:c r="Z118" s="27"/>
      <x:c r="AA118" s="27"/>
      <x:c r="AB118" s="27"/>
      <x:c r="AC118" s="27"/>
      <x:c r="AD118" s="27"/>
      <x:c r="AE118" s="27"/>
      <x:c r="AF118" s="27"/>
      <x:c r="AG118" s="27"/>
      <x:c r="AH118" s="27"/>
      <x:c r="AI118" s="27"/>
      <x:c r="AJ118" s="27"/>
      <x:c r="AK118" s="27"/>
      <x:c r="AL118" s="27"/>
      <x:c r="AM118" s="27"/>
      <x:c r="AN118" s="27"/>
      <x:c r="AO118" s="27"/>
      <x:c r="AP118" s="27"/>
      <x:c r="AQ118" s="27"/>
      <x:c r="AR118" s="27"/>
      <x:c r="AS118" s="27"/>
      <x:c r="AT118" s="27"/>
      <x:c r="AU118" s="27"/>
      <x:c r="AV118" s="27"/>
      <x:c r="AW118" s="27"/>
      <x:c r="AX118" s="27"/>
      <x:c r="AY118" s="27"/>
      <x:c r="AZ118" s="27"/>
    </x:row>
    <x:row r="119">
      <x:c r="A119" s="27"/>
      <x:c r="B119" s="27"/>
      <x:c r="C119" s="27"/>
      <x:c r="D119" s="27"/>
      <x:c r="E119" s="27"/>
      <x:c r="F119" s="27"/>
      <x:c r="G119" s="27"/>
      <x:c r="H119" s="27"/>
      <x:c r="I119" s="27"/>
      <x:c r="J119" s="27"/>
      <x:c r="K119" s="27"/>
      <x:c r="L119" s="27"/>
      <x:c r="M119" s="27"/>
      <x:c r="N119" s="27"/>
      <x:c r="O119" s="27"/>
      <x:c r="P119" s="27"/>
      <x:c r="Q119" s="27"/>
      <x:c r="R119" s="27"/>
      <x:c r="S119" s="27"/>
      <x:c r="T119" s="27"/>
      <x:c r="U119" s="27"/>
      <x:c r="V119" s="27"/>
      <x:c r="W119" s="27"/>
      <x:c r="X119" s="27"/>
      <x:c r="Y119" s="27"/>
      <x:c r="Z119" s="27"/>
      <x:c r="AA119" s="27"/>
      <x:c r="AB119" s="27"/>
      <x:c r="AC119" s="27"/>
      <x:c r="AD119" s="27"/>
      <x:c r="AE119" s="27"/>
      <x:c r="AF119" s="27"/>
      <x:c r="AG119" s="27"/>
      <x:c r="AH119" s="27"/>
      <x:c r="AI119" s="27"/>
      <x:c r="AJ119" s="27"/>
      <x:c r="AK119" s="27"/>
      <x:c r="AL119" s="27"/>
      <x:c r="AM119" s="27"/>
      <x:c r="AN119" s="27"/>
      <x:c r="AO119" s="27"/>
      <x:c r="AP119" s="27"/>
      <x:c r="AQ119" s="27"/>
      <x:c r="AR119" s="27"/>
      <x:c r="AS119" s="27"/>
      <x:c r="AT119" s="27"/>
      <x:c r="AU119" s="27"/>
      <x:c r="AV119" s="27"/>
      <x:c r="AW119" s="27"/>
      <x:c r="AX119" s="27"/>
      <x:c r="AY119" s="27"/>
      <x:c r="AZ119" s="27"/>
    </x:row>
    <x:row r="120">
      <x:c r="A120" s="27"/>
      <x:c r="B120" s="27"/>
      <x:c r="C120" s="27"/>
      <x:c r="D120" s="27"/>
      <x:c r="E120" s="27"/>
      <x:c r="F120" s="27"/>
      <x:c r="G120" s="27"/>
      <x:c r="H120" s="27"/>
      <x:c r="I120" s="27"/>
      <x:c r="J120" s="27"/>
      <x:c r="K120" s="27"/>
      <x:c r="L120" s="27"/>
      <x:c r="M120" s="27"/>
      <x:c r="N120" s="27"/>
      <x:c r="O120" s="27"/>
      <x:c r="P120" s="27"/>
      <x:c r="Q120" s="27"/>
      <x:c r="R120" s="27"/>
      <x:c r="S120" s="27"/>
      <x:c r="T120" s="27"/>
      <x:c r="U120" s="27"/>
      <x:c r="V120" s="27"/>
      <x:c r="W120" s="27"/>
      <x:c r="X120" s="27"/>
      <x:c r="Y120" s="27"/>
      <x:c r="Z120" s="27"/>
      <x:c r="AA120" s="27"/>
      <x:c r="AB120" s="27"/>
      <x:c r="AC120" s="27"/>
      <x:c r="AD120" s="27"/>
      <x:c r="AE120" s="27"/>
      <x:c r="AF120" s="27"/>
      <x:c r="AG120" s="27"/>
      <x:c r="AH120" s="27"/>
      <x:c r="AI120" s="27"/>
      <x:c r="AJ120" s="27"/>
      <x:c r="AK120" s="27"/>
      <x:c r="AL120" s="27"/>
      <x:c r="AM120" s="27"/>
      <x:c r="AN120" s="27"/>
      <x:c r="AO120" s="27"/>
      <x:c r="AP120" s="27"/>
      <x:c r="AQ120" s="27"/>
      <x:c r="AR120" s="27"/>
      <x:c r="AS120" s="27"/>
      <x:c r="AT120" s="27"/>
      <x:c r="AU120" s="27"/>
      <x:c r="AV120" s="27"/>
      <x:c r="AW120" s="27"/>
      <x:c r="AX120" s="27"/>
      <x:c r="AY120" s="27"/>
      <x:c r="AZ120" s="27"/>
    </x:row>
    <x:row r="121">
      <x:c r="A121" s="27"/>
      <x:c r="B121" s="27"/>
      <x:c r="C121" s="27"/>
      <x:c r="D121" s="27"/>
      <x:c r="E121" s="27"/>
      <x:c r="F121" s="27"/>
      <x:c r="G121" s="27"/>
      <x:c r="H121" s="27"/>
      <x:c r="I121" s="27"/>
      <x:c r="J121" s="27"/>
      <x:c r="K121" s="27"/>
      <x:c r="L121" s="27"/>
      <x:c r="M121" s="27"/>
      <x:c r="N121" s="27"/>
      <x:c r="O121" s="27"/>
      <x:c r="P121" s="27"/>
      <x:c r="Q121" s="27"/>
      <x:c r="R121" s="27"/>
      <x:c r="S121" s="27"/>
      <x:c r="T121" s="27"/>
      <x:c r="U121" s="27"/>
      <x:c r="V121" s="27"/>
      <x:c r="W121" s="27"/>
      <x:c r="X121" s="27"/>
      <x:c r="Y121" s="27"/>
      <x:c r="Z121" s="27"/>
      <x:c r="AA121" s="27"/>
      <x:c r="AB121" s="27"/>
      <x:c r="AC121" s="27"/>
      <x:c r="AD121" s="27"/>
      <x:c r="AE121" s="27"/>
      <x:c r="AF121" s="27"/>
      <x:c r="AG121" s="27"/>
      <x:c r="AH121" s="27"/>
      <x:c r="AI121" s="27"/>
      <x:c r="AJ121" s="27"/>
      <x:c r="AK121" s="27"/>
      <x:c r="AL121" s="27"/>
      <x:c r="AM121" s="27"/>
      <x:c r="AN121" s="27"/>
      <x:c r="AO121" s="27"/>
      <x:c r="AP121" s="27"/>
      <x:c r="AQ121" s="27"/>
      <x:c r="AR121" s="27"/>
      <x:c r="AS121" s="27"/>
      <x:c r="AT121" s="27"/>
      <x:c r="AU121" s="27"/>
      <x:c r="AV121" s="27"/>
      <x:c r="AW121" s="27"/>
      <x:c r="AX121" s="27"/>
      <x:c r="AY121" s="27"/>
      <x:c r="AZ121" s="27"/>
    </x:row>
    <x:row r="122">
      <x:c r="A122" s="27"/>
      <x:c r="B122" s="27"/>
      <x:c r="C122" s="27"/>
      <x:c r="D122" s="27"/>
      <x:c r="E122" s="27"/>
      <x:c r="F122" s="27"/>
      <x:c r="G122" s="27"/>
      <x:c r="H122" s="27"/>
      <x:c r="I122" s="27"/>
      <x:c r="J122" s="27"/>
      <x:c r="K122" s="27"/>
      <x:c r="L122" s="27"/>
      <x:c r="M122" s="27"/>
      <x:c r="N122" s="27"/>
      <x:c r="O122" s="27"/>
      <x:c r="P122" s="27"/>
      <x:c r="Q122" s="27"/>
      <x:c r="R122" s="27"/>
      <x:c r="S122" s="27"/>
      <x:c r="T122" s="27"/>
      <x:c r="U122" s="27"/>
      <x:c r="V122" s="27"/>
      <x:c r="W122" s="27"/>
      <x:c r="X122" s="27"/>
      <x:c r="Y122" s="27"/>
      <x:c r="Z122" s="27"/>
      <x:c r="AA122" s="27"/>
      <x:c r="AB122" s="27"/>
      <x:c r="AC122" s="27"/>
      <x:c r="AD122" s="27"/>
      <x:c r="AE122" s="27"/>
      <x:c r="AF122" s="27"/>
      <x:c r="AG122" s="27"/>
      <x:c r="AH122" s="27"/>
      <x:c r="AI122" s="27"/>
      <x:c r="AJ122" s="27"/>
      <x:c r="AK122" s="27"/>
      <x:c r="AL122" s="27"/>
      <x:c r="AM122" s="27"/>
      <x:c r="AN122" s="27"/>
      <x:c r="AO122" s="27"/>
      <x:c r="AP122" s="27"/>
      <x:c r="AQ122" s="27"/>
      <x:c r="AR122" s="27"/>
      <x:c r="AS122" s="27"/>
      <x:c r="AT122" s="27"/>
      <x:c r="AU122" s="27"/>
      <x:c r="AV122" s="27"/>
      <x:c r="AW122" s="27"/>
      <x:c r="AX122" s="27"/>
      <x:c r="AY122" s="27"/>
      <x:c r="AZ122" s="27"/>
    </x:row>
    <x:row r="123">
      <x:c r="A123" s="27"/>
      <x:c r="B123" s="27"/>
      <x:c r="C123" s="27"/>
      <x:c r="D123" s="27"/>
      <x:c r="E123" s="27"/>
      <x:c r="F123" s="27"/>
      <x:c r="G123" s="27"/>
      <x:c r="H123" s="27"/>
      <x:c r="I123" s="27"/>
      <x:c r="J123" s="27"/>
      <x:c r="K123" s="27"/>
      <x:c r="L123" s="27"/>
      <x:c r="M123" s="27"/>
      <x:c r="N123" s="27"/>
      <x:c r="O123" s="27"/>
      <x:c r="P123" s="27"/>
      <x:c r="Q123" s="27"/>
      <x:c r="R123" s="27"/>
      <x:c r="S123" s="27"/>
      <x:c r="T123" s="27"/>
      <x:c r="U123" s="27"/>
      <x:c r="V123" s="27"/>
      <x:c r="W123" s="27"/>
      <x:c r="X123" s="27"/>
      <x:c r="Y123" s="27"/>
      <x:c r="Z123" s="27"/>
      <x:c r="AA123" s="27"/>
      <x:c r="AB123" s="27"/>
      <x:c r="AC123" s="27"/>
      <x:c r="AD123" s="27"/>
      <x:c r="AE123" s="27"/>
      <x:c r="AF123" s="27"/>
      <x:c r="AG123" s="27"/>
      <x:c r="AH123" s="27"/>
      <x:c r="AI123" s="27"/>
      <x:c r="AJ123" s="27"/>
      <x:c r="AK123" s="27"/>
      <x:c r="AL123" s="27"/>
      <x:c r="AM123" s="27"/>
      <x:c r="AN123" s="27"/>
      <x:c r="AO123" s="27"/>
      <x:c r="AP123" s="27"/>
      <x:c r="AQ123" s="27"/>
      <x:c r="AR123" s="27"/>
      <x:c r="AS123" s="27"/>
      <x:c r="AT123" s="27"/>
      <x:c r="AU123" s="27"/>
      <x:c r="AV123" s="27"/>
      <x:c r="AW123" s="27"/>
      <x:c r="AX123" s="27"/>
      <x:c r="AY123" s="27"/>
      <x:c r="AZ123" s="27"/>
    </x:row>
    <x:row r="124">
      <x:c r="A124" s="27"/>
      <x:c r="B124" s="27"/>
      <x:c r="C124" s="27"/>
      <x:c r="D124" s="27"/>
      <x:c r="E124" s="27"/>
      <x:c r="F124" s="27"/>
      <x:c r="G124" s="27"/>
      <x:c r="H124" s="27"/>
      <x:c r="I124" s="27"/>
      <x:c r="J124" s="27"/>
      <x:c r="K124" s="27"/>
      <x:c r="L124" s="27"/>
      <x:c r="M124" s="27"/>
      <x:c r="N124" s="27"/>
      <x:c r="O124" s="27"/>
      <x:c r="P124" s="27"/>
      <x:c r="Q124" s="27"/>
      <x:c r="R124" s="27"/>
      <x:c r="S124" s="27"/>
      <x:c r="T124" s="27"/>
      <x:c r="U124" s="27"/>
      <x:c r="V124" s="27"/>
      <x:c r="W124" s="27"/>
      <x:c r="X124" s="27"/>
      <x:c r="Y124" s="27"/>
      <x:c r="Z124" s="27"/>
      <x:c r="AA124" s="27"/>
      <x:c r="AB124" s="27"/>
      <x:c r="AC124" s="27"/>
      <x:c r="AD124" s="27"/>
      <x:c r="AE124" s="27"/>
      <x:c r="AF124" s="27"/>
      <x:c r="AG124" s="27"/>
      <x:c r="AH124" s="27"/>
      <x:c r="AI124" s="27"/>
      <x:c r="AJ124" s="27"/>
      <x:c r="AK124" s="27"/>
      <x:c r="AL124" s="27"/>
      <x:c r="AM124" s="27"/>
      <x:c r="AN124" s="27"/>
      <x:c r="AO124" s="27"/>
      <x:c r="AP124" s="27"/>
      <x:c r="AQ124" s="27"/>
      <x:c r="AR124" s="27"/>
      <x:c r="AS124" s="27"/>
      <x:c r="AT124" s="27"/>
      <x:c r="AU124" s="27"/>
      <x:c r="AV124" s="27"/>
      <x:c r="AW124" s="27"/>
      <x:c r="AX124" s="27"/>
      <x:c r="AY124" s="27"/>
      <x:c r="AZ124" s="27"/>
    </x:row>
    <x:row r="125">
      <x:c r="A125" s="27"/>
      <x:c r="B125" s="27"/>
      <x:c r="C125" s="27"/>
      <x:c r="D125" s="27"/>
      <x:c r="E125" s="27"/>
      <x:c r="F125" s="27"/>
      <x:c r="G125" s="27"/>
      <x:c r="H125" s="27"/>
      <x:c r="I125" s="27"/>
      <x:c r="J125" s="27"/>
      <x:c r="K125" s="27"/>
      <x:c r="L125" s="27"/>
      <x:c r="M125" s="27"/>
      <x:c r="N125" s="27"/>
      <x:c r="O125" s="27"/>
      <x:c r="P125" s="27"/>
      <x:c r="Q125" s="27"/>
      <x:c r="R125" s="27"/>
      <x:c r="S125" s="27"/>
      <x:c r="T125" s="27"/>
      <x:c r="U125" s="27"/>
      <x:c r="V125" s="27"/>
      <x:c r="W125" s="27"/>
      <x:c r="X125" s="27"/>
      <x:c r="Y125" s="27"/>
      <x:c r="Z125" s="27"/>
      <x:c r="AA125" s="27"/>
      <x:c r="AB125" s="27"/>
      <x:c r="AC125" s="27"/>
      <x:c r="AD125" s="27"/>
      <x:c r="AE125" s="27"/>
      <x:c r="AF125" s="27"/>
      <x:c r="AG125" s="27"/>
      <x:c r="AH125" s="27"/>
      <x:c r="AI125" s="27"/>
      <x:c r="AJ125" s="27"/>
      <x:c r="AK125" s="27"/>
      <x:c r="AL125" s="27"/>
      <x:c r="AM125" s="27"/>
      <x:c r="AN125" s="27"/>
      <x:c r="AO125" s="27"/>
      <x:c r="AP125" s="27"/>
      <x:c r="AQ125" s="27"/>
      <x:c r="AR125" s="27"/>
      <x:c r="AS125" s="27"/>
      <x:c r="AT125" s="27"/>
      <x:c r="AU125" s="27"/>
      <x:c r="AV125" s="27"/>
      <x:c r="AW125" s="27"/>
      <x:c r="AX125" s="27"/>
      <x:c r="AY125" s="27"/>
      <x:c r="AZ125" s="27"/>
    </x:row>
    <x:row r="126">
      <x:c r="A126" s="27"/>
      <x:c r="B126" s="27"/>
      <x:c r="C126" s="27"/>
      <x:c r="D126" s="27"/>
      <x:c r="E126" s="27"/>
      <x:c r="F126" s="27"/>
      <x:c r="G126" s="27"/>
      <x:c r="H126" s="27"/>
      <x:c r="I126" s="27"/>
      <x:c r="J126" s="27"/>
      <x:c r="K126" s="27"/>
      <x:c r="L126" s="27"/>
      <x:c r="M126" s="27"/>
      <x:c r="N126" s="27"/>
      <x:c r="O126" s="27"/>
      <x:c r="P126" s="27"/>
      <x:c r="Q126" s="27"/>
      <x:c r="R126" s="27"/>
      <x:c r="S126" s="27"/>
      <x:c r="T126" s="27"/>
      <x:c r="U126" s="27"/>
      <x:c r="V126" s="27"/>
      <x:c r="W126" s="27"/>
      <x:c r="X126" s="27"/>
      <x:c r="Y126" s="27"/>
      <x:c r="Z126" s="27"/>
      <x:c r="AA126" s="27"/>
      <x:c r="AB126" s="27"/>
      <x:c r="AC126" s="27"/>
      <x:c r="AD126" s="27"/>
      <x:c r="AE126" s="27"/>
      <x:c r="AF126" s="27"/>
      <x:c r="AG126" s="27"/>
      <x:c r="AH126" s="27"/>
      <x:c r="AI126" s="27"/>
      <x:c r="AJ126" s="27"/>
      <x:c r="AK126" s="27"/>
      <x:c r="AL126" s="27"/>
      <x:c r="AM126" s="27"/>
      <x:c r="AN126" s="27"/>
      <x:c r="AO126" s="27"/>
      <x:c r="AP126" s="27"/>
      <x:c r="AQ126" s="27"/>
      <x:c r="AR126" s="27"/>
      <x:c r="AS126" s="27"/>
      <x:c r="AT126" s="27"/>
      <x:c r="AU126" s="27"/>
      <x:c r="AV126" s="27"/>
      <x:c r="AW126" s="27"/>
      <x:c r="AX126" s="27"/>
      <x:c r="AY126" s="27"/>
      <x:c r="AZ126" s="27"/>
    </x:row>
    <x:row r="127">
      <x:c r="A127" s="27"/>
      <x:c r="B127" s="27"/>
      <x:c r="C127" s="27"/>
      <x:c r="D127" s="27"/>
      <x:c r="E127" s="27"/>
      <x:c r="F127" s="27"/>
      <x:c r="G127" s="27"/>
      <x:c r="H127" s="27"/>
      <x:c r="I127" s="27"/>
      <x:c r="J127" s="27"/>
      <x:c r="K127" s="27"/>
      <x:c r="L127" s="27"/>
      <x:c r="M127" s="27"/>
      <x:c r="N127" s="27"/>
      <x:c r="O127" s="27"/>
      <x:c r="P127" s="27"/>
      <x:c r="Q127" s="27"/>
      <x:c r="R127" s="27"/>
      <x:c r="S127" s="27"/>
      <x:c r="T127" s="27"/>
      <x:c r="U127" s="27"/>
      <x:c r="V127" s="27"/>
      <x:c r="W127" s="27"/>
      <x:c r="X127" s="27"/>
      <x:c r="Y127" s="27"/>
      <x:c r="Z127" s="27"/>
      <x:c r="AA127" s="27"/>
      <x:c r="AB127" s="27"/>
      <x:c r="AC127" s="27"/>
      <x:c r="AD127" s="27"/>
      <x:c r="AE127" s="27"/>
      <x:c r="AF127" s="27"/>
      <x:c r="AG127" s="27"/>
      <x:c r="AH127" s="27"/>
      <x:c r="AI127" s="27"/>
      <x:c r="AJ127" s="27"/>
      <x:c r="AK127" s="27"/>
      <x:c r="AL127" s="27"/>
      <x:c r="AM127" s="27"/>
      <x:c r="AN127" s="27"/>
      <x:c r="AO127" s="27"/>
      <x:c r="AP127" s="27"/>
      <x:c r="AQ127" s="27"/>
      <x:c r="AR127" s="27"/>
      <x:c r="AS127" s="27"/>
      <x:c r="AT127" s="27"/>
      <x:c r="AU127" s="27"/>
      <x:c r="AV127" s="27"/>
      <x:c r="AW127" s="27"/>
      <x:c r="AX127" s="27"/>
      <x:c r="AY127" s="27"/>
      <x:c r="AZ127" s="27"/>
    </x:row>
    <x:row r="128">
      <x:c r="A128" s="27"/>
      <x:c r="B128" s="27"/>
      <x:c r="C128" s="27"/>
      <x:c r="D128" s="27"/>
      <x:c r="E128" s="27"/>
      <x:c r="F128" s="27"/>
      <x:c r="G128" s="27"/>
      <x:c r="H128" s="27"/>
      <x:c r="I128" s="27"/>
      <x:c r="J128" s="27"/>
      <x:c r="K128" s="27"/>
      <x:c r="L128" s="27"/>
      <x:c r="M128" s="27"/>
      <x:c r="N128" s="27"/>
      <x:c r="O128" s="27"/>
      <x:c r="P128" s="27"/>
      <x:c r="Q128" s="27"/>
      <x:c r="R128" s="27"/>
      <x:c r="S128" s="27"/>
      <x:c r="T128" s="27"/>
      <x:c r="U128" s="27"/>
      <x:c r="V128" s="27"/>
      <x:c r="W128" s="27"/>
      <x:c r="X128" s="27"/>
      <x:c r="Y128" s="27"/>
      <x:c r="Z128" s="27"/>
      <x:c r="AA128" s="27"/>
      <x:c r="AB128" s="27"/>
      <x:c r="AC128" s="27"/>
      <x:c r="AD128" s="27"/>
      <x:c r="AE128" s="27"/>
      <x:c r="AF128" s="27"/>
      <x:c r="AG128" s="27"/>
      <x:c r="AH128" s="27"/>
      <x:c r="AI128" s="27"/>
      <x:c r="AJ128" s="27"/>
      <x:c r="AK128" s="27"/>
      <x:c r="AL128" s="27"/>
      <x:c r="AM128" s="27"/>
      <x:c r="AN128" s="27"/>
      <x:c r="AO128" s="27"/>
      <x:c r="AP128" s="27"/>
      <x:c r="AQ128" s="27"/>
      <x:c r="AR128" s="27"/>
      <x:c r="AS128" s="27"/>
      <x:c r="AT128" s="27"/>
      <x:c r="AU128" s="27"/>
      <x:c r="AV128" s="27"/>
      <x:c r="AW128" s="27"/>
      <x:c r="AX128" s="27"/>
      <x:c r="AY128" s="27"/>
      <x:c r="AZ128" s="27"/>
    </x:row>
    <x:row r="129">
      <x:c r="A129" s="27"/>
      <x:c r="B129" s="27"/>
      <x:c r="C129" s="27"/>
      <x:c r="D129" s="27"/>
      <x:c r="E129" s="27"/>
      <x:c r="F129" s="27"/>
      <x:c r="G129" s="27"/>
      <x:c r="H129" s="27"/>
      <x:c r="I129" s="27"/>
      <x:c r="J129" s="27"/>
      <x:c r="K129" s="27"/>
      <x:c r="L129" s="27"/>
      <x:c r="M129" s="27"/>
      <x:c r="N129" s="27"/>
      <x:c r="O129" s="27"/>
      <x:c r="P129" s="27"/>
      <x:c r="Q129" s="27"/>
      <x:c r="R129" s="27"/>
      <x:c r="S129" s="27"/>
      <x:c r="T129" s="27"/>
      <x:c r="U129" s="27"/>
      <x:c r="V129" s="27"/>
      <x:c r="W129" s="27"/>
      <x:c r="X129" s="27"/>
      <x:c r="Y129" s="27"/>
      <x:c r="Z129" s="27"/>
      <x:c r="AA129" s="27"/>
      <x:c r="AB129" s="27"/>
      <x:c r="AC129" s="27"/>
      <x:c r="AD129" s="27"/>
      <x:c r="AE129" s="27"/>
      <x:c r="AF129" s="27"/>
      <x:c r="AG129" s="27"/>
      <x:c r="AH129" s="27"/>
      <x:c r="AI129" s="27"/>
      <x:c r="AJ129" s="27"/>
      <x:c r="AK129" s="27"/>
      <x:c r="AL129" s="27"/>
      <x:c r="AM129" s="27"/>
      <x:c r="AN129" s="27"/>
      <x:c r="AO129" s="27"/>
      <x:c r="AP129" s="27"/>
      <x:c r="AQ129" s="27"/>
      <x:c r="AR129" s="27"/>
      <x:c r="AS129" s="27"/>
      <x:c r="AT129" s="27"/>
      <x:c r="AU129" s="27"/>
      <x:c r="AV129" s="27"/>
      <x:c r="AW129" s="27"/>
      <x:c r="AX129" s="27"/>
      <x:c r="AY129" s="27"/>
      <x:c r="AZ129" s="27"/>
    </x:row>
    <x:row r="130">
      <x:c r="A130" s="27"/>
      <x:c r="B130" s="27"/>
      <x:c r="C130" s="27"/>
      <x:c r="D130" s="27"/>
      <x:c r="E130" s="27"/>
      <x:c r="F130" s="27"/>
      <x:c r="G130" s="27"/>
      <x:c r="H130" s="27"/>
      <x:c r="I130" s="27"/>
      <x:c r="J130" s="27"/>
      <x:c r="K130" s="27"/>
      <x:c r="L130" s="27"/>
      <x:c r="M130" s="27"/>
      <x:c r="N130" s="27"/>
      <x:c r="O130" s="27"/>
      <x:c r="P130" s="27"/>
      <x:c r="Q130" s="27"/>
      <x:c r="R130" s="27"/>
      <x:c r="S130" s="27"/>
      <x:c r="T130" s="27"/>
      <x:c r="U130" s="27"/>
      <x:c r="V130" s="27"/>
      <x:c r="W130" s="27"/>
      <x:c r="X130" s="27"/>
      <x:c r="Y130" s="27"/>
      <x:c r="Z130" s="27"/>
      <x:c r="AA130" s="27"/>
      <x:c r="AB130" s="27"/>
      <x:c r="AC130" s="27"/>
      <x:c r="AD130" s="27"/>
      <x:c r="AE130" s="27"/>
      <x:c r="AF130" s="27"/>
      <x:c r="AG130" s="27"/>
      <x:c r="AH130" s="27"/>
      <x:c r="AI130" s="27"/>
      <x:c r="AJ130" s="27"/>
      <x:c r="AK130" s="27"/>
      <x:c r="AL130" s="27"/>
      <x:c r="AM130" s="27"/>
      <x:c r="AN130" s="27"/>
      <x:c r="AO130" s="27"/>
      <x:c r="AP130" s="27"/>
      <x:c r="AQ130" s="27"/>
      <x:c r="AR130" s="27"/>
      <x:c r="AS130" s="27"/>
      <x:c r="AT130" s="27"/>
      <x:c r="AU130" s="27"/>
      <x:c r="AV130" s="27"/>
      <x:c r="AW130" s="27"/>
      <x:c r="AX130" s="27"/>
      <x:c r="AY130" s="27"/>
      <x:c r="AZ130" s="27"/>
    </x:row>
    <x:row r="131">
      <x:c r="A131" s="27"/>
      <x:c r="B131" s="27"/>
      <x:c r="C131" s="27"/>
      <x:c r="D131" s="27"/>
      <x:c r="E131" s="27"/>
      <x:c r="F131" s="27"/>
      <x:c r="G131" s="27"/>
      <x:c r="H131" s="27"/>
      <x:c r="I131" s="27"/>
      <x:c r="J131" s="27"/>
      <x:c r="K131" s="27"/>
      <x:c r="L131" s="27"/>
      <x:c r="M131" s="27"/>
      <x:c r="N131" s="27"/>
      <x:c r="O131" s="27"/>
      <x:c r="P131" s="27"/>
      <x:c r="Q131" s="27"/>
      <x:c r="R131" s="27"/>
      <x:c r="S131" s="27"/>
      <x:c r="T131" s="27"/>
      <x:c r="U131" s="27"/>
      <x:c r="V131" s="27"/>
      <x:c r="W131" s="27"/>
      <x:c r="X131" s="27"/>
      <x:c r="Y131" s="27"/>
      <x:c r="Z131" s="27"/>
      <x:c r="AA131" s="27"/>
      <x:c r="AB131" s="27"/>
      <x:c r="AC131" s="27"/>
      <x:c r="AD131" s="27"/>
      <x:c r="AE131" s="27"/>
      <x:c r="AF131" s="27"/>
      <x:c r="AG131" s="27"/>
      <x:c r="AH131" s="27"/>
      <x:c r="AI131" s="27"/>
      <x:c r="AJ131" s="27"/>
      <x:c r="AK131" s="27"/>
      <x:c r="AL131" s="27"/>
      <x:c r="AM131" s="27"/>
      <x:c r="AN131" s="27"/>
      <x:c r="AO131" s="27"/>
      <x:c r="AP131" s="27"/>
      <x:c r="AQ131" s="27"/>
      <x:c r="AR131" s="27"/>
      <x:c r="AS131" s="27"/>
      <x:c r="AT131" s="27"/>
      <x:c r="AU131" s="27"/>
      <x:c r="AV131" s="27"/>
      <x:c r="AW131" s="27"/>
      <x:c r="AX131" s="27"/>
      <x:c r="AY131" s="27"/>
      <x:c r="AZ131" s="27"/>
    </x:row>
    <x:row r="132">
      <x:c r="A132" s="27"/>
      <x:c r="B132" s="27"/>
      <x:c r="C132" s="27"/>
      <x:c r="D132" s="27"/>
      <x:c r="E132" s="27"/>
      <x:c r="F132" s="27"/>
      <x:c r="G132" s="27"/>
      <x:c r="H132" s="27"/>
      <x:c r="I132" s="27"/>
      <x:c r="J132" s="27"/>
      <x:c r="K132" s="27"/>
      <x:c r="L132" s="27"/>
      <x:c r="M132" s="27"/>
      <x:c r="N132" s="27"/>
      <x:c r="O132" s="27"/>
      <x:c r="P132" s="27"/>
      <x:c r="Q132" s="27"/>
      <x:c r="R132" s="27"/>
      <x:c r="S132" s="27"/>
      <x:c r="T132" s="27"/>
      <x:c r="U132" s="27"/>
      <x:c r="V132" s="27"/>
      <x:c r="W132" s="27"/>
      <x:c r="X132" s="27"/>
      <x:c r="Y132" s="27"/>
      <x:c r="Z132" s="27"/>
      <x:c r="AA132" s="27"/>
      <x:c r="AB132" s="27"/>
      <x:c r="AC132" s="27"/>
      <x:c r="AD132" s="27"/>
      <x:c r="AE132" s="27"/>
      <x:c r="AF132" s="27"/>
      <x:c r="AG132" s="27"/>
      <x:c r="AH132" s="27"/>
      <x:c r="AI132" s="27"/>
      <x:c r="AJ132" s="27"/>
      <x:c r="AK132" s="27"/>
      <x:c r="AL132" s="27"/>
      <x:c r="AM132" s="27"/>
      <x:c r="AN132" s="27"/>
      <x:c r="AO132" s="27"/>
      <x:c r="AP132" s="27"/>
      <x:c r="AQ132" s="27"/>
      <x:c r="AR132" s="27"/>
      <x:c r="AS132" s="27"/>
      <x:c r="AT132" s="27"/>
      <x:c r="AU132" s="27"/>
      <x:c r="AV132" s="27"/>
      <x:c r="AW132" s="27"/>
      <x:c r="AX132" s="27"/>
      <x:c r="AY132" s="27"/>
      <x:c r="AZ132" s="27"/>
    </x:row>
    <x:row r="133">
      <x:c r="A133" s="27"/>
      <x:c r="B133" s="27"/>
      <x:c r="C133" s="27"/>
      <x:c r="D133" s="27"/>
      <x:c r="E133" s="27"/>
      <x:c r="F133" s="27"/>
      <x:c r="G133" s="27"/>
      <x:c r="H133" s="27"/>
      <x:c r="I133" s="27"/>
      <x:c r="J133" s="27"/>
      <x:c r="K133" s="27"/>
      <x:c r="L133" s="27"/>
      <x:c r="M133" s="27"/>
      <x:c r="N133" s="27"/>
      <x:c r="O133" s="27"/>
      <x:c r="P133" s="27"/>
      <x:c r="Q133" s="27"/>
      <x:c r="R133" s="27"/>
      <x:c r="S133" s="27"/>
      <x:c r="T133" s="27"/>
      <x:c r="U133" s="27"/>
      <x:c r="V133" s="27"/>
      <x:c r="W133" s="27"/>
      <x:c r="X133" s="27"/>
      <x:c r="Y133" s="27"/>
      <x:c r="Z133" s="27"/>
      <x:c r="AA133" s="27"/>
      <x:c r="AB133" s="27"/>
      <x:c r="AC133" s="27"/>
      <x:c r="AD133" s="27"/>
      <x:c r="AE133" s="27"/>
      <x:c r="AF133" s="27"/>
      <x:c r="AG133" s="27"/>
      <x:c r="AH133" s="27"/>
      <x:c r="AI133" s="27"/>
      <x:c r="AJ133" s="27"/>
      <x:c r="AK133" s="27"/>
      <x:c r="AL133" s="27"/>
      <x:c r="AM133" s="27"/>
      <x:c r="AN133" s="27"/>
      <x:c r="AO133" s="27"/>
      <x:c r="AP133" s="27"/>
      <x:c r="AQ133" s="27"/>
      <x:c r="AR133" s="27"/>
      <x:c r="AS133" s="27"/>
      <x:c r="AT133" s="27"/>
      <x:c r="AU133" s="27"/>
      <x:c r="AV133" s="27"/>
      <x:c r="AW133" s="27"/>
      <x:c r="AX133" s="27"/>
      <x:c r="AY133" s="27"/>
      <x:c r="AZ133" s="27"/>
    </x:row>
    <x:row r="134">
      <x:c r="A134" s="27"/>
      <x:c r="B134" s="27"/>
      <x:c r="C134" s="27"/>
      <x:c r="D134" s="27"/>
      <x:c r="E134" s="27"/>
      <x:c r="F134" s="27"/>
      <x:c r="G134" s="27"/>
      <x:c r="H134" s="27"/>
      <x:c r="I134" s="27"/>
      <x:c r="J134" s="27"/>
      <x:c r="K134" s="27"/>
      <x:c r="L134" s="27"/>
      <x:c r="M134" s="27"/>
      <x:c r="N134" s="27"/>
      <x:c r="O134" s="27"/>
      <x:c r="P134" s="27"/>
      <x:c r="Q134" s="27"/>
      <x:c r="R134" s="27"/>
      <x:c r="S134" s="27"/>
      <x:c r="T134" s="27"/>
      <x:c r="U134" s="27"/>
      <x:c r="V134" s="27"/>
      <x:c r="W134" s="27"/>
      <x:c r="X134" s="27"/>
      <x:c r="Y134" s="27"/>
      <x:c r="Z134" s="27"/>
      <x:c r="AA134" s="27"/>
      <x:c r="AB134" s="27"/>
      <x:c r="AC134" s="27"/>
      <x:c r="AD134" s="27"/>
      <x:c r="AE134" s="27"/>
      <x:c r="AF134" s="27"/>
      <x:c r="AG134" s="27"/>
      <x:c r="AH134" s="27"/>
      <x:c r="AI134" s="27"/>
      <x:c r="AJ134" s="27"/>
      <x:c r="AK134" s="27"/>
      <x:c r="AL134" s="27"/>
      <x:c r="AM134" s="27"/>
      <x:c r="AN134" s="27"/>
      <x:c r="AO134" s="27"/>
      <x:c r="AP134" s="27"/>
      <x:c r="AQ134" s="27"/>
      <x:c r="AR134" s="27"/>
      <x:c r="AS134" s="27"/>
      <x:c r="AT134" s="27"/>
      <x:c r="AU134" s="27"/>
      <x:c r="AV134" s="27"/>
      <x:c r="AW134" s="27"/>
      <x:c r="AX134" s="27"/>
      <x:c r="AY134" s="27"/>
      <x:c r="AZ134" s="27"/>
    </x:row>
    <x:row r="135">
      <x:c r="A135" s="27"/>
      <x:c r="B135" s="27"/>
      <x:c r="C135" s="27"/>
      <x:c r="D135" s="27"/>
      <x:c r="E135" s="27"/>
      <x:c r="F135" s="27"/>
      <x:c r="G135" s="27"/>
      <x:c r="H135" s="27"/>
      <x:c r="I135" s="27"/>
      <x:c r="J135" s="27"/>
      <x:c r="K135" s="27"/>
      <x:c r="L135" s="27"/>
      <x:c r="M135" s="27"/>
      <x:c r="N135" s="27"/>
      <x:c r="O135" s="27"/>
      <x:c r="P135" s="27"/>
      <x:c r="Q135" s="27"/>
      <x:c r="R135" s="27"/>
      <x:c r="S135" s="27"/>
      <x:c r="T135" s="27"/>
      <x:c r="U135" s="27"/>
      <x:c r="V135" s="27"/>
      <x:c r="W135" s="27"/>
      <x:c r="X135" s="27"/>
      <x:c r="Y135" s="27"/>
      <x:c r="Z135" s="27"/>
      <x:c r="AA135" s="27"/>
      <x:c r="AB135" s="27"/>
      <x:c r="AC135" s="27"/>
      <x:c r="AD135" s="27"/>
      <x:c r="AE135" s="27"/>
      <x:c r="AF135" s="27"/>
      <x:c r="AG135" s="27"/>
      <x:c r="AH135" s="27"/>
      <x:c r="AI135" s="27"/>
      <x:c r="AJ135" s="27"/>
      <x:c r="AK135" s="27"/>
      <x:c r="AL135" s="27"/>
      <x:c r="AM135" s="27"/>
      <x:c r="AN135" s="27"/>
      <x:c r="AO135" s="27"/>
      <x:c r="AP135" s="27"/>
      <x:c r="AQ135" s="27"/>
      <x:c r="AR135" s="27"/>
      <x:c r="AS135" s="27"/>
      <x:c r="AT135" s="27"/>
      <x:c r="AU135" s="27"/>
      <x:c r="AV135" s="27"/>
      <x:c r="AW135" s="27"/>
      <x:c r="AX135" s="27"/>
      <x:c r="AY135" s="27"/>
      <x:c r="AZ135" s="27"/>
    </x:row>
    <x:row r="136">
      <x:c r="A136" s="27"/>
      <x:c r="B136" s="27"/>
      <x:c r="C136" s="27"/>
      <x:c r="D136" s="27"/>
      <x:c r="E136" s="27"/>
      <x:c r="F136" s="27"/>
      <x:c r="G136" s="27"/>
      <x:c r="H136" s="27"/>
      <x:c r="I136" s="27"/>
      <x:c r="J136" s="27"/>
      <x:c r="K136" s="27"/>
      <x:c r="L136" s="27"/>
      <x:c r="M136" s="27"/>
      <x:c r="N136" s="27"/>
      <x:c r="O136" s="27"/>
      <x:c r="P136" s="27"/>
      <x:c r="Q136" s="27"/>
      <x:c r="R136" s="27"/>
      <x:c r="S136" s="27"/>
      <x:c r="T136" s="27"/>
      <x:c r="U136" s="27"/>
      <x:c r="V136" s="27"/>
      <x:c r="W136" s="27"/>
      <x:c r="X136" s="27"/>
      <x:c r="Y136" s="27"/>
      <x:c r="Z136" s="27"/>
      <x:c r="AA136" s="27"/>
      <x:c r="AB136" s="27"/>
      <x:c r="AC136" s="27"/>
      <x:c r="AD136" s="27"/>
      <x:c r="AE136" s="27"/>
      <x:c r="AF136" s="27"/>
      <x:c r="AG136" s="27"/>
      <x:c r="AH136" s="27"/>
      <x:c r="AI136" s="27"/>
      <x:c r="AJ136" s="27"/>
      <x:c r="AK136" s="27"/>
      <x:c r="AL136" s="27"/>
      <x:c r="AM136" s="27"/>
      <x:c r="AN136" s="27"/>
      <x:c r="AO136" s="27"/>
      <x:c r="AP136" s="27"/>
      <x:c r="AQ136" s="27"/>
      <x:c r="AR136" s="27"/>
      <x:c r="AS136" s="27"/>
      <x:c r="AT136" s="27"/>
      <x:c r="AU136" s="27"/>
      <x:c r="AV136" s="27"/>
      <x:c r="AW136" s="27"/>
      <x:c r="AX136" s="27"/>
      <x:c r="AY136" s="27"/>
      <x:c r="AZ136" s="27"/>
    </x:row>
    <x:row r="137">
      <x:c r="A137" s="27"/>
      <x:c r="B137" s="27"/>
      <x:c r="C137" s="27"/>
      <x:c r="D137" s="27"/>
      <x:c r="E137" s="27"/>
      <x:c r="F137" s="27"/>
      <x:c r="G137" s="27"/>
      <x:c r="H137" s="27"/>
      <x:c r="I137" s="27"/>
      <x:c r="J137" s="27"/>
      <x:c r="K137" s="27"/>
      <x:c r="L137" s="27"/>
      <x:c r="M137" s="27"/>
      <x:c r="N137" s="27"/>
      <x:c r="O137" s="27"/>
      <x:c r="P137" s="27"/>
      <x:c r="Q137" s="27"/>
      <x:c r="R137" s="27"/>
      <x:c r="S137" s="27"/>
      <x:c r="T137" s="27"/>
      <x:c r="U137" s="27"/>
      <x:c r="V137" s="27"/>
      <x:c r="W137" s="27"/>
      <x:c r="X137" s="27"/>
      <x:c r="Y137" s="27"/>
      <x:c r="Z137" s="27"/>
      <x:c r="AA137" s="27"/>
      <x:c r="AB137" s="27"/>
      <x:c r="AC137" s="27"/>
      <x:c r="AD137" s="27"/>
      <x:c r="AE137" s="27"/>
      <x:c r="AF137" s="27"/>
      <x:c r="AG137" s="27"/>
      <x:c r="AH137" s="27"/>
      <x:c r="AI137" s="27"/>
      <x:c r="AJ137" s="27"/>
      <x:c r="AK137" s="27"/>
      <x:c r="AL137" s="27"/>
      <x:c r="AM137" s="27"/>
      <x:c r="AN137" s="27"/>
      <x:c r="AO137" s="27"/>
      <x:c r="AP137" s="27"/>
      <x:c r="AQ137" s="27"/>
      <x:c r="AR137" s="27"/>
      <x:c r="AS137" s="27"/>
      <x:c r="AT137" s="27"/>
      <x:c r="AU137" s="27"/>
      <x:c r="AV137" s="27"/>
      <x:c r="AW137" s="27"/>
      <x:c r="AX137" s="27"/>
      <x:c r="AY137" s="27"/>
      <x:c r="AZ137" s="27"/>
    </x:row>
    <x:row r="138">
      <x:c r="A138" s="27"/>
      <x:c r="B138" s="27"/>
      <x:c r="C138" s="27"/>
      <x:c r="D138" s="27"/>
      <x:c r="E138" s="27"/>
      <x:c r="F138" s="27"/>
      <x:c r="G138" s="27"/>
      <x:c r="H138" s="27"/>
      <x:c r="I138" s="27"/>
      <x:c r="J138" s="27"/>
      <x:c r="K138" s="27"/>
      <x:c r="L138" s="27"/>
      <x:c r="M138" s="27"/>
      <x:c r="N138" s="27"/>
      <x:c r="O138" s="27"/>
      <x:c r="P138" s="27"/>
      <x:c r="Q138" s="27"/>
      <x:c r="R138" s="27"/>
      <x:c r="S138" s="27"/>
      <x:c r="T138" s="27"/>
      <x:c r="U138" s="27"/>
      <x:c r="V138" s="27"/>
      <x:c r="W138" s="27"/>
      <x:c r="X138" s="27"/>
      <x:c r="Y138" s="27"/>
      <x:c r="Z138" s="27"/>
      <x:c r="AA138" s="27"/>
      <x:c r="AB138" s="27"/>
      <x:c r="AC138" s="27"/>
      <x:c r="AD138" s="27"/>
      <x:c r="AE138" s="27"/>
      <x:c r="AF138" s="27"/>
      <x:c r="AG138" s="27"/>
      <x:c r="AH138" s="27"/>
      <x:c r="AI138" s="27"/>
      <x:c r="AJ138" s="27"/>
      <x:c r="AK138" s="27"/>
      <x:c r="AL138" s="27"/>
      <x:c r="AM138" s="27"/>
      <x:c r="AN138" s="27"/>
      <x:c r="AO138" s="27"/>
      <x:c r="AP138" s="27"/>
      <x:c r="AQ138" s="27"/>
      <x:c r="AR138" s="27"/>
      <x:c r="AS138" s="27"/>
      <x:c r="AT138" s="27"/>
      <x:c r="AU138" s="27"/>
      <x:c r="AV138" s="27"/>
      <x:c r="AW138" s="27"/>
      <x:c r="AX138" s="27"/>
      <x:c r="AY138" s="27"/>
      <x:c r="AZ138" s="27"/>
    </x:row>
    <x:row r="139">
      <x:c r="A139" s="27"/>
      <x:c r="B139" s="27"/>
      <x:c r="C139" s="27"/>
      <x:c r="D139" s="27"/>
      <x:c r="E139" s="27"/>
      <x:c r="F139" s="27"/>
      <x:c r="G139" s="27"/>
      <x:c r="H139" s="27"/>
      <x:c r="I139" s="27"/>
      <x:c r="J139" s="27"/>
      <x:c r="K139" s="27"/>
      <x:c r="L139" s="27"/>
      <x:c r="M139" s="27"/>
      <x:c r="N139" s="27"/>
      <x:c r="O139" s="27"/>
      <x:c r="P139" s="27"/>
      <x:c r="Q139" s="27"/>
      <x:c r="R139" s="27"/>
      <x:c r="S139" s="27"/>
      <x:c r="T139" s="27"/>
      <x:c r="U139" s="27"/>
      <x:c r="V139" s="27"/>
      <x:c r="W139" s="27"/>
      <x:c r="X139" s="27"/>
      <x:c r="Y139" s="27"/>
      <x:c r="Z139" s="27"/>
      <x:c r="AA139" s="27"/>
      <x:c r="AB139" s="27"/>
      <x:c r="AC139" s="27"/>
      <x:c r="AD139" s="27"/>
      <x:c r="AE139" s="27"/>
      <x:c r="AF139" s="27"/>
      <x:c r="AG139" s="27"/>
      <x:c r="AH139" s="27"/>
      <x:c r="AI139" s="27"/>
      <x:c r="AJ139" s="27"/>
      <x:c r="AK139" s="27"/>
      <x:c r="AL139" s="27"/>
      <x:c r="AM139" s="27"/>
      <x:c r="AN139" s="27"/>
      <x:c r="AO139" s="27"/>
      <x:c r="AP139" s="27"/>
      <x:c r="AQ139" s="27"/>
      <x:c r="AR139" s="27"/>
      <x:c r="AS139" s="27"/>
      <x:c r="AT139" s="27"/>
      <x:c r="AU139" s="27"/>
      <x:c r="AV139" s="27"/>
      <x:c r="AW139" s="27"/>
      <x:c r="AX139" s="27"/>
      <x:c r="AY139" s="27"/>
      <x:c r="AZ139" s="27"/>
    </x:row>
    <x:row r="140">
      <x:c r="A140" s="27"/>
      <x:c r="B140" s="27"/>
      <x:c r="C140" s="27"/>
      <x:c r="D140" s="27"/>
      <x:c r="E140" s="27"/>
      <x:c r="F140" s="27"/>
      <x:c r="G140" s="27"/>
      <x:c r="H140" s="27"/>
      <x:c r="I140" s="27"/>
      <x:c r="J140" s="27"/>
      <x:c r="K140" s="27"/>
      <x:c r="L140" s="27"/>
      <x:c r="M140" s="27"/>
      <x:c r="N140" s="27"/>
      <x:c r="O140" s="27"/>
      <x:c r="P140" s="27"/>
      <x:c r="Q140" s="27"/>
      <x:c r="R140" s="27"/>
      <x:c r="S140" s="27"/>
      <x:c r="T140" s="27"/>
      <x:c r="U140" s="27"/>
      <x:c r="V140" s="27"/>
      <x:c r="W140" s="27"/>
      <x:c r="X140" s="27"/>
      <x:c r="Y140" s="27"/>
      <x:c r="Z140" s="27"/>
      <x:c r="AA140" s="27"/>
      <x:c r="AB140" s="27"/>
      <x:c r="AC140" s="27"/>
      <x:c r="AD140" s="27"/>
      <x:c r="AE140" s="27"/>
      <x:c r="AF140" s="27"/>
      <x:c r="AG140" s="27"/>
      <x:c r="AH140" s="27"/>
      <x:c r="AI140" s="27"/>
      <x:c r="AJ140" s="27"/>
      <x:c r="AK140" s="27"/>
      <x:c r="AL140" s="27"/>
      <x:c r="AM140" s="27"/>
      <x:c r="AN140" s="27"/>
      <x:c r="AO140" s="27"/>
      <x:c r="AP140" s="27"/>
      <x:c r="AQ140" s="27"/>
      <x:c r="AR140" s="27"/>
      <x:c r="AS140" s="27"/>
      <x:c r="AT140" s="27"/>
      <x:c r="AU140" s="27"/>
      <x:c r="AV140" s="27"/>
      <x:c r="AW140" s="27"/>
      <x:c r="AX140" s="27"/>
      <x:c r="AY140" s="27"/>
      <x:c r="AZ140" s="27"/>
    </x:row>
    <x:row r="141">
      <x:c r="A141" s="27"/>
      <x:c r="B141" s="27"/>
      <x:c r="C141" s="27"/>
      <x:c r="D141" s="27"/>
      <x:c r="E141" s="27"/>
      <x:c r="F141" s="27"/>
      <x:c r="G141" s="27"/>
      <x:c r="H141" s="27"/>
      <x:c r="I141" s="27"/>
      <x:c r="J141" s="27"/>
      <x:c r="K141" s="27"/>
      <x:c r="L141" s="27"/>
      <x:c r="M141" s="27"/>
      <x:c r="N141" s="27"/>
      <x:c r="O141" s="27"/>
      <x:c r="P141" s="27"/>
      <x:c r="Q141" s="27"/>
      <x:c r="R141" s="27"/>
      <x:c r="S141" s="27"/>
      <x:c r="T141" s="27"/>
      <x:c r="U141" s="27"/>
      <x:c r="V141" s="27"/>
      <x:c r="W141" s="27"/>
      <x:c r="X141" s="27"/>
      <x:c r="Y141" s="27"/>
      <x:c r="Z141" s="27"/>
      <x:c r="AA141" s="27"/>
      <x:c r="AB141" s="27"/>
      <x:c r="AC141" s="27"/>
      <x:c r="AD141" s="27"/>
      <x:c r="AE141" s="27"/>
      <x:c r="AF141" s="27"/>
      <x:c r="AG141" s="27"/>
      <x:c r="AH141" s="27"/>
      <x:c r="AI141" s="27"/>
      <x:c r="AJ141" s="27"/>
      <x:c r="AK141" s="27"/>
      <x:c r="AL141" s="27"/>
      <x:c r="AM141" s="27"/>
      <x:c r="AN141" s="27"/>
      <x:c r="AO141" s="27"/>
      <x:c r="AP141" s="27"/>
      <x:c r="AQ141" s="27"/>
      <x:c r="AR141" s="27"/>
      <x:c r="AS141" s="27"/>
      <x:c r="AT141" s="27"/>
      <x:c r="AU141" s="27"/>
      <x:c r="AV141" s="27"/>
      <x:c r="AW141" s="27"/>
      <x:c r="AX141" s="27"/>
      <x:c r="AY141" s="27"/>
      <x:c r="AZ141" s="27"/>
    </x:row>
    <x:row r="142">
      <x:c r="A142" s="27"/>
      <x:c r="B142" s="27"/>
      <x:c r="C142" s="27"/>
      <x:c r="D142" s="27"/>
      <x:c r="E142" s="27"/>
      <x:c r="F142" s="27"/>
      <x:c r="G142" s="27"/>
      <x:c r="H142" s="27"/>
      <x:c r="I142" s="27"/>
      <x:c r="J142" s="27"/>
      <x:c r="K142" s="27"/>
      <x:c r="L142" s="27"/>
      <x:c r="M142" s="27"/>
      <x:c r="N142" s="27"/>
      <x:c r="O142" s="27"/>
      <x:c r="P142" s="27"/>
      <x:c r="Q142" s="27"/>
      <x:c r="R142" s="27"/>
      <x:c r="S142" s="27"/>
      <x:c r="T142" s="27"/>
      <x:c r="U142" s="27"/>
      <x:c r="V142" s="27"/>
      <x:c r="W142" s="27"/>
      <x:c r="X142" s="27"/>
      <x:c r="Y142" s="27"/>
      <x:c r="Z142" s="27"/>
      <x:c r="AA142" s="27"/>
      <x:c r="AB142" s="27"/>
      <x:c r="AC142" s="27"/>
      <x:c r="AD142" s="27"/>
      <x:c r="AE142" s="27"/>
      <x:c r="AF142" s="27"/>
      <x:c r="AG142" s="27"/>
      <x:c r="AH142" s="27"/>
      <x:c r="AI142" s="27"/>
      <x:c r="AJ142" s="27"/>
      <x:c r="AK142" s="27"/>
      <x:c r="AL142" s="27"/>
      <x:c r="AM142" s="27"/>
      <x:c r="AN142" s="27"/>
      <x:c r="AO142" s="27"/>
      <x:c r="AP142" s="27"/>
      <x:c r="AQ142" s="27"/>
      <x:c r="AR142" s="27"/>
      <x:c r="AS142" s="27"/>
      <x:c r="AT142" s="27"/>
      <x:c r="AU142" s="27"/>
      <x:c r="AV142" s="27"/>
      <x:c r="AW142" s="27"/>
      <x:c r="AX142" s="27"/>
      <x:c r="AY142" s="27"/>
      <x:c r="AZ142" s="27"/>
    </x:row>
    <x:row r="143">
      <x:c r="A143" s="27"/>
      <x:c r="B143" s="27"/>
      <x:c r="C143" s="27"/>
      <x:c r="D143" s="27"/>
      <x:c r="E143" s="27"/>
      <x:c r="F143" s="27"/>
      <x:c r="G143" s="27"/>
      <x:c r="H143" s="27"/>
      <x:c r="I143" s="27"/>
      <x:c r="J143" s="27"/>
      <x:c r="K143" s="27"/>
      <x:c r="L143" s="27"/>
      <x:c r="M143" s="27"/>
      <x:c r="N143" s="27"/>
      <x:c r="O143" s="27"/>
      <x:c r="P143" s="27"/>
      <x:c r="Q143" s="27"/>
      <x:c r="R143" s="27"/>
      <x:c r="S143" s="27"/>
      <x:c r="T143" s="27"/>
      <x:c r="U143" s="27"/>
      <x:c r="V143" s="27"/>
      <x:c r="W143" s="27"/>
      <x:c r="X143" s="27"/>
      <x:c r="Y143" s="27"/>
      <x:c r="Z143" s="27"/>
      <x:c r="AA143" s="27"/>
      <x:c r="AB143" s="27"/>
      <x:c r="AC143" s="27"/>
      <x:c r="AD143" s="27"/>
      <x:c r="AE143" s="27"/>
      <x:c r="AF143" s="27"/>
      <x:c r="AG143" s="27"/>
      <x:c r="AH143" s="27"/>
      <x:c r="AI143" s="27"/>
      <x:c r="AJ143" s="27"/>
      <x:c r="AK143" s="27"/>
      <x:c r="AL143" s="27"/>
      <x:c r="AM143" s="27"/>
      <x:c r="AN143" s="27"/>
      <x:c r="AO143" s="27"/>
      <x:c r="AP143" s="27"/>
      <x:c r="AQ143" s="27"/>
      <x:c r="AR143" s="27"/>
      <x:c r="AS143" s="27"/>
      <x:c r="AT143" s="27"/>
      <x:c r="AU143" s="27"/>
      <x:c r="AV143" s="27"/>
      <x:c r="AW143" s="27"/>
      <x:c r="AX143" s="27"/>
      <x:c r="AY143" s="27"/>
      <x:c r="AZ143" s="27"/>
    </x:row>
    <x:row r="144">
      <x:c r="A144" s="27"/>
      <x:c r="B144" s="27"/>
      <x:c r="C144" s="27"/>
      <x:c r="D144" s="27"/>
      <x:c r="E144" s="27"/>
      <x:c r="F144" s="27"/>
      <x:c r="G144" s="27"/>
      <x:c r="H144" s="27"/>
      <x:c r="I144" s="27"/>
      <x:c r="J144" s="27"/>
      <x:c r="K144" s="27"/>
      <x:c r="L144" s="27"/>
      <x:c r="M144" s="27"/>
      <x:c r="N144" s="27"/>
      <x:c r="O144" s="27"/>
      <x:c r="P144" s="27"/>
      <x:c r="Q144" s="27"/>
      <x:c r="R144" s="27"/>
      <x:c r="S144" s="27"/>
      <x:c r="T144" s="27"/>
      <x:c r="U144" s="27"/>
      <x:c r="V144" s="27"/>
      <x:c r="W144" s="27"/>
      <x:c r="X144" s="27"/>
      <x:c r="Y144" s="27"/>
      <x:c r="Z144" s="27"/>
      <x:c r="AA144" s="27"/>
      <x:c r="AB144" s="27"/>
      <x:c r="AC144" s="27"/>
      <x:c r="AD144" s="27"/>
      <x:c r="AE144" s="27"/>
      <x:c r="AF144" s="27"/>
      <x:c r="AG144" s="27"/>
      <x:c r="AH144" s="27"/>
      <x:c r="AI144" s="27"/>
      <x:c r="AJ144" s="27"/>
      <x:c r="AK144" s="27"/>
      <x:c r="AL144" s="27"/>
      <x:c r="AM144" s="27"/>
      <x:c r="AN144" s="27"/>
      <x:c r="AO144" s="27"/>
      <x:c r="AP144" s="27"/>
      <x:c r="AQ144" s="27"/>
      <x:c r="AR144" s="27"/>
      <x:c r="AS144" s="27"/>
      <x:c r="AT144" s="27"/>
      <x:c r="AU144" s="27"/>
      <x:c r="AV144" s="27"/>
      <x:c r="AW144" s="27"/>
      <x:c r="AX144" s="27"/>
      <x:c r="AY144" s="27"/>
      <x:c r="AZ144" s="27"/>
    </x:row>
    <x:row r="145">
      <x:c r="A145" s="27"/>
      <x:c r="B145" s="27"/>
      <x:c r="C145" s="27"/>
      <x:c r="D145" s="27"/>
      <x:c r="E145" s="27"/>
      <x:c r="F145" s="27"/>
      <x:c r="G145" s="27"/>
      <x:c r="H145" s="27"/>
      <x:c r="I145" s="27"/>
      <x:c r="J145" s="27"/>
      <x:c r="K145" s="27"/>
      <x:c r="L145" s="27"/>
      <x:c r="M145" s="27"/>
      <x:c r="N145" s="27"/>
      <x:c r="O145" s="27"/>
      <x:c r="P145" s="27"/>
      <x:c r="Q145" s="27"/>
      <x:c r="R145" s="27"/>
      <x:c r="S145" s="27"/>
      <x:c r="T145" s="27"/>
      <x:c r="U145" s="27"/>
      <x:c r="V145" s="27"/>
      <x:c r="W145" s="27"/>
      <x:c r="X145" s="27"/>
      <x:c r="Y145" s="27"/>
      <x:c r="Z145" s="27"/>
      <x:c r="AA145" s="27"/>
      <x:c r="AB145" s="27"/>
      <x:c r="AC145" s="27"/>
      <x:c r="AD145" s="27"/>
      <x:c r="AE145" s="27"/>
      <x:c r="AF145" s="27"/>
      <x:c r="AG145" s="27"/>
      <x:c r="AH145" s="27"/>
      <x:c r="AI145" s="27"/>
      <x:c r="AJ145" s="27"/>
      <x:c r="AK145" s="27"/>
      <x:c r="AL145" s="27"/>
      <x:c r="AM145" s="27"/>
      <x:c r="AN145" s="27"/>
      <x:c r="AO145" s="27"/>
      <x:c r="AP145" s="27"/>
      <x:c r="AQ145" s="27"/>
      <x:c r="AR145" s="27"/>
      <x:c r="AS145" s="27"/>
      <x:c r="AT145" s="27"/>
      <x:c r="AU145" s="27"/>
      <x:c r="AV145" s="27"/>
      <x:c r="AW145" s="27"/>
      <x:c r="AX145" s="27"/>
      <x:c r="AY145" s="27"/>
      <x:c r="AZ145" s="27"/>
    </x:row>
    <x:row r="146">
      <x:c r="A146" s="27"/>
      <x:c r="B146" s="27"/>
      <x:c r="C146" s="27"/>
      <x:c r="D146" s="27"/>
      <x:c r="E146" s="27"/>
      <x:c r="F146" s="27"/>
      <x:c r="G146" s="27"/>
      <x:c r="H146" s="27"/>
      <x:c r="I146" s="27"/>
      <x:c r="J146" s="27"/>
      <x:c r="K146" s="27"/>
      <x:c r="L146" s="27"/>
      <x:c r="M146" s="27"/>
      <x:c r="N146" s="27"/>
      <x:c r="O146" s="27"/>
      <x:c r="P146" s="27"/>
      <x:c r="Q146" s="27"/>
      <x:c r="R146" s="27"/>
      <x:c r="S146" s="27"/>
      <x:c r="T146" s="27"/>
      <x:c r="U146" s="27"/>
      <x:c r="V146" s="27"/>
      <x:c r="W146" s="27"/>
      <x:c r="X146" s="27"/>
      <x:c r="Y146" s="27"/>
      <x:c r="Z146" s="27"/>
      <x:c r="AA146" s="27"/>
      <x:c r="AB146" s="27"/>
      <x:c r="AC146" s="27"/>
      <x:c r="AD146" s="27"/>
      <x:c r="AE146" s="27"/>
      <x:c r="AF146" s="27"/>
      <x:c r="AG146" s="27"/>
      <x:c r="AH146" s="27"/>
      <x:c r="AI146" s="27"/>
      <x:c r="AJ146" s="27"/>
      <x:c r="AK146" s="27"/>
      <x:c r="AL146" s="27"/>
      <x:c r="AM146" s="27"/>
      <x:c r="AN146" s="27"/>
      <x:c r="AO146" s="27"/>
      <x:c r="AP146" s="27"/>
      <x:c r="AQ146" s="27"/>
      <x:c r="AR146" s="27"/>
      <x:c r="AS146" s="27"/>
      <x:c r="AT146" s="27"/>
      <x:c r="AU146" s="27"/>
      <x:c r="AV146" s="27"/>
      <x:c r="AW146" s="27"/>
      <x:c r="AX146" s="27"/>
      <x:c r="AY146" s="27"/>
      <x:c r="AZ146" s="27"/>
    </x:row>
    <x:row r="147">
      <x:c r="A147" s="27"/>
      <x:c r="B147" s="27"/>
      <x:c r="C147" s="27"/>
      <x:c r="D147" s="27"/>
      <x:c r="E147" s="27"/>
      <x:c r="F147" s="27"/>
      <x:c r="G147" s="27"/>
      <x:c r="H147" s="27"/>
      <x:c r="I147" s="27"/>
      <x:c r="J147" s="27"/>
      <x:c r="K147" s="27"/>
      <x:c r="L147" s="27"/>
      <x:c r="M147" s="27"/>
      <x:c r="N147" s="27"/>
      <x:c r="O147" s="27"/>
      <x:c r="P147" s="27"/>
      <x:c r="Q147" s="27"/>
      <x:c r="R147" s="27"/>
      <x:c r="S147" s="27"/>
      <x:c r="T147" s="27"/>
      <x:c r="U147" s="27"/>
      <x:c r="V147" s="27"/>
      <x:c r="W147" s="27"/>
      <x:c r="X147" s="27"/>
      <x:c r="Y147" s="27"/>
      <x:c r="Z147" s="27"/>
      <x:c r="AA147" s="27"/>
      <x:c r="AB147" s="27"/>
      <x:c r="AC147" s="27"/>
      <x:c r="AD147" s="27"/>
      <x:c r="AE147" s="27"/>
      <x:c r="AF147" s="27"/>
      <x:c r="AG147" s="27"/>
      <x:c r="AH147" s="27"/>
      <x:c r="AI147" s="27"/>
      <x:c r="AJ147" s="27"/>
      <x:c r="AK147" s="27"/>
      <x:c r="AL147" s="27"/>
      <x:c r="AM147" s="27"/>
      <x:c r="AN147" s="27"/>
      <x:c r="AO147" s="27"/>
      <x:c r="AP147" s="27"/>
      <x:c r="AQ147" s="27"/>
      <x:c r="AR147" s="27"/>
      <x:c r="AS147" s="27"/>
      <x:c r="AT147" s="27"/>
      <x:c r="AU147" s="27"/>
      <x:c r="AV147" s="27"/>
      <x:c r="AW147" s="27"/>
      <x:c r="AX147" s="27"/>
      <x:c r="AY147" s="27"/>
      <x:c r="AZ147" s="27"/>
    </x:row>
    <x:row r="148">
      <x:c r="A148" s="27"/>
      <x:c r="B148" s="27"/>
      <x:c r="C148" s="27"/>
      <x:c r="D148" s="27"/>
      <x:c r="E148" s="27"/>
      <x:c r="F148" s="27"/>
      <x:c r="G148" s="27"/>
      <x:c r="H148" s="27"/>
      <x:c r="I148" s="27"/>
      <x:c r="J148" s="27"/>
      <x:c r="K148" s="27"/>
      <x:c r="L148" s="27"/>
      <x:c r="M148" s="27"/>
      <x:c r="N148" s="27"/>
      <x:c r="O148" s="27"/>
      <x:c r="P148" s="27"/>
      <x:c r="Q148" s="27"/>
      <x:c r="R148" s="27"/>
      <x:c r="S148" s="27"/>
      <x:c r="T148" s="27"/>
      <x:c r="U148" s="27"/>
      <x:c r="V148" s="27"/>
      <x:c r="W148" s="27"/>
      <x:c r="X148" s="27"/>
      <x:c r="Y148" s="27"/>
      <x:c r="Z148" s="27"/>
      <x:c r="AA148" s="27"/>
      <x:c r="AB148" s="27"/>
      <x:c r="AC148" s="27"/>
      <x:c r="AD148" s="27"/>
      <x:c r="AE148" s="27"/>
      <x:c r="AF148" s="27"/>
      <x:c r="AG148" s="27"/>
      <x:c r="AH148" s="27"/>
      <x:c r="AI148" s="27"/>
      <x:c r="AJ148" s="27"/>
      <x:c r="AK148" s="27"/>
      <x:c r="AL148" s="27"/>
      <x:c r="AM148" s="27"/>
      <x:c r="AN148" s="27"/>
      <x:c r="AO148" s="27"/>
      <x:c r="AP148" s="27"/>
      <x:c r="AQ148" s="27"/>
      <x:c r="AR148" s="27"/>
      <x:c r="AS148" s="27"/>
      <x:c r="AT148" s="27"/>
      <x:c r="AU148" s="27"/>
      <x:c r="AV148" s="27"/>
      <x:c r="AW148" s="27"/>
      <x:c r="AX148" s="27"/>
      <x:c r="AY148" s="27"/>
      <x:c r="AZ148" s="27"/>
    </x:row>
    <x:row r="149">
      <x:c r="A149" s="27"/>
      <x:c r="B149" s="27"/>
      <x:c r="C149" s="27"/>
      <x:c r="D149" s="27"/>
      <x:c r="E149" s="27"/>
      <x:c r="F149" s="27"/>
      <x:c r="G149" s="27"/>
      <x:c r="H149" s="27"/>
      <x:c r="I149" s="27"/>
      <x:c r="J149" s="27"/>
      <x:c r="K149" s="27"/>
      <x:c r="L149" s="27"/>
      <x:c r="M149" s="27"/>
      <x:c r="N149" s="27"/>
      <x:c r="O149" s="27"/>
      <x:c r="P149" s="27"/>
      <x:c r="Q149" s="27"/>
      <x:c r="R149" s="27"/>
      <x:c r="S149" s="27"/>
      <x:c r="T149" s="27"/>
      <x:c r="U149" s="27"/>
      <x:c r="V149" s="27"/>
      <x:c r="W149" s="27"/>
      <x:c r="X149" s="27"/>
      <x:c r="Y149" s="27"/>
      <x:c r="Z149" s="27"/>
      <x:c r="AA149" s="27"/>
      <x:c r="AB149" s="27"/>
      <x:c r="AC149" s="27"/>
      <x:c r="AD149" s="27"/>
      <x:c r="AE149" s="27"/>
      <x:c r="AF149" s="27"/>
      <x:c r="AG149" s="27"/>
      <x:c r="AH149" s="27"/>
      <x:c r="AI149" s="27"/>
      <x:c r="AJ149" s="27"/>
      <x:c r="AK149" s="27"/>
      <x:c r="AL149" s="27"/>
      <x:c r="AM149" s="27"/>
      <x:c r="AN149" s="27"/>
      <x:c r="AO149" s="27"/>
      <x:c r="AP149" s="27"/>
      <x:c r="AQ149" s="27"/>
      <x:c r="AR149" s="27"/>
      <x:c r="AS149" s="27"/>
      <x:c r="AT149" s="27"/>
      <x:c r="AU149" s="27"/>
      <x:c r="AV149" s="27"/>
      <x:c r="AW149" s="27"/>
      <x:c r="AX149" s="27"/>
      <x:c r="AY149" s="27"/>
      <x:c r="AZ149" s="27"/>
    </x:row>
    <x:row r="150">
      <x:c r="A150" s="27"/>
      <x:c r="B150" s="27"/>
      <x:c r="C150" s="27"/>
      <x:c r="D150" s="27"/>
      <x:c r="E150" s="27"/>
      <x:c r="F150" s="27"/>
      <x:c r="G150" s="27"/>
      <x:c r="H150" s="27"/>
      <x:c r="I150" s="27"/>
      <x:c r="J150" s="27"/>
      <x:c r="K150" s="27"/>
      <x:c r="L150" s="27"/>
      <x:c r="M150" s="27"/>
      <x:c r="N150" s="27"/>
      <x:c r="O150" s="27"/>
      <x:c r="P150" s="27"/>
      <x:c r="Q150" s="27"/>
      <x:c r="R150" s="27"/>
      <x:c r="S150" s="27"/>
      <x:c r="T150" s="27"/>
      <x:c r="U150" s="27"/>
      <x:c r="V150" s="27"/>
      <x:c r="W150" s="27"/>
      <x:c r="X150" s="27"/>
      <x:c r="Y150" s="27"/>
      <x:c r="Z150" s="27"/>
      <x:c r="AA150" s="27"/>
      <x:c r="AB150" s="27"/>
      <x:c r="AC150" s="27"/>
      <x:c r="AD150" s="27"/>
      <x:c r="AE150" s="27"/>
      <x:c r="AF150" s="27"/>
      <x:c r="AG150" s="27"/>
      <x:c r="AH150" s="27"/>
      <x:c r="AI150" s="27"/>
      <x:c r="AJ150" s="27"/>
      <x:c r="AK150" s="27"/>
      <x:c r="AL150" s="27"/>
      <x:c r="AM150" s="27"/>
      <x:c r="AN150" s="27"/>
      <x:c r="AO150" s="27"/>
      <x:c r="AP150" s="27"/>
      <x:c r="AQ150" s="27"/>
      <x:c r="AR150" s="27"/>
      <x:c r="AS150" s="27"/>
      <x:c r="AT150" s="27"/>
      <x:c r="AU150" s="27"/>
      <x:c r="AV150" s="27"/>
      <x:c r="AW150" s="27"/>
      <x:c r="AX150" s="27"/>
      <x:c r="AY150" s="27"/>
      <x:c r="AZ150" s="27"/>
    </x:row>
    <x:row r="151">
      <x:c r="A151" s="27"/>
      <x:c r="B151" s="27"/>
      <x:c r="C151" s="27"/>
      <x:c r="D151" s="27"/>
      <x:c r="E151" s="27"/>
      <x:c r="F151" s="27"/>
      <x:c r="G151" s="27"/>
      <x:c r="H151" s="27"/>
      <x:c r="I151" s="27"/>
      <x:c r="J151" s="27"/>
      <x:c r="K151" s="27"/>
      <x:c r="L151" s="27"/>
      <x:c r="M151" s="27"/>
      <x:c r="N151" s="27"/>
      <x:c r="O151" s="27"/>
      <x:c r="P151" s="27"/>
      <x:c r="Q151" s="27"/>
      <x:c r="R151" s="27"/>
      <x:c r="S151" s="27"/>
      <x:c r="T151" s="27"/>
      <x:c r="U151" s="27"/>
      <x:c r="V151" s="27"/>
      <x:c r="W151" s="27"/>
      <x:c r="X151" s="27"/>
      <x:c r="Y151" s="27"/>
      <x:c r="Z151" s="27"/>
      <x:c r="AA151" s="27"/>
      <x:c r="AB151" s="27"/>
      <x:c r="AC151" s="27"/>
      <x:c r="AD151" s="27"/>
      <x:c r="AE151" s="27"/>
      <x:c r="AF151" s="27"/>
      <x:c r="AG151" s="27"/>
      <x:c r="AH151" s="27"/>
      <x:c r="AI151" s="27"/>
      <x:c r="AJ151" s="27"/>
      <x:c r="AK151" s="27"/>
      <x:c r="AL151" s="27"/>
      <x:c r="AM151" s="27"/>
      <x:c r="AN151" s="27"/>
      <x:c r="AO151" s="27"/>
      <x:c r="AP151" s="27"/>
      <x:c r="AQ151" s="27"/>
      <x:c r="AR151" s="27"/>
      <x:c r="AS151" s="27"/>
      <x:c r="AT151" s="27"/>
      <x:c r="AU151" s="27"/>
      <x:c r="AV151" s="27"/>
      <x:c r="AW151" s="27"/>
      <x:c r="AX151" s="27"/>
      <x:c r="AY151" s="27"/>
      <x:c r="AZ151" s="27"/>
    </x:row>
    <x:row r="152">
      <x:c r="A152" s="27"/>
      <x:c r="B152" s="27"/>
      <x:c r="C152" s="27"/>
      <x:c r="D152" s="27"/>
      <x:c r="E152" s="27"/>
      <x:c r="F152" s="27"/>
      <x:c r="G152" s="27"/>
      <x:c r="H152" s="27"/>
      <x:c r="I152" s="27"/>
      <x:c r="J152" s="27"/>
      <x:c r="K152" s="27"/>
      <x:c r="L152" s="27"/>
      <x:c r="M152" s="27"/>
      <x:c r="N152" s="27"/>
      <x:c r="O152" s="27"/>
      <x:c r="P152" s="27"/>
      <x:c r="Q152" s="27"/>
      <x:c r="R152" s="27"/>
      <x:c r="S152" s="27"/>
      <x:c r="T152" s="27"/>
      <x:c r="U152" s="27"/>
      <x:c r="V152" s="27"/>
      <x:c r="W152" s="27"/>
      <x:c r="X152" s="27"/>
      <x:c r="Y152" s="27"/>
      <x:c r="Z152" s="27"/>
      <x:c r="AA152" s="27"/>
      <x:c r="AB152" s="27"/>
      <x:c r="AC152" s="27"/>
      <x:c r="AD152" s="27"/>
      <x:c r="AE152" s="27"/>
      <x:c r="AF152" s="27"/>
      <x:c r="AG152" s="27"/>
      <x:c r="AH152" s="27"/>
      <x:c r="AI152" s="27"/>
      <x:c r="AJ152" s="27"/>
      <x:c r="AK152" s="27"/>
      <x:c r="AL152" s="27"/>
      <x:c r="AM152" s="27"/>
      <x:c r="AN152" s="27"/>
      <x:c r="AO152" s="27"/>
      <x:c r="AP152" s="27"/>
      <x:c r="AQ152" s="27"/>
      <x:c r="AR152" s="27"/>
      <x:c r="AS152" s="27"/>
      <x:c r="AT152" s="27"/>
      <x:c r="AU152" s="27"/>
      <x:c r="AV152" s="27"/>
      <x:c r="AW152" s="27"/>
      <x:c r="AX152" s="27"/>
      <x:c r="AY152" s="27"/>
      <x:c r="AZ152" s="27"/>
    </x:row>
    <x:row r="153">
      <x:c r="A153" s="27"/>
      <x:c r="B153" s="27"/>
      <x:c r="C153" s="27"/>
      <x:c r="D153" s="27"/>
      <x:c r="E153" s="27"/>
      <x:c r="F153" s="27"/>
      <x:c r="G153" s="27"/>
      <x:c r="H153" s="27"/>
      <x:c r="I153" s="27"/>
      <x:c r="J153" s="27"/>
      <x:c r="K153" s="27"/>
      <x:c r="L153" s="27"/>
      <x:c r="M153" s="27"/>
      <x:c r="N153" s="27"/>
      <x:c r="O153" s="27"/>
      <x:c r="P153" s="27"/>
      <x:c r="Q153" s="27"/>
      <x:c r="R153" s="27"/>
      <x:c r="S153" s="27"/>
      <x:c r="T153" s="27"/>
      <x:c r="U153" s="27"/>
      <x:c r="V153" s="27"/>
      <x:c r="W153" s="27"/>
      <x:c r="X153" s="27"/>
      <x:c r="Y153" s="27"/>
      <x:c r="Z153" s="27"/>
      <x:c r="AA153" s="27"/>
      <x:c r="AB153" s="27"/>
      <x:c r="AC153" s="27"/>
      <x:c r="AD153" s="27"/>
      <x:c r="AE153" s="27"/>
      <x:c r="AF153" s="27"/>
      <x:c r="AG153" s="27"/>
      <x:c r="AH153" s="27"/>
      <x:c r="AI153" s="27"/>
      <x:c r="AJ153" s="27"/>
      <x:c r="AK153" s="27"/>
      <x:c r="AL153" s="27"/>
      <x:c r="AM153" s="27"/>
      <x:c r="AN153" s="27"/>
      <x:c r="AO153" s="27"/>
      <x:c r="AP153" s="27"/>
      <x:c r="AQ153" s="27"/>
      <x:c r="AR153" s="27"/>
      <x:c r="AS153" s="27"/>
      <x:c r="AT153" s="27"/>
      <x:c r="AU153" s="27"/>
      <x:c r="AV153" s="27"/>
      <x:c r="AW153" s="27"/>
      <x:c r="AX153" s="27"/>
      <x:c r="AY153" s="27"/>
      <x:c r="AZ153" s="27"/>
    </x:row>
    <x:row r="154">
      <x:c r="A154" s="27"/>
      <x:c r="B154" s="27"/>
      <x:c r="C154" s="27"/>
      <x:c r="D154" s="27"/>
      <x:c r="E154" s="27"/>
      <x:c r="F154" s="27"/>
      <x:c r="G154" s="27"/>
      <x:c r="H154" s="27"/>
      <x:c r="I154" s="27"/>
      <x:c r="J154" s="27"/>
      <x:c r="K154" s="27"/>
      <x:c r="L154" s="27"/>
      <x:c r="M154" s="27"/>
      <x:c r="N154" s="27"/>
      <x:c r="O154" s="27"/>
      <x:c r="P154" s="27"/>
      <x:c r="Q154" s="27"/>
      <x:c r="R154" s="27"/>
      <x:c r="S154" s="27"/>
      <x:c r="T154" s="27"/>
      <x:c r="U154" s="27"/>
      <x:c r="V154" s="27"/>
      <x:c r="W154" s="27"/>
      <x:c r="X154" s="27"/>
      <x:c r="Y154" s="27"/>
      <x:c r="Z154" s="27"/>
      <x:c r="AA154" s="27"/>
      <x:c r="AB154" s="27"/>
      <x:c r="AC154" s="27"/>
      <x:c r="AD154" s="27"/>
      <x:c r="AE154" s="27"/>
      <x:c r="AF154" s="27"/>
      <x:c r="AG154" s="27"/>
      <x:c r="AH154" s="27"/>
      <x:c r="AI154" s="27"/>
      <x:c r="AJ154" s="27"/>
      <x:c r="AK154" s="27"/>
      <x:c r="AL154" s="27"/>
      <x:c r="AM154" s="27"/>
      <x:c r="AN154" s="27"/>
      <x:c r="AO154" s="27"/>
      <x:c r="AP154" s="27"/>
      <x:c r="AQ154" s="27"/>
      <x:c r="AR154" s="27"/>
      <x:c r="AS154" s="27"/>
      <x:c r="AT154" s="27"/>
      <x:c r="AU154" s="27"/>
      <x:c r="AV154" s="27"/>
      <x:c r="AW154" s="27"/>
      <x:c r="AX154" s="27"/>
      <x:c r="AY154" s="27"/>
      <x:c r="AZ154" s="27"/>
    </x:row>
    <x:row r="155">
      <x:c r="A155" s="27"/>
      <x:c r="B155" s="27"/>
      <x:c r="C155" s="27"/>
      <x:c r="D155" s="27"/>
      <x:c r="E155" s="27"/>
      <x:c r="F155" s="27"/>
      <x:c r="G155" s="27"/>
      <x:c r="H155" s="27"/>
      <x:c r="I155" s="27"/>
      <x:c r="J155" s="27"/>
      <x:c r="K155" s="27"/>
      <x:c r="L155" s="27"/>
      <x:c r="M155" s="27"/>
      <x:c r="N155" s="27"/>
      <x:c r="O155" s="27"/>
      <x:c r="P155" s="27"/>
      <x:c r="Q155" s="27"/>
      <x:c r="R155" s="27"/>
      <x:c r="S155" s="27"/>
      <x:c r="T155" s="27"/>
      <x:c r="U155" s="27"/>
      <x:c r="V155" s="27"/>
      <x:c r="W155" s="27"/>
      <x:c r="X155" s="27"/>
      <x:c r="Y155" s="27"/>
      <x:c r="Z155" s="27"/>
      <x:c r="AA155" s="27"/>
      <x:c r="AB155" s="27"/>
      <x:c r="AC155" s="27"/>
      <x:c r="AD155" s="27"/>
      <x:c r="AE155" s="27"/>
      <x:c r="AF155" s="27"/>
      <x:c r="AG155" s="27"/>
      <x:c r="AH155" s="27"/>
      <x:c r="AI155" s="27"/>
      <x:c r="AJ155" s="27"/>
      <x:c r="AK155" s="27"/>
      <x:c r="AL155" s="27"/>
      <x:c r="AM155" s="27"/>
      <x:c r="AN155" s="27"/>
      <x:c r="AO155" s="27"/>
      <x:c r="AP155" s="27"/>
      <x:c r="AQ155" s="27"/>
      <x:c r="AR155" s="27"/>
      <x:c r="AS155" s="27"/>
      <x:c r="AT155" s="27"/>
      <x:c r="AU155" s="27"/>
      <x:c r="AV155" s="27"/>
      <x:c r="AW155" s="27"/>
      <x:c r="AX155" s="27"/>
      <x:c r="AY155" s="27"/>
      <x:c r="AZ155" s="27"/>
    </x:row>
    <x:row r="156">
      <x:c r="A156" s="27"/>
      <x:c r="B156" s="27"/>
      <x:c r="C156" s="27"/>
      <x:c r="D156" s="27"/>
      <x:c r="E156" s="27"/>
      <x:c r="F156" s="27"/>
      <x:c r="G156" s="27"/>
      <x:c r="H156" s="27"/>
      <x:c r="I156" s="27"/>
      <x:c r="J156" s="27"/>
      <x:c r="K156" s="27"/>
      <x:c r="L156" s="27"/>
      <x:c r="M156" s="27"/>
      <x:c r="N156" s="27"/>
      <x:c r="O156" s="27"/>
      <x:c r="P156" s="27"/>
      <x:c r="Q156" s="27"/>
      <x:c r="R156" s="27"/>
      <x:c r="S156" s="27"/>
      <x:c r="T156" s="27"/>
      <x:c r="U156" s="27"/>
      <x:c r="V156" s="27"/>
      <x:c r="W156" s="27"/>
      <x:c r="X156" s="27"/>
      <x:c r="Y156" s="27"/>
      <x:c r="Z156" s="27"/>
      <x:c r="AA156" s="27"/>
      <x:c r="AB156" s="27"/>
      <x:c r="AC156" s="27"/>
      <x:c r="AD156" s="27"/>
      <x:c r="AE156" s="27"/>
      <x:c r="AF156" s="27"/>
      <x:c r="AG156" s="27"/>
      <x:c r="AH156" s="27"/>
      <x:c r="AI156" s="27"/>
      <x:c r="AJ156" s="27"/>
      <x:c r="AK156" s="27"/>
      <x:c r="AL156" s="27"/>
      <x:c r="AM156" s="27"/>
      <x:c r="AN156" s="27"/>
      <x:c r="AO156" s="27"/>
      <x:c r="AP156" s="27"/>
      <x:c r="AQ156" s="27"/>
      <x:c r="AR156" s="27"/>
      <x:c r="AS156" s="27"/>
      <x:c r="AT156" s="27"/>
      <x:c r="AU156" s="27"/>
      <x:c r="AV156" s="27"/>
      <x:c r="AW156" s="27"/>
      <x:c r="AX156" s="27"/>
      <x:c r="AY156" s="27"/>
      <x:c r="AZ156" s="27"/>
    </x:row>
    <x:row r="157">
      <x:c r="A157" s="27"/>
      <x:c r="B157" s="27"/>
      <x:c r="C157" s="27"/>
      <x:c r="D157" s="27"/>
      <x:c r="E157" s="27"/>
      <x:c r="F157" s="27"/>
      <x:c r="G157" s="27"/>
      <x:c r="H157" s="27"/>
      <x:c r="I157" s="27"/>
      <x:c r="J157" s="27"/>
      <x:c r="K157" s="27"/>
      <x:c r="L157" s="27"/>
      <x:c r="M157" s="27"/>
      <x:c r="N157" s="27"/>
      <x:c r="O157" s="27"/>
      <x:c r="P157" s="27"/>
      <x:c r="Q157" s="27"/>
      <x:c r="R157" s="27"/>
      <x:c r="S157" s="27"/>
      <x:c r="T157" s="27"/>
      <x:c r="U157" s="27"/>
      <x:c r="V157" s="27"/>
      <x:c r="W157" s="27"/>
      <x:c r="X157" s="27"/>
      <x:c r="Y157" s="27"/>
      <x:c r="Z157" s="27"/>
      <x:c r="AA157" s="27"/>
      <x:c r="AB157" s="27"/>
      <x:c r="AC157" s="27"/>
      <x:c r="AD157" s="27"/>
      <x:c r="AE157" s="27"/>
      <x:c r="AF157" s="27"/>
      <x:c r="AG157" s="27"/>
      <x:c r="AH157" s="27"/>
      <x:c r="AI157" s="27"/>
      <x:c r="AJ157" s="27"/>
      <x:c r="AK157" s="27"/>
      <x:c r="AL157" s="27"/>
      <x:c r="AM157" s="27"/>
      <x:c r="AN157" s="27"/>
      <x:c r="AO157" s="27"/>
      <x:c r="AP157" s="27"/>
      <x:c r="AQ157" s="27"/>
      <x:c r="AR157" s="27"/>
      <x:c r="AS157" s="27"/>
      <x:c r="AT157" s="27"/>
      <x:c r="AU157" s="27"/>
      <x:c r="AV157" s="27"/>
      <x:c r="AW157" s="27"/>
      <x:c r="AX157" s="27"/>
      <x:c r="AY157" s="27"/>
      <x:c r="AZ157" s="27"/>
    </x:row>
    <x:row r="158">
      <x:c r="A158" s="27"/>
      <x:c r="B158" s="27"/>
      <x:c r="C158" s="27"/>
      <x:c r="D158" s="27"/>
      <x:c r="E158" s="27"/>
      <x:c r="F158" s="27"/>
      <x:c r="G158" s="27"/>
      <x:c r="H158" s="27"/>
      <x:c r="I158" s="27"/>
      <x:c r="J158" s="27"/>
      <x:c r="K158" s="27"/>
      <x:c r="L158" s="27"/>
      <x:c r="M158" s="27"/>
      <x:c r="N158" s="27"/>
      <x:c r="O158" s="27"/>
      <x:c r="P158" s="27"/>
      <x:c r="Q158" s="27"/>
      <x:c r="R158" s="27"/>
      <x:c r="S158" s="27"/>
      <x:c r="T158" s="27"/>
      <x:c r="U158" s="27"/>
      <x:c r="V158" s="27"/>
      <x:c r="W158" s="27"/>
      <x:c r="X158" s="27"/>
      <x:c r="Y158" s="27"/>
      <x:c r="Z158" s="27"/>
      <x:c r="AA158" s="27"/>
      <x:c r="AB158" s="27"/>
      <x:c r="AC158" s="27"/>
      <x:c r="AD158" s="27"/>
      <x:c r="AE158" s="27"/>
      <x:c r="AF158" s="27"/>
      <x:c r="AG158" s="27"/>
      <x:c r="AH158" s="27"/>
      <x:c r="AI158" s="27"/>
      <x:c r="AJ158" s="27"/>
      <x:c r="AK158" s="27"/>
      <x:c r="AL158" s="27"/>
      <x:c r="AM158" s="27"/>
      <x:c r="AN158" s="27"/>
      <x:c r="AO158" s="27"/>
      <x:c r="AP158" s="27"/>
      <x:c r="AQ158" s="27"/>
      <x:c r="AR158" s="27"/>
      <x:c r="AS158" s="27"/>
      <x:c r="AT158" s="27"/>
      <x:c r="AU158" s="27"/>
      <x:c r="AV158" s="27"/>
      <x:c r="AW158" s="27"/>
      <x:c r="AX158" s="27"/>
      <x:c r="AY158" s="27"/>
      <x:c r="AZ158" s="27"/>
    </x:row>
    <x:row r="159">
      <x:c r="A159" s="27"/>
      <x:c r="B159" s="27"/>
      <x:c r="C159" s="27"/>
      <x:c r="D159" s="27"/>
      <x:c r="E159" s="27"/>
      <x:c r="F159" s="27"/>
      <x:c r="G159" s="27"/>
      <x:c r="H159" s="27"/>
      <x:c r="I159" s="27"/>
      <x:c r="J159" s="27"/>
      <x:c r="K159" s="27"/>
      <x:c r="L159" s="27"/>
      <x:c r="M159" s="27"/>
      <x:c r="N159" s="27"/>
      <x:c r="O159" s="27"/>
      <x:c r="P159" s="27"/>
      <x:c r="Q159" s="27"/>
      <x:c r="R159" s="27"/>
      <x:c r="S159" s="27"/>
      <x:c r="T159" s="27"/>
      <x:c r="U159" s="27"/>
      <x:c r="V159" s="27"/>
      <x:c r="W159" s="27"/>
      <x:c r="X159" s="27"/>
      <x:c r="Y159" s="27"/>
      <x:c r="Z159" s="27"/>
      <x:c r="AA159" s="27"/>
      <x:c r="AB159" s="27"/>
      <x:c r="AC159" s="27"/>
      <x:c r="AD159" s="27"/>
      <x:c r="AE159" s="27"/>
      <x:c r="AF159" s="27"/>
      <x:c r="AG159" s="27"/>
      <x:c r="AH159" s="27"/>
      <x:c r="AI159" s="27"/>
      <x:c r="AJ159" s="27"/>
      <x:c r="AK159" s="27"/>
      <x:c r="AL159" s="27"/>
      <x:c r="AM159" s="27"/>
      <x:c r="AN159" s="27"/>
      <x:c r="AO159" s="27"/>
      <x:c r="AP159" s="27"/>
      <x:c r="AQ159" s="27"/>
      <x:c r="AR159" s="27"/>
      <x:c r="AS159" s="27"/>
      <x:c r="AT159" s="27"/>
      <x:c r="AU159" s="27"/>
      <x:c r="AV159" s="27"/>
      <x:c r="AW159" s="27"/>
      <x:c r="AX159" s="27"/>
      <x:c r="AY159" s="27"/>
      <x:c r="AZ159" s="27"/>
    </x:row>
    <x:row r="160">
      <x:c r="A160" s="27"/>
      <x:c r="B160" s="27"/>
      <x:c r="C160" s="27"/>
      <x:c r="D160" s="27"/>
      <x:c r="E160" s="27"/>
      <x:c r="F160" s="27"/>
      <x:c r="G160" s="27"/>
      <x:c r="H160" s="27"/>
      <x:c r="I160" s="27"/>
      <x:c r="J160" s="27"/>
      <x:c r="K160" s="27"/>
      <x:c r="L160" s="27"/>
      <x:c r="M160" s="27"/>
      <x:c r="N160" s="27"/>
      <x:c r="O160" s="27"/>
      <x:c r="P160" s="27"/>
      <x:c r="Q160" s="27"/>
      <x:c r="R160" s="27"/>
      <x:c r="S160" s="27"/>
      <x:c r="T160" s="27"/>
      <x:c r="U160" s="27"/>
      <x:c r="V160" s="27"/>
      <x:c r="W160" s="27"/>
      <x:c r="X160" s="27"/>
      <x:c r="Y160" s="27"/>
      <x:c r="Z160" s="27"/>
      <x:c r="AA160" s="27"/>
      <x:c r="AB160" s="27"/>
      <x:c r="AC160" s="27"/>
      <x:c r="AD160" s="27"/>
      <x:c r="AE160" s="27"/>
      <x:c r="AF160" s="27"/>
      <x:c r="AG160" s="27"/>
      <x:c r="AH160" s="27"/>
      <x:c r="AI160" s="27"/>
      <x:c r="AJ160" s="27"/>
      <x:c r="AK160" s="27"/>
      <x:c r="AL160" s="27"/>
      <x:c r="AM160" s="27"/>
      <x:c r="AN160" s="27"/>
      <x:c r="AO160" s="27"/>
      <x:c r="AP160" s="27"/>
      <x:c r="AQ160" s="27"/>
      <x:c r="AR160" s="27"/>
      <x:c r="AS160" s="27"/>
      <x:c r="AT160" s="27"/>
      <x:c r="AU160" s="27"/>
      <x:c r="AV160" s="27"/>
      <x:c r="AW160" s="27"/>
      <x:c r="AX160" s="27"/>
      <x:c r="AY160" s="27"/>
      <x:c r="AZ160" s="27"/>
    </x:row>
    <x:row r="161">
      <x:c r="A161" s="27"/>
      <x:c r="B161" s="27"/>
      <x:c r="C161" s="27"/>
      <x:c r="D161" s="27"/>
      <x:c r="E161" s="27"/>
      <x:c r="F161" s="27"/>
      <x:c r="G161" s="27"/>
      <x:c r="H161" s="27"/>
      <x:c r="I161" s="27"/>
      <x:c r="J161" s="27"/>
      <x:c r="K161" s="27"/>
      <x:c r="L161" s="27"/>
      <x:c r="M161" s="27"/>
      <x:c r="N161" s="27"/>
      <x:c r="O161" s="27"/>
      <x:c r="P161" s="27"/>
      <x:c r="Q161" s="27"/>
      <x:c r="R161" s="27"/>
      <x:c r="S161" s="27"/>
      <x:c r="T161" s="27"/>
      <x:c r="U161" s="27"/>
      <x:c r="V161" s="27"/>
      <x:c r="W161" s="27"/>
      <x:c r="X161" s="27"/>
      <x:c r="Y161" s="27"/>
      <x:c r="Z161" s="27"/>
      <x:c r="AA161" s="27"/>
      <x:c r="AB161" s="27"/>
      <x:c r="AC161" s="27"/>
      <x:c r="AD161" s="27"/>
      <x:c r="AE161" s="27"/>
      <x:c r="AF161" s="27"/>
      <x:c r="AG161" s="27"/>
      <x:c r="AH161" s="27"/>
      <x:c r="AI161" s="27"/>
      <x:c r="AJ161" s="27"/>
      <x:c r="AK161" s="27"/>
      <x:c r="AL161" s="27"/>
      <x:c r="AM161" s="27"/>
      <x:c r="AN161" s="27"/>
      <x:c r="AO161" s="27"/>
      <x:c r="AP161" s="27"/>
      <x:c r="AQ161" s="27"/>
      <x:c r="AR161" s="27"/>
      <x:c r="AS161" s="27"/>
      <x:c r="AT161" s="27"/>
      <x:c r="AU161" s="27"/>
      <x:c r="AV161" s="27"/>
      <x:c r="AW161" s="27"/>
      <x:c r="AX161" s="27"/>
      <x:c r="AY161" s="27"/>
      <x:c r="AZ161" s="27"/>
    </x:row>
    <x:row r="162">
      <x:c r="A162" s="27"/>
      <x:c r="B162" s="27"/>
      <x:c r="C162" s="27"/>
      <x:c r="D162" s="27"/>
      <x:c r="E162" s="27"/>
      <x:c r="F162" s="27"/>
      <x:c r="G162" s="27"/>
      <x:c r="H162" s="27"/>
      <x:c r="I162" s="27"/>
      <x:c r="J162" s="27"/>
      <x:c r="K162" s="27"/>
      <x:c r="L162" s="27"/>
      <x:c r="M162" s="27"/>
      <x:c r="N162" s="27"/>
      <x:c r="O162" s="27"/>
      <x:c r="P162" s="27"/>
      <x:c r="Q162" s="27"/>
      <x:c r="R162" s="27"/>
      <x:c r="S162" s="27"/>
      <x:c r="T162" s="27"/>
      <x:c r="U162" s="27"/>
      <x:c r="V162" s="27"/>
      <x:c r="W162" s="27"/>
      <x:c r="X162" s="27"/>
      <x:c r="Y162" s="27"/>
      <x:c r="Z162" s="27"/>
      <x:c r="AA162" s="27"/>
      <x:c r="AB162" s="27"/>
      <x:c r="AC162" s="27"/>
      <x:c r="AD162" s="27"/>
      <x:c r="AE162" s="27"/>
      <x:c r="AF162" s="27"/>
      <x:c r="AG162" s="27"/>
      <x:c r="AH162" s="27"/>
      <x:c r="AI162" s="27"/>
      <x:c r="AJ162" s="27"/>
      <x:c r="AK162" s="27"/>
      <x:c r="AL162" s="27"/>
      <x:c r="AM162" s="27"/>
      <x:c r="AN162" s="27"/>
      <x:c r="AO162" s="27"/>
      <x:c r="AP162" s="27"/>
      <x:c r="AQ162" s="27"/>
      <x:c r="AR162" s="27"/>
      <x:c r="AS162" s="27"/>
      <x:c r="AT162" s="27"/>
      <x:c r="AU162" s="27"/>
      <x:c r="AV162" s="27"/>
      <x:c r="AW162" s="27"/>
      <x:c r="AX162" s="27"/>
      <x:c r="AY162" s="27"/>
      <x:c r="AZ162" s="27"/>
    </x:row>
    <x:row r="163">
      <x:c r="A163" s="27"/>
      <x:c r="B163" s="27"/>
      <x:c r="C163" s="27"/>
      <x:c r="D163" s="27"/>
      <x:c r="E163" s="27"/>
      <x:c r="F163" s="27"/>
      <x:c r="G163" s="27"/>
      <x:c r="H163" s="27"/>
      <x:c r="I163" s="27"/>
      <x:c r="J163" s="27"/>
      <x:c r="K163" s="27"/>
      <x:c r="L163" s="27"/>
      <x:c r="M163" s="27"/>
      <x:c r="N163" s="27"/>
      <x:c r="O163" s="27"/>
      <x:c r="P163" s="27"/>
      <x:c r="Q163" s="27"/>
      <x:c r="R163" s="27"/>
      <x:c r="S163" s="27"/>
      <x:c r="T163" s="27"/>
      <x:c r="U163" s="27"/>
      <x:c r="V163" s="27"/>
      <x:c r="W163" s="27"/>
      <x:c r="X163" s="27"/>
      <x:c r="Y163" s="27"/>
      <x:c r="Z163" s="27"/>
      <x:c r="AA163" s="27"/>
      <x:c r="AB163" s="27"/>
      <x:c r="AC163" s="27"/>
      <x:c r="AD163" s="27"/>
      <x:c r="AE163" s="27"/>
      <x:c r="AF163" s="27"/>
      <x:c r="AG163" s="27"/>
      <x:c r="AH163" s="27"/>
      <x:c r="AI163" s="27"/>
      <x:c r="AJ163" s="27"/>
      <x:c r="AK163" s="27"/>
      <x:c r="AL163" s="27"/>
      <x:c r="AM163" s="27"/>
      <x:c r="AN163" s="27"/>
      <x:c r="AO163" s="27"/>
      <x:c r="AP163" s="27"/>
      <x:c r="AQ163" s="27"/>
      <x:c r="AR163" s="27"/>
      <x:c r="AS163" s="27"/>
      <x:c r="AT163" s="27"/>
      <x:c r="AU163" s="27"/>
      <x:c r="AV163" s="27"/>
      <x:c r="AW163" s="27"/>
      <x:c r="AX163" s="27"/>
      <x:c r="AY163" s="27"/>
      <x:c r="AZ163" s="27"/>
    </x:row>
    <x:row r="164">
      <x:c r="A164" s="27"/>
      <x:c r="B164" s="27"/>
      <x:c r="C164" s="27"/>
      <x:c r="D164" s="27"/>
      <x:c r="E164" s="27"/>
      <x:c r="F164" s="27"/>
      <x:c r="G164" s="27"/>
      <x:c r="H164" s="27"/>
      <x:c r="I164" s="27"/>
      <x:c r="J164" s="27"/>
      <x:c r="K164" s="27"/>
      <x:c r="L164" s="27"/>
      <x:c r="M164" s="27"/>
      <x:c r="N164" s="27"/>
      <x:c r="O164" s="27"/>
      <x:c r="P164" s="27"/>
      <x:c r="Q164" s="27"/>
      <x:c r="R164" s="27"/>
      <x:c r="S164" s="27"/>
      <x:c r="T164" s="27"/>
      <x:c r="U164" s="27"/>
      <x:c r="V164" s="27"/>
      <x:c r="W164" s="27"/>
      <x:c r="X164" s="27"/>
      <x:c r="Y164" s="27"/>
      <x:c r="Z164" s="27"/>
      <x:c r="AA164" s="27"/>
      <x:c r="AB164" s="27"/>
      <x:c r="AC164" s="27"/>
      <x:c r="AD164" s="27"/>
      <x:c r="AE164" s="27"/>
      <x:c r="AF164" s="27"/>
      <x:c r="AG164" s="27"/>
      <x:c r="AH164" s="27"/>
      <x:c r="AI164" s="27"/>
      <x:c r="AJ164" s="27"/>
      <x:c r="AK164" s="27"/>
      <x:c r="AL164" s="27"/>
      <x:c r="AM164" s="27"/>
      <x:c r="AN164" s="27"/>
      <x:c r="AO164" s="27"/>
      <x:c r="AP164" s="27"/>
      <x:c r="AQ164" s="27"/>
      <x:c r="AR164" s="27"/>
      <x:c r="AS164" s="27"/>
      <x:c r="AT164" s="27"/>
      <x:c r="AU164" s="27"/>
      <x:c r="AV164" s="27"/>
      <x:c r="AW164" s="27"/>
      <x:c r="AX164" s="27"/>
      <x:c r="AY164" s="27"/>
      <x:c r="AZ164" s="27"/>
    </x:row>
    <x:row r="165">
      <x:c r="A165" s="27"/>
      <x:c r="B165" s="27"/>
      <x:c r="C165" s="27"/>
      <x:c r="D165" s="27"/>
      <x:c r="E165" s="27"/>
      <x:c r="F165" s="27"/>
      <x:c r="G165" s="27"/>
      <x:c r="H165" s="27"/>
      <x:c r="I165" s="27"/>
      <x:c r="J165" s="27"/>
      <x:c r="K165" s="27"/>
      <x:c r="L165" s="27"/>
      <x:c r="M165" s="27"/>
      <x:c r="N165" s="27"/>
      <x:c r="O165" s="27"/>
      <x:c r="P165" s="27"/>
      <x:c r="Q165" s="27"/>
      <x:c r="R165" s="27"/>
      <x:c r="S165" s="27"/>
      <x:c r="T165" s="27"/>
      <x:c r="U165" s="27"/>
      <x:c r="V165" s="27"/>
      <x:c r="W165" s="27"/>
      <x:c r="X165" s="27"/>
      <x:c r="Y165" s="27"/>
      <x:c r="Z165" s="27"/>
      <x:c r="AA165" s="27"/>
      <x:c r="AB165" s="27"/>
      <x:c r="AC165" s="27"/>
      <x:c r="AD165" s="27"/>
      <x:c r="AE165" s="27"/>
      <x:c r="AF165" s="27"/>
      <x:c r="AG165" s="27"/>
      <x:c r="AH165" s="27"/>
      <x:c r="AI165" s="27"/>
      <x:c r="AJ165" s="27"/>
      <x:c r="AK165" s="27"/>
      <x:c r="AL165" s="27"/>
      <x:c r="AM165" s="27"/>
      <x:c r="AN165" s="27"/>
      <x:c r="AO165" s="27"/>
      <x:c r="AP165" s="27"/>
      <x:c r="AQ165" s="27"/>
      <x:c r="AR165" s="27"/>
      <x:c r="AS165" s="27"/>
      <x:c r="AT165" s="27"/>
      <x:c r="AU165" s="27"/>
      <x:c r="AV165" s="27"/>
      <x:c r="AW165" s="27"/>
      <x:c r="AX165" s="27"/>
      <x:c r="AY165" s="27"/>
      <x:c r="AZ165" s="27"/>
    </x:row>
    <x:row r="166">
      <x:c r="A166" s="27"/>
      <x:c r="B166" s="27"/>
      <x:c r="C166" s="27"/>
      <x:c r="D166" s="27"/>
      <x:c r="E166" s="27"/>
      <x:c r="F166" s="27"/>
      <x:c r="G166" s="27"/>
      <x:c r="H166" s="27"/>
      <x:c r="I166" s="27"/>
      <x:c r="J166" s="27"/>
      <x:c r="K166" s="27"/>
      <x:c r="L166" s="27"/>
      <x:c r="M166" s="27"/>
      <x:c r="N166" s="27"/>
      <x:c r="O166" s="27"/>
      <x:c r="P166" s="27"/>
      <x:c r="Q166" s="27"/>
      <x:c r="R166" s="27"/>
      <x:c r="S166" s="27"/>
      <x:c r="T166" s="27"/>
      <x:c r="U166" s="27"/>
      <x:c r="V166" s="27"/>
      <x:c r="W166" s="27"/>
      <x:c r="X166" s="27"/>
      <x:c r="Y166" s="27"/>
      <x:c r="Z166" s="27"/>
      <x:c r="AA166" s="27"/>
      <x:c r="AB166" s="27"/>
      <x:c r="AC166" s="27"/>
      <x:c r="AD166" s="27"/>
      <x:c r="AE166" s="27"/>
      <x:c r="AF166" s="27"/>
      <x:c r="AG166" s="27"/>
      <x:c r="AH166" s="27"/>
      <x:c r="AI166" s="27"/>
      <x:c r="AJ166" s="27"/>
      <x:c r="AK166" s="27"/>
      <x:c r="AL166" s="27"/>
      <x:c r="AM166" s="27"/>
      <x:c r="AN166" s="27"/>
      <x:c r="AO166" s="27"/>
      <x:c r="AP166" s="27"/>
      <x:c r="AQ166" s="27"/>
      <x:c r="AR166" s="27"/>
      <x:c r="AS166" s="27"/>
      <x:c r="AT166" s="27"/>
      <x:c r="AU166" s="27"/>
      <x:c r="AV166" s="27"/>
      <x:c r="AW166" s="27"/>
      <x:c r="AX166" s="27"/>
      <x:c r="AY166" s="27"/>
      <x:c r="AZ166" s="27"/>
    </x:row>
    <x:row r="167">
      <x:c r="A167" s="27"/>
      <x:c r="B167" s="27"/>
      <x:c r="C167" s="27"/>
      <x:c r="D167" s="27"/>
      <x:c r="E167" s="27"/>
      <x:c r="F167" s="27"/>
      <x:c r="G167" s="27"/>
      <x:c r="H167" s="27"/>
      <x:c r="I167" s="27"/>
      <x:c r="J167" s="27"/>
      <x:c r="K167" s="27"/>
      <x:c r="L167" s="27"/>
      <x:c r="M167" s="27"/>
      <x:c r="N167" s="27"/>
      <x:c r="O167" s="27"/>
      <x:c r="P167" s="27"/>
      <x:c r="Q167" s="27"/>
      <x:c r="R167" s="27"/>
      <x:c r="S167" s="27"/>
      <x:c r="T167" s="27"/>
      <x:c r="U167" s="27"/>
      <x:c r="V167" s="27"/>
      <x:c r="W167" s="27"/>
      <x:c r="X167" s="27"/>
      <x:c r="Y167" s="27"/>
      <x:c r="Z167" s="27"/>
      <x:c r="AA167" s="27"/>
      <x:c r="AB167" s="27"/>
      <x:c r="AC167" s="27"/>
      <x:c r="AD167" s="27"/>
      <x:c r="AE167" s="27"/>
      <x:c r="AF167" s="27"/>
      <x:c r="AG167" s="27"/>
      <x:c r="AH167" s="27"/>
      <x:c r="AI167" s="27"/>
      <x:c r="AJ167" s="27"/>
      <x:c r="AK167" s="27"/>
      <x:c r="AL167" s="27"/>
      <x:c r="AM167" s="27"/>
      <x:c r="AN167" s="27"/>
      <x:c r="AO167" s="27"/>
      <x:c r="AP167" s="27"/>
      <x:c r="AQ167" s="27"/>
      <x:c r="AR167" s="27"/>
      <x:c r="AS167" s="27"/>
      <x:c r="AT167" s="27"/>
      <x:c r="AU167" s="27"/>
      <x:c r="AV167" s="27"/>
      <x:c r="AW167" s="27"/>
      <x:c r="AX167" s="27"/>
      <x:c r="AY167" s="27"/>
      <x:c r="AZ167" s="27"/>
    </x:row>
    <x:row r="168">
      <x:c r="A168" s="27"/>
      <x:c r="B168" s="27"/>
      <x:c r="C168" s="27"/>
      <x:c r="D168" s="27"/>
      <x:c r="E168" s="27"/>
      <x:c r="F168" s="27"/>
      <x:c r="G168" s="27"/>
      <x:c r="H168" s="27"/>
      <x:c r="I168" s="27"/>
      <x:c r="J168" s="27"/>
      <x:c r="K168" s="27"/>
      <x:c r="L168" s="27"/>
      <x:c r="M168" s="27"/>
      <x:c r="N168" s="27"/>
      <x:c r="O168" s="27"/>
      <x:c r="P168" s="27"/>
      <x:c r="Q168" s="27"/>
      <x:c r="R168" s="27"/>
      <x:c r="S168" s="27"/>
      <x:c r="T168" s="27"/>
      <x:c r="U168" s="27"/>
      <x:c r="V168" s="27"/>
      <x:c r="W168" s="27"/>
      <x:c r="X168" s="27"/>
      <x:c r="Y168" s="27"/>
      <x:c r="Z168" s="27"/>
      <x:c r="AA168" s="27"/>
      <x:c r="AB168" s="27"/>
      <x:c r="AC168" s="27"/>
      <x:c r="AD168" s="27"/>
      <x:c r="AE168" s="27"/>
      <x:c r="AF168" s="27"/>
      <x:c r="AG168" s="27"/>
      <x:c r="AH168" s="27"/>
      <x:c r="AI168" s="27"/>
      <x:c r="AJ168" s="27"/>
      <x:c r="AK168" s="27"/>
      <x:c r="AL168" s="27"/>
      <x:c r="AM168" s="27"/>
      <x:c r="AN168" s="27"/>
      <x:c r="AO168" s="27"/>
      <x:c r="AP168" s="27"/>
      <x:c r="AQ168" s="27"/>
      <x:c r="AR168" s="27"/>
      <x:c r="AS168" s="27"/>
      <x:c r="AT168" s="27"/>
      <x:c r="AU168" s="27"/>
      <x:c r="AV168" s="27"/>
      <x:c r="AW168" s="27"/>
      <x:c r="AX168" s="27"/>
      <x:c r="AY168" s="27"/>
      <x:c r="AZ168" s="27"/>
    </x:row>
    <x:row r="169">
      <x:c r="A169" s="27"/>
      <x:c r="B169" s="27"/>
      <x:c r="C169" s="27"/>
      <x:c r="D169" s="27"/>
      <x:c r="E169" s="27"/>
      <x:c r="F169" s="27"/>
      <x:c r="G169" s="27"/>
      <x:c r="H169" s="27"/>
      <x:c r="I169" s="27"/>
      <x:c r="J169" s="27"/>
      <x:c r="K169" s="27"/>
      <x:c r="L169" s="27"/>
      <x:c r="M169" s="27"/>
      <x:c r="N169" s="27"/>
      <x:c r="O169" s="27"/>
      <x:c r="P169" s="27"/>
      <x:c r="Q169" s="27"/>
      <x:c r="R169" s="27"/>
      <x:c r="S169" s="27"/>
      <x:c r="T169" s="27"/>
      <x:c r="U169" s="27"/>
      <x:c r="V169" s="27"/>
      <x:c r="W169" s="27"/>
      <x:c r="X169" s="27"/>
      <x:c r="Y169" s="27"/>
      <x:c r="Z169" s="27"/>
      <x:c r="AA169" s="27"/>
      <x:c r="AB169" s="27"/>
      <x:c r="AC169" s="27"/>
      <x:c r="AD169" s="27"/>
      <x:c r="AE169" s="27"/>
      <x:c r="AF169" s="27"/>
      <x:c r="AG169" s="27"/>
      <x:c r="AH169" s="27"/>
      <x:c r="AI169" s="27"/>
      <x:c r="AJ169" s="27"/>
      <x:c r="AK169" s="27"/>
      <x:c r="AL169" s="27"/>
      <x:c r="AM169" s="27"/>
      <x:c r="AN169" s="27"/>
      <x:c r="AO169" s="27"/>
      <x:c r="AP169" s="27"/>
      <x:c r="AQ169" s="27"/>
      <x:c r="AR169" s="27"/>
      <x:c r="AS169" s="27"/>
      <x:c r="AT169" s="27"/>
      <x:c r="AU169" s="27"/>
      <x:c r="AV169" s="27"/>
      <x:c r="AW169" s="27"/>
      <x:c r="AX169" s="27"/>
      <x:c r="AY169" s="27"/>
      <x:c r="AZ169" s="27"/>
    </x:row>
    <x:row r="170">
      <x:c r="A170" s="27"/>
      <x:c r="B170" s="27"/>
      <x:c r="C170" s="27"/>
      <x:c r="D170" s="27"/>
      <x:c r="E170" s="27"/>
      <x:c r="F170" s="27"/>
      <x:c r="G170" s="27"/>
      <x:c r="H170" s="27"/>
      <x:c r="I170" s="27"/>
      <x:c r="J170" s="27"/>
      <x:c r="K170" s="27"/>
      <x:c r="L170" s="27"/>
      <x:c r="M170" s="27"/>
      <x:c r="N170" s="27"/>
      <x:c r="O170" s="27"/>
      <x:c r="P170" s="27"/>
      <x:c r="Q170" s="27"/>
      <x:c r="R170" s="27"/>
      <x:c r="S170" s="27"/>
      <x:c r="T170" s="27"/>
      <x:c r="U170" s="27"/>
      <x:c r="V170" s="27"/>
      <x:c r="W170" s="27"/>
      <x:c r="X170" s="27"/>
      <x:c r="Y170" s="27"/>
      <x:c r="Z170" s="27"/>
      <x:c r="AA170" s="27"/>
      <x:c r="AB170" s="27"/>
      <x:c r="AC170" s="27"/>
      <x:c r="AD170" s="27"/>
      <x:c r="AE170" s="27"/>
      <x:c r="AF170" s="27"/>
      <x:c r="AG170" s="27"/>
      <x:c r="AH170" s="27"/>
      <x:c r="AI170" s="27"/>
      <x:c r="AJ170" s="27"/>
      <x:c r="AK170" s="27"/>
      <x:c r="AL170" s="27"/>
      <x:c r="AM170" s="27"/>
      <x:c r="AN170" s="27"/>
      <x:c r="AO170" s="27"/>
      <x:c r="AP170" s="27"/>
      <x:c r="AQ170" s="27"/>
      <x:c r="AR170" s="27"/>
      <x:c r="AS170" s="27"/>
      <x:c r="AT170" s="27"/>
      <x:c r="AU170" s="27"/>
      <x:c r="AV170" s="27"/>
      <x:c r="AW170" s="27"/>
      <x:c r="AX170" s="27"/>
      <x:c r="AY170" s="27"/>
      <x:c r="AZ170" s="27"/>
    </x:row>
    <x:row r="171">
      <x:c r="A171" s="27"/>
      <x:c r="B171" s="27"/>
      <x:c r="C171" s="27"/>
      <x:c r="D171" s="27"/>
      <x:c r="E171" s="27"/>
      <x:c r="F171" s="27"/>
      <x:c r="G171" s="27"/>
      <x:c r="H171" s="27"/>
      <x:c r="I171" s="27"/>
      <x:c r="J171" s="27"/>
      <x:c r="K171" s="27"/>
      <x:c r="L171" s="27"/>
      <x:c r="M171" s="27"/>
      <x:c r="N171" s="27"/>
      <x:c r="O171" s="27"/>
      <x:c r="P171" s="27"/>
      <x:c r="Q171" s="27"/>
      <x:c r="R171" s="27"/>
      <x:c r="S171" s="27"/>
      <x:c r="T171" s="27"/>
      <x:c r="U171" s="27"/>
      <x:c r="V171" s="27"/>
      <x:c r="W171" s="27"/>
      <x:c r="X171" s="27"/>
      <x:c r="Y171" s="27"/>
      <x:c r="Z171" s="27"/>
      <x:c r="AA171" s="27"/>
      <x:c r="AB171" s="27"/>
      <x:c r="AC171" s="27"/>
      <x:c r="AD171" s="27"/>
      <x:c r="AE171" s="27"/>
      <x:c r="AF171" s="27"/>
      <x:c r="AG171" s="27"/>
      <x:c r="AH171" s="27"/>
      <x:c r="AI171" s="27"/>
      <x:c r="AJ171" s="27"/>
      <x:c r="AK171" s="27"/>
      <x:c r="AL171" s="27"/>
      <x:c r="AM171" s="27"/>
      <x:c r="AN171" s="27"/>
      <x:c r="AO171" s="27"/>
      <x:c r="AP171" s="27"/>
      <x:c r="AQ171" s="27"/>
      <x:c r="AR171" s="27"/>
      <x:c r="AS171" s="27"/>
      <x:c r="AT171" s="27"/>
      <x:c r="AU171" s="27"/>
      <x:c r="AV171" s="27"/>
      <x:c r="AW171" s="27"/>
      <x:c r="AX171" s="27"/>
      <x:c r="AY171" s="27"/>
      <x:c r="AZ171" s="27"/>
    </x:row>
    <x:row r="172">
      <x:c r="A172" s="27"/>
      <x:c r="B172" s="27"/>
      <x:c r="C172" s="27"/>
      <x:c r="D172" s="27"/>
      <x:c r="E172" s="27"/>
      <x:c r="F172" s="27"/>
      <x:c r="G172" s="27"/>
      <x:c r="H172" s="27"/>
      <x:c r="I172" s="27"/>
      <x:c r="J172" s="27"/>
      <x:c r="K172" s="27"/>
      <x:c r="L172" s="27"/>
      <x:c r="M172" s="27"/>
      <x:c r="N172" s="27"/>
      <x:c r="O172" s="27"/>
      <x:c r="P172" s="27"/>
      <x:c r="Q172" s="27"/>
      <x:c r="R172" s="27"/>
      <x:c r="S172" s="27"/>
      <x:c r="T172" s="27"/>
      <x:c r="U172" s="27"/>
      <x:c r="V172" s="27"/>
      <x:c r="W172" s="27"/>
      <x:c r="X172" s="27"/>
      <x:c r="Y172" s="27"/>
      <x:c r="Z172" s="27"/>
      <x:c r="AA172" s="27"/>
      <x:c r="AB172" s="27"/>
      <x:c r="AC172" s="27"/>
      <x:c r="AD172" s="27"/>
      <x:c r="AE172" s="27"/>
      <x:c r="AF172" s="27"/>
      <x:c r="AG172" s="27"/>
      <x:c r="AH172" s="27"/>
      <x:c r="AI172" s="27"/>
      <x:c r="AJ172" s="27"/>
      <x:c r="AK172" s="27"/>
      <x:c r="AL172" s="27"/>
      <x:c r="AM172" s="27"/>
      <x:c r="AN172" s="27"/>
      <x:c r="AO172" s="27"/>
      <x:c r="AP172" s="27"/>
      <x:c r="AQ172" s="27"/>
      <x:c r="AR172" s="27"/>
      <x:c r="AS172" s="27"/>
      <x:c r="AT172" s="27"/>
      <x:c r="AU172" s="27"/>
      <x:c r="AV172" s="27"/>
      <x:c r="AW172" s="27"/>
      <x:c r="AX172" s="27"/>
      <x:c r="AY172" s="27"/>
      <x:c r="AZ172" s="27"/>
    </x:row>
    <x:row r="173">
      <x:c r="A173" s="27"/>
      <x:c r="B173" s="27"/>
      <x:c r="C173" s="27"/>
      <x:c r="D173" s="27"/>
      <x:c r="E173" s="27"/>
      <x:c r="F173" s="27"/>
      <x:c r="G173" s="27"/>
      <x:c r="H173" s="27"/>
      <x:c r="I173" s="27"/>
      <x:c r="J173" s="27"/>
      <x:c r="K173" s="27"/>
      <x:c r="L173" s="27"/>
      <x:c r="M173" s="27"/>
      <x:c r="N173" s="27"/>
      <x:c r="O173" s="27"/>
      <x:c r="P173" s="27"/>
      <x:c r="Q173" s="27"/>
      <x:c r="R173" s="27"/>
      <x:c r="S173" s="27"/>
      <x:c r="T173" s="27"/>
      <x:c r="U173" s="27"/>
      <x:c r="V173" s="27"/>
      <x:c r="W173" s="27"/>
      <x:c r="X173" s="27"/>
      <x:c r="Y173" s="27"/>
      <x:c r="Z173" s="27"/>
      <x:c r="AA173" s="27"/>
      <x:c r="AB173" s="27"/>
      <x:c r="AC173" s="27"/>
      <x:c r="AD173" s="27"/>
      <x:c r="AE173" s="27"/>
      <x:c r="AF173" s="27"/>
      <x:c r="AG173" s="27"/>
      <x:c r="AH173" s="27"/>
      <x:c r="AI173" s="27"/>
      <x:c r="AJ173" s="27"/>
      <x:c r="AK173" s="27"/>
      <x:c r="AL173" s="27"/>
      <x:c r="AM173" s="27"/>
      <x:c r="AN173" s="27"/>
      <x:c r="AO173" s="27"/>
      <x:c r="AP173" s="27"/>
      <x:c r="AQ173" s="27"/>
      <x:c r="AR173" s="27"/>
      <x:c r="AS173" s="27"/>
      <x:c r="AT173" s="27"/>
      <x:c r="AU173" s="27"/>
      <x:c r="AV173" s="27"/>
      <x:c r="AW173" s="27"/>
      <x:c r="AX173" s="27"/>
      <x:c r="AY173" s="27"/>
      <x:c r="AZ173" s="27"/>
    </x:row>
    <x:row r="174">
      <x:c r="A174" s="27"/>
      <x:c r="B174" s="27"/>
      <x:c r="C174" s="27"/>
      <x:c r="D174" s="27"/>
      <x:c r="E174" s="27"/>
      <x:c r="F174" s="27"/>
      <x:c r="G174" s="27"/>
      <x:c r="H174" s="27"/>
      <x:c r="I174" s="27"/>
      <x:c r="J174" s="27"/>
      <x:c r="K174" s="27"/>
      <x:c r="L174" s="27"/>
      <x:c r="M174" s="27"/>
      <x:c r="N174" s="27"/>
      <x:c r="O174" s="27"/>
      <x:c r="P174" s="27"/>
      <x:c r="Q174" s="27"/>
      <x:c r="R174" s="27"/>
      <x:c r="S174" s="27"/>
      <x:c r="T174" s="27"/>
      <x:c r="U174" s="27"/>
      <x:c r="V174" s="27"/>
      <x:c r="W174" s="27"/>
      <x:c r="X174" s="27"/>
      <x:c r="Y174" s="27"/>
      <x:c r="Z174" s="27"/>
      <x:c r="AA174" s="27"/>
      <x:c r="AB174" s="27"/>
      <x:c r="AC174" s="27"/>
      <x:c r="AD174" s="27"/>
      <x:c r="AE174" s="27"/>
      <x:c r="AF174" s="27"/>
      <x:c r="AG174" s="27"/>
      <x:c r="AH174" s="27"/>
      <x:c r="AI174" s="27"/>
      <x:c r="AJ174" s="27"/>
      <x:c r="AK174" s="27"/>
      <x:c r="AL174" s="27"/>
      <x:c r="AM174" s="27"/>
      <x:c r="AN174" s="27"/>
      <x:c r="AO174" s="27"/>
      <x:c r="AP174" s="27"/>
      <x:c r="AQ174" s="27"/>
      <x:c r="AR174" s="27"/>
      <x:c r="AS174" s="27"/>
      <x:c r="AT174" s="27"/>
      <x:c r="AU174" s="27"/>
      <x:c r="AV174" s="27"/>
      <x:c r="AW174" s="27"/>
      <x:c r="AX174" s="27"/>
      <x:c r="AY174" s="27"/>
      <x:c r="AZ174" s="27"/>
    </x:row>
    <x:row r="175">
      <x:c r="A175" s="27"/>
      <x:c r="B175" s="27"/>
      <x:c r="C175" s="27"/>
      <x:c r="D175" s="27"/>
      <x:c r="E175" s="27"/>
      <x:c r="F175" s="27"/>
      <x:c r="G175" s="27"/>
      <x:c r="H175" s="27"/>
      <x:c r="I175" s="27"/>
      <x:c r="J175" s="27"/>
      <x:c r="K175" s="27"/>
      <x:c r="L175" s="27"/>
      <x:c r="M175" s="27"/>
      <x:c r="N175" s="27"/>
      <x:c r="O175" s="27"/>
      <x:c r="P175" s="27"/>
      <x:c r="Q175" s="27"/>
      <x:c r="R175" s="27"/>
      <x:c r="S175" s="27"/>
      <x:c r="T175" s="27"/>
      <x:c r="U175" s="27"/>
      <x:c r="V175" s="27"/>
      <x:c r="W175" s="27"/>
      <x:c r="X175" s="27"/>
      <x:c r="Y175" s="27"/>
      <x:c r="Z175" s="27"/>
      <x:c r="AA175" s="27"/>
      <x:c r="AB175" s="27"/>
      <x:c r="AC175" s="27"/>
      <x:c r="AD175" s="27"/>
      <x:c r="AE175" s="27"/>
      <x:c r="AF175" s="27"/>
      <x:c r="AG175" s="27"/>
      <x:c r="AH175" s="27"/>
      <x:c r="AI175" s="27"/>
      <x:c r="AJ175" s="27"/>
      <x:c r="AK175" s="27"/>
      <x:c r="AL175" s="27"/>
      <x:c r="AM175" s="27"/>
      <x:c r="AN175" s="27"/>
      <x:c r="AO175" s="27"/>
      <x:c r="AP175" s="27"/>
      <x:c r="AQ175" s="27"/>
      <x:c r="AR175" s="27"/>
      <x:c r="AS175" s="27"/>
      <x:c r="AT175" s="27"/>
      <x:c r="AU175" s="27"/>
      <x:c r="AV175" s="27"/>
      <x:c r="AW175" s="27"/>
      <x:c r="AX175" s="27"/>
      <x:c r="AY175" s="27"/>
      <x:c r="AZ175" s="27"/>
    </x:row>
    <x:row r="176">
      <x:c r="A176" s="27"/>
      <x:c r="B176" s="27"/>
      <x:c r="C176" s="27"/>
      <x:c r="D176" s="27"/>
      <x:c r="E176" s="27"/>
      <x:c r="F176" s="27"/>
      <x:c r="G176" s="27"/>
      <x:c r="H176" s="27"/>
      <x:c r="I176" s="27"/>
      <x:c r="J176" s="27"/>
      <x:c r="K176" s="27"/>
      <x:c r="L176" s="27"/>
      <x:c r="M176" s="27"/>
      <x:c r="N176" s="27"/>
      <x:c r="O176" s="27"/>
      <x:c r="P176" s="27"/>
      <x:c r="Q176" s="27"/>
      <x:c r="R176" s="27"/>
      <x:c r="S176" s="27"/>
      <x:c r="T176" s="27"/>
      <x:c r="U176" s="27"/>
      <x:c r="V176" s="27"/>
      <x:c r="W176" s="27"/>
      <x:c r="X176" s="27"/>
      <x:c r="Y176" s="27"/>
      <x:c r="Z176" s="27"/>
      <x:c r="AA176" s="27"/>
      <x:c r="AB176" s="27"/>
      <x:c r="AC176" s="27"/>
      <x:c r="AD176" s="27"/>
      <x:c r="AE176" s="27"/>
      <x:c r="AF176" s="27"/>
      <x:c r="AG176" s="27"/>
      <x:c r="AH176" s="27"/>
      <x:c r="AI176" s="27"/>
      <x:c r="AJ176" s="27"/>
      <x:c r="AK176" s="27"/>
      <x:c r="AL176" s="27"/>
      <x:c r="AM176" s="27"/>
      <x:c r="AN176" s="27"/>
      <x:c r="AO176" s="27"/>
      <x:c r="AP176" s="27"/>
      <x:c r="AQ176" s="27"/>
      <x:c r="AR176" s="27"/>
      <x:c r="AS176" s="27"/>
      <x:c r="AT176" s="27"/>
      <x:c r="AU176" s="27"/>
      <x:c r="AV176" s="27"/>
      <x:c r="AW176" s="27"/>
      <x:c r="AX176" s="27"/>
      <x:c r="AY176" s="27"/>
      <x:c r="AZ176" s="27"/>
    </x:row>
    <x:row r="177">
      <x:c r="A177" s="27"/>
      <x:c r="B177" s="27"/>
      <x:c r="C177" s="27"/>
      <x:c r="D177" s="27"/>
      <x:c r="E177" s="27"/>
      <x:c r="F177" s="27"/>
      <x:c r="G177" s="27"/>
      <x:c r="H177" s="27"/>
      <x:c r="I177" s="27"/>
      <x:c r="J177" s="27"/>
      <x:c r="K177" s="27"/>
      <x:c r="L177" s="27"/>
      <x:c r="M177" s="27"/>
      <x:c r="N177" s="27"/>
      <x:c r="O177" s="27"/>
      <x:c r="P177" s="27"/>
      <x:c r="Q177" s="27"/>
      <x:c r="R177" s="27"/>
      <x:c r="S177" s="27"/>
      <x:c r="T177" s="27"/>
      <x:c r="U177" s="27"/>
      <x:c r="V177" s="27"/>
      <x:c r="W177" s="27"/>
      <x:c r="X177" s="27"/>
      <x:c r="Y177" s="27"/>
      <x:c r="Z177" s="27"/>
      <x:c r="AA177" s="27"/>
      <x:c r="AB177" s="27"/>
      <x:c r="AC177" s="27"/>
      <x:c r="AD177" s="27"/>
      <x:c r="AE177" s="27"/>
      <x:c r="AF177" s="27"/>
      <x:c r="AG177" s="27"/>
      <x:c r="AH177" s="27"/>
      <x:c r="AI177" s="27"/>
      <x:c r="AJ177" s="27"/>
      <x:c r="AK177" s="27"/>
      <x:c r="AL177" s="27"/>
      <x:c r="AM177" s="27"/>
      <x:c r="AN177" s="27"/>
      <x:c r="AO177" s="27"/>
      <x:c r="AP177" s="27"/>
      <x:c r="AQ177" s="27"/>
      <x:c r="AR177" s="27"/>
      <x:c r="AS177" s="27"/>
      <x:c r="AT177" s="27"/>
      <x:c r="AU177" s="27"/>
      <x:c r="AV177" s="27"/>
      <x:c r="AW177" s="27"/>
      <x:c r="AX177" s="27"/>
      <x:c r="AY177" s="27"/>
      <x:c r="AZ177" s="27"/>
    </x:row>
    <x:row r="178">
      <x:c r="A178" s="27"/>
      <x:c r="B178" s="27"/>
      <x:c r="C178" s="27"/>
      <x:c r="D178" s="27"/>
      <x:c r="E178" s="27"/>
      <x:c r="F178" s="27"/>
      <x:c r="G178" s="27"/>
      <x:c r="H178" s="27"/>
      <x:c r="I178" s="27"/>
      <x:c r="J178" s="27"/>
      <x:c r="K178" s="27"/>
      <x:c r="L178" s="27"/>
      <x:c r="M178" s="27"/>
      <x:c r="N178" s="27"/>
      <x:c r="O178" s="27"/>
      <x:c r="P178" s="27"/>
      <x:c r="Q178" s="27"/>
      <x:c r="R178" s="27"/>
      <x:c r="S178" s="27"/>
      <x:c r="T178" s="27"/>
      <x:c r="U178" s="27"/>
      <x:c r="V178" s="27"/>
      <x:c r="W178" s="27"/>
      <x:c r="X178" s="27"/>
      <x:c r="Y178" s="27"/>
      <x:c r="Z178" s="27"/>
      <x:c r="AA178" s="27"/>
      <x:c r="AB178" s="27"/>
      <x:c r="AC178" s="27"/>
      <x:c r="AD178" s="27"/>
      <x:c r="AE178" s="27"/>
      <x:c r="AF178" s="27"/>
      <x:c r="AG178" s="27"/>
      <x:c r="AH178" s="27"/>
      <x:c r="AI178" s="27"/>
      <x:c r="AJ178" s="27"/>
      <x:c r="AK178" s="27"/>
      <x:c r="AL178" s="27"/>
      <x:c r="AM178" s="27"/>
      <x:c r="AN178" s="27"/>
      <x:c r="AO178" s="27"/>
      <x:c r="AP178" s="27"/>
      <x:c r="AQ178" s="27"/>
      <x:c r="AR178" s="27"/>
      <x:c r="AS178" s="27"/>
      <x:c r="AT178" s="27"/>
      <x:c r="AU178" s="27"/>
      <x:c r="AV178" s="27"/>
      <x:c r="AW178" s="27"/>
      <x:c r="AX178" s="27"/>
      <x:c r="AY178" s="27"/>
      <x:c r="AZ178" s="27"/>
    </x:row>
    <x:row r="179">
      <x:c r="A179" s="27"/>
      <x:c r="B179" s="27"/>
      <x:c r="C179" s="27"/>
      <x:c r="D179" s="27"/>
      <x:c r="E179" s="27"/>
      <x:c r="F179" s="27"/>
      <x:c r="G179" s="27"/>
      <x:c r="H179" s="27"/>
      <x:c r="I179" s="27"/>
      <x:c r="J179" s="27"/>
      <x:c r="K179" s="27"/>
      <x:c r="L179" s="27"/>
      <x:c r="M179" s="27"/>
      <x:c r="N179" s="27"/>
      <x:c r="O179" s="27"/>
      <x:c r="P179" s="27"/>
      <x:c r="Q179" s="27"/>
      <x:c r="R179" s="27"/>
      <x:c r="S179" s="27"/>
      <x:c r="T179" s="27"/>
      <x:c r="U179" s="27"/>
      <x:c r="V179" s="27"/>
      <x:c r="W179" s="27"/>
      <x:c r="X179" s="27"/>
      <x:c r="Y179" s="27"/>
      <x:c r="Z179" s="27"/>
      <x:c r="AA179" s="27"/>
      <x:c r="AB179" s="27"/>
      <x:c r="AC179" s="27"/>
      <x:c r="AD179" s="27"/>
      <x:c r="AE179" s="27"/>
      <x:c r="AF179" s="27"/>
      <x:c r="AG179" s="27"/>
      <x:c r="AH179" s="27"/>
      <x:c r="AI179" s="27"/>
      <x:c r="AJ179" s="27"/>
      <x:c r="AK179" s="27"/>
      <x:c r="AL179" s="27"/>
      <x:c r="AM179" s="27"/>
      <x:c r="AN179" s="27"/>
      <x:c r="AO179" s="27"/>
      <x:c r="AP179" s="27"/>
      <x:c r="AQ179" s="27"/>
      <x:c r="AR179" s="27"/>
      <x:c r="AS179" s="27"/>
      <x:c r="AT179" s="27"/>
      <x:c r="AU179" s="27"/>
      <x:c r="AV179" s="27"/>
      <x:c r="AW179" s="27"/>
      <x:c r="AX179" s="27"/>
      <x:c r="AY179" s="27"/>
      <x:c r="AZ179" s="27"/>
    </x:row>
    <x:row r="180">
      <x:c r="A180" s="27"/>
      <x:c r="B180" s="27"/>
      <x:c r="C180" s="27"/>
      <x:c r="D180" s="27"/>
      <x:c r="E180" s="27"/>
      <x:c r="F180" s="27"/>
      <x:c r="G180" s="27"/>
      <x:c r="H180" s="27"/>
      <x:c r="I180" s="27"/>
      <x:c r="J180" s="27"/>
      <x:c r="K180" s="27"/>
      <x:c r="L180" s="27"/>
      <x:c r="M180" s="27"/>
      <x:c r="N180" s="27"/>
      <x:c r="O180" s="27"/>
      <x:c r="P180" s="27"/>
      <x:c r="Q180" s="27"/>
      <x:c r="R180" s="27"/>
      <x:c r="S180" s="27"/>
      <x:c r="T180" s="27"/>
      <x:c r="U180" s="27"/>
      <x:c r="V180" s="27"/>
      <x:c r="W180" s="27"/>
      <x:c r="X180" s="27"/>
      <x:c r="Y180" s="27"/>
      <x:c r="Z180" s="27"/>
      <x:c r="AA180" s="27"/>
      <x:c r="AB180" s="27"/>
      <x:c r="AC180" s="27"/>
      <x:c r="AD180" s="27"/>
      <x:c r="AE180" s="27"/>
      <x:c r="AF180" s="27"/>
      <x:c r="AG180" s="27"/>
      <x:c r="AH180" s="27"/>
      <x:c r="AI180" s="27"/>
      <x:c r="AJ180" s="27"/>
      <x:c r="AK180" s="27"/>
      <x:c r="AL180" s="27"/>
      <x:c r="AM180" s="27"/>
      <x:c r="AN180" s="27"/>
      <x:c r="AO180" s="27"/>
      <x:c r="AP180" s="27"/>
      <x:c r="AQ180" s="27"/>
      <x:c r="AR180" s="27"/>
      <x:c r="AS180" s="27"/>
      <x:c r="AT180" s="27"/>
      <x:c r="AU180" s="27"/>
      <x:c r="AV180" s="27"/>
      <x:c r="AW180" s="27"/>
      <x:c r="AX180" s="27"/>
      <x:c r="AY180" s="27"/>
      <x:c r="AZ180" s="27"/>
    </x:row>
    <x:row r="181">
      <x:c r="A181" s="27"/>
      <x:c r="B181" s="27"/>
      <x:c r="C181" s="27"/>
      <x:c r="D181" s="27"/>
      <x:c r="E181" s="27"/>
      <x:c r="F181" s="27"/>
      <x:c r="G181" s="27"/>
      <x:c r="H181" s="27"/>
      <x:c r="I181" s="27"/>
      <x:c r="J181" s="27"/>
      <x:c r="K181" s="27"/>
      <x:c r="L181" s="27"/>
      <x:c r="M181" s="27"/>
      <x:c r="N181" s="27"/>
      <x:c r="O181" s="27"/>
      <x:c r="P181" s="27"/>
      <x:c r="Q181" s="27"/>
      <x:c r="R181" s="27"/>
      <x:c r="S181" s="27"/>
      <x:c r="T181" s="27"/>
      <x:c r="U181" s="27"/>
      <x:c r="V181" s="27"/>
      <x:c r="W181" s="27"/>
      <x:c r="X181" s="27"/>
      <x:c r="Y181" s="27"/>
      <x:c r="Z181" s="27"/>
      <x:c r="AA181" s="27"/>
      <x:c r="AB181" s="27"/>
      <x:c r="AC181" s="27"/>
      <x:c r="AD181" s="27"/>
      <x:c r="AE181" s="27"/>
      <x:c r="AF181" s="27"/>
      <x:c r="AG181" s="27"/>
      <x:c r="AH181" s="27"/>
      <x:c r="AI181" s="27"/>
      <x:c r="AJ181" s="27"/>
      <x:c r="AK181" s="27"/>
      <x:c r="AL181" s="27"/>
      <x:c r="AM181" s="27"/>
      <x:c r="AN181" s="27"/>
      <x:c r="AO181" s="27"/>
      <x:c r="AP181" s="27"/>
      <x:c r="AQ181" s="27"/>
      <x:c r="AR181" s="27"/>
      <x:c r="AS181" s="27"/>
      <x:c r="AT181" s="27"/>
      <x:c r="AU181" s="27"/>
      <x:c r="AV181" s="27"/>
      <x:c r="AW181" s="27"/>
      <x:c r="AX181" s="27"/>
      <x:c r="AY181" s="27"/>
      <x:c r="AZ181" s="27"/>
    </x:row>
    <x:row r="182">
      <x:c r="A182" s="27"/>
      <x:c r="B182" s="27"/>
      <x:c r="C182" s="27"/>
      <x:c r="D182" s="27"/>
      <x:c r="E182" s="27"/>
      <x:c r="F182" s="27"/>
      <x:c r="G182" s="27"/>
      <x:c r="H182" s="27"/>
      <x:c r="I182" s="27"/>
      <x:c r="J182" s="27"/>
      <x:c r="K182" s="27"/>
      <x:c r="L182" s="27"/>
      <x:c r="M182" s="27"/>
      <x:c r="N182" s="27"/>
      <x:c r="O182" s="27"/>
      <x:c r="P182" s="27"/>
      <x:c r="Q182" s="27"/>
      <x:c r="R182" s="27"/>
      <x:c r="S182" s="27"/>
      <x:c r="T182" s="27"/>
      <x:c r="U182" s="27"/>
      <x:c r="V182" s="27"/>
      <x:c r="W182" s="27"/>
      <x:c r="X182" s="27"/>
      <x:c r="Y182" s="27"/>
      <x:c r="Z182" s="27"/>
      <x:c r="AA182" s="27"/>
      <x:c r="AB182" s="27"/>
      <x:c r="AC182" s="27"/>
      <x:c r="AD182" s="27"/>
      <x:c r="AE182" s="27"/>
      <x:c r="AF182" s="27"/>
      <x:c r="AG182" s="27"/>
      <x:c r="AH182" s="27"/>
      <x:c r="AI182" s="27"/>
      <x:c r="AJ182" s="27"/>
      <x:c r="AK182" s="27"/>
      <x:c r="AL182" s="27"/>
      <x:c r="AM182" s="27"/>
      <x:c r="AN182" s="27"/>
      <x:c r="AO182" s="27"/>
      <x:c r="AP182" s="27"/>
      <x:c r="AQ182" s="27"/>
      <x:c r="AR182" s="27"/>
      <x:c r="AS182" s="27"/>
      <x:c r="AT182" s="27"/>
      <x:c r="AU182" s="27"/>
      <x:c r="AV182" s="27"/>
      <x:c r="AW182" s="27"/>
      <x:c r="AX182" s="27"/>
      <x:c r="AY182" s="27"/>
      <x:c r="AZ182" s="27"/>
    </x:row>
    <x:row r="183">
      <x:c r="A183" s="27"/>
      <x:c r="B183" s="27"/>
      <x:c r="C183" s="27"/>
      <x:c r="D183" s="27"/>
      <x:c r="E183" s="27"/>
      <x:c r="F183" s="27"/>
      <x:c r="G183" s="27"/>
      <x:c r="H183" s="27"/>
      <x:c r="I183" s="27"/>
      <x:c r="J183" s="27"/>
      <x:c r="K183" s="27"/>
      <x:c r="L183" s="27"/>
      <x:c r="M183" s="27"/>
      <x:c r="N183" s="27"/>
      <x:c r="O183" s="27"/>
      <x:c r="P183" s="27"/>
      <x:c r="Q183" s="27"/>
      <x:c r="R183" s="27"/>
      <x:c r="S183" s="27"/>
      <x:c r="T183" s="27"/>
      <x:c r="U183" s="27"/>
      <x:c r="V183" s="27"/>
      <x:c r="W183" s="27"/>
      <x:c r="X183" s="27"/>
      <x:c r="Y183" s="27"/>
      <x:c r="Z183" s="27"/>
      <x:c r="AA183" s="27"/>
      <x:c r="AB183" s="27"/>
      <x:c r="AC183" s="27"/>
      <x:c r="AD183" s="27"/>
      <x:c r="AE183" s="27"/>
      <x:c r="AF183" s="27"/>
      <x:c r="AG183" s="27"/>
      <x:c r="AH183" s="27"/>
      <x:c r="AI183" s="27"/>
      <x:c r="AJ183" s="27"/>
      <x:c r="AK183" s="27"/>
      <x:c r="AL183" s="27"/>
      <x:c r="AM183" s="27"/>
      <x:c r="AN183" s="27"/>
      <x:c r="AO183" s="27"/>
      <x:c r="AP183" s="27"/>
      <x:c r="AQ183" s="27"/>
      <x:c r="AR183" s="27"/>
      <x:c r="AS183" s="27"/>
      <x:c r="AT183" s="27"/>
      <x:c r="AU183" s="27"/>
      <x:c r="AV183" s="27"/>
      <x:c r="AW183" s="27"/>
      <x:c r="AX183" s="27"/>
      <x:c r="AY183" s="27"/>
      <x:c r="AZ183" s="27"/>
    </x:row>
    <x:row r="184">
      <x:c r="A184" s="27"/>
      <x:c r="B184" s="27"/>
      <x:c r="C184" s="27"/>
      <x:c r="D184" s="27"/>
      <x:c r="E184" s="27"/>
      <x:c r="F184" s="27"/>
      <x:c r="G184" s="27"/>
      <x:c r="H184" s="27"/>
      <x:c r="I184" s="27"/>
      <x:c r="J184" s="27"/>
      <x:c r="K184" s="27"/>
      <x:c r="L184" s="27"/>
      <x:c r="M184" s="27"/>
      <x:c r="N184" s="27"/>
      <x:c r="O184" s="27"/>
      <x:c r="P184" s="27"/>
      <x:c r="Q184" s="27"/>
      <x:c r="R184" s="27"/>
      <x:c r="S184" s="27"/>
      <x:c r="T184" s="27"/>
      <x:c r="U184" s="27"/>
      <x:c r="V184" s="27"/>
      <x:c r="W184" s="27"/>
      <x:c r="X184" s="27"/>
      <x:c r="Y184" s="27"/>
      <x:c r="Z184" s="27"/>
      <x:c r="AA184" s="27"/>
      <x:c r="AB184" s="27"/>
      <x:c r="AC184" s="27"/>
      <x:c r="AD184" s="27"/>
      <x:c r="AE184" s="27"/>
      <x:c r="AF184" s="27"/>
      <x:c r="AG184" s="27"/>
      <x:c r="AH184" s="27"/>
      <x:c r="AI184" s="27"/>
      <x:c r="AJ184" s="27"/>
      <x:c r="AK184" s="27"/>
      <x:c r="AL184" s="27"/>
      <x:c r="AM184" s="27"/>
      <x:c r="AN184" s="27"/>
      <x:c r="AO184" s="27"/>
      <x:c r="AP184" s="27"/>
      <x:c r="AQ184" s="27"/>
      <x:c r="AR184" s="27"/>
      <x:c r="AS184" s="27"/>
      <x:c r="AT184" s="27"/>
      <x:c r="AU184" s="27"/>
      <x:c r="AV184" s="27"/>
      <x:c r="AW184" s="27"/>
      <x:c r="AX184" s="27"/>
      <x:c r="AY184" s="27"/>
      <x:c r="AZ184" s="27"/>
    </x:row>
    <x:row r="185">
      <x:c r="A185" s="27"/>
      <x:c r="B185" s="27"/>
      <x:c r="C185" s="27"/>
      <x:c r="D185" s="27"/>
      <x:c r="E185" s="27"/>
      <x:c r="F185" s="27"/>
      <x:c r="G185" s="27"/>
      <x:c r="H185" s="27"/>
      <x:c r="I185" s="27"/>
      <x:c r="J185" s="27"/>
      <x:c r="K185" s="27"/>
      <x:c r="L185" s="27"/>
      <x:c r="M185" s="27"/>
      <x:c r="N185" s="27"/>
      <x:c r="O185" s="27"/>
      <x:c r="P185" s="27"/>
      <x:c r="Q185" s="27"/>
      <x:c r="R185" s="27"/>
      <x:c r="S185" s="27"/>
      <x:c r="T185" s="27"/>
      <x:c r="U185" s="27"/>
      <x:c r="V185" s="27"/>
      <x:c r="W185" s="27"/>
      <x:c r="X185" s="27"/>
      <x:c r="Y185" s="27"/>
      <x:c r="Z185" s="27"/>
      <x:c r="AA185" s="27"/>
      <x:c r="AB185" s="27"/>
      <x:c r="AC185" s="27"/>
      <x:c r="AD185" s="27"/>
      <x:c r="AE185" s="27"/>
      <x:c r="AF185" s="27"/>
      <x:c r="AG185" s="27"/>
      <x:c r="AH185" s="27"/>
      <x:c r="AI185" s="27"/>
      <x:c r="AJ185" s="27"/>
      <x:c r="AK185" s="27"/>
      <x:c r="AL185" s="27"/>
      <x:c r="AM185" s="27"/>
      <x:c r="AN185" s="27"/>
      <x:c r="AO185" s="27"/>
      <x:c r="AP185" s="27"/>
      <x:c r="AQ185" s="27"/>
      <x:c r="AR185" s="27"/>
      <x:c r="AS185" s="27"/>
      <x:c r="AT185" s="27"/>
      <x:c r="AU185" s="27"/>
      <x:c r="AV185" s="27"/>
      <x:c r="AW185" s="27"/>
      <x:c r="AX185" s="27"/>
      <x:c r="AY185" s="27"/>
      <x:c r="AZ185" s="27"/>
    </x:row>
    <x:row r="186">
      <x:c r="A186" s="27"/>
      <x:c r="B186" s="27"/>
      <x:c r="C186" s="27"/>
      <x:c r="D186" s="27"/>
      <x:c r="E186" s="27"/>
      <x:c r="F186" s="27"/>
      <x:c r="G186" s="27"/>
      <x:c r="H186" s="27"/>
      <x:c r="I186" s="27"/>
      <x:c r="J186" s="27"/>
      <x:c r="K186" s="27"/>
      <x:c r="L186" s="27"/>
      <x:c r="M186" s="27"/>
      <x:c r="N186" s="27"/>
      <x:c r="O186" s="27"/>
      <x:c r="P186" s="27"/>
      <x:c r="Q186" s="27"/>
      <x:c r="R186" s="27"/>
      <x:c r="S186" s="27"/>
      <x:c r="T186" s="27"/>
      <x:c r="U186" s="27"/>
      <x:c r="V186" s="27"/>
      <x:c r="W186" s="27"/>
      <x:c r="X186" s="27"/>
      <x:c r="Y186" s="27"/>
      <x:c r="Z186" s="27"/>
      <x:c r="AA186" s="27"/>
      <x:c r="AB186" s="27"/>
      <x:c r="AC186" s="27"/>
      <x:c r="AD186" s="27"/>
      <x:c r="AE186" s="27"/>
      <x:c r="AF186" s="27"/>
      <x:c r="AG186" s="27"/>
      <x:c r="AH186" s="27"/>
      <x:c r="AI186" s="27"/>
      <x:c r="AJ186" s="27"/>
      <x:c r="AK186" s="27"/>
      <x:c r="AL186" s="27"/>
      <x:c r="AM186" s="27"/>
      <x:c r="AN186" s="27"/>
      <x:c r="AO186" s="27"/>
      <x:c r="AP186" s="27"/>
      <x:c r="AQ186" s="27"/>
      <x:c r="AR186" s="27"/>
      <x:c r="AS186" s="27"/>
      <x:c r="AT186" s="27"/>
      <x:c r="AU186" s="27"/>
      <x:c r="AV186" s="27"/>
      <x:c r="AW186" s="27"/>
      <x:c r="AX186" s="27"/>
      <x:c r="AY186" s="27"/>
      <x:c r="AZ186" s="27"/>
    </x:row>
    <x:row r="187">
      <x:c r="A187" s="27"/>
      <x:c r="B187" s="27"/>
      <x:c r="C187" s="27"/>
      <x:c r="D187" s="27"/>
      <x:c r="E187" s="27"/>
      <x:c r="F187" s="27"/>
      <x:c r="G187" s="27"/>
      <x:c r="H187" s="27"/>
      <x:c r="I187" s="27"/>
      <x:c r="J187" s="27"/>
      <x:c r="K187" s="27"/>
      <x:c r="L187" s="27"/>
      <x:c r="M187" s="27"/>
      <x:c r="N187" s="27"/>
      <x:c r="O187" s="27"/>
      <x:c r="P187" s="27"/>
      <x:c r="Q187" s="27"/>
      <x:c r="R187" s="27"/>
      <x:c r="S187" s="27"/>
      <x:c r="T187" s="27"/>
      <x:c r="U187" s="27"/>
      <x:c r="V187" s="27"/>
      <x:c r="W187" s="27"/>
      <x:c r="X187" s="27"/>
      <x:c r="Y187" s="27"/>
      <x:c r="Z187" s="27"/>
      <x:c r="AA187" s="27"/>
      <x:c r="AB187" s="27"/>
      <x:c r="AC187" s="27"/>
      <x:c r="AD187" s="27"/>
      <x:c r="AE187" s="27"/>
      <x:c r="AF187" s="27"/>
      <x:c r="AG187" s="27"/>
      <x:c r="AH187" s="27"/>
      <x:c r="AI187" s="27"/>
      <x:c r="AJ187" s="27"/>
      <x:c r="AK187" s="27"/>
      <x:c r="AL187" s="27"/>
      <x:c r="AM187" s="27"/>
      <x:c r="AN187" s="27"/>
      <x:c r="AO187" s="27"/>
      <x:c r="AP187" s="27"/>
      <x:c r="AQ187" s="27"/>
      <x:c r="AR187" s="27"/>
      <x:c r="AS187" s="27"/>
      <x:c r="AT187" s="27"/>
      <x:c r="AU187" s="27"/>
      <x:c r="AV187" s="27"/>
      <x:c r="AW187" s="27"/>
      <x:c r="AX187" s="27"/>
      <x:c r="AY187" s="27"/>
      <x:c r="AZ187" s="27"/>
    </x:row>
    <x:row r="188">
      <x:c r="A188" s="27"/>
      <x:c r="B188" s="27"/>
      <x:c r="C188" s="27"/>
      <x:c r="D188" s="27"/>
      <x:c r="E188" s="27"/>
      <x:c r="F188" s="27"/>
      <x:c r="G188" s="27"/>
      <x:c r="H188" s="27"/>
      <x:c r="I188" s="27"/>
      <x:c r="J188" s="27"/>
      <x:c r="K188" s="27"/>
      <x:c r="L188" s="27"/>
      <x:c r="M188" s="27"/>
      <x:c r="N188" s="27"/>
      <x:c r="O188" s="27"/>
      <x:c r="P188" s="27"/>
      <x:c r="Q188" s="27"/>
      <x:c r="R188" s="27"/>
      <x:c r="S188" s="27"/>
      <x:c r="T188" s="27"/>
      <x:c r="U188" s="27"/>
      <x:c r="V188" s="27"/>
      <x:c r="W188" s="27"/>
      <x:c r="X188" s="27"/>
      <x:c r="Y188" s="27"/>
      <x:c r="Z188" s="27"/>
      <x:c r="AA188" s="27"/>
      <x:c r="AB188" s="27"/>
      <x:c r="AC188" s="27"/>
      <x:c r="AD188" s="27"/>
      <x:c r="AE188" s="27"/>
      <x:c r="AF188" s="27"/>
      <x:c r="AG188" s="27"/>
      <x:c r="AH188" s="27"/>
      <x:c r="AI188" s="27"/>
      <x:c r="AJ188" s="27"/>
      <x:c r="AK188" s="27"/>
      <x:c r="AL188" s="27"/>
      <x:c r="AM188" s="27"/>
      <x:c r="AN188" s="27"/>
      <x:c r="AO188" s="27"/>
      <x:c r="AP188" s="27"/>
      <x:c r="AQ188" s="27"/>
      <x:c r="AR188" s="27"/>
      <x:c r="AS188" s="27"/>
      <x:c r="AT188" s="27"/>
      <x:c r="AU188" s="27"/>
      <x:c r="AV188" s="27"/>
      <x:c r="AW188" s="27"/>
      <x:c r="AX188" s="27"/>
      <x:c r="AY188" s="27"/>
      <x:c r="AZ188" s="27"/>
    </x:row>
    <x:row r="189">
      <x:c r="A189" s="27"/>
      <x:c r="B189" s="27"/>
      <x:c r="C189" s="27"/>
      <x:c r="D189" s="27"/>
      <x:c r="E189" s="27"/>
      <x:c r="F189" s="27"/>
      <x:c r="G189" s="27"/>
      <x:c r="H189" s="27"/>
      <x:c r="I189" s="27"/>
      <x:c r="J189" s="27"/>
      <x:c r="K189" s="27"/>
      <x:c r="L189" s="27"/>
      <x:c r="M189" s="27"/>
      <x:c r="N189" s="27"/>
      <x:c r="O189" s="27"/>
      <x:c r="P189" s="27"/>
      <x:c r="Q189" s="27"/>
      <x:c r="R189" s="27"/>
      <x:c r="S189" s="27"/>
      <x:c r="T189" s="27"/>
      <x:c r="U189" s="27"/>
      <x:c r="V189" s="27"/>
      <x:c r="W189" s="27"/>
      <x:c r="X189" s="27"/>
      <x:c r="Y189" s="27"/>
      <x:c r="Z189" s="27"/>
      <x:c r="AA189" s="27"/>
      <x:c r="AB189" s="27"/>
      <x:c r="AC189" s="27"/>
      <x:c r="AD189" s="27"/>
      <x:c r="AE189" s="27"/>
      <x:c r="AF189" s="27"/>
      <x:c r="AG189" s="27"/>
      <x:c r="AH189" s="27"/>
      <x:c r="AI189" s="27"/>
      <x:c r="AJ189" s="27"/>
      <x:c r="AK189" s="27"/>
      <x:c r="AL189" s="27"/>
      <x:c r="AM189" s="27"/>
      <x:c r="AN189" s="27"/>
      <x:c r="AO189" s="27"/>
      <x:c r="AP189" s="27"/>
      <x:c r="AQ189" s="27"/>
      <x:c r="AR189" s="27"/>
      <x:c r="AS189" s="27"/>
      <x:c r="AT189" s="27"/>
      <x:c r="AU189" s="27"/>
      <x:c r="AV189" s="27"/>
      <x:c r="AW189" s="27"/>
      <x:c r="AX189" s="27"/>
      <x:c r="AY189" s="27"/>
      <x:c r="AZ189" s="27"/>
    </x:row>
    <x:row r="190">
      <x:c r="A190" s="27"/>
      <x:c r="B190" s="27"/>
      <x:c r="C190" s="27"/>
      <x:c r="D190" s="27"/>
      <x:c r="E190" s="27"/>
      <x:c r="F190" s="27"/>
      <x:c r="G190" s="27"/>
      <x:c r="H190" s="27"/>
      <x:c r="I190" s="27"/>
      <x:c r="J190" s="27"/>
      <x:c r="K190" s="27"/>
      <x:c r="L190" s="27"/>
      <x:c r="M190" s="27"/>
      <x:c r="N190" s="27"/>
      <x:c r="O190" s="27"/>
      <x:c r="P190" s="27"/>
      <x:c r="Q190" s="27"/>
      <x:c r="R190" s="27"/>
      <x:c r="S190" s="27"/>
      <x:c r="T190" s="27"/>
      <x:c r="U190" s="27"/>
      <x:c r="V190" s="27"/>
      <x:c r="W190" s="27"/>
      <x:c r="X190" s="27"/>
      <x:c r="Y190" s="27"/>
      <x:c r="Z190" s="27"/>
      <x:c r="AA190" s="27"/>
      <x:c r="AB190" s="27"/>
      <x:c r="AC190" s="27"/>
      <x:c r="AD190" s="27"/>
      <x:c r="AE190" s="27"/>
      <x:c r="AF190" s="27"/>
      <x:c r="AG190" s="27"/>
      <x:c r="AH190" s="27"/>
      <x:c r="AI190" s="27"/>
      <x:c r="AJ190" s="27"/>
      <x:c r="AK190" s="27"/>
      <x:c r="AL190" s="27"/>
      <x:c r="AM190" s="27"/>
      <x:c r="AN190" s="27"/>
      <x:c r="AO190" s="27"/>
      <x:c r="AP190" s="27"/>
      <x:c r="AQ190" s="27"/>
      <x:c r="AR190" s="27"/>
      <x:c r="AS190" s="27"/>
      <x:c r="AT190" s="27"/>
      <x:c r="AU190" s="27"/>
      <x:c r="AV190" s="27"/>
      <x:c r="AW190" s="27"/>
      <x:c r="AX190" s="27"/>
      <x:c r="AY190" s="27"/>
      <x:c r="AZ190" s="27"/>
    </x:row>
    <x:row r="191">
      <x:c r="A191" s="27"/>
      <x:c r="B191" s="27"/>
      <x:c r="C191" s="27"/>
      <x:c r="D191" s="27"/>
      <x:c r="E191" s="27"/>
      <x:c r="F191" s="27"/>
      <x:c r="G191" s="27"/>
      <x:c r="H191" s="27"/>
      <x:c r="I191" s="27"/>
      <x:c r="J191" s="27"/>
      <x:c r="K191" s="27"/>
      <x:c r="L191" s="27"/>
      <x:c r="M191" s="27"/>
      <x:c r="N191" s="27"/>
      <x:c r="O191" s="27"/>
      <x:c r="P191" s="27"/>
      <x:c r="Q191" s="27"/>
      <x:c r="R191" s="27"/>
      <x:c r="S191" s="27"/>
      <x:c r="T191" s="27"/>
      <x:c r="U191" s="27"/>
      <x:c r="V191" s="27"/>
      <x:c r="W191" s="27"/>
      <x:c r="X191" s="27"/>
      <x:c r="Y191" s="27"/>
      <x:c r="Z191" s="27"/>
      <x:c r="AA191" s="27"/>
      <x:c r="AB191" s="27"/>
      <x:c r="AC191" s="27"/>
      <x:c r="AD191" s="27"/>
      <x:c r="AE191" s="27"/>
      <x:c r="AF191" s="27"/>
      <x:c r="AG191" s="27"/>
      <x:c r="AH191" s="27"/>
      <x:c r="AI191" s="27"/>
      <x:c r="AJ191" s="27"/>
      <x:c r="AK191" s="27"/>
      <x:c r="AL191" s="27"/>
      <x:c r="AM191" s="27"/>
      <x:c r="AN191" s="27"/>
      <x:c r="AO191" s="27"/>
      <x:c r="AP191" s="27"/>
      <x:c r="AQ191" s="27"/>
      <x:c r="AR191" s="27"/>
      <x:c r="AS191" s="27"/>
      <x:c r="AT191" s="27"/>
      <x:c r="AU191" s="27"/>
      <x:c r="AV191" s="27"/>
      <x:c r="AW191" s="27"/>
      <x:c r="AX191" s="27"/>
      <x:c r="AY191" s="27"/>
      <x:c r="AZ191" s="27"/>
    </x:row>
    <x:row r="192">
      <x:c r="A192" s="27"/>
      <x:c r="B192" s="27"/>
      <x:c r="C192" s="27"/>
      <x:c r="D192" s="27"/>
      <x:c r="E192" s="27"/>
      <x:c r="F192" s="27"/>
      <x:c r="G192" s="27"/>
      <x:c r="H192" s="27"/>
      <x:c r="I192" s="27"/>
      <x:c r="J192" s="27"/>
      <x:c r="K192" s="27"/>
      <x:c r="L192" s="27"/>
      <x:c r="M192" s="27"/>
      <x:c r="N192" s="27"/>
      <x:c r="O192" s="27"/>
      <x:c r="P192" s="27"/>
      <x:c r="Q192" s="27"/>
      <x:c r="R192" s="27"/>
      <x:c r="S192" s="27"/>
      <x:c r="T192" s="27"/>
      <x:c r="U192" s="27"/>
      <x:c r="V192" s="27"/>
      <x:c r="W192" s="27"/>
      <x:c r="X192" s="27"/>
      <x:c r="Y192" s="27"/>
      <x:c r="Z192" s="27"/>
      <x:c r="AA192" s="27"/>
      <x:c r="AB192" s="27"/>
      <x:c r="AC192" s="27"/>
      <x:c r="AD192" s="27"/>
      <x:c r="AE192" s="27"/>
      <x:c r="AF192" s="27"/>
      <x:c r="AG192" s="27"/>
      <x:c r="AH192" s="27"/>
      <x:c r="AI192" s="27"/>
      <x:c r="AJ192" s="27"/>
      <x:c r="AK192" s="27"/>
      <x:c r="AL192" s="27"/>
      <x:c r="AM192" s="27"/>
      <x:c r="AN192" s="27"/>
      <x:c r="AO192" s="27"/>
      <x:c r="AP192" s="27"/>
      <x:c r="AQ192" s="27"/>
      <x:c r="AR192" s="27"/>
      <x:c r="AS192" s="27"/>
      <x:c r="AT192" s="27"/>
      <x:c r="AU192" s="27"/>
      <x:c r="AV192" s="27"/>
      <x:c r="AW192" s="27"/>
      <x:c r="AX192" s="27"/>
      <x:c r="AY192" s="27"/>
      <x:c r="AZ192" s="27"/>
    </x:row>
    <x:row r="193">
      <x:c r="A193" s="27"/>
      <x:c r="B193" s="27"/>
      <x:c r="C193" s="27"/>
      <x:c r="D193" s="27"/>
      <x:c r="E193" s="27"/>
      <x:c r="F193" s="27"/>
      <x:c r="G193" s="27"/>
      <x:c r="H193" s="27"/>
      <x:c r="I193" s="27"/>
      <x:c r="J193" s="27"/>
      <x:c r="K193" s="27"/>
      <x:c r="L193" s="27"/>
      <x:c r="M193" s="27"/>
      <x:c r="N193" s="27"/>
      <x:c r="O193" s="27"/>
      <x:c r="P193" s="27"/>
      <x:c r="Q193" s="27"/>
      <x:c r="R193" s="27"/>
      <x:c r="S193" s="27"/>
      <x:c r="T193" s="27"/>
      <x:c r="U193" s="27"/>
      <x:c r="V193" s="27"/>
      <x:c r="W193" s="27"/>
      <x:c r="X193" s="27"/>
      <x:c r="Y193" s="27"/>
      <x:c r="Z193" s="27"/>
      <x:c r="AA193" s="27"/>
      <x:c r="AB193" s="27"/>
      <x:c r="AC193" s="27"/>
      <x:c r="AD193" s="27"/>
      <x:c r="AE193" s="27"/>
      <x:c r="AF193" s="27"/>
      <x:c r="AG193" s="27"/>
      <x:c r="AH193" s="27"/>
      <x:c r="AI193" s="27"/>
      <x:c r="AJ193" s="27"/>
      <x:c r="AK193" s="27"/>
      <x:c r="AL193" s="27"/>
      <x:c r="AM193" s="27"/>
      <x:c r="AN193" s="27"/>
      <x:c r="AO193" s="27"/>
      <x:c r="AP193" s="27"/>
      <x:c r="AQ193" s="27"/>
      <x:c r="AR193" s="27"/>
      <x:c r="AS193" s="27"/>
      <x:c r="AT193" s="27"/>
      <x:c r="AU193" s="27"/>
      <x:c r="AV193" s="27"/>
      <x:c r="AW193" s="27"/>
      <x:c r="AX193" s="27"/>
      <x:c r="AY193" s="27"/>
      <x:c r="AZ193" s="27"/>
    </x:row>
    <x:row r="194">
      <x:c r="A194" s="27"/>
      <x:c r="B194" s="27"/>
      <x:c r="C194" s="27"/>
      <x:c r="D194" s="27"/>
      <x:c r="E194" s="27"/>
      <x:c r="F194" s="27"/>
      <x:c r="G194" s="27"/>
      <x:c r="H194" s="27"/>
      <x:c r="I194" s="27"/>
      <x:c r="J194" s="27"/>
      <x:c r="K194" s="27"/>
      <x:c r="L194" s="27"/>
      <x:c r="M194" s="27"/>
      <x:c r="N194" s="27"/>
      <x:c r="O194" s="27"/>
      <x:c r="P194" s="27"/>
      <x:c r="Q194" s="27"/>
      <x:c r="R194" s="27"/>
      <x:c r="S194" s="27"/>
      <x:c r="T194" s="27"/>
      <x:c r="U194" s="27"/>
      <x:c r="V194" s="27"/>
      <x:c r="W194" s="27"/>
      <x:c r="X194" s="27"/>
      <x:c r="Y194" s="27"/>
      <x:c r="Z194" s="27"/>
      <x:c r="AA194" s="27"/>
      <x:c r="AB194" s="27"/>
      <x:c r="AC194" s="27"/>
      <x:c r="AD194" s="27"/>
      <x:c r="AE194" s="27"/>
      <x:c r="AF194" s="27"/>
      <x:c r="AG194" s="27"/>
      <x:c r="AH194" s="27"/>
      <x:c r="AI194" s="27"/>
      <x:c r="AJ194" s="27"/>
      <x:c r="AK194" s="27"/>
      <x:c r="AL194" s="27"/>
      <x:c r="AM194" s="27"/>
      <x:c r="AN194" s="27"/>
      <x:c r="AO194" s="27"/>
      <x:c r="AP194" s="27"/>
      <x:c r="AQ194" s="27"/>
      <x:c r="AR194" s="27"/>
      <x:c r="AS194" s="27"/>
      <x:c r="AT194" s="27"/>
      <x:c r="AU194" s="27"/>
      <x:c r="AV194" s="27"/>
      <x:c r="AW194" s="27"/>
      <x:c r="AX194" s="27"/>
      <x:c r="AY194" s="27"/>
      <x:c r="AZ194" s="27"/>
    </x:row>
    <x:row r="195">
      <x:c r="A195" s="27"/>
      <x:c r="B195" s="27"/>
      <x:c r="C195" s="27"/>
      <x:c r="D195" s="27"/>
      <x:c r="E195" s="27"/>
      <x:c r="F195" s="27"/>
      <x:c r="G195" s="27"/>
      <x:c r="H195" s="27"/>
      <x:c r="I195" s="27"/>
      <x:c r="J195" s="27"/>
      <x:c r="K195" s="27"/>
      <x:c r="L195" s="27"/>
      <x:c r="M195" s="27"/>
      <x:c r="N195" s="27"/>
      <x:c r="O195" s="27"/>
      <x:c r="P195" s="27"/>
      <x:c r="Q195" s="27"/>
      <x:c r="R195" s="27"/>
      <x:c r="S195" s="27"/>
      <x:c r="T195" s="27"/>
      <x:c r="U195" s="27"/>
      <x:c r="V195" s="27"/>
      <x:c r="W195" s="27"/>
      <x:c r="X195" s="27"/>
      <x:c r="Y195" s="27"/>
      <x:c r="Z195" s="27"/>
      <x:c r="AA195" s="27"/>
      <x:c r="AB195" s="27"/>
      <x:c r="AC195" s="27"/>
      <x:c r="AD195" s="27"/>
      <x:c r="AE195" s="27"/>
      <x:c r="AF195" s="27"/>
      <x:c r="AG195" s="27"/>
      <x:c r="AH195" s="27"/>
      <x:c r="AI195" s="27"/>
      <x:c r="AJ195" s="27"/>
      <x:c r="AK195" s="27"/>
      <x:c r="AL195" s="27"/>
      <x:c r="AM195" s="27"/>
      <x:c r="AN195" s="27"/>
      <x:c r="AO195" s="27"/>
      <x:c r="AP195" s="27"/>
      <x:c r="AQ195" s="27"/>
      <x:c r="AR195" s="27"/>
      <x:c r="AS195" s="27"/>
      <x:c r="AT195" s="27"/>
      <x:c r="AU195" s="27"/>
      <x:c r="AV195" s="27"/>
      <x:c r="AW195" s="27"/>
      <x:c r="AX195" s="27"/>
      <x:c r="AY195" s="27"/>
      <x:c r="AZ195" s="27"/>
    </x:row>
    <x:row r="196">
      <x:c r="A196" s="27"/>
      <x:c r="B196" s="27"/>
      <x:c r="C196" s="27"/>
      <x:c r="D196" s="27"/>
      <x:c r="E196" s="27"/>
      <x:c r="F196" s="27"/>
      <x:c r="G196" s="27"/>
      <x:c r="H196" s="27"/>
      <x:c r="I196" s="27"/>
      <x:c r="J196" s="27"/>
      <x:c r="K196" s="27"/>
      <x:c r="L196" s="27"/>
      <x:c r="M196" s="27"/>
      <x:c r="N196" s="27"/>
      <x:c r="O196" s="27"/>
      <x:c r="P196" s="27"/>
      <x:c r="Q196" s="27"/>
      <x:c r="R196" s="27"/>
      <x:c r="S196" s="27"/>
      <x:c r="T196" s="27"/>
      <x:c r="U196" s="27"/>
      <x:c r="V196" s="27"/>
      <x:c r="W196" s="27"/>
      <x:c r="X196" s="27"/>
      <x:c r="Y196" s="27"/>
      <x:c r="Z196" s="27"/>
      <x:c r="AA196" s="27"/>
      <x:c r="AB196" s="27"/>
      <x:c r="AC196" s="27"/>
      <x:c r="AD196" s="27"/>
      <x:c r="AE196" s="27"/>
      <x:c r="AF196" s="27"/>
      <x:c r="AG196" s="27"/>
      <x:c r="AH196" s="27"/>
      <x:c r="AI196" s="27"/>
      <x:c r="AJ196" s="27"/>
      <x:c r="AK196" s="27"/>
      <x:c r="AL196" s="27"/>
      <x:c r="AM196" s="27"/>
      <x:c r="AN196" s="27"/>
      <x:c r="AO196" s="27"/>
      <x:c r="AP196" s="27"/>
      <x:c r="AQ196" s="27"/>
      <x:c r="AR196" s="27"/>
      <x:c r="AS196" s="27"/>
      <x:c r="AT196" s="27"/>
      <x:c r="AU196" s="27"/>
      <x:c r="AV196" s="27"/>
      <x:c r="AW196" s="27"/>
      <x:c r="AX196" s="27"/>
      <x:c r="AY196" s="27"/>
      <x:c r="AZ196" s="27"/>
    </x:row>
    <x:row r="197">
      <x:c r="A197" s="27"/>
      <x:c r="B197" s="27"/>
      <x:c r="C197" s="27"/>
      <x:c r="D197" s="27"/>
      <x:c r="E197" s="27"/>
      <x:c r="F197" s="27"/>
      <x:c r="G197" s="27"/>
      <x:c r="H197" s="27"/>
      <x:c r="I197" s="27"/>
      <x:c r="J197" s="27"/>
      <x:c r="K197" s="27"/>
      <x:c r="L197" s="27"/>
      <x:c r="M197" s="27"/>
      <x:c r="N197" s="27"/>
      <x:c r="O197" s="27"/>
      <x:c r="P197" s="27"/>
      <x:c r="Q197" s="27"/>
      <x:c r="R197" s="27"/>
      <x:c r="S197" s="27"/>
      <x:c r="T197" s="27"/>
      <x:c r="U197" s="27"/>
      <x:c r="V197" s="27"/>
      <x:c r="W197" s="27"/>
      <x:c r="X197" s="27"/>
      <x:c r="Y197" s="27"/>
      <x:c r="Z197" s="27"/>
      <x:c r="AA197" s="27"/>
      <x:c r="AB197" s="27"/>
      <x:c r="AC197" s="27"/>
      <x:c r="AD197" s="27"/>
      <x:c r="AE197" s="27"/>
      <x:c r="AF197" s="27"/>
      <x:c r="AG197" s="27"/>
      <x:c r="AH197" s="27"/>
      <x:c r="AI197" s="27"/>
      <x:c r="AJ197" s="27"/>
      <x:c r="AK197" s="27"/>
      <x:c r="AL197" s="27"/>
      <x:c r="AM197" s="27"/>
      <x:c r="AN197" s="27"/>
      <x:c r="AO197" s="27"/>
      <x:c r="AP197" s="27"/>
      <x:c r="AQ197" s="27"/>
      <x:c r="AR197" s="27"/>
      <x:c r="AS197" s="27"/>
      <x:c r="AT197" s="27"/>
      <x:c r="AU197" s="27"/>
      <x:c r="AV197" s="27"/>
      <x:c r="AW197" s="27"/>
      <x:c r="AX197" s="27"/>
      <x:c r="AY197" s="27"/>
      <x:c r="AZ197" s="27"/>
    </x:row>
    <x:row r="198">
      <x:c r="A198" s="27"/>
      <x:c r="B198" s="27"/>
      <x:c r="C198" s="27"/>
      <x:c r="D198" s="27"/>
      <x:c r="E198" s="27"/>
      <x:c r="F198" s="27"/>
      <x:c r="G198" s="27"/>
      <x:c r="H198" s="27"/>
      <x:c r="I198" s="27"/>
      <x:c r="J198" s="27"/>
      <x:c r="K198" s="27"/>
      <x:c r="L198" s="27"/>
      <x:c r="M198" s="27"/>
      <x:c r="N198" s="27"/>
      <x:c r="O198" s="27"/>
      <x:c r="P198" s="27"/>
      <x:c r="Q198" s="27"/>
      <x:c r="R198" s="27"/>
      <x:c r="S198" s="27"/>
      <x:c r="T198" s="27"/>
      <x:c r="U198" s="27"/>
      <x:c r="V198" s="27"/>
      <x:c r="W198" s="27"/>
      <x:c r="X198" s="27"/>
      <x:c r="Y198" s="27"/>
      <x:c r="Z198" s="27"/>
      <x:c r="AA198" s="27"/>
      <x:c r="AB198" s="27"/>
      <x:c r="AC198" s="27"/>
      <x:c r="AD198" s="27"/>
      <x:c r="AE198" s="27"/>
      <x:c r="AF198" s="27"/>
      <x:c r="AG198" s="27"/>
      <x:c r="AH198" s="27"/>
      <x:c r="AI198" s="27"/>
      <x:c r="AJ198" s="27"/>
      <x:c r="AK198" s="27"/>
      <x:c r="AL198" s="27"/>
      <x:c r="AM198" s="27"/>
      <x:c r="AN198" s="27"/>
      <x:c r="AO198" s="27"/>
      <x:c r="AP198" s="27"/>
      <x:c r="AQ198" s="27"/>
      <x:c r="AR198" s="27"/>
      <x:c r="AS198" s="27"/>
      <x:c r="AT198" s="27"/>
      <x:c r="AU198" s="27"/>
      <x:c r="AV198" s="27"/>
      <x:c r="AW198" s="27"/>
      <x:c r="AX198" s="27"/>
      <x:c r="AY198" s="27"/>
      <x:c r="AZ198" s="27"/>
    </x:row>
    <x:row r="199">
      <x:c r="A199" s="27"/>
      <x:c r="B199" s="27"/>
      <x:c r="C199" s="27"/>
      <x:c r="D199" s="27"/>
      <x:c r="E199" s="27"/>
      <x:c r="F199" s="27"/>
      <x:c r="G199" s="27"/>
      <x:c r="H199" s="27"/>
      <x:c r="I199" s="27"/>
      <x:c r="J199" s="27"/>
      <x:c r="K199" s="27"/>
      <x:c r="L199" s="27"/>
      <x:c r="M199" s="27"/>
      <x:c r="N199" s="27"/>
      <x:c r="O199" s="27"/>
      <x:c r="P199" s="27"/>
      <x:c r="Q199" s="27"/>
      <x:c r="R199" s="27"/>
      <x:c r="S199" s="27"/>
      <x:c r="T199" s="27"/>
      <x:c r="U199" s="27"/>
      <x:c r="V199" s="27"/>
      <x:c r="W199" s="27"/>
      <x:c r="X199" s="27"/>
      <x:c r="Y199" s="27"/>
      <x:c r="Z199" s="27"/>
      <x:c r="AA199" s="27"/>
      <x:c r="AB199" s="27"/>
      <x:c r="AC199" s="27"/>
      <x:c r="AD199" s="27"/>
      <x:c r="AE199" s="27"/>
      <x:c r="AF199" s="27"/>
      <x:c r="AG199" s="27"/>
      <x:c r="AH199" s="27"/>
      <x:c r="AI199" s="27"/>
      <x:c r="AJ199" s="27"/>
      <x:c r="AK199" s="27"/>
      <x:c r="AL199" s="27"/>
      <x:c r="AM199" s="27"/>
      <x:c r="AN199" s="27"/>
      <x:c r="AO199" s="27"/>
      <x:c r="AP199" s="27"/>
      <x:c r="AQ199" s="27"/>
      <x:c r="AR199" s="27"/>
      <x:c r="AS199" s="27"/>
      <x:c r="AT199" s="27"/>
      <x:c r="AU199" s="27"/>
      <x:c r="AV199" s="27"/>
      <x:c r="AW199" s="27"/>
      <x:c r="AX199" s="27"/>
      <x:c r="AY199" s="27"/>
      <x:c r="AZ199" s="27"/>
    </x:row>
    <x:row r="200">
      <x:c r="A200" s="27"/>
      <x:c r="B200" s="27"/>
      <x:c r="C200" s="27"/>
      <x:c r="D200" s="27"/>
      <x:c r="E200" s="27"/>
      <x:c r="F200" s="27"/>
      <x:c r="G200" s="27"/>
      <x:c r="H200" s="27"/>
      <x:c r="I200" s="27"/>
      <x:c r="J200" s="27"/>
      <x:c r="K200" s="27"/>
      <x:c r="L200" s="27"/>
      <x:c r="M200" s="27"/>
      <x:c r="N200" s="27"/>
      <x:c r="O200" s="27"/>
      <x:c r="P200" s="27"/>
      <x:c r="Q200" s="27"/>
      <x:c r="R200" s="27"/>
      <x:c r="S200" s="27"/>
      <x:c r="T200" s="27"/>
      <x:c r="U200" s="27"/>
      <x:c r="V200" s="27"/>
      <x:c r="W200" s="27"/>
      <x:c r="X200" s="27"/>
      <x:c r="Y200" s="27"/>
      <x:c r="Z200" s="27"/>
      <x:c r="AA200" s="27"/>
      <x:c r="AB200" s="27"/>
      <x:c r="AC200" s="27"/>
      <x:c r="AD200" s="27"/>
      <x:c r="AE200" s="27"/>
      <x:c r="AF200" s="27"/>
      <x:c r="AG200" s="27"/>
      <x:c r="AH200" s="27"/>
      <x:c r="AI200" s="27"/>
      <x:c r="AJ200" s="27"/>
      <x:c r="AK200" s="27"/>
      <x:c r="AL200" s="27"/>
      <x:c r="AM200" s="27"/>
      <x:c r="AN200" s="27"/>
      <x:c r="AO200" s="27"/>
      <x:c r="AP200" s="27"/>
      <x:c r="AQ200" s="27"/>
      <x:c r="AR200" s="27"/>
      <x:c r="AS200" s="27"/>
      <x:c r="AT200" s="27"/>
      <x:c r="AU200" s="27"/>
      <x:c r="AV200" s="27"/>
      <x:c r="AW200" s="27"/>
      <x:c r="AX200" s="27"/>
      <x:c r="AY200" s="27"/>
      <x:c r="AZ200" s="27"/>
    </x:row>
  </x:sheetData>
  <x:mergeCells>
    <x:mergeCell ref="A1:J1"/>
    <x:mergeCell ref="A2:J2"/>
  </x:mergeCells>
  <x:pageMargins left="0.7" right="0.7" top="0.75" bottom="0.75" header="0.3" footer="0.3"/>
  <x:tableParts count="1">
    <x:tablePart xmlns:r="http://schemas.openxmlformats.org/officeDocument/2006/relationships" r:id="R9b655e098ca84df1"/>
  </x:tableParts>
</x:worksheet>
</file>

<file path=xl/worksheets/sheet7.xml><?xml version="1.0" encoding="utf-8"?>
<x:worksheet xmlns:x="http://schemas.openxmlformats.org/spreadsheetml/2006/main">
  <x:sheetFormatPr defaultRowHeight="15"/>
  <x:cols>
    <x:col min="1" max="1" width="16" hidden="0" customWidth="1"/>
    <x:col min="2" max="2" width="30" hidden="0" customWidth="1"/>
    <x:col min="3" max="3" width="22" hidden="0" customWidth="1"/>
    <x:col min="4" max="4" width="28" hidden="0" customWidth="1"/>
    <x:col min="5" max="5" width="12" hidden="0" customWidth="1"/>
    <x:col min="6" max="6" width="18" hidden="0" customWidth="1"/>
    <x:col min="7" max="7" width="62" hidden="0" customWidth="1"/>
    <x:col min="8" max="8" width="55" hidden="0" customWidth="1"/>
  </x:cols>
  <x:sheetData>
    <x:row r="1" ht="28" customHeight="1">
      <x:c r="A1" s="26" t="str">
        <x:v>External Reference Data</x:v>
      </x:c>
      <x:c r="B1" s="26"/>
      <x:c r="C1" s="26"/>
      <x:c r="D1" s="26"/>
      <x:c r="E1" s="26"/>
      <x:c r="F1" s="26"/>
      <x:c r="G1" s="26"/>
      <x:c r="H1" s="26"/>
      <x:c r="I1" s="27"/>
      <x:c r="J1" s="27"/>
      <x:c r="K1" s="27"/>
      <x:c r="L1" s="27"/>
      <x:c r="M1" s="27"/>
      <x:c r="N1" s="27"/>
      <x:c r="O1" s="27"/>
      <x:c r="P1" s="27"/>
      <x:c r="Q1" s="27"/>
      <x:c r="R1" s="27"/>
      <x:c r="S1" s="27"/>
      <x:c r="T1" s="27"/>
      <x:c r="U1" s="27"/>
      <x:c r="V1" s="27"/>
      <x:c r="W1" s="27"/>
      <x:c r="X1" s="27"/>
      <x:c r="Y1" s="27"/>
      <x:c r="Z1" s="27"/>
      <x:c r="AA1" s="27"/>
      <x:c r="AB1" s="27"/>
      <x:c r="AC1" s="27"/>
      <x:c r="AD1" s="27"/>
      <x:c r="AE1" s="27"/>
      <x:c r="AF1" s="27"/>
      <x:c r="AG1" s="27"/>
      <x:c r="AH1" s="27"/>
      <x:c r="AI1" s="27"/>
      <x:c r="AJ1" s="27"/>
      <x:c r="AK1" s="27"/>
      <x:c r="AL1" s="27"/>
      <x:c r="AM1" s="27"/>
      <x:c r="AN1" s="27"/>
      <x:c r="AO1" s="27"/>
      <x:c r="AP1" s="27"/>
      <x:c r="AQ1" s="27"/>
      <x:c r="AR1" s="27"/>
      <x:c r="AS1" s="27"/>
      <x:c r="AT1" s="27"/>
      <x:c r="AU1" s="27"/>
      <x:c r="AV1" s="27"/>
      <x:c r="AW1" s="27"/>
      <x:c r="AX1" s="27"/>
      <x:c r="AY1" s="27"/>
      <x:c r="AZ1" s="27"/>
    </x:row>
    <x:row r="2" ht="34" customHeight="1">
      <x:c r="A2" s="28" t="str">
        <x:v>Data mined or published outside the CUT card dataset. Kept separate so it cannot silently contaminate observed-card inference.</x:v>
      </x:c>
      <x:c r="B2" s="28"/>
      <x:c r="C2" s="28"/>
      <x:c r="D2" s="28"/>
      <x:c r="E2" s="28"/>
      <x:c r="F2" s="28"/>
      <x:c r="G2" s="28"/>
      <x:c r="H2" s="28"/>
      <x:c r="I2" s="27"/>
      <x:c r="J2" s="27"/>
      <x:c r="K2" s="27"/>
      <x:c r="L2" s="27"/>
      <x:c r="M2" s="27"/>
      <x:c r="N2" s="27"/>
      <x:c r="O2" s="27"/>
      <x:c r="P2" s="27"/>
      <x:c r="Q2" s="27"/>
      <x:c r="R2" s="27"/>
      <x:c r="S2" s="27"/>
      <x:c r="T2" s="27"/>
      <x:c r="U2" s="27"/>
      <x:c r="V2" s="27"/>
      <x:c r="W2" s="27"/>
      <x:c r="X2" s="27"/>
      <x:c r="Y2" s="27"/>
      <x:c r="Z2" s="27"/>
      <x:c r="AA2" s="27"/>
      <x:c r="AB2" s="27"/>
      <x:c r="AC2" s="27"/>
      <x:c r="AD2" s="27"/>
      <x:c r="AE2" s="27"/>
      <x:c r="AF2" s="27"/>
      <x:c r="AG2" s="27"/>
      <x:c r="AH2" s="27"/>
      <x:c r="AI2" s="27"/>
      <x:c r="AJ2" s="27"/>
      <x:c r="AK2" s="27"/>
      <x:c r="AL2" s="27"/>
      <x:c r="AM2" s="27"/>
      <x:c r="AN2" s="27"/>
      <x:c r="AO2" s="27"/>
      <x:c r="AP2" s="27"/>
      <x:c r="AQ2" s="27"/>
      <x:c r="AR2" s="27"/>
      <x:c r="AS2" s="27"/>
      <x:c r="AT2" s="27"/>
      <x:c r="AU2" s="27"/>
      <x:c r="AV2" s="27"/>
      <x:c r="AW2" s="27"/>
      <x:c r="AX2" s="27"/>
      <x:c r="AY2" s="27"/>
      <x:c r="AZ2" s="27"/>
    </x:row>
    <x:row r="3">
      <x:c r="A3" s="27"/>
      <x:c r="B3" s="27"/>
      <x:c r="C3" s="27"/>
      <x:c r="D3" s="27"/>
      <x:c r="E3" s="27"/>
      <x:c r="F3" s="27"/>
      <x:c r="G3" s="27"/>
      <x:c r="H3" s="27"/>
      <x:c r="I3" s="27"/>
      <x:c r="J3" s="27"/>
      <x:c r="K3" s="27"/>
      <x:c r="L3" s="27"/>
      <x:c r="M3" s="27"/>
      <x:c r="N3" s="27"/>
      <x:c r="O3" s="27"/>
      <x:c r="P3" s="27"/>
      <x:c r="Q3" s="27"/>
      <x:c r="R3" s="27"/>
      <x:c r="S3" s="27"/>
      <x:c r="T3" s="27"/>
      <x:c r="U3" s="27"/>
      <x:c r="V3" s="27"/>
      <x:c r="W3" s="27"/>
      <x:c r="X3" s="27"/>
      <x:c r="Y3" s="27"/>
      <x:c r="Z3" s="27"/>
      <x:c r="AA3" s="27"/>
      <x:c r="AB3" s="27"/>
      <x:c r="AC3" s="27"/>
      <x:c r="AD3" s="27"/>
      <x:c r="AE3" s="27"/>
      <x:c r="AF3" s="27"/>
      <x:c r="AG3" s="27"/>
      <x:c r="AH3" s="27"/>
      <x:c r="AI3" s="27"/>
      <x:c r="AJ3" s="27"/>
      <x:c r="AK3" s="27"/>
      <x:c r="AL3" s="27"/>
      <x:c r="AM3" s="27"/>
      <x:c r="AN3" s="27"/>
      <x:c r="AO3" s="27"/>
      <x:c r="AP3" s="27"/>
      <x:c r="AQ3" s="27"/>
      <x:c r="AR3" s="27"/>
      <x:c r="AS3" s="27"/>
      <x:c r="AT3" s="27"/>
      <x:c r="AU3" s="27"/>
      <x:c r="AV3" s="27"/>
      <x:c r="AW3" s="27"/>
      <x:c r="AX3" s="27"/>
      <x:c r="AY3" s="27"/>
      <x:c r="AZ3" s="27"/>
    </x:row>
    <x:row r="4" ht="30" customHeight="1">
      <x:c r="A4" s="29" t="str">
        <x:v>Ref_ID</x:v>
      </x:c>
      <x:c r="B4" s="29" t="str">
        <x:v>Topic</x:v>
      </x:c>
      <x:c r="C4" s="29" t="str">
        <x:v>Key</x:v>
      </x:c>
      <x:c r="D4" s="29" t="str">
        <x:v>Value</x:v>
      </x:c>
      <x:c r="E4" s="29" t="str">
        <x:v>Units</x:v>
      </x:c>
      <x:c r="F4" s="29" t="str">
        <x:v>Source_ID</x:v>
      </x:c>
      <x:c r="G4" s="29" t="str">
        <x:v>Source_URL</x:v>
      </x:c>
      <x:c r="H4" s="29" t="str">
        <x:v>Notes</x:v>
      </x:c>
      <x:c r="I4" s="27"/>
      <x:c r="J4" s="27"/>
      <x:c r="K4" s="27"/>
      <x:c r="L4" s="27"/>
      <x:c r="M4" s="27"/>
      <x:c r="N4" s="27"/>
      <x:c r="O4" s="27"/>
      <x:c r="P4" s="27"/>
      <x:c r="Q4" s="27"/>
      <x:c r="R4" s="27"/>
      <x:c r="S4" s="27"/>
      <x:c r="T4" s="27"/>
      <x:c r="U4" s="27"/>
      <x:c r="V4" s="27"/>
      <x:c r="W4" s="27"/>
      <x:c r="X4" s="27"/>
      <x:c r="Y4" s="27"/>
      <x:c r="Z4" s="27"/>
      <x:c r="AA4" s="27"/>
      <x:c r="AB4" s="27"/>
      <x:c r="AC4" s="27"/>
      <x:c r="AD4" s="27"/>
      <x:c r="AE4" s="27"/>
      <x:c r="AF4" s="27"/>
      <x:c r="AG4" s="27"/>
      <x:c r="AH4" s="27"/>
      <x:c r="AI4" s="27"/>
      <x:c r="AJ4" s="27"/>
      <x:c r="AK4" s="27"/>
      <x:c r="AL4" s="27"/>
      <x:c r="AM4" s="27"/>
      <x:c r="AN4" s="27"/>
      <x:c r="AO4" s="27"/>
      <x:c r="AP4" s="27"/>
      <x:c r="AQ4" s="27"/>
      <x:c r="AR4" s="27"/>
      <x:c r="AS4" s="27"/>
      <x:c r="AT4" s="27"/>
      <x:c r="AU4" s="27"/>
      <x:c r="AV4" s="27"/>
      <x:c r="AW4" s="27"/>
      <x:c r="AX4" s="27"/>
      <x:c r="AY4" s="27"/>
      <x:c r="AZ4" s="27"/>
    </x:row>
    <x:row r="5">
      <x:c r="A5" s="30" t="str">
        <x:v>XP-TE-FR</x:v>
      </x:c>
      <x:c r="B5" s="30" t="str">
        <x:v>Offseason base XP - TE</x:v>
      </x:c>
      <x:c r="C5" s="30" t="str">
        <x:v>Freshman</x:v>
      </x:c>
      <x:c r="D5" s="30" t="str">
        <x:v>25,350–40,950</x:v>
      </x:c>
      <x:c r="E5" s="30" t="str">
        <x:v>XP</x:v>
      </x:c>
      <x:c r="F5" s="30" t="str">
        <x:v>SRC-XP-001</x:v>
      </x:c>
      <x:c r="G5" s="30" t="str">
        <x:v>https://prestonchoate.dev/cfb-data-mining/player-xp-levels-devtraits/</x:v>
      </x:c>
      <x:c r="H5" s="30" t="str">
        <x:v>Before trait/coach/facilities multipliers.</x:v>
      </x:c>
      <x:c r="I5" s="27"/>
      <x:c r="J5" s="27"/>
      <x:c r="K5" s="27"/>
      <x:c r="L5" s="27"/>
      <x:c r="M5" s="27"/>
      <x:c r="N5" s="27"/>
      <x:c r="O5" s="27"/>
      <x:c r="P5" s="27"/>
      <x:c r="Q5" s="27"/>
      <x:c r="R5" s="27"/>
      <x:c r="S5" s="27"/>
      <x:c r="T5" s="27"/>
      <x:c r="U5" s="27"/>
      <x:c r="V5" s="27"/>
      <x:c r="W5" s="27"/>
      <x:c r="X5" s="27"/>
      <x:c r="Y5" s="27"/>
      <x:c r="Z5" s="27"/>
      <x:c r="AA5" s="27"/>
      <x:c r="AB5" s="27"/>
      <x:c r="AC5" s="27"/>
      <x:c r="AD5" s="27"/>
      <x:c r="AE5" s="27"/>
      <x:c r="AF5" s="27"/>
      <x:c r="AG5" s="27"/>
      <x:c r="AH5" s="27"/>
      <x:c r="AI5" s="27"/>
      <x:c r="AJ5" s="27"/>
      <x:c r="AK5" s="27"/>
      <x:c r="AL5" s="27"/>
      <x:c r="AM5" s="27"/>
      <x:c r="AN5" s="27"/>
      <x:c r="AO5" s="27"/>
      <x:c r="AP5" s="27"/>
      <x:c r="AQ5" s="27"/>
      <x:c r="AR5" s="27"/>
      <x:c r="AS5" s="27"/>
      <x:c r="AT5" s="27"/>
      <x:c r="AU5" s="27"/>
      <x:c r="AV5" s="27"/>
      <x:c r="AW5" s="27"/>
      <x:c r="AX5" s="27"/>
      <x:c r="AY5" s="27"/>
      <x:c r="AZ5" s="27"/>
    </x:row>
    <x:row r="6">
      <x:c r="A6" s="30" t="str">
        <x:v>XP-TE-SO</x:v>
      </x:c>
      <x:c r="B6" s="30" t="str">
        <x:v>Offseason base XP - TE</x:v>
      </x:c>
      <x:c r="C6" s="30" t="str">
        <x:v>Sophomore</x:v>
      </x:c>
      <x:c r="D6" s="30" t="str">
        <x:v>24,375–39,000</x:v>
      </x:c>
      <x:c r="E6" s="30" t="str">
        <x:v>XP</x:v>
      </x:c>
      <x:c r="F6" s="30" t="str">
        <x:v>SRC-XP-001</x:v>
      </x:c>
      <x:c r="G6" s="30" t="str">
        <x:v>https://prestonchoate.dev/cfb-data-mining/player-xp-levels-devtraits/</x:v>
      </x:c>
      <x:c r="H6" s="30" t="str"/>
      <x:c r="I6" s="27"/>
      <x:c r="J6" s="27"/>
      <x:c r="K6" s="27"/>
      <x:c r="L6" s="27"/>
      <x:c r="M6" s="27"/>
      <x:c r="N6" s="27"/>
      <x:c r="O6" s="27"/>
      <x:c r="P6" s="27"/>
      <x:c r="Q6" s="27"/>
      <x:c r="R6" s="27"/>
      <x:c r="S6" s="27"/>
      <x:c r="T6" s="27"/>
      <x:c r="U6" s="27"/>
      <x:c r="V6" s="27"/>
      <x:c r="W6" s="27"/>
      <x:c r="X6" s="27"/>
      <x:c r="Y6" s="27"/>
      <x:c r="Z6" s="27"/>
      <x:c r="AA6" s="27"/>
      <x:c r="AB6" s="27"/>
      <x:c r="AC6" s="27"/>
      <x:c r="AD6" s="27"/>
      <x:c r="AE6" s="27"/>
      <x:c r="AF6" s="27"/>
      <x:c r="AG6" s="27"/>
      <x:c r="AH6" s="27"/>
      <x:c r="AI6" s="27"/>
      <x:c r="AJ6" s="27"/>
      <x:c r="AK6" s="27"/>
      <x:c r="AL6" s="27"/>
      <x:c r="AM6" s="27"/>
      <x:c r="AN6" s="27"/>
      <x:c r="AO6" s="27"/>
      <x:c r="AP6" s="27"/>
      <x:c r="AQ6" s="27"/>
      <x:c r="AR6" s="27"/>
      <x:c r="AS6" s="27"/>
      <x:c r="AT6" s="27"/>
      <x:c r="AU6" s="27"/>
      <x:c r="AV6" s="27"/>
      <x:c r="AW6" s="27"/>
      <x:c r="AX6" s="27"/>
      <x:c r="AY6" s="27"/>
      <x:c r="AZ6" s="27"/>
    </x:row>
    <x:row r="7">
      <x:c r="A7" s="30" t="str">
        <x:v>XP-TE-JR</x:v>
      </x:c>
      <x:c r="B7" s="30" t="str">
        <x:v>Offseason base XP - TE</x:v>
      </x:c>
      <x:c r="C7" s="30" t="str">
        <x:v>Junior</x:v>
      </x:c>
      <x:c r="D7" s="30" t="str">
        <x:v>22,425–35,100</x:v>
      </x:c>
      <x:c r="E7" s="30" t="str">
        <x:v>XP</x:v>
      </x:c>
      <x:c r="F7" s="30" t="str">
        <x:v>SRC-XP-001</x:v>
      </x:c>
      <x:c r="G7" s="30" t="str">
        <x:v>https://prestonchoate.dev/cfb-data-mining/player-xp-levels-devtraits/</x:v>
      </x:c>
      <x:c r="H7" s="30" t="str"/>
      <x:c r="I7" s="27"/>
      <x:c r="J7" s="27"/>
      <x:c r="K7" s="27"/>
      <x:c r="L7" s="27"/>
      <x:c r="M7" s="27"/>
      <x:c r="N7" s="27"/>
      <x:c r="O7" s="27"/>
      <x:c r="P7" s="27"/>
      <x:c r="Q7" s="27"/>
      <x:c r="R7" s="27"/>
      <x:c r="S7" s="27"/>
      <x:c r="T7" s="27"/>
      <x:c r="U7" s="27"/>
      <x:c r="V7" s="27"/>
      <x:c r="W7" s="27"/>
      <x:c r="X7" s="27"/>
      <x:c r="Y7" s="27"/>
      <x:c r="Z7" s="27"/>
      <x:c r="AA7" s="27"/>
      <x:c r="AB7" s="27"/>
      <x:c r="AC7" s="27"/>
      <x:c r="AD7" s="27"/>
      <x:c r="AE7" s="27"/>
      <x:c r="AF7" s="27"/>
      <x:c r="AG7" s="27"/>
      <x:c r="AH7" s="27"/>
      <x:c r="AI7" s="27"/>
      <x:c r="AJ7" s="27"/>
      <x:c r="AK7" s="27"/>
      <x:c r="AL7" s="27"/>
      <x:c r="AM7" s="27"/>
      <x:c r="AN7" s="27"/>
      <x:c r="AO7" s="27"/>
      <x:c r="AP7" s="27"/>
      <x:c r="AQ7" s="27"/>
      <x:c r="AR7" s="27"/>
      <x:c r="AS7" s="27"/>
      <x:c r="AT7" s="27"/>
      <x:c r="AU7" s="27"/>
      <x:c r="AV7" s="27"/>
      <x:c r="AW7" s="27"/>
      <x:c r="AX7" s="27"/>
      <x:c r="AY7" s="27"/>
      <x:c r="AZ7" s="27"/>
    </x:row>
    <x:row r="8">
      <x:c r="A8" s="30" t="str">
        <x:v>XP-TE-SR</x:v>
      </x:c>
      <x:c r="B8" s="30" t="str">
        <x:v>Offseason base XP - TE</x:v>
      </x:c>
      <x:c r="C8" s="30" t="str">
        <x:v>Senior</x:v>
      </x:c>
      <x:c r="D8" s="30" t="str">
        <x:v>21,450–33,150</x:v>
      </x:c>
      <x:c r="E8" s="30" t="str">
        <x:v>XP</x:v>
      </x:c>
      <x:c r="F8" s="30" t="str">
        <x:v>SRC-XP-001</x:v>
      </x:c>
      <x:c r="G8" s="30" t="str">
        <x:v>https://prestonchoate.dev/cfb-data-mining/player-xp-levels-devtraits/</x:v>
      </x:c>
      <x:c r="H8" s="30" t="str"/>
      <x:c r="I8" s="27"/>
      <x:c r="J8" s="27"/>
      <x:c r="K8" s="27"/>
      <x:c r="L8" s="27"/>
      <x:c r="M8" s="27"/>
      <x:c r="N8" s="27"/>
      <x:c r="O8" s="27"/>
      <x:c r="P8" s="27"/>
      <x:c r="Q8" s="27"/>
      <x:c r="R8" s="27"/>
      <x:c r="S8" s="27"/>
      <x:c r="T8" s="27"/>
      <x:c r="U8" s="27"/>
      <x:c r="V8" s="27"/>
      <x:c r="W8" s="27"/>
      <x:c r="X8" s="27"/>
      <x:c r="Y8" s="27"/>
      <x:c r="Z8" s="27"/>
      <x:c r="AA8" s="27"/>
      <x:c r="AB8" s="27"/>
      <x:c r="AC8" s="27"/>
      <x:c r="AD8" s="27"/>
      <x:c r="AE8" s="27"/>
      <x:c r="AF8" s="27"/>
      <x:c r="AG8" s="27"/>
      <x:c r="AH8" s="27"/>
      <x:c r="AI8" s="27"/>
      <x:c r="AJ8" s="27"/>
      <x:c r="AK8" s="27"/>
      <x:c r="AL8" s="27"/>
      <x:c r="AM8" s="27"/>
      <x:c r="AN8" s="27"/>
      <x:c r="AO8" s="27"/>
      <x:c r="AP8" s="27"/>
      <x:c r="AQ8" s="27"/>
      <x:c r="AR8" s="27"/>
      <x:c r="AS8" s="27"/>
      <x:c r="AT8" s="27"/>
      <x:c r="AU8" s="27"/>
      <x:c r="AV8" s="27"/>
      <x:c r="AW8" s="27"/>
      <x:c r="AX8" s="27"/>
      <x:c r="AY8" s="27"/>
      <x:c r="AZ8" s="27"/>
    </x:row>
    <x:row r="9">
      <x:c r="A9" s="30" t="str">
        <x:v>DEV-NORMAL</x:v>
      </x:c>
      <x:c r="B9" s="30" t="str">
        <x:v>Dev trait offseason XP</x:v>
      </x:c>
      <x:c r="C9" s="30" t="str">
        <x:v>Normal</x:v>
      </x:c>
      <x:c r="D9" s="30" t="str">
        <x:v>1.00</x:v>
      </x:c>
      <x:c r="E9" s="30" t="str">
        <x:v>x</x:v>
      </x:c>
      <x:c r="F9" s="30" t="str">
        <x:v>SRC-XP-001</x:v>
      </x:c>
      <x:c r="G9" s="30" t="str">
        <x:v>https://prestonchoate.dev/cfb-data-mining/player-xp-levels-devtraits/</x:v>
      </x:c>
      <x:c r="H9" s="30" t="str">
        <x:v>Confirmed for offseason progression path.</x:v>
      </x:c>
      <x:c r="I9" s="27"/>
      <x:c r="J9" s="27"/>
      <x:c r="K9" s="27"/>
      <x:c r="L9" s="27"/>
      <x:c r="M9" s="27"/>
      <x:c r="N9" s="27"/>
      <x:c r="O9" s="27"/>
      <x:c r="P9" s="27"/>
      <x:c r="Q9" s="27"/>
      <x:c r="R9" s="27"/>
      <x:c r="S9" s="27"/>
      <x:c r="T9" s="27"/>
      <x:c r="U9" s="27"/>
      <x:c r="V9" s="27"/>
      <x:c r="W9" s="27"/>
      <x:c r="X9" s="27"/>
      <x:c r="Y9" s="27"/>
      <x:c r="Z9" s="27"/>
      <x:c r="AA9" s="27"/>
      <x:c r="AB9" s="27"/>
      <x:c r="AC9" s="27"/>
      <x:c r="AD9" s="27"/>
      <x:c r="AE9" s="27"/>
      <x:c r="AF9" s="27"/>
      <x:c r="AG9" s="27"/>
      <x:c r="AH9" s="27"/>
      <x:c r="AI9" s="27"/>
      <x:c r="AJ9" s="27"/>
      <x:c r="AK9" s="27"/>
      <x:c r="AL9" s="27"/>
      <x:c r="AM9" s="27"/>
      <x:c r="AN9" s="27"/>
      <x:c r="AO9" s="27"/>
      <x:c r="AP9" s="27"/>
      <x:c r="AQ9" s="27"/>
      <x:c r="AR9" s="27"/>
      <x:c r="AS9" s="27"/>
      <x:c r="AT9" s="27"/>
      <x:c r="AU9" s="27"/>
      <x:c r="AV9" s="27"/>
      <x:c r="AW9" s="27"/>
      <x:c r="AX9" s="27"/>
      <x:c r="AY9" s="27"/>
      <x:c r="AZ9" s="27"/>
    </x:row>
    <x:row r="10">
      <x:c r="A10" s="30" t="str">
        <x:v>DEV-IMPACT</x:v>
      </x:c>
      <x:c r="B10" s="30" t="str">
        <x:v>Dev trait offseason XP</x:v>
      </x:c>
      <x:c r="C10" s="30" t="str">
        <x:v>Impact</x:v>
      </x:c>
      <x:c r="D10" s="30" t="str">
        <x:v>1.20</x:v>
      </x:c>
      <x:c r="E10" s="30" t="str">
        <x:v>x</x:v>
      </x:c>
      <x:c r="F10" s="30" t="str">
        <x:v>SRC-XP-001</x:v>
      </x:c>
      <x:c r="G10" s="30" t="str">
        <x:v>https://prestonchoate.dev/cfb-data-mining/player-xp-levels-devtraits/</x:v>
      </x:c>
      <x:c r="H10" s="30" t="str"/>
      <x:c r="I10" s="27"/>
      <x:c r="J10" s="27"/>
      <x:c r="K10" s="27"/>
      <x:c r="L10" s="27"/>
      <x:c r="M10" s="27"/>
      <x:c r="N10" s="27"/>
      <x:c r="O10" s="27"/>
      <x:c r="P10" s="27"/>
      <x:c r="Q10" s="27"/>
      <x:c r="R10" s="27"/>
      <x:c r="S10" s="27"/>
      <x:c r="T10" s="27"/>
      <x:c r="U10" s="27"/>
      <x:c r="V10" s="27"/>
      <x:c r="W10" s="27"/>
      <x:c r="X10" s="27"/>
      <x:c r="Y10" s="27"/>
      <x:c r="Z10" s="27"/>
      <x:c r="AA10" s="27"/>
      <x:c r="AB10" s="27"/>
      <x:c r="AC10" s="27"/>
      <x:c r="AD10" s="27"/>
      <x:c r="AE10" s="27"/>
      <x:c r="AF10" s="27"/>
      <x:c r="AG10" s="27"/>
      <x:c r="AH10" s="27"/>
      <x:c r="AI10" s="27"/>
      <x:c r="AJ10" s="27"/>
      <x:c r="AK10" s="27"/>
      <x:c r="AL10" s="27"/>
      <x:c r="AM10" s="27"/>
      <x:c r="AN10" s="27"/>
      <x:c r="AO10" s="27"/>
      <x:c r="AP10" s="27"/>
      <x:c r="AQ10" s="27"/>
      <x:c r="AR10" s="27"/>
      <x:c r="AS10" s="27"/>
      <x:c r="AT10" s="27"/>
      <x:c r="AU10" s="27"/>
      <x:c r="AV10" s="27"/>
      <x:c r="AW10" s="27"/>
      <x:c r="AX10" s="27"/>
      <x:c r="AY10" s="27"/>
      <x:c r="AZ10" s="27"/>
    </x:row>
    <x:row r="11">
      <x:c r="A11" s="30" t="str">
        <x:v>DEV-STAR</x:v>
      </x:c>
      <x:c r="B11" s="30" t="str">
        <x:v>Dev trait offseason XP</x:v>
      </x:c>
      <x:c r="C11" s="30" t="str">
        <x:v>Star</x:v>
      </x:c>
      <x:c r="D11" s="30" t="str">
        <x:v>1.35</x:v>
      </x:c>
      <x:c r="E11" s="30" t="str">
        <x:v>x</x:v>
      </x:c>
      <x:c r="F11" s="30" t="str">
        <x:v>SRC-XP-001</x:v>
      </x:c>
      <x:c r="G11" s="30" t="str">
        <x:v>https://prestonchoate.dev/cfb-data-mining/player-xp-levels-devtraits/</x:v>
      </x:c>
      <x:c r="H11" s="30" t="str"/>
      <x:c r="I11" s="27"/>
      <x:c r="J11" s="27"/>
      <x:c r="K11" s="27"/>
      <x:c r="L11" s="27"/>
      <x:c r="M11" s="27"/>
      <x:c r="N11" s="27"/>
      <x:c r="O11" s="27"/>
      <x:c r="P11" s="27"/>
      <x:c r="Q11" s="27"/>
      <x:c r="R11" s="27"/>
      <x:c r="S11" s="27"/>
      <x:c r="T11" s="27"/>
      <x:c r="U11" s="27"/>
      <x:c r="V11" s="27"/>
      <x:c r="W11" s="27"/>
      <x:c r="X11" s="27"/>
      <x:c r="Y11" s="27"/>
      <x:c r="Z11" s="27"/>
      <x:c r="AA11" s="27"/>
      <x:c r="AB11" s="27"/>
      <x:c r="AC11" s="27"/>
      <x:c r="AD11" s="27"/>
      <x:c r="AE11" s="27"/>
      <x:c r="AF11" s="27"/>
      <x:c r="AG11" s="27"/>
      <x:c r="AH11" s="27"/>
      <x:c r="AI11" s="27"/>
      <x:c r="AJ11" s="27"/>
      <x:c r="AK11" s="27"/>
      <x:c r="AL11" s="27"/>
      <x:c r="AM11" s="27"/>
      <x:c r="AN11" s="27"/>
      <x:c r="AO11" s="27"/>
      <x:c r="AP11" s="27"/>
      <x:c r="AQ11" s="27"/>
      <x:c r="AR11" s="27"/>
      <x:c r="AS11" s="27"/>
      <x:c r="AT11" s="27"/>
      <x:c r="AU11" s="27"/>
      <x:c r="AV11" s="27"/>
      <x:c r="AW11" s="27"/>
      <x:c r="AX11" s="27"/>
      <x:c r="AY11" s="27"/>
      <x:c r="AZ11" s="27"/>
    </x:row>
    <x:row r="12">
      <x:c r="A12" s="30" t="str">
        <x:v>DEV-ELITE</x:v>
      </x:c>
      <x:c r="B12" s="30" t="str">
        <x:v>Dev trait offseason XP</x:v>
      </x:c>
      <x:c r="C12" s="30" t="str">
        <x:v>Elite</x:v>
      </x:c>
      <x:c r="D12" s="30" t="str">
        <x:v>1.50</x:v>
      </x:c>
      <x:c r="E12" s="30" t="str">
        <x:v>x</x:v>
      </x:c>
      <x:c r="F12" s="30" t="str">
        <x:v>SRC-XP-001</x:v>
      </x:c>
      <x:c r="G12" s="30" t="str">
        <x:v>https://prestonchoate.dev/cfb-data-mining/player-xp-levels-devtraits/</x:v>
      </x:c>
      <x:c r="H12" s="30" t="str"/>
      <x:c r="I12" s="27"/>
      <x:c r="J12" s="27"/>
      <x:c r="K12" s="27"/>
      <x:c r="L12" s="27"/>
      <x:c r="M12" s="27"/>
      <x:c r="N12" s="27"/>
      <x:c r="O12" s="27"/>
      <x:c r="P12" s="27"/>
      <x:c r="Q12" s="27"/>
      <x:c r="R12" s="27"/>
      <x:c r="S12" s="27"/>
      <x:c r="T12" s="27"/>
      <x:c r="U12" s="27"/>
      <x:c r="V12" s="27"/>
      <x:c r="W12" s="27"/>
      <x:c r="X12" s="27"/>
      <x:c r="Y12" s="27"/>
      <x:c r="Z12" s="27"/>
      <x:c r="AA12" s="27"/>
      <x:c r="AB12" s="27"/>
      <x:c r="AC12" s="27"/>
      <x:c r="AD12" s="27"/>
      <x:c r="AE12" s="27"/>
      <x:c r="AF12" s="27"/>
      <x:c r="AG12" s="27"/>
      <x:c r="AH12" s="27"/>
      <x:c r="AI12" s="27"/>
      <x:c r="AJ12" s="27"/>
      <x:c r="AK12" s="27"/>
      <x:c r="AL12" s="27"/>
      <x:c r="AM12" s="27"/>
      <x:c r="AN12" s="27"/>
      <x:c r="AO12" s="27"/>
      <x:c r="AP12" s="27"/>
      <x:c r="AQ12" s="27"/>
      <x:c r="AR12" s="27"/>
      <x:c r="AS12" s="27"/>
      <x:c r="AT12" s="27"/>
      <x:c r="AU12" s="27"/>
      <x:c r="AV12" s="27"/>
      <x:c r="AW12" s="27"/>
      <x:c r="AX12" s="27"/>
      <x:c r="AY12" s="27"/>
      <x:c r="AZ12" s="27"/>
    </x:row>
    <x:row r="13">
      <x:c r="A13" s="30" t="str">
        <x:v>XP-LVL-50-60</x:v>
      </x:c>
      <x:c r="B13" s="30" t="str">
        <x:v>XP to level</x:v>
      </x:c>
      <x:c r="C13" s="30" t="str">
        <x:v>OVR 50–60</x:v>
      </x:c>
      <x:c r="D13" s="30" t="str">
        <x:v>1500</x:v>
      </x:c>
      <x:c r="E13" s="30" t="str">
        <x:v>XP</x:v>
      </x:c>
      <x:c r="F13" s="30" t="str">
        <x:v>SRC-XP-001</x:v>
      </x:c>
      <x:c r="G13" s="30" t="str">
        <x:v>https://prestonchoate.dev/cfb-data-mining/player-xp-levels-devtraits/</x:v>
      </x:c>
      <x:c r="H13" s="30" t="str">
        <x:v>1 SP per level in dynasty.</x:v>
      </x:c>
      <x:c r="I13" s="27"/>
      <x:c r="J13" s="27"/>
      <x:c r="K13" s="27"/>
      <x:c r="L13" s="27"/>
      <x:c r="M13" s="27"/>
      <x:c r="N13" s="27"/>
      <x:c r="O13" s="27"/>
      <x:c r="P13" s="27"/>
      <x:c r="Q13" s="27"/>
      <x:c r="R13" s="27"/>
      <x:c r="S13" s="27"/>
      <x:c r="T13" s="27"/>
      <x:c r="U13" s="27"/>
      <x:c r="V13" s="27"/>
      <x:c r="W13" s="27"/>
      <x:c r="X13" s="27"/>
      <x:c r="Y13" s="27"/>
      <x:c r="Z13" s="27"/>
      <x:c r="AA13" s="27"/>
      <x:c r="AB13" s="27"/>
      <x:c r="AC13" s="27"/>
      <x:c r="AD13" s="27"/>
      <x:c r="AE13" s="27"/>
      <x:c r="AF13" s="27"/>
      <x:c r="AG13" s="27"/>
      <x:c r="AH13" s="27"/>
      <x:c r="AI13" s="27"/>
      <x:c r="AJ13" s="27"/>
      <x:c r="AK13" s="27"/>
      <x:c r="AL13" s="27"/>
      <x:c r="AM13" s="27"/>
      <x:c r="AN13" s="27"/>
      <x:c r="AO13" s="27"/>
      <x:c r="AP13" s="27"/>
      <x:c r="AQ13" s="27"/>
      <x:c r="AR13" s="27"/>
      <x:c r="AS13" s="27"/>
      <x:c r="AT13" s="27"/>
      <x:c r="AU13" s="27"/>
      <x:c r="AV13" s="27"/>
      <x:c r="AW13" s="27"/>
      <x:c r="AX13" s="27"/>
      <x:c r="AY13" s="27"/>
      <x:c r="AZ13" s="27"/>
    </x:row>
    <x:row r="14">
      <x:c r="A14" s="30" t="str">
        <x:v>XP-LVL-65-70</x:v>
      </x:c>
      <x:c r="B14" s="30" t="str">
        <x:v>XP to level</x:v>
      </x:c>
      <x:c r="C14" s="30" t="str">
        <x:v>OVR 65–70</x:v>
      </x:c>
      <x:c r="D14" s="30" t="str">
        <x:v>1750</x:v>
      </x:c>
      <x:c r="E14" s="30" t="str">
        <x:v>XP</x:v>
      </x:c>
      <x:c r="F14" s="30" t="str">
        <x:v>SRC-XP-001</x:v>
      </x:c>
      <x:c r="G14" s="30" t="str">
        <x:v>https://prestonchoate.dev/cfb-data-mining/player-xp-levels-devtraits/</x:v>
      </x:c>
      <x:c r="H14" s="30" t="str"/>
      <x:c r="I14" s="27"/>
      <x:c r="J14" s="27"/>
      <x:c r="K14" s="27"/>
      <x:c r="L14" s="27"/>
      <x:c r="M14" s="27"/>
      <x:c r="N14" s="27"/>
      <x:c r="O14" s="27"/>
      <x:c r="P14" s="27"/>
      <x:c r="Q14" s="27"/>
      <x:c r="R14" s="27"/>
      <x:c r="S14" s="27"/>
      <x:c r="T14" s="27"/>
      <x:c r="U14" s="27"/>
      <x:c r="V14" s="27"/>
      <x:c r="W14" s="27"/>
      <x:c r="X14" s="27"/>
      <x:c r="Y14" s="27"/>
      <x:c r="Z14" s="27"/>
      <x:c r="AA14" s="27"/>
      <x:c r="AB14" s="27"/>
      <x:c r="AC14" s="27"/>
      <x:c r="AD14" s="27"/>
      <x:c r="AE14" s="27"/>
      <x:c r="AF14" s="27"/>
      <x:c r="AG14" s="27"/>
      <x:c r="AH14" s="27"/>
      <x:c r="AI14" s="27"/>
      <x:c r="AJ14" s="27"/>
      <x:c r="AK14" s="27"/>
      <x:c r="AL14" s="27"/>
      <x:c r="AM14" s="27"/>
      <x:c r="AN14" s="27"/>
      <x:c r="AO14" s="27"/>
      <x:c r="AP14" s="27"/>
      <x:c r="AQ14" s="27"/>
      <x:c r="AR14" s="27"/>
      <x:c r="AS14" s="27"/>
      <x:c r="AT14" s="27"/>
      <x:c r="AU14" s="27"/>
      <x:c r="AV14" s="27"/>
      <x:c r="AW14" s="27"/>
      <x:c r="AX14" s="27"/>
      <x:c r="AY14" s="27"/>
      <x:c r="AZ14" s="27"/>
    </x:row>
    <x:row r="15">
      <x:c r="A15" s="30" t="str">
        <x:v>XP-LVL-75-80</x:v>
      </x:c>
      <x:c r="B15" s="30" t="str">
        <x:v>XP to level</x:v>
      </x:c>
      <x:c r="C15" s="30" t="str">
        <x:v>OVR 75–80</x:v>
      </x:c>
      <x:c r="D15" s="30" t="str">
        <x:v>2000</x:v>
      </x:c>
      <x:c r="E15" s="30" t="str">
        <x:v>XP</x:v>
      </x:c>
      <x:c r="F15" s="30" t="str">
        <x:v>SRC-XP-001</x:v>
      </x:c>
      <x:c r="G15" s="30" t="str">
        <x:v>https://prestonchoate.dev/cfb-data-mining/player-xp-levels-devtraits/</x:v>
      </x:c>
      <x:c r="H15" s="30" t="str"/>
      <x:c r="I15" s="27"/>
      <x:c r="J15" s="27"/>
      <x:c r="K15" s="27"/>
      <x:c r="L15" s="27"/>
      <x:c r="M15" s="27"/>
      <x:c r="N15" s="27"/>
      <x:c r="O15" s="27"/>
      <x:c r="P15" s="27"/>
      <x:c r="Q15" s="27"/>
      <x:c r="R15" s="27"/>
      <x:c r="S15" s="27"/>
      <x:c r="T15" s="27"/>
      <x:c r="U15" s="27"/>
      <x:c r="V15" s="27"/>
      <x:c r="W15" s="27"/>
      <x:c r="X15" s="27"/>
      <x:c r="Y15" s="27"/>
      <x:c r="Z15" s="27"/>
      <x:c r="AA15" s="27"/>
      <x:c r="AB15" s="27"/>
      <x:c r="AC15" s="27"/>
      <x:c r="AD15" s="27"/>
      <x:c r="AE15" s="27"/>
      <x:c r="AF15" s="27"/>
      <x:c r="AG15" s="27"/>
      <x:c r="AH15" s="27"/>
      <x:c r="AI15" s="27"/>
      <x:c r="AJ15" s="27"/>
      <x:c r="AK15" s="27"/>
      <x:c r="AL15" s="27"/>
      <x:c r="AM15" s="27"/>
      <x:c r="AN15" s="27"/>
      <x:c r="AO15" s="27"/>
      <x:c r="AP15" s="27"/>
      <x:c r="AQ15" s="27"/>
      <x:c r="AR15" s="27"/>
      <x:c r="AS15" s="27"/>
      <x:c r="AT15" s="27"/>
      <x:c r="AU15" s="27"/>
      <x:c r="AV15" s="27"/>
      <x:c r="AW15" s="27"/>
      <x:c r="AX15" s="27"/>
      <x:c r="AY15" s="27"/>
      <x:c r="AZ15" s="27"/>
    </x:row>
    <x:row r="16">
      <x:c r="A16" s="30" t="str">
        <x:v>XP-LVL-85-90</x:v>
      </x:c>
      <x:c r="B16" s="30" t="str">
        <x:v>XP to level</x:v>
      </x:c>
      <x:c r="C16" s="30" t="str">
        <x:v>OVR 85–90</x:v>
      </x:c>
      <x:c r="D16" s="30" t="str">
        <x:v>2250</x:v>
      </x:c>
      <x:c r="E16" s="30" t="str">
        <x:v>XP</x:v>
      </x:c>
      <x:c r="F16" s="30" t="str">
        <x:v>SRC-XP-001</x:v>
      </x:c>
      <x:c r="G16" s="30" t="str">
        <x:v>https://prestonchoate.dev/cfb-data-mining/player-xp-levels-devtraits/</x:v>
      </x:c>
      <x:c r="H16" s="30" t="str"/>
      <x:c r="I16" s="27"/>
      <x:c r="J16" s="27"/>
      <x:c r="K16" s="27"/>
      <x:c r="L16" s="27"/>
      <x:c r="M16" s="27"/>
      <x:c r="N16" s="27"/>
      <x:c r="O16" s="27"/>
      <x:c r="P16" s="27"/>
      <x:c r="Q16" s="27"/>
      <x:c r="R16" s="27"/>
      <x:c r="S16" s="27"/>
      <x:c r="T16" s="27"/>
      <x:c r="U16" s="27"/>
      <x:c r="V16" s="27"/>
      <x:c r="W16" s="27"/>
      <x:c r="X16" s="27"/>
      <x:c r="Y16" s="27"/>
      <x:c r="Z16" s="27"/>
      <x:c r="AA16" s="27"/>
      <x:c r="AB16" s="27"/>
      <x:c r="AC16" s="27"/>
      <x:c r="AD16" s="27"/>
      <x:c r="AE16" s="27"/>
      <x:c r="AF16" s="27"/>
      <x:c r="AG16" s="27"/>
      <x:c r="AH16" s="27"/>
      <x:c r="AI16" s="27"/>
      <x:c r="AJ16" s="27"/>
      <x:c r="AK16" s="27"/>
      <x:c r="AL16" s="27"/>
      <x:c r="AM16" s="27"/>
      <x:c r="AN16" s="27"/>
      <x:c r="AO16" s="27"/>
      <x:c r="AP16" s="27"/>
      <x:c r="AQ16" s="27"/>
      <x:c r="AR16" s="27"/>
      <x:c r="AS16" s="27"/>
      <x:c r="AT16" s="27"/>
      <x:c r="AU16" s="27"/>
      <x:c r="AV16" s="27"/>
      <x:c r="AW16" s="27"/>
      <x:c r="AX16" s="27"/>
      <x:c r="AY16" s="27"/>
      <x:c r="AZ16" s="27"/>
    </x:row>
    <x:row r="17">
      <x:c r="A17" s="30" t="str">
        <x:v>XP-LVL-95-99</x:v>
      </x:c>
      <x:c r="B17" s="30" t="str">
        <x:v>XP to level</x:v>
      </x:c>
      <x:c r="C17" s="30" t="str">
        <x:v>OVR 95–99</x:v>
      </x:c>
      <x:c r="D17" s="30" t="str">
        <x:v>2500</x:v>
      </x:c>
      <x:c r="E17" s="30" t="str">
        <x:v>XP</x:v>
      </x:c>
      <x:c r="F17" s="30" t="str">
        <x:v>SRC-XP-001</x:v>
      </x:c>
      <x:c r="G17" s="30" t="str">
        <x:v>https://prestonchoate.dev/cfb-data-mining/player-xp-levels-devtraits/</x:v>
      </x:c>
      <x:c r="H17" s="30" t="str"/>
      <x:c r="I17" s="27"/>
      <x:c r="J17" s="27"/>
      <x:c r="K17" s="27"/>
      <x:c r="L17" s="27"/>
      <x:c r="M17" s="27"/>
      <x:c r="N17" s="27"/>
      <x:c r="O17" s="27"/>
      <x:c r="P17" s="27"/>
      <x:c r="Q17" s="27"/>
      <x:c r="R17" s="27"/>
      <x:c r="S17" s="27"/>
      <x:c r="T17" s="27"/>
      <x:c r="U17" s="27"/>
      <x:c r="V17" s="27"/>
      <x:c r="W17" s="27"/>
      <x:c r="X17" s="27"/>
      <x:c r="Y17" s="27"/>
      <x:c r="Z17" s="27"/>
      <x:c r="AA17" s="27"/>
      <x:c r="AB17" s="27"/>
      <x:c r="AC17" s="27"/>
      <x:c r="AD17" s="27"/>
      <x:c r="AE17" s="27"/>
      <x:c r="AF17" s="27"/>
      <x:c r="AG17" s="27"/>
      <x:c r="AH17" s="27"/>
      <x:c r="AI17" s="27"/>
      <x:c r="AJ17" s="27"/>
      <x:c r="AK17" s="27"/>
      <x:c r="AL17" s="27"/>
      <x:c r="AM17" s="27"/>
      <x:c r="AN17" s="27"/>
      <x:c r="AO17" s="27"/>
      <x:c r="AP17" s="27"/>
      <x:c r="AQ17" s="27"/>
      <x:c r="AR17" s="27"/>
      <x:c r="AS17" s="27"/>
      <x:c r="AT17" s="27"/>
      <x:c r="AU17" s="27"/>
      <x:c r="AV17" s="27"/>
      <x:c r="AW17" s="27"/>
      <x:c r="AX17" s="27"/>
      <x:c r="AY17" s="27"/>
      <x:c r="AZ17" s="27"/>
    </x:row>
    <x:row r="18">
      <x:c r="A18" s="30" t="str">
        <x:v>M19-OVR</x:v>
      </x:c>
      <x:c r="B18" s="30" t="str">
        <x:v>Madden 19 displayed OVR conversion</x:v>
      </x:c>
      <x:c r="C18" s="30" t="str">
        <x:v>Reported formula</x:v>
      </x:c>
      <x:c r="D18" s="30" t="str">
        <x:v>Overall=(W-L)*(99/(H-L))</x:v>
      </x:c>
      <x:c r="E18" s="30" t="str">
        <x:v>formula</x:v>
      </x:c>
      <x:c r="F18" s="30" t="str">
        <x:v>SRC-M19-001</x:v>
      </x:c>
      <x:c r="G18" s="30" t="str">
        <x:v>https://www.reddit.com/r/Madden/comments/9e6qlb/guide_overall_rating_attribute_weightings_for/</x:v>
      </x:c>
      <x:c r="H18" s="30" t="str">
        <x:v>W=weighted average, L=Desired Low, H=Desired High; reported in discussion.</x:v>
      </x:c>
      <x:c r="I18" s="27"/>
      <x:c r="J18" s="27"/>
      <x:c r="K18" s="27"/>
      <x:c r="L18" s="27"/>
      <x:c r="M18" s="27"/>
      <x:c r="N18" s="27"/>
      <x:c r="O18" s="27"/>
      <x:c r="P18" s="27"/>
      <x:c r="Q18" s="27"/>
      <x:c r="R18" s="27"/>
      <x:c r="S18" s="27"/>
      <x:c r="T18" s="27"/>
      <x:c r="U18" s="27"/>
      <x:c r="V18" s="27"/>
      <x:c r="W18" s="27"/>
      <x:c r="X18" s="27"/>
      <x:c r="Y18" s="27"/>
      <x:c r="Z18" s="27"/>
      <x:c r="AA18" s="27"/>
      <x:c r="AB18" s="27"/>
      <x:c r="AC18" s="27"/>
      <x:c r="AD18" s="27"/>
      <x:c r="AE18" s="27"/>
      <x:c r="AF18" s="27"/>
      <x:c r="AG18" s="27"/>
      <x:c r="AH18" s="27"/>
      <x:c r="AI18" s="27"/>
      <x:c r="AJ18" s="27"/>
      <x:c r="AK18" s="27"/>
      <x:c r="AL18" s="27"/>
      <x:c r="AM18" s="27"/>
      <x:c r="AN18" s="27"/>
      <x:c r="AO18" s="27"/>
      <x:c r="AP18" s="27"/>
      <x:c r="AQ18" s="27"/>
      <x:c r="AR18" s="27"/>
      <x:c r="AS18" s="27"/>
      <x:c r="AT18" s="27"/>
      <x:c r="AU18" s="27"/>
      <x:c r="AV18" s="27"/>
      <x:c r="AW18" s="27"/>
      <x:c r="AX18" s="27"/>
      <x:c r="AY18" s="27"/>
      <x:c r="AZ18" s="27"/>
    </x:row>
    <x:row r="19">
      <x:c r="A19" s="27"/>
      <x:c r="B19" s="27"/>
      <x:c r="C19" s="27"/>
      <x:c r="D19" s="27"/>
      <x:c r="E19" s="27"/>
      <x:c r="F19" s="27"/>
      <x:c r="G19" s="27"/>
      <x:c r="H19" s="27"/>
      <x:c r="I19" s="27"/>
      <x:c r="J19" s="27"/>
      <x:c r="K19" s="27"/>
      <x:c r="L19" s="27"/>
      <x:c r="M19" s="27"/>
      <x:c r="N19" s="27"/>
      <x:c r="O19" s="27"/>
      <x:c r="P19" s="27"/>
      <x:c r="Q19" s="27"/>
      <x:c r="R19" s="27"/>
      <x:c r="S19" s="27"/>
      <x:c r="T19" s="27"/>
      <x:c r="U19" s="27"/>
      <x:c r="V19" s="27"/>
      <x:c r="W19" s="27"/>
      <x:c r="X19" s="27"/>
      <x:c r="Y19" s="27"/>
      <x:c r="Z19" s="27"/>
      <x:c r="AA19" s="27"/>
      <x:c r="AB19" s="27"/>
      <x:c r="AC19" s="27"/>
      <x:c r="AD19" s="27"/>
      <x:c r="AE19" s="27"/>
      <x:c r="AF19" s="27"/>
      <x:c r="AG19" s="27"/>
      <x:c r="AH19" s="27"/>
      <x:c r="AI19" s="27"/>
      <x:c r="AJ19" s="27"/>
      <x:c r="AK19" s="27"/>
      <x:c r="AL19" s="27"/>
      <x:c r="AM19" s="27"/>
      <x:c r="AN19" s="27"/>
      <x:c r="AO19" s="27"/>
      <x:c r="AP19" s="27"/>
      <x:c r="AQ19" s="27"/>
      <x:c r="AR19" s="27"/>
      <x:c r="AS19" s="27"/>
      <x:c r="AT19" s="27"/>
      <x:c r="AU19" s="27"/>
      <x:c r="AV19" s="27"/>
      <x:c r="AW19" s="27"/>
      <x:c r="AX19" s="27"/>
      <x:c r="AY19" s="27"/>
      <x:c r="AZ19" s="27"/>
    </x:row>
    <x:row r="20">
      <x:c r="A20" s="27"/>
      <x:c r="B20" s="27"/>
      <x:c r="C20" s="27"/>
      <x:c r="D20" s="27"/>
      <x:c r="E20" s="27"/>
      <x:c r="F20" s="27"/>
      <x:c r="G20" s="27"/>
      <x:c r="H20" s="27"/>
      <x:c r="I20" s="27"/>
      <x:c r="J20" s="27"/>
      <x:c r="K20" s="27"/>
      <x:c r="L20" s="27"/>
      <x:c r="M20" s="27"/>
      <x:c r="N20" s="27"/>
      <x:c r="O20" s="27"/>
      <x:c r="P20" s="27"/>
      <x:c r="Q20" s="27"/>
      <x:c r="R20" s="27"/>
      <x:c r="S20" s="27"/>
      <x:c r="T20" s="27"/>
      <x:c r="U20" s="27"/>
      <x:c r="V20" s="27"/>
      <x:c r="W20" s="27"/>
      <x:c r="X20" s="27"/>
      <x:c r="Y20" s="27"/>
      <x:c r="Z20" s="27"/>
      <x:c r="AA20" s="27"/>
      <x:c r="AB20" s="27"/>
      <x:c r="AC20" s="27"/>
      <x:c r="AD20" s="27"/>
      <x:c r="AE20" s="27"/>
      <x:c r="AF20" s="27"/>
      <x:c r="AG20" s="27"/>
      <x:c r="AH20" s="27"/>
      <x:c r="AI20" s="27"/>
      <x:c r="AJ20" s="27"/>
      <x:c r="AK20" s="27"/>
      <x:c r="AL20" s="27"/>
      <x:c r="AM20" s="27"/>
      <x:c r="AN20" s="27"/>
      <x:c r="AO20" s="27"/>
      <x:c r="AP20" s="27"/>
      <x:c r="AQ20" s="27"/>
      <x:c r="AR20" s="27"/>
      <x:c r="AS20" s="27"/>
      <x:c r="AT20" s="27"/>
      <x:c r="AU20" s="27"/>
      <x:c r="AV20" s="27"/>
      <x:c r="AW20" s="27"/>
      <x:c r="AX20" s="27"/>
      <x:c r="AY20" s="27"/>
      <x:c r="AZ20" s="27"/>
    </x:row>
    <x:row r="21">
      <x:c r="A21" s="27"/>
      <x:c r="B21" s="27"/>
      <x:c r="C21" s="27"/>
      <x:c r="D21" s="27"/>
      <x:c r="E21" s="27"/>
      <x:c r="F21" s="27"/>
      <x:c r="G21" s="27"/>
      <x:c r="H21" s="27"/>
      <x:c r="I21" s="27"/>
      <x:c r="J21" s="27"/>
      <x:c r="K21" s="27"/>
      <x:c r="L21" s="27"/>
      <x:c r="M21" s="27"/>
      <x:c r="N21" s="27"/>
      <x:c r="O21" s="27"/>
      <x:c r="P21" s="27"/>
      <x:c r="Q21" s="27"/>
      <x:c r="R21" s="27"/>
      <x:c r="S21" s="27"/>
      <x:c r="T21" s="27"/>
      <x:c r="U21" s="27"/>
      <x:c r="V21" s="27"/>
      <x:c r="W21" s="27"/>
      <x:c r="X21" s="27"/>
      <x:c r="Y21" s="27"/>
      <x:c r="Z21" s="27"/>
      <x:c r="AA21" s="27"/>
      <x:c r="AB21" s="27"/>
      <x:c r="AC21" s="27"/>
      <x:c r="AD21" s="27"/>
      <x:c r="AE21" s="27"/>
      <x:c r="AF21" s="27"/>
      <x:c r="AG21" s="27"/>
      <x:c r="AH21" s="27"/>
      <x:c r="AI21" s="27"/>
      <x:c r="AJ21" s="27"/>
      <x:c r="AK21" s="27"/>
      <x:c r="AL21" s="27"/>
      <x:c r="AM21" s="27"/>
      <x:c r="AN21" s="27"/>
      <x:c r="AO21" s="27"/>
      <x:c r="AP21" s="27"/>
      <x:c r="AQ21" s="27"/>
      <x:c r="AR21" s="27"/>
      <x:c r="AS21" s="27"/>
      <x:c r="AT21" s="27"/>
      <x:c r="AU21" s="27"/>
      <x:c r="AV21" s="27"/>
      <x:c r="AW21" s="27"/>
      <x:c r="AX21" s="27"/>
      <x:c r="AY21" s="27"/>
      <x:c r="AZ21" s="27"/>
    </x:row>
    <x:row r="22">
      <x:c r="A22" s="27"/>
      <x:c r="B22" s="27"/>
      <x:c r="C22" s="27"/>
      <x:c r="D22" s="27"/>
      <x:c r="E22" s="27"/>
      <x:c r="F22" s="27"/>
      <x:c r="G22" s="27"/>
      <x:c r="H22" s="27"/>
      <x:c r="I22" s="27"/>
      <x:c r="J22" s="27"/>
      <x:c r="K22" s="27"/>
      <x:c r="L22" s="27"/>
      <x:c r="M22" s="27"/>
      <x:c r="N22" s="27"/>
      <x:c r="O22" s="27"/>
      <x:c r="P22" s="27"/>
      <x:c r="Q22" s="27"/>
      <x:c r="R22" s="27"/>
      <x:c r="S22" s="27"/>
      <x:c r="T22" s="27"/>
      <x:c r="U22" s="27"/>
      <x:c r="V22" s="27"/>
      <x:c r="W22" s="27"/>
      <x:c r="X22" s="27"/>
      <x:c r="Y22" s="27"/>
      <x:c r="Z22" s="27"/>
      <x:c r="AA22" s="27"/>
      <x:c r="AB22" s="27"/>
      <x:c r="AC22" s="27"/>
      <x:c r="AD22" s="27"/>
      <x:c r="AE22" s="27"/>
      <x:c r="AF22" s="27"/>
      <x:c r="AG22" s="27"/>
      <x:c r="AH22" s="27"/>
      <x:c r="AI22" s="27"/>
      <x:c r="AJ22" s="27"/>
      <x:c r="AK22" s="27"/>
      <x:c r="AL22" s="27"/>
      <x:c r="AM22" s="27"/>
      <x:c r="AN22" s="27"/>
      <x:c r="AO22" s="27"/>
      <x:c r="AP22" s="27"/>
      <x:c r="AQ22" s="27"/>
      <x:c r="AR22" s="27"/>
      <x:c r="AS22" s="27"/>
      <x:c r="AT22" s="27"/>
      <x:c r="AU22" s="27"/>
      <x:c r="AV22" s="27"/>
      <x:c r="AW22" s="27"/>
      <x:c r="AX22" s="27"/>
      <x:c r="AY22" s="27"/>
      <x:c r="AZ22" s="27"/>
    </x:row>
    <x:row r="23">
      <x:c r="A23" s="27"/>
      <x:c r="B23" s="27"/>
      <x:c r="C23" s="27"/>
      <x:c r="D23" s="27"/>
      <x:c r="E23" s="27"/>
      <x:c r="F23" s="27"/>
      <x:c r="G23" s="27"/>
      <x:c r="H23" s="27"/>
      <x:c r="I23" s="27"/>
      <x:c r="J23" s="27"/>
      <x:c r="K23" s="27"/>
      <x:c r="L23" s="27"/>
      <x:c r="M23" s="27"/>
      <x:c r="N23" s="27"/>
      <x:c r="O23" s="27"/>
      <x:c r="P23" s="27"/>
      <x:c r="Q23" s="27"/>
      <x:c r="R23" s="27"/>
      <x:c r="S23" s="27"/>
      <x:c r="T23" s="27"/>
      <x:c r="U23" s="27"/>
      <x:c r="V23" s="27"/>
      <x:c r="W23" s="27"/>
      <x:c r="X23" s="27"/>
      <x:c r="Y23" s="27"/>
      <x:c r="Z23" s="27"/>
      <x:c r="AA23" s="27"/>
      <x:c r="AB23" s="27"/>
      <x:c r="AC23" s="27"/>
      <x:c r="AD23" s="27"/>
      <x:c r="AE23" s="27"/>
      <x:c r="AF23" s="27"/>
      <x:c r="AG23" s="27"/>
      <x:c r="AH23" s="27"/>
      <x:c r="AI23" s="27"/>
      <x:c r="AJ23" s="27"/>
      <x:c r="AK23" s="27"/>
      <x:c r="AL23" s="27"/>
      <x:c r="AM23" s="27"/>
      <x:c r="AN23" s="27"/>
      <x:c r="AO23" s="27"/>
      <x:c r="AP23" s="27"/>
      <x:c r="AQ23" s="27"/>
      <x:c r="AR23" s="27"/>
      <x:c r="AS23" s="27"/>
      <x:c r="AT23" s="27"/>
      <x:c r="AU23" s="27"/>
      <x:c r="AV23" s="27"/>
      <x:c r="AW23" s="27"/>
      <x:c r="AX23" s="27"/>
      <x:c r="AY23" s="27"/>
      <x:c r="AZ23" s="27"/>
    </x:row>
    <x:row r="24">
      <x:c r="A24" s="27"/>
      <x:c r="B24" s="27"/>
      <x:c r="C24" s="27"/>
      <x:c r="D24" s="27"/>
      <x:c r="E24" s="27"/>
      <x:c r="F24" s="27"/>
      <x:c r="G24" s="27"/>
      <x:c r="H24" s="27"/>
      <x:c r="I24" s="27"/>
      <x:c r="J24" s="27"/>
      <x:c r="K24" s="27"/>
      <x:c r="L24" s="27"/>
      <x:c r="M24" s="27"/>
      <x:c r="N24" s="27"/>
      <x:c r="O24" s="27"/>
      <x:c r="P24" s="27"/>
      <x:c r="Q24" s="27"/>
      <x:c r="R24" s="27"/>
      <x:c r="S24" s="27"/>
      <x:c r="T24" s="27"/>
      <x:c r="U24" s="27"/>
      <x:c r="V24" s="27"/>
      <x:c r="W24" s="27"/>
      <x:c r="X24" s="27"/>
      <x:c r="Y24" s="27"/>
      <x:c r="Z24" s="27"/>
      <x:c r="AA24" s="27"/>
      <x:c r="AB24" s="27"/>
      <x:c r="AC24" s="27"/>
      <x:c r="AD24" s="27"/>
      <x:c r="AE24" s="27"/>
      <x:c r="AF24" s="27"/>
      <x:c r="AG24" s="27"/>
      <x:c r="AH24" s="27"/>
      <x:c r="AI24" s="27"/>
      <x:c r="AJ24" s="27"/>
      <x:c r="AK24" s="27"/>
      <x:c r="AL24" s="27"/>
      <x:c r="AM24" s="27"/>
      <x:c r="AN24" s="27"/>
      <x:c r="AO24" s="27"/>
      <x:c r="AP24" s="27"/>
      <x:c r="AQ24" s="27"/>
      <x:c r="AR24" s="27"/>
      <x:c r="AS24" s="27"/>
      <x:c r="AT24" s="27"/>
      <x:c r="AU24" s="27"/>
      <x:c r="AV24" s="27"/>
      <x:c r="AW24" s="27"/>
      <x:c r="AX24" s="27"/>
      <x:c r="AY24" s="27"/>
      <x:c r="AZ24" s="27"/>
    </x:row>
    <x:row r="25">
      <x:c r="A25" s="27"/>
      <x:c r="B25" s="27"/>
      <x:c r="C25" s="27"/>
      <x:c r="D25" s="27"/>
      <x:c r="E25" s="27"/>
      <x:c r="F25" s="27"/>
      <x:c r="G25" s="27"/>
      <x:c r="H25" s="27"/>
      <x:c r="I25" s="27"/>
      <x:c r="J25" s="27"/>
      <x:c r="K25" s="27"/>
      <x:c r="L25" s="27"/>
      <x:c r="M25" s="27"/>
      <x:c r="N25" s="27"/>
      <x:c r="O25" s="27"/>
      <x:c r="P25" s="27"/>
      <x:c r="Q25" s="27"/>
      <x:c r="R25" s="27"/>
      <x:c r="S25" s="27"/>
      <x:c r="T25" s="27"/>
      <x:c r="U25" s="27"/>
      <x:c r="V25" s="27"/>
      <x:c r="W25" s="27"/>
      <x:c r="X25" s="27"/>
      <x:c r="Y25" s="27"/>
      <x:c r="Z25" s="27"/>
      <x:c r="AA25" s="27"/>
      <x:c r="AB25" s="27"/>
      <x:c r="AC25" s="27"/>
      <x:c r="AD25" s="27"/>
      <x:c r="AE25" s="27"/>
      <x:c r="AF25" s="27"/>
      <x:c r="AG25" s="27"/>
      <x:c r="AH25" s="27"/>
      <x:c r="AI25" s="27"/>
      <x:c r="AJ25" s="27"/>
      <x:c r="AK25" s="27"/>
      <x:c r="AL25" s="27"/>
      <x:c r="AM25" s="27"/>
      <x:c r="AN25" s="27"/>
      <x:c r="AO25" s="27"/>
      <x:c r="AP25" s="27"/>
      <x:c r="AQ25" s="27"/>
      <x:c r="AR25" s="27"/>
      <x:c r="AS25" s="27"/>
      <x:c r="AT25" s="27"/>
      <x:c r="AU25" s="27"/>
      <x:c r="AV25" s="27"/>
      <x:c r="AW25" s="27"/>
      <x:c r="AX25" s="27"/>
      <x:c r="AY25" s="27"/>
      <x:c r="AZ25" s="27"/>
    </x:row>
    <x:row r="26">
      <x:c r="A26" s="27"/>
      <x:c r="B26" s="27"/>
      <x:c r="C26" s="27"/>
      <x:c r="D26" s="27"/>
      <x:c r="E26" s="27"/>
      <x:c r="F26" s="27"/>
      <x:c r="G26" s="27"/>
      <x:c r="H26" s="27"/>
      <x:c r="I26" s="27"/>
      <x:c r="J26" s="27"/>
      <x:c r="K26" s="27"/>
      <x:c r="L26" s="27"/>
      <x:c r="M26" s="27"/>
      <x:c r="N26" s="27"/>
      <x:c r="O26" s="27"/>
      <x:c r="P26" s="27"/>
      <x:c r="Q26" s="27"/>
      <x:c r="R26" s="27"/>
      <x:c r="S26" s="27"/>
      <x:c r="T26" s="27"/>
      <x:c r="U26" s="27"/>
      <x:c r="V26" s="27"/>
      <x:c r="W26" s="27"/>
      <x:c r="X26" s="27"/>
      <x:c r="Y26" s="27"/>
      <x:c r="Z26" s="27"/>
      <x:c r="AA26" s="27"/>
      <x:c r="AB26" s="27"/>
      <x:c r="AC26" s="27"/>
      <x:c r="AD26" s="27"/>
      <x:c r="AE26" s="27"/>
      <x:c r="AF26" s="27"/>
      <x:c r="AG26" s="27"/>
      <x:c r="AH26" s="27"/>
      <x:c r="AI26" s="27"/>
      <x:c r="AJ26" s="27"/>
      <x:c r="AK26" s="27"/>
      <x:c r="AL26" s="27"/>
      <x:c r="AM26" s="27"/>
      <x:c r="AN26" s="27"/>
      <x:c r="AO26" s="27"/>
      <x:c r="AP26" s="27"/>
      <x:c r="AQ26" s="27"/>
      <x:c r="AR26" s="27"/>
      <x:c r="AS26" s="27"/>
      <x:c r="AT26" s="27"/>
      <x:c r="AU26" s="27"/>
      <x:c r="AV26" s="27"/>
      <x:c r="AW26" s="27"/>
      <x:c r="AX26" s="27"/>
      <x:c r="AY26" s="27"/>
      <x:c r="AZ26" s="27"/>
    </x:row>
    <x:row r="27">
      <x:c r="A27" s="27"/>
      <x:c r="B27" s="27"/>
      <x:c r="C27" s="27"/>
      <x:c r="D27" s="27"/>
      <x:c r="E27" s="27"/>
      <x:c r="F27" s="27"/>
      <x:c r="G27" s="27"/>
      <x:c r="H27" s="27"/>
      <x:c r="I27" s="27"/>
      <x:c r="J27" s="27"/>
      <x:c r="K27" s="27"/>
      <x:c r="L27" s="27"/>
      <x:c r="M27" s="27"/>
      <x:c r="N27" s="27"/>
      <x:c r="O27" s="27"/>
      <x:c r="P27" s="27"/>
      <x:c r="Q27" s="27"/>
      <x:c r="R27" s="27"/>
      <x:c r="S27" s="27"/>
      <x:c r="T27" s="27"/>
      <x:c r="U27" s="27"/>
      <x:c r="V27" s="27"/>
      <x:c r="W27" s="27"/>
      <x:c r="X27" s="27"/>
      <x:c r="Y27" s="27"/>
      <x:c r="Z27" s="27"/>
      <x:c r="AA27" s="27"/>
      <x:c r="AB27" s="27"/>
      <x:c r="AC27" s="27"/>
      <x:c r="AD27" s="27"/>
      <x:c r="AE27" s="27"/>
      <x:c r="AF27" s="27"/>
      <x:c r="AG27" s="27"/>
      <x:c r="AH27" s="27"/>
      <x:c r="AI27" s="27"/>
      <x:c r="AJ27" s="27"/>
      <x:c r="AK27" s="27"/>
      <x:c r="AL27" s="27"/>
      <x:c r="AM27" s="27"/>
      <x:c r="AN27" s="27"/>
      <x:c r="AO27" s="27"/>
      <x:c r="AP27" s="27"/>
      <x:c r="AQ27" s="27"/>
      <x:c r="AR27" s="27"/>
      <x:c r="AS27" s="27"/>
      <x:c r="AT27" s="27"/>
      <x:c r="AU27" s="27"/>
      <x:c r="AV27" s="27"/>
      <x:c r="AW27" s="27"/>
      <x:c r="AX27" s="27"/>
      <x:c r="AY27" s="27"/>
      <x:c r="AZ27" s="27"/>
    </x:row>
    <x:row r="28">
      <x:c r="A28" s="27"/>
      <x:c r="B28" s="27"/>
      <x:c r="C28" s="27"/>
      <x:c r="D28" s="27"/>
      <x:c r="E28" s="27"/>
      <x:c r="F28" s="27"/>
      <x:c r="G28" s="27"/>
      <x:c r="H28" s="27"/>
      <x:c r="I28" s="27"/>
      <x:c r="J28" s="27"/>
      <x:c r="K28" s="27"/>
      <x:c r="L28" s="27"/>
      <x:c r="M28" s="27"/>
      <x:c r="N28" s="27"/>
      <x:c r="O28" s="27"/>
      <x:c r="P28" s="27"/>
      <x:c r="Q28" s="27"/>
      <x:c r="R28" s="27"/>
      <x:c r="S28" s="27"/>
      <x:c r="T28" s="27"/>
      <x:c r="U28" s="27"/>
      <x:c r="V28" s="27"/>
      <x:c r="W28" s="27"/>
      <x:c r="X28" s="27"/>
      <x:c r="Y28" s="27"/>
      <x:c r="Z28" s="27"/>
      <x:c r="AA28" s="27"/>
      <x:c r="AB28" s="27"/>
      <x:c r="AC28" s="27"/>
      <x:c r="AD28" s="27"/>
      <x:c r="AE28" s="27"/>
      <x:c r="AF28" s="27"/>
      <x:c r="AG28" s="27"/>
      <x:c r="AH28" s="27"/>
      <x:c r="AI28" s="27"/>
      <x:c r="AJ28" s="27"/>
      <x:c r="AK28" s="27"/>
      <x:c r="AL28" s="27"/>
      <x:c r="AM28" s="27"/>
      <x:c r="AN28" s="27"/>
      <x:c r="AO28" s="27"/>
      <x:c r="AP28" s="27"/>
      <x:c r="AQ28" s="27"/>
      <x:c r="AR28" s="27"/>
      <x:c r="AS28" s="27"/>
      <x:c r="AT28" s="27"/>
      <x:c r="AU28" s="27"/>
      <x:c r="AV28" s="27"/>
      <x:c r="AW28" s="27"/>
      <x:c r="AX28" s="27"/>
      <x:c r="AY28" s="27"/>
      <x:c r="AZ28" s="27"/>
    </x:row>
    <x:row r="29">
      <x:c r="A29" s="27"/>
      <x:c r="B29" s="27"/>
      <x:c r="C29" s="27"/>
      <x:c r="D29" s="27"/>
      <x:c r="E29" s="27"/>
      <x:c r="F29" s="27"/>
      <x:c r="G29" s="27"/>
      <x:c r="H29" s="27"/>
      <x:c r="I29" s="27"/>
      <x:c r="J29" s="27"/>
      <x:c r="K29" s="27"/>
      <x:c r="L29" s="27"/>
      <x:c r="M29" s="27"/>
      <x:c r="N29" s="27"/>
      <x:c r="O29" s="27"/>
      <x:c r="P29" s="27"/>
      <x:c r="Q29" s="27"/>
      <x:c r="R29" s="27"/>
      <x:c r="S29" s="27"/>
      <x:c r="T29" s="27"/>
      <x:c r="U29" s="27"/>
      <x:c r="V29" s="27"/>
      <x:c r="W29" s="27"/>
      <x:c r="X29" s="27"/>
      <x:c r="Y29" s="27"/>
      <x:c r="Z29" s="27"/>
      <x:c r="AA29" s="27"/>
      <x:c r="AB29" s="27"/>
      <x:c r="AC29" s="27"/>
      <x:c r="AD29" s="27"/>
      <x:c r="AE29" s="27"/>
      <x:c r="AF29" s="27"/>
      <x:c r="AG29" s="27"/>
      <x:c r="AH29" s="27"/>
      <x:c r="AI29" s="27"/>
      <x:c r="AJ29" s="27"/>
      <x:c r="AK29" s="27"/>
      <x:c r="AL29" s="27"/>
      <x:c r="AM29" s="27"/>
      <x:c r="AN29" s="27"/>
      <x:c r="AO29" s="27"/>
      <x:c r="AP29" s="27"/>
      <x:c r="AQ29" s="27"/>
      <x:c r="AR29" s="27"/>
      <x:c r="AS29" s="27"/>
      <x:c r="AT29" s="27"/>
      <x:c r="AU29" s="27"/>
      <x:c r="AV29" s="27"/>
      <x:c r="AW29" s="27"/>
      <x:c r="AX29" s="27"/>
      <x:c r="AY29" s="27"/>
      <x:c r="AZ29" s="27"/>
    </x:row>
    <x:row r="30">
      <x:c r="A30" s="27"/>
      <x:c r="B30" s="27"/>
      <x:c r="C30" s="27"/>
      <x:c r="D30" s="27"/>
      <x:c r="E30" s="27"/>
      <x:c r="F30" s="27"/>
      <x:c r="G30" s="27"/>
      <x:c r="H30" s="27"/>
      <x:c r="I30" s="27"/>
      <x:c r="J30" s="27"/>
      <x:c r="K30" s="27"/>
      <x:c r="L30" s="27"/>
      <x:c r="M30" s="27"/>
      <x:c r="N30" s="27"/>
      <x:c r="O30" s="27"/>
      <x:c r="P30" s="27"/>
      <x:c r="Q30" s="27"/>
      <x:c r="R30" s="27"/>
      <x:c r="S30" s="27"/>
      <x:c r="T30" s="27"/>
      <x:c r="U30" s="27"/>
      <x:c r="V30" s="27"/>
      <x:c r="W30" s="27"/>
      <x:c r="X30" s="27"/>
      <x:c r="Y30" s="27"/>
      <x:c r="Z30" s="27"/>
      <x:c r="AA30" s="27"/>
      <x:c r="AB30" s="27"/>
      <x:c r="AC30" s="27"/>
      <x:c r="AD30" s="27"/>
      <x:c r="AE30" s="27"/>
      <x:c r="AF30" s="27"/>
      <x:c r="AG30" s="27"/>
      <x:c r="AH30" s="27"/>
      <x:c r="AI30" s="27"/>
      <x:c r="AJ30" s="27"/>
      <x:c r="AK30" s="27"/>
      <x:c r="AL30" s="27"/>
      <x:c r="AM30" s="27"/>
      <x:c r="AN30" s="27"/>
      <x:c r="AO30" s="27"/>
      <x:c r="AP30" s="27"/>
      <x:c r="AQ30" s="27"/>
      <x:c r="AR30" s="27"/>
      <x:c r="AS30" s="27"/>
      <x:c r="AT30" s="27"/>
      <x:c r="AU30" s="27"/>
      <x:c r="AV30" s="27"/>
      <x:c r="AW30" s="27"/>
      <x:c r="AX30" s="27"/>
      <x:c r="AY30" s="27"/>
      <x:c r="AZ30" s="27"/>
    </x:row>
    <x:row r="31">
      <x:c r="A31" s="27"/>
      <x:c r="B31" s="27"/>
      <x:c r="C31" s="27"/>
      <x:c r="D31" s="27"/>
      <x:c r="E31" s="27"/>
      <x:c r="F31" s="27"/>
      <x:c r="G31" s="27"/>
      <x:c r="H31" s="27"/>
      <x:c r="I31" s="27"/>
      <x:c r="J31" s="27"/>
      <x:c r="K31" s="27"/>
      <x:c r="L31" s="27"/>
      <x:c r="M31" s="27"/>
      <x:c r="N31" s="27"/>
      <x:c r="O31" s="27"/>
      <x:c r="P31" s="27"/>
      <x:c r="Q31" s="27"/>
      <x:c r="R31" s="27"/>
      <x:c r="S31" s="27"/>
      <x:c r="T31" s="27"/>
      <x:c r="U31" s="27"/>
      <x:c r="V31" s="27"/>
      <x:c r="W31" s="27"/>
      <x:c r="X31" s="27"/>
      <x:c r="Y31" s="27"/>
      <x:c r="Z31" s="27"/>
      <x:c r="AA31" s="27"/>
      <x:c r="AB31" s="27"/>
      <x:c r="AC31" s="27"/>
      <x:c r="AD31" s="27"/>
      <x:c r="AE31" s="27"/>
      <x:c r="AF31" s="27"/>
      <x:c r="AG31" s="27"/>
      <x:c r="AH31" s="27"/>
      <x:c r="AI31" s="27"/>
      <x:c r="AJ31" s="27"/>
      <x:c r="AK31" s="27"/>
      <x:c r="AL31" s="27"/>
      <x:c r="AM31" s="27"/>
      <x:c r="AN31" s="27"/>
      <x:c r="AO31" s="27"/>
      <x:c r="AP31" s="27"/>
      <x:c r="AQ31" s="27"/>
      <x:c r="AR31" s="27"/>
      <x:c r="AS31" s="27"/>
      <x:c r="AT31" s="27"/>
      <x:c r="AU31" s="27"/>
      <x:c r="AV31" s="27"/>
      <x:c r="AW31" s="27"/>
      <x:c r="AX31" s="27"/>
      <x:c r="AY31" s="27"/>
      <x:c r="AZ31" s="27"/>
    </x:row>
    <x:row r="32">
      <x:c r="A32" s="27"/>
      <x:c r="B32" s="27"/>
      <x:c r="C32" s="27"/>
      <x:c r="D32" s="27"/>
      <x:c r="E32" s="27"/>
      <x:c r="F32" s="27"/>
      <x:c r="G32" s="27"/>
      <x:c r="H32" s="27"/>
      <x:c r="I32" s="27"/>
      <x:c r="J32" s="27"/>
      <x:c r="K32" s="27"/>
      <x:c r="L32" s="27"/>
      <x:c r="M32" s="27"/>
      <x:c r="N32" s="27"/>
      <x:c r="O32" s="27"/>
      <x:c r="P32" s="27"/>
      <x:c r="Q32" s="27"/>
      <x:c r="R32" s="27"/>
      <x:c r="S32" s="27"/>
      <x:c r="T32" s="27"/>
      <x:c r="U32" s="27"/>
      <x:c r="V32" s="27"/>
      <x:c r="W32" s="27"/>
      <x:c r="X32" s="27"/>
      <x:c r="Y32" s="27"/>
      <x:c r="Z32" s="27"/>
      <x:c r="AA32" s="27"/>
      <x:c r="AB32" s="27"/>
      <x:c r="AC32" s="27"/>
      <x:c r="AD32" s="27"/>
      <x:c r="AE32" s="27"/>
      <x:c r="AF32" s="27"/>
      <x:c r="AG32" s="27"/>
      <x:c r="AH32" s="27"/>
      <x:c r="AI32" s="27"/>
      <x:c r="AJ32" s="27"/>
      <x:c r="AK32" s="27"/>
      <x:c r="AL32" s="27"/>
      <x:c r="AM32" s="27"/>
      <x:c r="AN32" s="27"/>
      <x:c r="AO32" s="27"/>
      <x:c r="AP32" s="27"/>
      <x:c r="AQ32" s="27"/>
      <x:c r="AR32" s="27"/>
      <x:c r="AS32" s="27"/>
      <x:c r="AT32" s="27"/>
      <x:c r="AU32" s="27"/>
      <x:c r="AV32" s="27"/>
      <x:c r="AW32" s="27"/>
      <x:c r="AX32" s="27"/>
      <x:c r="AY32" s="27"/>
      <x:c r="AZ32" s="27"/>
    </x:row>
    <x:row r="33">
      <x:c r="A33" s="27"/>
      <x:c r="B33" s="27"/>
      <x:c r="C33" s="27"/>
      <x:c r="D33" s="27"/>
      <x:c r="E33" s="27"/>
      <x:c r="F33" s="27"/>
      <x:c r="G33" s="27"/>
      <x:c r="H33" s="27"/>
      <x:c r="I33" s="27"/>
      <x:c r="J33" s="27"/>
      <x:c r="K33" s="27"/>
      <x:c r="L33" s="27"/>
      <x:c r="M33" s="27"/>
      <x:c r="N33" s="27"/>
      <x:c r="O33" s="27"/>
      <x:c r="P33" s="27"/>
      <x:c r="Q33" s="27"/>
      <x:c r="R33" s="27"/>
      <x:c r="S33" s="27"/>
      <x:c r="T33" s="27"/>
      <x:c r="U33" s="27"/>
      <x:c r="V33" s="27"/>
      <x:c r="W33" s="27"/>
      <x:c r="X33" s="27"/>
      <x:c r="Y33" s="27"/>
      <x:c r="Z33" s="27"/>
      <x:c r="AA33" s="27"/>
      <x:c r="AB33" s="27"/>
      <x:c r="AC33" s="27"/>
      <x:c r="AD33" s="27"/>
      <x:c r="AE33" s="27"/>
      <x:c r="AF33" s="27"/>
      <x:c r="AG33" s="27"/>
      <x:c r="AH33" s="27"/>
      <x:c r="AI33" s="27"/>
      <x:c r="AJ33" s="27"/>
      <x:c r="AK33" s="27"/>
      <x:c r="AL33" s="27"/>
      <x:c r="AM33" s="27"/>
      <x:c r="AN33" s="27"/>
      <x:c r="AO33" s="27"/>
      <x:c r="AP33" s="27"/>
      <x:c r="AQ33" s="27"/>
      <x:c r="AR33" s="27"/>
      <x:c r="AS33" s="27"/>
      <x:c r="AT33" s="27"/>
      <x:c r="AU33" s="27"/>
      <x:c r="AV33" s="27"/>
      <x:c r="AW33" s="27"/>
      <x:c r="AX33" s="27"/>
      <x:c r="AY33" s="27"/>
      <x:c r="AZ33" s="27"/>
    </x:row>
    <x:row r="34">
      <x:c r="A34" s="27"/>
      <x:c r="B34" s="27"/>
      <x:c r="C34" s="27"/>
      <x:c r="D34" s="27"/>
      <x:c r="E34" s="27"/>
      <x:c r="F34" s="27"/>
      <x:c r="G34" s="27"/>
      <x:c r="H34" s="27"/>
      <x:c r="I34" s="27"/>
      <x:c r="J34" s="27"/>
      <x:c r="K34" s="27"/>
      <x:c r="L34" s="27"/>
      <x:c r="M34" s="27"/>
      <x:c r="N34" s="27"/>
      <x:c r="O34" s="27"/>
      <x:c r="P34" s="27"/>
      <x:c r="Q34" s="27"/>
      <x:c r="R34" s="27"/>
      <x:c r="S34" s="27"/>
      <x:c r="T34" s="27"/>
      <x:c r="U34" s="27"/>
      <x:c r="V34" s="27"/>
      <x:c r="W34" s="27"/>
      <x:c r="X34" s="27"/>
      <x:c r="Y34" s="27"/>
      <x:c r="Z34" s="27"/>
      <x:c r="AA34" s="27"/>
      <x:c r="AB34" s="27"/>
      <x:c r="AC34" s="27"/>
      <x:c r="AD34" s="27"/>
      <x:c r="AE34" s="27"/>
      <x:c r="AF34" s="27"/>
      <x:c r="AG34" s="27"/>
      <x:c r="AH34" s="27"/>
      <x:c r="AI34" s="27"/>
      <x:c r="AJ34" s="27"/>
      <x:c r="AK34" s="27"/>
      <x:c r="AL34" s="27"/>
      <x:c r="AM34" s="27"/>
      <x:c r="AN34" s="27"/>
      <x:c r="AO34" s="27"/>
      <x:c r="AP34" s="27"/>
      <x:c r="AQ34" s="27"/>
      <x:c r="AR34" s="27"/>
      <x:c r="AS34" s="27"/>
      <x:c r="AT34" s="27"/>
      <x:c r="AU34" s="27"/>
      <x:c r="AV34" s="27"/>
      <x:c r="AW34" s="27"/>
      <x:c r="AX34" s="27"/>
      <x:c r="AY34" s="27"/>
      <x:c r="AZ34" s="27"/>
    </x:row>
    <x:row r="35">
      <x:c r="A35" s="27"/>
      <x:c r="B35" s="27"/>
      <x:c r="C35" s="27"/>
      <x:c r="D35" s="27"/>
      <x:c r="E35" s="27"/>
      <x:c r="F35" s="27"/>
      <x:c r="G35" s="27"/>
      <x:c r="H35" s="27"/>
      <x:c r="I35" s="27"/>
      <x:c r="J35" s="27"/>
      <x:c r="K35" s="27"/>
      <x:c r="L35" s="27"/>
      <x:c r="M35" s="27"/>
      <x:c r="N35" s="27"/>
      <x:c r="O35" s="27"/>
      <x:c r="P35" s="27"/>
      <x:c r="Q35" s="27"/>
      <x:c r="R35" s="27"/>
      <x:c r="S35" s="27"/>
      <x:c r="T35" s="27"/>
      <x:c r="U35" s="27"/>
      <x:c r="V35" s="27"/>
      <x:c r="W35" s="27"/>
      <x:c r="X35" s="27"/>
      <x:c r="Y35" s="27"/>
      <x:c r="Z35" s="27"/>
      <x:c r="AA35" s="27"/>
      <x:c r="AB35" s="27"/>
      <x:c r="AC35" s="27"/>
      <x:c r="AD35" s="27"/>
      <x:c r="AE35" s="27"/>
      <x:c r="AF35" s="27"/>
      <x:c r="AG35" s="27"/>
      <x:c r="AH35" s="27"/>
      <x:c r="AI35" s="27"/>
      <x:c r="AJ35" s="27"/>
      <x:c r="AK35" s="27"/>
      <x:c r="AL35" s="27"/>
      <x:c r="AM35" s="27"/>
      <x:c r="AN35" s="27"/>
      <x:c r="AO35" s="27"/>
      <x:c r="AP35" s="27"/>
      <x:c r="AQ35" s="27"/>
      <x:c r="AR35" s="27"/>
      <x:c r="AS35" s="27"/>
      <x:c r="AT35" s="27"/>
      <x:c r="AU35" s="27"/>
      <x:c r="AV35" s="27"/>
      <x:c r="AW35" s="27"/>
      <x:c r="AX35" s="27"/>
      <x:c r="AY35" s="27"/>
      <x:c r="AZ35" s="27"/>
    </x:row>
    <x:row r="36">
      <x:c r="A36" s="27"/>
      <x:c r="B36" s="27"/>
      <x:c r="C36" s="27"/>
      <x:c r="D36" s="27"/>
      <x:c r="E36" s="27"/>
      <x:c r="F36" s="27"/>
      <x:c r="G36" s="27"/>
      <x:c r="H36" s="27"/>
      <x:c r="I36" s="27"/>
      <x:c r="J36" s="27"/>
      <x:c r="K36" s="27"/>
      <x:c r="L36" s="27"/>
      <x:c r="M36" s="27"/>
      <x:c r="N36" s="27"/>
      <x:c r="O36" s="27"/>
      <x:c r="P36" s="27"/>
      <x:c r="Q36" s="27"/>
      <x:c r="R36" s="27"/>
      <x:c r="S36" s="27"/>
      <x:c r="T36" s="27"/>
      <x:c r="U36" s="27"/>
      <x:c r="V36" s="27"/>
      <x:c r="W36" s="27"/>
      <x:c r="X36" s="27"/>
      <x:c r="Y36" s="27"/>
      <x:c r="Z36" s="27"/>
      <x:c r="AA36" s="27"/>
      <x:c r="AB36" s="27"/>
      <x:c r="AC36" s="27"/>
      <x:c r="AD36" s="27"/>
      <x:c r="AE36" s="27"/>
      <x:c r="AF36" s="27"/>
      <x:c r="AG36" s="27"/>
      <x:c r="AH36" s="27"/>
      <x:c r="AI36" s="27"/>
      <x:c r="AJ36" s="27"/>
      <x:c r="AK36" s="27"/>
      <x:c r="AL36" s="27"/>
      <x:c r="AM36" s="27"/>
      <x:c r="AN36" s="27"/>
      <x:c r="AO36" s="27"/>
      <x:c r="AP36" s="27"/>
      <x:c r="AQ36" s="27"/>
      <x:c r="AR36" s="27"/>
      <x:c r="AS36" s="27"/>
      <x:c r="AT36" s="27"/>
      <x:c r="AU36" s="27"/>
      <x:c r="AV36" s="27"/>
      <x:c r="AW36" s="27"/>
      <x:c r="AX36" s="27"/>
      <x:c r="AY36" s="27"/>
      <x:c r="AZ36" s="27"/>
    </x:row>
    <x:row r="37">
      <x:c r="A37" s="27"/>
      <x:c r="B37" s="27"/>
      <x:c r="C37" s="27"/>
      <x:c r="D37" s="27"/>
      <x:c r="E37" s="27"/>
      <x:c r="F37" s="27"/>
      <x:c r="G37" s="27"/>
      <x:c r="H37" s="27"/>
      <x:c r="I37" s="27"/>
      <x:c r="J37" s="27"/>
      <x:c r="K37" s="27"/>
      <x:c r="L37" s="27"/>
      <x:c r="M37" s="27"/>
      <x:c r="N37" s="27"/>
      <x:c r="O37" s="27"/>
      <x:c r="P37" s="27"/>
      <x:c r="Q37" s="27"/>
      <x:c r="R37" s="27"/>
      <x:c r="S37" s="27"/>
      <x:c r="T37" s="27"/>
      <x:c r="U37" s="27"/>
      <x:c r="V37" s="27"/>
      <x:c r="W37" s="27"/>
      <x:c r="X37" s="27"/>
      <x:c r="Y37" s="27"/>
      <x:c r="Z37" s="27"/>
      <x:c r="AA37" s="27"/>
      <x:c r="AB37" s="27"/>
      <x:c r="AC37" s="27"/>
      <x:c r="AD37" s="27"/>
      <x:c r="AE37" s="27"/>
      <x:c r="AF37" s="27"/>
      <x:c r="AG37" s="27"/>
      <x:c r="AH37" s="27"/>
      <x:c r="AI37" s="27"/>
      <x:c r="AJ37" s="27"/>
      <x:c r="AK37" s="27"/>
      <x:c r="AL37" s="27"/>
      <x:c r="AM37" s="27"/>
      <x:c r="AN37" s="27"/>
      <x:c r="AO37" s="27"/>
      <x:c r="AP37" s="27"/>
      <x:c r="AQ37" s="27"/>
      <x:c r="AR37" s="27"/>
      <x:c r="AS37" s="27"/>
      <x:c r="AT37" s="27"/>
      <x:c r="AU37" s="27"/>
      <x:c r="AV37" s="27"/>
      <x:c r="AW37" s="27"/>
      <x:c r="AX37" s="27"/>
      <x:c r="AY37" s="27"/>
      <x:c r="AZ37" s="27"/>
    </x:row>
    <x:row r="38">
      <x:c r="A38" s="27"/>
      <x:c r="B38" s="27"/>
      <x:c r="C38" s="27"/>
      <x:c r="D38" s="27"/>
      <x:c r="E38" s="27"/>
      <x:c r="F38" s="27"/>
      <x:c r="G38" s="27"/>
      <x:c r="H38" s="27"/>
      <x:c r="I38" s="27"/>
      <x:c r="J38" s="27"/>
      <x:c r="K38" s="27"/>
      <x:c r="L38" s="27"/>
      <x:c r="M38" s="27"/>
      <x:c r="N38" s="27"/>
      <x:c r="O38" s="27"/>
      <x:c r="P38" s="27"/>
      <x:c r="Q38" s="27"/>
      <x:c r="R38" s="27"/>
      <x:c r="S38" s="27"/>
      <x:c r="T38" s="27"/>
      <x:c r="U38" s="27"/>
      <x:c r="V38" s="27"/>
      <x:c r="W38" s="27"/>
      <x:c r="X38" s="27"/>
      <x:c r="Y38" s="27"/>
      <x:c r="Z38" s="27"/>
      <x:c r="AA38" s="27"/>
      <x:c r="AB38" s="27"/>
      <x:c r="AC38" s="27"/>
      <x:c r="AD38" s="27"/>
      <x:c r="AE38" s="27"/>
      <x:c r="AF38" s="27"/>
      <x:c r="AG38" s="27"/>
      <x:c r="AH38" s="27"/>
      <x:c r="AI38" s="27"/>
      <x:c r="AJ38" s="27"/>
      <x:c r="AK38" s="27"/>
      <x:c r="AL38" s="27"/>
      <x:c r="AM38" s="27"/>
      <x:c r="AN38" s="27"/>
      <x:c r="AO38" s="27"/>
      <x:c r="AP38" s="27"/>
      <x:c r="AQ38" s="27"/>
      <x:c r="AR38" s="27"/>
      <x:c r="AS38" s="27"/>
      <x:c r="AT38" s="27"/>
      <x:c r="AU38" s="27"/>
      <x:c r="AV38" s="27"/>
      <x:c r="AW38" s="27"/>
      <x:c r="AX38" s="27"/>
      <x:c r="AY38" s="27"/>
      <x:c r="AZ38" s="27"/>
    </x:row>
    <x:row r="39">
      <x:c r="A39" s="27"/>
      <x:c r="B39" s="27"/>
      <x:c r="C39" s="27"/>
      <x:c r="D39" s="27"/>
      <x:c r="E39" s="27"/>
      <x:c r="F39" s="27"/>
      <x:c r="G39" s="27"/>
      <x:c r="H39" s="27"/>
      <x:c r="I39" s="27"/>
      <x:c r="J39" s="27"/>
      <x:c r="K39" s="27"/>
      <x:c r="L39" s="27"/>
      <x:c r="M39" s="27"/>
      <x:c r="N39" s="27"/>
      <x:c r="O39" s="27"/>
      <x:c r="P39" s="27"/>
      <x:c r="Q39" s="27"/>
      <x:c r="R39" s="27"/>
      <x:c r="S39" s="27"/>
      <x:c r="T39" s="27"/>
      <x:c r="U39" s="27"/>
      <x:c r="V39" s="27"/>
      <x:c r="W39" s="27"/>
      <x:c r="X39" s="27"/>
      <x:c r="Y39" s="27"/>
      <x:c r="Z39" s="27"/>
      <x:c r="AA39" s="27"/>
      <x:c r="AB39" s="27"/>
      <x:c r="AC39" s="27"/>
      <x:c r="AD39" s="27"/>
      <x:c r="AE39" s="27"/>
      <x:c r="AF39" s="27"/>
      <x:c r="AG39" s="27"/>
      <x:c r="AH39" s="27"/>
      <x:c r="AI39" s="27"/>
      <x:c r="AJ39" s="27"/>
      <x:c r="AK39" s="27"/>
      <x:c r="AL39" s="27"/>
      <x:c r="AM39" s="27"/>
      <x:c r="AN39" s="27"/>
      <x:c r="AO39" s="27"/>
      <x:c r="AP39" s="27"/>
      <x:c r="AQ39" s="27"/>
      <x:c r="AR39" s="27"/>
      <x:c r="AS39" s="27"/>
      <x:c r="AT39" s="27"/>
      <x:c r="AU39" s="27"/>
      <x:c r="AV39" s="27"/>
      <x:c r="AW39" s="27"/>
      <x:c r="AX39" s="27"/>
      <x:c r="AY39" s="27"/>
      <x:c r="AZ39" s="27"/>
    </x:row>
    <x:row r="40">
      <x:c r="A40" s="27"/>
      <x:c r="B40" s="27"/>
      <x:c r="C40" s="27"/>
      <x:c r="D40" s="27"/>
      <x:c r="E40" s="27"/>
      <x:c r="F40" s="27"/>
      <x:c r="G40" s="27"/>
      <x:c r="H40" s="27"/>
      <x:c r="I40" s="27"/>
      <x:c r="J40" s="27"/>
      <x:c r="K40" s="27"/>
      <x:c r="L40" s="27"/>
      <x:c r="M40" s="27"/>
      <x:c r="N40" s="27"/>
      <x:c r="O40" s="27"/>
      <x:c r="P40" s="27"/>
      <x:c r="Q40" s="27"/>
      <x:c r="R40" s="27"/>
      <x:c r="S40" s="27"/>
      <x:c r="T40" s="27"/>
      <x:c r="U40" s="27"/>
      <x:c r="V40" s="27"/>
      <x:c r="W40" s="27"/>
      <x:c r="X40" s="27"/>
      <x:c r="Y40" s="27"/>
      <x:c r="Z40" s="27"/>
      <x:c r="AA40" s="27"/>
      <x:c r="AB40" s="27"/>
      <x:c r="AC40" s="27"/>
      <x:c r="AD40" s="27"/>
      <x:c r="AE40" s="27"/>
      <x:c r="AF40" s="27"/>
      <x:c r="AG40" s="27"/>
      <x:c r="AH40" s="27"/>
      <x:c r="AI40" s="27"/>
      <x:c r="AJ40" s="27"/>
      <x:c r="AK40" s="27"/>
      <x:c r="AL40" s="27"/>
      <x:c r="AM40" s="27"/>
      <x:c r="AN40" s="27"/>
      <x:c r="AO40" s="27"/>
      <x:c r="AP40" s="27"/>
      <x:c r="AQ40" s="27"/>
      <x:c r="AR40" s="27"/>
      <x:c r="AS40" s="27"/>
      <x:c r="AT40" s="27"/>
      <x:c r="AU40" s="27"/>
      <x:c r="AV40" s="27"/>
      <x:c r="AW40" s="27"/>
      <x:c r="AX40" s="27"/>
      <x:c r="AY40" s="27"/>
      <x:c r="AZ40" s="27"/>
    </x:row>
    <x:row r="41">
      <x:c r="A41" s="27"/>
      <x:c r="B41" s="27"/>
      <x:c r="C41" s="27"/>
      <x:c r="D41" s="27"/>
      <x:c r="E41" s="27"/>
      <x:c r="F41" s="27"/>
      <x:c r="G41" s="27"/>
      <x:c r="H41" s="27"/>
      <x:c r="I41" s="27"/>
      <x:c r="J41" s="27"/>
      <x:c r="K41" s="27"/>
      <x:c r="L41" s="27"/>
      <x:c r="M41" s="27"/>
      <x:c r="N41" s="27"/>
      <x:c r="O41" s="27"/>
      <x:c r="P41" s="27"/>
      <x:c r="Q41" s="27"/>
      <x:c r="R41" s="27"/>
      <x:c r="S41" s="27"/>
      <x:c r="T41" s="27"/>
      <x:c r="U41" s="27"/>
      <x:c r="V41" s="27"/>
      <x:c r="W41" s="27"/>
      <x:c r="X41" s="27"/>
      <x:c r="Y41" s="27"/>
      <x:c r="Z41" s="27"/>
      <x:c r="AA41" s="27"/>
      <x:c r="AB41" s="27"/>
      <x:c r="AC41" s="27"/>
      <x:c r="AD41" s="27"/>
      <x:c r="AE41" s="27"/>
      <x:c r="AF41" s="27"/>
      <x:c r="AG41" s="27"/>
      <x:c r="AH41" s="27"/>
      <x:c r="AI41" s="27"/>
      <x:c r="AJ41" s="27"/>
      <x:c r="AK41" s="27"/>
      <x:c r="AL41" s="27"/>
      <x:c r="AM41" s="27"/>
      <x:c r="AN41" s="27"/>
      <x:c r="AO41" s="27"/>
      <x:c r="AP41" s="27"/>
      <x:c r="AQ41" s="27"/>
      <x:c r="AR41" s="27"/>
      <x:c r="AS41" s="27"/>
      <x:c r="AT41" s="27"/>
      <x:c r="AU41" s="27"/>
      <x:c r="AV41" s="27"/>
      <x:c r="AW41" s="27"/>
      <x:c r="AX41" s="27"/>
      <x:c r="AY41" s="27"/>
      <x:c r="AZ41" s="27"/>
    </x:row>
    <x:row r="42">
      <x:c r="A42" s="27"/>
      <x:c r="B42" s="27"/>
      <x:c r="C42" s="27"/>
      <x:c r="D42" s="27"/>
      <x:c r="E42" s="27"/>
      <x:c r="F42" s="27"/>
      <x:c r="G42" s="27"/>
      <x:c r="H42" s="27"/>
      <x:c r="I42" s="27"/>
      <x:c r="J42" s="27"/>
      <x:c r="K42" s="27"/>
      <x:c r="L42" s="27"/>
      <x:c r="M42" s="27"/>
      <x:c r="N42" s="27"/>
      <x:c r="O42" s="27"/>
      <x:c r="P42" s="27"/>
      <x:c r="Q42" s="27"/>
      <x:c r="R42" s="27"/>
      <x:c r="S42" s="27"/>
      <x:c r="T42" s="27"/>
      <x:c r="U42" s="27"/>
      <x:c r="V42" s="27"/>
      <x:c r="W42" s="27"/>
      <x:c r="X42" s="27"/>
      <x:c r="Y42" s="27"/>
      <x:c r="Z42" s="27"/>
      <x:c r="AA42" s="27"/>
      <x:c r="AB42" s="27"/>
      <x:c r="AC42" s="27"/>
      <x:c r="AD42" s="27"/>
      <x:c r="AE42" s="27"/>
      <x:c r="AF42" s="27"/>
      <x:c r="AG42" s="27"/>
      <x:c r="AH42" s="27"/>
      <x:c r="AI42" s="27"/>
      <x:c r="AJ42" s="27"/>
      <x:c r="AK42" s="27"/>
      <x:c r="AL42" s="27"/>
      <x:c r="AM42" s="27"/>
      <x:c r="AN42" s="27"/>
      <x:c r="AO42" s="27"/>
      <x:c r="AP42" s="27"/>
      <x:c r="AQ42" s="27"/>
      <x:c r="AR42" s="27"/>
      <x:c r="AS42" s="27"/>
      <x:c r="AT42" s="27"/>
      <x:c r="AU42" s="27"/>
      <x:c r="AV42" s="27"/>
      <x:c r="AW42" s="27"/>
      <x:c r="AX42" s="27"/>
      <x:c r="AY42" s="27"/>
      <x:c r="AZ42" s="27"/>
    </x:row>
    <x:row r="43">
      <x:c r="A43" s="27"/>
      <x:c r="B43" s="27"/>
      <x:c r="C43" s="27"/>
      <x:c r="D43" s="27"/>
      <x:c r="E43" s="27"/>
      <x:c r="F43" s="27"/>
      <x:c r="G43" s="27"/>
      <x:c r="H43" s="27"/>
      <x:c r="I43" s="27"/>
      <x:c r="J43" s="27"/>
      <x:c r="K43" s="27"/>
      <x:c r="L43" s="27"/>
      <x:c r="M43" s="27"/>
      <x:c r="N43" s="27"/>
      <x:c r="O43" s="27"/>
      <x:c r="P43" s="27"/>
      <x:c r="Q43" s="27"/>
      <x:c r="R43" s="27"/>
      <x:c r="S43" s="27"/>
      <x:c r="T43" s="27"/>
      <x:c r="U43" s="27"/>
      <x:c r="V43" s="27"/>
      <x:c r="W43" s="27"/>
      <x:c r="X43" s="27"/>
      <x:c r="Y43" s="27"/>
      <x:c r="Z43" s="27"/>
      <x:c r="AA43" s="27"/>
      <x:c r="AB43" s="27"/>
      <x:c r="AC43" s="27"/>
      <x:c r="AD43" s="27"/>
      <x:c r="AE43" s="27"/>
      <x:c r="AF43" s="27"/>
      <x:c r="AG43" s="27"/>
      <x:c r="AH43" s="27"/>
      <x:c r="AI43" s="27"/>
      <x:c r="AJ43" s="27"/>
      <x:c r="AK43" s="27"/>
      <x:c r="AL43" s="27"/>
      <x:c r="AM43" s="27"/>
      <x:c r="AN43" s="27"/>
      <x:c r="AO43" s="27"/>
      <x:c r="AP43" s="27"/>
      <x:c r="AQ43" s="27"/>
      <x:c r="AR43" s="27"/>
      <x:c r="AS43" s="27"/>
      <x:c r="AT43" s="27"/>
      <x:c r="AU43" s="27"/>
      <x:c r="AV43" s="27"/>
      <x:c r="AW43" s="27"/>
      <x:c r="AX43" s="27"/>
      <x:c r="AY43" s="27"/>
      <x:c r="AZ43" s="27"/>
    </x:row>
    <x:row r="44">
      <x:c r="A44" s="27"/>
      <x:c r="B44" s="27"/>
      <x:c r="C44" s="27"/>
      <x:c r="D44" s="27"/>
      <x:c r="E44" s="27"/>
      <x:c r="F44" s="27"/>
      <x:c r="G44" s="27"/>
      <x:c r="H44" s="27"/>
      <x:c r="I44" s="27"/>
      <x:c r="J44" s="27"/>
      <x:c r="K44" s="27"/>
      <x:c r="L44" s="27"/>
      <x:c r="M44" s="27"/>
      <x:c r="N44" s="27"/>
      <x:c r="O44" s="27"/>
      <x:c r="P44" s="27"/>
      <x:c r="Q44" s="27"/>
      <x:c r="R44" s="27"/>
      <x:c r="S44" s="27"/>
      <x:c r="T44" s="27"/>
      <x:c r="U44" s="27"/>
      <x:c r="V44" s="27"/>
      <x:c r="W44" s="27"/>
      <x:c r="X44" s="27"/>
      <x:c r="Y44" s="27"/>
      <x:c r="Z44" s="27"/>
      <x:c r="AA44" s="27"/>
      <x:c r="AB44" s="27"/>
      <x:c r="AC44" s="27"/>
      <x:c r="AD44" s="27"/>
      <x:c r="AE44" s="27"/>
      <x:c r="AF44" s="27"/>
      <x:c r="AG44" s="27"/>
      <x:c r="AH44" s="27"/>
      <x:c r="AI44" s="27"/>
      <x:c r="AJ44" s="27"/>
      <x:c r="AK44" s="27"/>
      <x:c r="AL44" s="27"/>
      <x:c r="AM44" s="27"/>
      <x:c r="AN44" s="27"/>
      <x:c r="AO44" s="27"/>
      <x:c r="AP44" s="27"/>
      <x:c r="AQ44" s="27"/>
      <x:c r="AR44" s="27"/>
      <x:c r="AS44" s="27"/>
      <x:c r="AT44" s="27"/>
      <x:c r="AU44" s="27"/>
      <x:c r="AV44" s="27"/>
      <x:c r="AW44" s="27"/>
      <x:c r="AX44" s="27"/>
      <x:c r="AY44" s="27"/>
      <x:c r="AZ44" s="27"/>
    </x:row>
    <x:row r="45">
      <x:c r="A45" s="27"/>
      <x:c r="B45" s="27"/>
      <x:c r="C45" s="27"/>
      <x:c r="D45" s="27"/>
      <x:c r="E45" s="27"/>
      <x:c r="F45" s="27"/>
      <x:c r="G45" s="27"/>
      <x:c r="H45" s="27"/>
      <x:c r="I45" s="27"/>
      <x:c r="J45" s="27"/>
      <x:c r="K45" s="27"/>
      <x:c r="L45" s="27"/>
      <x:c r="M45" s="27"/>
      <x:c r="N45" s="27"/>
      <x:c r="O45" s="27"/>
      <x:c r="P45" s="27"/>
      <x:c r="Q45" s="27"/>
      <x:c r="R45" s="27"/>
      <x:c r="S45" s="27"/>
      <x:c r="T45" s="27"/>
      <x:c r="U45" s="27"/>
      <x:c r="V45" s="27"/>
      <x:c r="W45" s="27"/>
      <x:c r="X45" s="27"/>
      <x:c r="Y45" s="27"/>
      <x:c r="Z45" s="27"/>
      <x:c r="AA45" s="27"/>
      <x:c r="AB45" s="27"/>
      <x:c r="AC45" s="27"/>
      <x:c r="AD45" s="27"/>
      <x:c r="AE45" s="27"/>
      <x:c r="AF45" s="27"/>
      <x:c r="AG45" s="27"/>
      <x:c r="AH45" s="27"/>
      <x:c r="AI45" s="27"/>
      <x:c r="AJ45" s="27"/>
      <x:c r="AK45" s="27"/>
      <x:c r="AL45" s="27"/>
      <x:c r="AM45" s="27"/>
      <x:c r="AN45" s="27"/>
      <x:c r="AO45" s="27"/>
      <x:c r="AP45" s="27"/>
      <x:c r="AQ45" s="27"/>
      <x:c r="AR45" s="27"/>
      <x:c r="AS45" s="27"/>
      <x:c r="AT45" s="27"/>
      <x:c r="AU45" s="27"/>
      <x:c r="AV45" s="27"/>
      <x:c r="AW45" s="27"/>
      <x:c r="AX45" s="27"/>
      <x:c r="AY45" s="27"/>
      <x:c r="AZ45" s="27"/>
    </x:row>
    <x:row r="46">
      <x:c r="A46" s="27"/>
      <x:c r="B46" s="27"/>
      <x:c r="C46" s="27"/>
      <x:c r="D46" s="27"/>
      <x:c r="E46" s="27"/>
      <x:c r="F46" s="27"/>
      <x:c r="G46" s="27"/>
      <x:c r="H46" s="27"/>
      <x:c r="I46" s="27"/>
      <x:c r="J46" s="27"/>
      <x:c r="K46" s="27"/>
      <x:c r="L46" s="27"/>
      <x:c r="M46" s="27"/>
      <x:c r="N46" s="27"/>
      <x:c r="O46" s="27"/>
      <x:c r="P46" s="27"/>
      <x:c r="Q46" s="27"/>
      <x:c r="R46" s="27"/>
      <x:c r="S46" s="27"/>
      <x:c r="T46" s="27"/>
      <x:c r="U46" s="27"/>
      <x:c r="V46" s="27"/>
      <x:c r="W46" s="27"/>
      <x:c r="X46" s="27"/>
      <x:c r="Y46" s="27"/>
      <x:c r="Z46" s="27"/>
      <x:c r="AA46" s="27"/>
      <x:c r="AB46" s="27"/>
      <x:c r="AC46" s="27"/>
      <x:c r="AD46" s="27"/>
      <x:c r="AE46" s="27"/>
      <x:c r="AF46" s="27"/>
      <x:c r="AG46" s="27"/>
      <x:c r="AH46" s="27"/>
      <x:c r="AI46" s="27"/>
      <x:c r="AJ46" s="27"/>
      <x:c r="AK46" s="27"/>
      <x:c r="AL46" s="27"/>
      <x:c r="AM46" s="27"/>
      <x:c r="AN46" s="27"/>
      <x:c r="AO46" s="27"/>
      <x:c r="AP46" s="27"/>
      <x:c r="AQ46" s="27"/>
      <x:c r="AR46" s="27"/>
      <x:c r="AS46" s="27"/>
      <x:c r="AT46" s="27"/>
      <x:c r="AU46" s="27"/>
      <x:c r="AV46" s="27"/>
      <x:c r="AW46" s="27"/>
      <x:c r="AX46" s="27"/>
      <x:c r="AY46" s="27"/>
      <x:c r="AZ46" s="27"/>
    </x:row>
    <x:row r="47">
      <x:c r="A47" s="27"/>
      <x:c r="B47" s="27"/>
      <x:c r="C47" s="27"/>
      <x:c r="D47" s="27"/>
      <x:c r="E47" s="27"/>
      <x:c r="F47" s="27"/>
      <x:c r="G47" s="27"/>
      <x:c r="H47" s="27"/>
      <x:c r="I47" s="27"/>
      <x:c r="J47" s="27"/>
      <x:c r="K47" s="27"/>
      <x:c r="L47" s="27"/>
      <x:c r="M47" s="27"/>
      <x:c r="N47" s="27"/>
      <x:c r="O47" s="27"/>
      <x:c r="P47" s="27"/>
      <x:c r="Q47" s="27"/>
      <x:c r="R47" s="27"/>
      <x:c r="S47" s="27"/>
      <x:c r="T47" s="27"/>
      <x:c r="U47" s="27"/>
      <x:c r="V47" s="27"/>
      <x:c r="W47" s="27"/>
      <x:c r="X47" s="27"/>
      <x:c r="Y47" s="27"/>
      <x:c r="Z47" s="27"/>
      <x:c r="AA47" s="27"/>
      <x:c r="AB47" s="27"/>
      <x:c r="AC47" s="27"/>
      <x:c r="AD47" s="27"/>
      <x:c r="AE47" s="27"/>
      <x:c r="AF47" s="27"/>
      <x:c r="AG47" s="27"/>
      <x:c r="AH47" s="27"/>
      <x:c r="AI47" s="27"/>
      <x:c r="AJ47" s="27"/>
      <x:c r="AK47" s="27"/>
      <x:c r="AL47" s="27"/>
      <x:c r="AM47" s="27"/>
      <x:c r="AN47" s="27"/>
      <x:c r="AO47" s="27"/>
      <x:c r="AP47" s="27"/>
      <x:c r="AQ47" s="27"/>
      <x:c r="AR47" s="27"/>
      <x:c r="AS47" s="27"/>
      <x:c r="AT47" s="27"/>
      <x:c r="AU47" s="27"/>
      <x:c r="AV47" s="27"/>
      <x:c r="AW47" s="27"/>
      <x:c r="AX47" s="27"/>
      <x:c r="AY47" s="27"/>
      <x:c r="AZ47" s="27"/>
    </x:row>
    <x:row r="48">
      <x:c r="A48" s="27"/>
      <x:c r="B48" s="27"/>
      <x:c r="C48" s="27"/>
      <x:c r="D48" s="27"/>
      <x:c r="E48" s="27"/>
      <x:c r="F48" s="27"/>
      <x:c r="G48" s="27"/>
      <x:c r="H48" s="27"/>
      <x:c r="I48" s="27"/>
      <x:c r="J48" s="27"/>
      <x:c r="K48" s="27"/>
      <x:c r="L48" s="27"/>
      <x:c r="M48" s="27"/>
      <x:c r="N48" s="27"/>
      <x:c r="O48" s="27"/>
      <x:c r="P48" s="27"/>
      <x:c r="Q48" s="27"/>
      <x:c r="R48" s="27"/>
      <x:c r="S48" s="27"/>
      <x:c r="T48" s="27"/>
      <x:c r="U48" s="27"/>
      <x:c r="V48" s="27"/>
      <x:c r="W48" s="27"/>
      <x:c r="X48" s="27"/>
      <x:c r="Y48" s="27"/>
      <x:c r="Z48" s="27"/>
      <x:c r="AA48" s="27"/>
      <x:c r="AB48" s="27"/>
      <x:c r="AC48" s="27"/>
      <x:c r="AD48" s="27"/>
      <x:c r="AE48" s="27"/>
      <x:c r="AF48" s="27"/>
      <x:c r="AG48" s="27"/>
      <x:c r="AH48" s="27"/>
      <x:c r="AI48" s="27"/>
      <x:c r="AJ48" s="27"/>
      <x:c r="AK48" s="27"/>
      <x:c r="AL48" s="27"/>
      <x:c r="AM48" s="27"/>
      <x:c r="AN48" s="27"/>
      <x:c r="AO48" s="27"/>
      <x:c r="AP48" s="27"/>
      <x:c r="AQ48" s="27"/>
      <x:c r="AR48" s="27"/>
      <x:c r="AS48" s="27"/>
      <x:c r="AT48" s="27"/>
      <x:c r="AU48" s="27"/>
      <x:c r="AV48" s="27"/>
      <x:c r="AW48" s="27"/>
      <x:c r="AX48" s="27"/>
      <x:c r="AY48" s="27"/>
      <x:c r="AZ48" s="27"/>
    </x:row>
    <x:row r="49">
      <x:c r="A49" s="27"/>
      <x:c r="B49" s="27"/>
      <x:c r="C49" s="27"/>
      <x:c r="D49" s="27"/>
      <x:c r="E49" s="27"/>
      <x:c r="F49" s="27"/>
      <x:c r="G49" s="27"/>
      <x:c r="H49" s="27"/>
      <x:c r="I49" s="27"/>
      <x:c r="J49" s="27"/>
      <x:c r="K49" s="27"/>
      <x:c r="L49" s="27"/>
      <x:c r="M49" s="27"/>
      <x:c r="N49" s="27"/>
      <x:c r="O49" s="27"/>
      <x:c r="P49" s="27"/>
      <x:c r="Q49" s="27"/>
      <x:c r="R49" s="27"/>
      <x:c r="S49" s="27"/>
      <x:c r="T49" s="27"/>
      <x:c r="U49" s="27"/>
      <x:c r="V49" s="27"/>
      <x:c r="W49" s="27"/>
      <x:c r="X49" s="27"/>
      <x:c r="Y49" s="27"/>
      <x:c r="Z49" s="27"/>
      <x:c r="AA49" s="27"/>
      <x:c r="AB49" s="27"/>
      <x:c r="AC49" s="27"/>
      <x:c r="AD49" s="27"/>
      <x:c r="AE49" s="27"/>
      <x:c r="AF49" s="27"/>
      <x:c r="AG49" s="27"/>
      <x:c r="AH49" s="27"/>
      <x:c r="AI49" s="27"/>
      <x:c r="AJ49" s="27"/>
      <x:c r="AK49" s="27"/>
      <x:c r="AL49" s="27"/>
      <x:c r="AM49" s="27"/>
      <x:c r="AN49" s="27"/>
      <x:c r="AO49" s="27"/>
      <x:c r="AP49" s="27"/>
      <x:c r="AQ49" s="27"/>
      <x:c r="AR49" s="27"/>
      <x:c r="AS49" s="27"/>
      <x:c r="AT49" s="27"/>
      <x:c r="AU49" s="27"/>
      <x:c r="AV49" s="27"/>
      <x:c r="AW49" s="27"/>
      <x:c r="AX49" s="27"/>
      <x:c r="AY49" s="27"/>
      <x:c r="AZ49" s="27"/>
    </x:row>
    <x:row r="50">
      <x:c r="A50" s="27"/>
      <x:c r="B50" s="27"/>
      <x:c r="C50" s="27"/>
      <x:c r="D50" s="27"/>
      <x:c r="E50" s="27"/>
      <x:c r="F50" s="27"/>
      <x:c r="G50" s="27"/>
      <x:c r="H50" s="27"/>
      <x:c r="I50" s="27"/>
      <x:c r="J50" s="27"/>
      <x:c r="K50" s="27"/>
      <x:c r="L50" s="27"/>
      <x:c r="M50" s="27"/>
      <x:c r="N50" s="27"/>
      <x:c r="O50" s="27"/>
      <x:c r="P50" s="27"/>
      <x:c r="Q50" s="27"/>
      <x:c r="R50" s="27"/>
      <x:c r="S50" s="27"/>
      <x:c r="T50" s="27"/>
      <x:c r="U50" s="27"/>
      <x:c r="V50" s="27"/>
      <x:c r="W50" s="27"/>
      <x:c r="X50" s="27"/>
      <x:c r="Y50" s="27"/>
      <x:c r="Z50" s="27"/>
      <x:c r="AA50" s="27"/>
      <x:c r="AB50" s="27"/>
      <x:c r="AC50" s="27"/>
      <x:c r="AD50" s="27"/>
      <x:c r="AE50" s="27"/>
      <x:c r="AF50" s="27"/>
      <x:c r="AG50" s="27"/>
      <x:c r="AH50" s="27"/>
      <x:c r="AI50" s="27"/>
      <x:c r="AJ50" s="27"/>
      <x:c r="AK50" s="27"/>
      <x:c r="AL50" s="27"/>
      <x:c r="AM50" s="27"/>
      <x:c r="AN50" s="27"/>
      <x:c r="AO50" s="27"/>
      <x:c r="AP50" s="27"/>
      <x:c r="AQ50" s="27"/>
      <x:c r="AR50" s="27"/>
      <x:c r="AS50" s="27"/>
      <x:c r="AT50" s="27"/>
      <x:c r="AU50" s="27"/>
      <x:c r="AV50" s="27"/>
      <x:c r="AW50" s="27"/>
      <x:c r="AX50" s="27"/>
      <x:c r="AY50" s="27"/>
      <x:c r="AZ50" s="27"/>
    </x:row>
    <x:row r="51">
      <x:c r="A51" s="27"/>
      <x:c r="B51" s="27"/>
      <x:c r="C51" s="27"/>
      <x:c r="D51" s="27"/>
      <x:c r="E51" s="27"/>
      <x:c r="F51" s="27"/>
      <x:c r="G51" s="27"/>
      <x:c r="H51" s="27"/>
      <x:c r="I51" s="27"/>
      <x:c r="J51" s="27"/>
      <x:c r="K51" s="27"/>
      <x:c r="L51" s="27"/>
      <x:c r="M51" s="27"/>
      <x:c r="N51" s="27"/>
      <x:c r="O51" s="27"/>
      <x:c r="P51" s="27"/>
      <x:c r="Q51" s="27"/>
      <x:c r="R51" s="27"/>
      <x:c r="S51" s="27"/>
      <x:c r="T51" s="27"/>
      <x:c r="U51" s="27"/>
      <x:c r="V51" s="27"/>
      <x:c r="W51" s="27"/>
      <x:c r="X51" s="27"/>
      <x:c r="Y51" s="27"/>
      <x:c r="Z51" s="27"/>
      <x:c r="AA51" s="27"/>
      <x:c r="AB51" s="27"/>
      <x:c r="AC51" s="27"/>
      <x:c r="AD51" s="27"/>
      <x:c r="AE51" s="27"/>
      <x:c r="AF51" s="27"/>
      <x:c r="AG51" s="27"/>
      <x:c r="AH51" s="27"/>
      <x:c r="AI51" s="27"/>
      <x:c r="AJ51" s="27"/>
      <x:c r="AK51" s="27"/>
      <x:c r="AL51" s="27"/>
      <x:c r="AM51" s="27"/>
      <x:c r="AN51" s="27"/>
      <x:c r="AO51" s="27"/>
      <x:c r="AP51" s="27"/>
      <x:c r="AQ51" s="27"/>
      <x:c r="AR51" s="27"/>
      <x:c r="AS51" s="27"/>
      <x:c r="AT51" s="27"/>
      <x:c r="AU51" s="27"/>
      <x:c r="AV51" s="27"/>
      <x:c r="AW51" s="27"/>
      <x:c r="AX51" s="27"/>
      <x:c r="AY51" s="27"/>
      <x:c r="AZ51" s="27"/>
    </x:row>
    <x:row r="52">
      <x:c r="A52" s="27"/>
      <x:c r="B52" s="27"/>
      <x:c r="C52" s="27"/>
      <x:c r="D52" s="27"/>
      <x:c r="E52" s="27"/>
      <x:c r="F52" s="27"/>
      <x:c r="G52" s="27"/>
      <x:c r="H52" s="27"/>
      <x:c r="I52" s="27"/>
      <x:c r="J52" s="27"/>
      <x:c r="K52" s="27"/>
      <x:c r="L52" s="27"/>
      <x:c r="M52" s="27"/>
      <x:c r="N52" s="27"/>
      <x:c r="O52" s="27"/>
      <x:c r="P52" s="27"/>
      <x:c r="Q52" s="27"/>
      <x:c r="R52" s="27"/>
      <x:c r="S52" s="27"/>
      <x:c r="T52" s="27"/>
      <x:c r="U52" s="27"/>
      <x:c r="V52" s="27"/>
      <x:c r="W52" s="27"/>
      <x:c r="X52" s="27"/>
      <x:c r="Y52" s="27"/>
      <x:c r="Z52" s="27"/>
      <x:c r="AA52" s="27"/>
      <x:c r="AB52" s="27"/>
      <x:c r="AC52" s="27"/>
      <x:c r="AD52" s="27"/>
      <x:c r="AE52" s="27"/>
      <x:c r="AF52" s="27"/>
      <x:c r="AG52" s="27"/>
      <x:c r="AH52" s="27"/>
      <x:c r="AI52" s="27"/>
      <x:c r="AJ52" s="27"/>
      <x:c r="AK52" s="27"/>
      <x:c r="AL52" s="27"/>
      <x:c r="AM52" s="27"/>
      <x:c r="AN52" s="27"/>
      <x:c r="AO52" s="27"/>
      <x:c r="AP52" s="27"/>
      <x:c r="AQ52" s="27"/>
      <x:c r="AR52" s="27"/>
      <x:c r="AS52" s="27"/>
      <x:c r="AT52" s="27"/>
      <x:c r="AU52" s="27"/>
      <x:c r="AV52" s="27"/>
      <x:c r="AW52" s="27"/>
      <x:c r="AX52" s="27"/>
      <x:c r="AY52" s="27"/>
      <x:c r="AZ52" s="27"/>
    </x:row>
    <x:row r="53">
      <x:c r="A53" s="27"/>
      <x:c r="B53" s="27"/>
      <x:c r="C53" s="27"/>
      <x:c r="D53" s="27"/>
      <x:c r="E53" s="27"/>
      <x:c r="F53" s="27"/>
      <x:c r="G53" s="27"/>
      <x:c r="H53" s="27"/>
      <x:c r="I53" s="27"/>
      <x:c r="J53" s="27"/>
      <x:c r="K53" s="27"/>
      <x:c r="L53" s="27"/>
      <x:c r="M53" s="27"/>
      <x:c r="N53" s="27"/>
      <x:c r="O53" s="27"/>
      <x:c r="P53" s="27"/>
      <x:c r="Q53" s="27"/>
      <x:c r="R53" s="27"/>
      <x:c r="S53" s="27"/>
      <x:c r="T53" s="27"/>
      <x:c r="U53" s="27"/>
      <x:c r="V53" s="27"/>
      <x:c r="W53" s="27"/>
      <x:c r="X53" s="27"/>
      <x:c r="Y53" s="27"/>
      <x:c r="Z53" s="27"/>
      <x:c r="AA53" s="27"/>
      <x:c r="AB53" s="27"/>
      <x:c r="AC53" s="27"/>
      <x:c r="AD53" s="27"/>
      <x:c r="AE53" s="27"/>
      <x:c r="AF53" s="27"/>
      <x:c r="AG53" s="27"/>
      <x:c r="AH53" s="27"/>
      <x:c r="AI53" s="27"/>
      <x:c r="AJ53" s="27"/>
      <x:c r="AK53" s="27"/>
      <x:c r="AL53" s="27"/>
      <x:c r="AM53" s="27"/>
      <x:c r="AN53" s="27"/>
      <x:c r="AO53" s="27"/>
      <x:c r="AP53" s="27"/>
      <x:c r="AQ53" s="27"/>
      <x:c r="AR53" s="27"/>
      <x:c r="AS53" s="27"/>
      <x:c r="AT53" s="27"/>
      <x:c r="AU53" s="27"/>
      <x:c r="AV53" s="27"/>
      <x:c r="AW53" s="27"/>
      <x:c r="AX53" s="27"/>
      <x:c r="AY53" s="27"/>
      <x:c r="AZ53" s="27"/>
    </x:row>
    <x:row r="54">
      <x:c r="A54" s="27"/>
      <x:c r="B54" s="27"/>
      <x:c r="C54" s="27"/>
      <x:c r="D54" s="27"/>
      <x:c r="E54" s="27"/>
      <x:c r="F54" s="27"/>
      <x:c r="G54" s="27"/>
      <x:c r="H54" s="27"/>
      <x:c r="I54" s="27"/>
      <x:c r="J54" s="27"/>
      <x:c r="K54" s="27"/>
      <x:c r="L54" s="27"/>
      <x:c r="M54" s="27"/>
      <x:c r="N54" s="27"/>
      <x:c r="O54" s="27"/>
      <x:c r="P54" s="27"/>
      <x:c r="Q54" s="27"/>
      <x:c r="R54" s="27"/>
      <x:c r="S54" s="27"/>
      <x:c r="T54" s="27"/>
      <x:c r="U54" s="27"/>
      <x:c r="V54" s="27"/>
      <x:c r="W54" s="27"/>
      <x:c r="X54" s="27"/>
      <x:c r="Y54" s="27"/>
      <x:c r="Z54" s="27"/>
      <x:c r="AA54" s="27"/>
      <x:c r="AB54" s="27"/>
      <x:c r="AC54" s="27"/>
      <x:c r="AD54" s="27"/>
      <x:c r="AE54" s="27"/>
      <x:c r="AF54" s="27"/>
      <x:c r="AG54" s="27"/>
      <x:c r="AH54" s="27"/>
      <x:c r="AI54" s="27"/>
      <x:c r="AJ54" s="27"/>
      <x:c r="AK54" s="27"/>
      <x:c r="AL54" s="27"/>
      <x:c r="AM54" s="27"/>
      <x:c r="AN54" s="27"/>
      <x:c r="AO54" s="27"/>
      <x:c r="AP54" s="27"/>
      <x:c r="AQ54" s="27"/>
      <x:c r="AR54" s="27"/>
      <x:c r="AS54" s="27"/>
      <x:c r="AT54" s="27"/>
      <x:c r="AU54" s="27"/>
      <x:c r="AV54" s="27"/>
      <x:c r="AW54" s="27"/>
      <x:c r="AX54" s="27"/>
      <x:c r="AY54" s="27"/>
      <x:c r="AZ54" s="27"/>
    </x:row>
    <x:row r="55">
      <x:c r="A55" s="27"/>
      <x:c r="B55" s="27"/>
      <x:c r="C55" s="27"/>
      <x:c r="D55" s="27"/>
      <x:c r="E55" s="27"/>
      <x:c r="F55" s="27"/>
      <x:c r="G55" s="27"/>
      <x:c r="H55" s="27"/>
      <x:c r="I55" s="27"/>
      <x:c r="J55" s="27"/>
      <x:c r="K55" s="27"/>
      <x:c r="L55" s="27"/>
      <x:c r="M55" s="27"/>
      <x:c r="N55" s="27"/>
      <x:c r="O55" s="27"/>
      <x:c r="P55" s="27"/>
      <x:c r="Q55" s="27"/>
      <x:c r="R55" s="27"/>
      <x:c r="S55" s="27"/>
      <x:c r="T55" s="27"/>
      <x:c r="U55" s="27"/>
      <x:c r="V55" s="27"/>
      <x:c r="W55" s="27"/>
      <x:c r="X55" s="27"/>
      <x:c r="Y55" s="27"/>
      <x:c r="Z55" s="27"/>
      <x:c r="AA55" s="27"/>
      <x:c r="AB55" s="27"/>
      <x:c r="AC55" s="27"/>
      <x:c r="AD55" s="27"/>
      <x:c r="AE55" s="27"/>
      <x:c r="AF55" s="27"/>
      <x:c r="AG55" s="27"/>
      <x:c r="AH55" s="27"/>
      <x:c r="AI55" s="27"/>
      <x:c r="AJ55" s="27"/>
      <x:c r="AK55" s="27"/>
      <x:c r="AL55" s="27"/>
      <x:c r="AM55" s="27"/>
      <x:c r="AN55" s="27"/>
      <x:c r="AO55" s="27"/>
      <x:c r="AP55" s="27"/>
      <x:c r="AQ55" s="27"/>
      <x:c r="AR55" s="27"/>
      <x:c r="AS55" s="27"/>
      <x:c r="AT55" s="27"/>
      <x:c r="AU55" s="27"/>
      <x:c r="AV55" s="27"/>
      <x:c r="AW55" s="27"/>
      <x:c r="AX55" s="27"/>
      <x:c r="AY55" s="27"/>
      <x:c r="AZ55" s="27"/>
    </x:row>
    <x:row r="56">
      <x:c r="A56" s="27"/>
      <x:c r="B56" s="27"/>
      <x:c r="C56" s="27"/>
      <x:c r="D56" s="27"/>
      <x:c r="E56" s="27"/>
      <x:c r="F56" s="27"/>
      <x:c r="G56" s="27"/>
      <x:c r="H56" s="27"/>
      <x:c r="I56" s="27"/>
      <x:c r="J56" s="27"/>
      <x:c r="K56" s="27"/>
      <x:c r="L56" s="27"/>
      <x:c r="M56" s="27"/>
      <x:c r="N56" s="27"/>
      <x:c r="O56" s="27"/>
      <x:c r="P56" s="27"/>
      <x:c r="Q56" s="27"/>
      <x:c r="R56" s="27"/>
      <x:c r="S56" s="27"/>
      <x:c r="T56" s="27"/>
      <x:c r="U56" s="27"/>
      <x:c r="V56" s="27"/>
      <x:c r="W56" s="27"/>
      <x:c r="X56" s="27"/>
      <x:c r="Y56" s="27"/>
      <x:c r="Z56" s="27"/>
      <x:c r="AA56" s="27"/>
      <x:c r="AB56" s="27"/>
      <x:c r="AC56" s="27"/>
      <x:c r="AD56" s="27"/>
      <x:c r="AE56" s="27"/>
      <x:c r="AF56" s="27"/>
      <x:c r="AG56" s="27"/>
      <x:c r="AH56" s="27"/>
      <x:c r="AI56" s="27"/>
      <x:c r="AJ56" s="27"/>
      <x:c r="AK56" s="27"/>
      <x:c r="AL56" s="27"/>
      <x:c r="AM56" s="27"/>
      <x:c r="AN56" s="27"/>
      <x:c r="AO56" s="27"/>
      <x:c r="AP56" s="27"/>
      <x:c r="AQ56" s="27"/>
      <x:c r="AR56" s="27"/>
      <x:c r="AS56" s="27"/>
      <x:c r="AT56" s="27"/>
      <x:c r="AU56" s="27"/>
      <x:c r="AV56" s="27"/>
      <x:c r="AW56" s="27"/>
      <x:c r="AX56" s="27"/>
      <x:c r="AY56" s="27"/>
      <x:c r="AZ56" s="27"/>
    </x:row>
    <x:row r="57">
      <x:c r="A57" s="27"/>
      <x:c r="B57" s="27"/>
      <x:c r="C57" s="27"/>
      <x:c r="D57" s="27"/>
      <x:c r="E57" s="27"/>
      <x:c r="F57" s="27"/>
      <x:c r="G57" s="27"/>
      <x:c r="H57" s="27"/>
      <x:c r="I57" s="27"/>
      <x:c r="J57" s="27"/>
      <x:c r="K57" s="27"/>
      <x:c r="L57" s="27"/>
      <x:c r="M57" s="27"/>
      <x:c r="N57" s="27"/>
      <x:c r="O57" s="27"/>
      <x:c r="P57" s="27"/>
      <x:c r="Q57" s="27"/>
      <x:c r="R57" s="27"/>
      <x:c r="S57" s="27"/>
      <x:c r="T57" s="27"/>
      <x:c r="U57" s="27"/>
      <x:c r="V57" s="27"/>
      <x:c r="W57" s="27"/>
      <x:c r="X57" s="27"/>
      <x:c r="Y57" s="27"/>
      <x:c r="Z57" s="27"/>
      <x:c r="AA57" s="27"/>
      <x:c r="AB57" s="27"/>
      <x:c r="AC57" s="27"/>
      <x:c r="AD57" s="27"/>
      <x:c r="AE57" s="27"/>
      <x:c r="AF57" s="27"/>
      <x:c r="AG57" s="27"/>
      <x:c r="AH57" s="27"/>
      <x:c r="AI57" s="27"/>
      <x:c r="AJ57" s="27"/>
      <x:c r="AK57" s="27"/>
      <x:c r="AL57" s="27"/>
      <x:c r="AM57" s="27"/>
      <x:c r="AN57" s="27"/>
      <x:c r="AO57" s="27"/>
      <x:c r="AP57" s="27"/>
      <x:c r="AQ57" s="27"/>
      <x:c r="AR57" s="27"/>
      <x:c r="AS57" s="27"/>
      <x:c r="AT57" s="27"/>
      <x:c r="AU57" s="27"/>
      <x:c r="AV57" s="27"/>
      <x:c r="AW57" s="27"/>
      <x:c r="AX57" s="27"/>
      <x:c r="AY57" s="27"/>
      <x:c r="AZ57" s="27"/>
    </x:row>
    <x:row r="58">
      <x:c r="A58" s="27"/>
      <x:c r="B58" s="27"/>
      <x:c r="C58" s="27"/>
      <x:c r="D58" s="27"/>
      <x:c r="E58" s="27"/>
      <x:c r="F58" s="27"/>
      <x:c r="G58" s="27"/>
      <x:c r="H58" s="27"/>
      <x:c r="I58" s="27"/>
      <x:c r="J58" s="27"/>
      <x:c r="K58" s="27"/>
      <x:c r="L58" s="27"/>
      <x:c r="M58" s="27"/>
      <x:c r="N58" s="27"/>
      <x:c r="O58" s="27"/>
      <x:c r="P58" s="27"/>
      <x:c r="Q58" s="27"/>
      <x:c r="R58" s="27"/>
      <x:c r="S58" s="27"/>
      <x:c r="T58" s="27"/>
      <x:c r="U58" s="27"/>
      <x:c r="V58" s="27"/>
      <x:c r="W58" s="27"/>
      <x:c r="X58" s="27"/>
      <x:c r="Y58" s="27"/>
      <x:c r="Z58" s="27"/>
      <x:c r="AA58" s="27"/>
      <x:c r="AB58" s="27"/>
      <x:c r="AC58" s="27"/>
      <x:c r="AD58" s="27"/>
      <x:c r="AE58" s="27"/>
      <x:c r="AF58" s="27"/>
      <x:c r="AG58" s="27"/>
      <x:c r="AH58" s="27"/>
      <x:c r="AI58" s="27"/>
      <x:c r="AJ58" s="27"/>
      <x:c r="AK58" s="27"/>
      <x:c r="AL58" s="27"/>
      <x:c r="AM58" s="27"/>
      <x:c r="AN58" s="27"/>
      <x:c r="AO58" s="27"/>
      <x:c r="AP58" s="27"/>
      <x:c r="AQ58" s="27"/>
      <x:c r="AR58" s="27"/>
      <x:c r="AS58" s="27"/>
      <x:c r="AT58" s="27"/>
      <x:c r="AU58" s="27"/>
      <x:c r="AV58" s="27"/>
      <x:c r="AW58" s="27"/>
      <x:c r="AX58" s="27"/>
      <x:c r="AY58" s="27"/>
      <x:c r="AZ58" s="27"/>
    </x:row>
    <x:row r="59">
      <x:c r="A59" s="27"/>
      <x:c r="B59" s="27"/>
      <x:c r="C59" s="27"/>
      <x:c r="D59" s="27"/>
      <x:c r="E59" s="27"/>
      <x:c r="F59" s="27"/>
      <x:c r="G59" s="27"/>
      <x:c r="H59" s="27"/>
      <x:c r="I59" s="27"/>
      <x:c r="J59" s="27"/>
      <x:c r="K59" s="27"/>
      <x:c r="L59" s="27"/>
      <x:c r="M59" s="27"/>
      <x:c r="N59" s="27"/>
      <x:c r="O59" s="27"/>
      <x:c r="P59" s="27"/>
      <x:c r="Q59" s="27"/>
      <x:c r="R59" s="27"/>
      <x:c r="S59" s="27"/>
      <x:c r="T59" s="27"/>
      <x:c r="U59" s="27"/>
      <x:c r="V59" s="27"/>
      <x:c r="W59" s="27"/>
      <x:c r="X59" s="27"/>
      <x:c r="Y59" s="27"/>
      <x:c r="Z59" s="27"/>
      <x:c r="AA59" s="27"/>
      <x:c r="AB59" s="27"/>
      <x:c r="AC59" s="27"/>
      <x:c r="AD59" s="27"/>
      <x:c r="AE59" s="27"/>
      <x:c r="AF59" s="27"/>
      <x:c r="AG59" s="27"/>
      <x:c r="AH59" s="27"/>
      <x:c r="AI59" s="27"/>
      <x:c r="AJ59" s="27"/>
      <x:c r="AK59" s="27"/>
      <x:c r="AL59" s="27"/>
      <x:c r="AM59" s="27"/>
      <x:c r="AN59" s="27"/>
      <x:c r="AO59" s="27"/>
      <x:c r="AP59" s="27"/>
      <x:c r="AQ59" s="27"/>
      <x:c r="AR59" s="27"/>
      <x:c r="AS59" s="27"/>
      <x:c r="AT59" s="27"/>
      <x:c r="AU59" s="27"/>
      <x:c r="AV59" s="27"/>
      <x:c r="AW59" s="27"/>
      <x:c r="AX59" s="27"/>
      <x:c r="AY59" s="27"/>
      <x:c r="AZ59" s="27"/>
    </x:row>
    <x:row r="60">
      <x:c r="A60" s="27"/>
      <x:c r="B60" s="27"/>
      <x:c r="C60" s="27"/>
      <x:c r="D60" s="27"/>
      <x:c r="E60" s="27"/>
      <x:c r="F60" s="27"/>
      <x:c r="G60" s="27"/>
      <x:c r="H60" s="27"/>
      <x:c r="I60" s="27"/>
      <x:c r="J60" s="27"/>
      <x:c r="K60" s="27"/>
      <x:c r="L60" s="27"/>
      <x:c r="M60" s="27"/>
      <x:c r="N60" s="27"/>
      <x:c r="O60" s="27"/>
      <x:c r="P60" s="27"/>
      <x:c r="Q60" s="27"/>
      <x:c r="R60" s="27"/>
      <x:c r="S60" s="27"/>
      <x:c r="T60" s="27"/>
      <x:c r="U60" s="27"/>
      <x:c r="V60" s="27"/>
      <x:c r="W60" s="27"/>
      <x:c r="X60" s="27"/>
      <x:c r="Y60" s="27"/>
      <x:c r="Z60" s="27"/>
      <x:c r="AA60" s="27"/>
      <x:c r="AB60" s="27"/>
      <x:c r="AC60" s="27"/>
      <x:c r="AD60" s="27"/>
      <x:c r="AE60" s="27"/>
      <x:c r="AF60" s="27"/>
      <x:c r="AG60" s="27"/>
      <x:c r="AH60" s="27"/>
      <x:c r="AI60" s="27"/>
      <x:c r="AJ60" s="27"/>
      <x:c r="AK60" s="27"/>
      <x:c r="AL60" s="27"/>
      <x:c r="AM60" s="27"/>
      <x:c r="AN60" s="27"/>
      <x:c r="AO60" s="27"/>
      <x:c r="AP60" s="27"/>
      <x:c r="AQ60" s="27"/>
      <x:c r="AR60" s="27"/>
      <x:c r="AS60" s="27"/>
      <x:c r="AT60" s="27"/>
      <x:c r="AU60" s="27"/>
      <x:c r="AV60" s="27"/>
      <x:c r="AW60" s="27"/>
      <x:c r="AX60" s="27"/>
      <x:c r="AY60" s="27"/>
      <x:c r="AZ60" s="27"/>
    </x:row>
    <x:row r="61">
      <x:c r="A61" s="27"/>
      <x:c r="B61" s="27"/>
      <x:c r="C61" s="27"/>
      <x:c r="D61" s="27"/>
      <x:c r="E61" s="27"/>
      <x:c r="F61" s="27"/>
      <x:c r="G61" s="27"/>
      <x:c r="H61" s="27"/>
      <x:c r="I61" s="27"/>
      <x:c r="J61" s="27"/>
      <x:c r="K61" s="27"/>
      <x:c r="L61" s="27"/>
      <x:c r="M61" s="27"/>
      <x:c r="N61" s="27"/>
      <x:c r="O61" s="27"/>
      <x:c r="P61" s="27"/>
      <x:c r="Q61" s="27"/>
      <x:c r="R61" s="27"/>
      <x:c r="S61" s="27"/>
      <x:c r="T61" s="27"/>
      <x:c r="U61" s="27"/>
      <x:c r="V61" s="27"/>
      <x:c r="W61" s="27"/>
      <x:c r="X61" s="27"/>
      <x:c r="Y61" s="27"/>
      <x:c r="Z61" s="27"/>
      <x:c r="AA61" s="27"/>
      <x:c r="AB61" s="27"/>
      <x:c r="AC61" s="27"/>
      <x:c r="AD61" s="27"/>
      <x:c r="AE61" s="27"/>
      <x:c r="AF61" s="27"/>
      <x:c r="AG61" s="27"/>
      <x:c r="AH61" s="27"/>
      <x:c r="AI61" s="27"/>
      <x:c r="AJ61" s="27"/>
      <x:c r="AK61" s="27"/>
      <x:c r="AL61" s="27"/>
      <x:c r="AM61" s="27"/>
      <x:c r="AN61" s="27"/>
      <x:c r="AO61" s="27"/>
      <x:c r="AP61" s="27"/>
      <x:c r="AQ61" s="27"/>
      <x:c r="AR61" s="27"/>
      <x:c r="AS61" s="27"/>
      <x:c r="AT61" s="27"/>
      <x:c r="AU61" s="27"/>
      <x:c r="AV61" s="27"/>
      <x:c r="AW61" s="27"/>
      <x:c r="AX61" s="27"/>
      <x:c r="AY61" s="27"/>
      <x:c r="AZ61" s="27"/>
    </x:row>
    <x:row r="62">
      <x:c r="A62" s="27"/>
      <x:c r="B62" s="27"/>
      <x:c r="C62" s="27"/>
      <x:c r="D62" s="27"/>
      <x:c r="E62" s="27"/>
      <x:c r="F62" s="27"/>
      <x:c r="G62" s="27"/>
      <x:c r="H62" s="27"/>
      <x:c r="I62" s="27"/>
      <x:c r="J62" s="27"/>
      <x:c r="K62" s="27"/>
      <x:c r="L62" s="27"/>
      <x:c r="M62" s="27"/>
      <x:c r="N62" s="27"/>
      <x:c r="O62" s="27"/>
      <x:c r="P62" s="27"/>
      <x:c r="Q62" s="27"/>
      <x:c r="R62" s="27"/>
      <x:c r="S62" s="27"/>
      <x:c r="T62" s="27"/>
      <x:c r="U62" s="27"/>
      <x:c r="V62" s="27"/>
      <x:c r="W62" s="27"/>
      <x:c r="X62" s="27"/>
      <x:c r="Y62" s="27"/>
      <x:c r="Z62" s="27"/>
      <x:c r="AA62" s="27"/>
      <x:c r="AB62" s="27"/>
      <x:c r="AC62" s="27"/>
      <x:c r="AD62" s="27"/>
      <x:c r="AE62" s="27"/>
      <x:c r="AF62" s="27"/>
      <x:c r="AG62" s="27"/>
      <x:c r="AH62" s="27"/>
      <x:c r="AI62" s="27"/>
      <x:c r="AJ62" s="27"/>
      <x:c r="AK62" s="27"/>
      <x:c r="AL62" s="27"/>
      <x:c r="AM62" s="27"/>
      <x:c r="AN62" s="27"/>
      <x:c r="AO62" s="27"/>
      <x:c r="AP62" s="27"/>
      <x:c r="AQ62" s="27"/>
      <x:c r="AR62" s="27"/>
      <x:c r="AS62" s="27"/>
      <x:c r="AT62" s="27"/>
      <x:c r="AU62" s="27"/>
      <x:c r="AV62" s="27"/>
      <x:c r="AW62" s="27"/>
      <x:c r="AX62" s="27"/>
      <x:c r="AY62" s="27"/>
      <x:c r="AZ62" s="27"/>
    </x:row>
    <x:row r="63">
      <x:c r="A63" s="27"/>
      <x:c r="B63" s="27"/>
      <x:c r="C63" s="27"/>
      <x:c r="D63" s="27"/>
      <x:c r="E63" s="27"/>
      <x:c r="F63" s="27"/>
      <x:c r="G63" s="27"/>
      <x:c r="H63" s="27"/>
      <x:c r="I63" s="27"/>
      <x:c r="J63" s="27"/>
      <x:c r="K63" s="27"/>
      <x:c r="L63" s="27"/>
      <x:c r="M63" s="27"/>
      <x:c r="N63" s="27"/>
      <x:c r="O63" s="27"/>
      <x:c r="P63" s="27"/>
      <x:c r="Q63" s="27"/>
      <x:c r="R63" s="27"/>
      <x:c r="S63" s="27"/>
      <x:c r="T63" s="27"/>
      <x:c r="U63" s="27"/>
      <x:c r="V63" s="27"/>
      <x:c r="W63" s="27"/>
      <x:c r="X63" s="27"/>
      <x:c r="Y63" s="27"/>
      <x:c r="Z63" s="27"/>
      <x:c r="AA63" s="27"/>
      <x:c r="AB63" s="27"/>
      <x:c r="AC63" s="27"/>
      <x:c r="AD63" s="27"/>
      <x:c r="AE63" s="27"/>
      <x:c r="AF63" s="27"/>
      <x:c r="AG63" s="27"/>
      <x:c r="AH63" s="27"/>
      <x:c r="AI63" s="27"/>
      <x:c r="AJ63" s="27"/>
      <x:c r="AK63" s="27"/>
      <x:c r="AL63" s="27"/>
      <x:c r="AM63" s="27"/>
      <x:c r="AN63" s="27"/>
      <x:c r="AO63" s="27"/>
      <x:c r="AP63" s="27"/>
      <x:c r="AQ63" s="27"/>
      <x:c r="AR63" s="27"/>
      <x:c r="AS63" s="27"/>
      <x:c r="AT63" s="27"/>
      <x:c r="AU63" s="27"/>
      <x:c r="AV63" s="27"/>
      <x:c r="AW63" s="27"/>
      <x:c r="AX63" s="27"/>
      <x:c r="AY63" s="27"/>
      <x:c r="AZ63" s="27"/>
    </x:row>
    <x:row r="64">
      <x:c r="A64" s="27"/>
      <x:c r="B64" s="27"/>
      <x:c r="C64" s="27"/>
      <x:c r="D64" s="27"/>
      <x:c r="E64" s="27"/>
      <x:c r="F64" s="27"/>
      <x:c r="G64" s="27"/>
      <x:c r="H64" s="27"/>
      <x:c r="I64" s="27"/>
      <x:c r="J64" s="27"/>
      <x:c r="K64" s="27"/>
      <x:c r="L64" s="27"/>
      <x:c r="M64" s="27"/>
      <x:c r="N64" s="27"/>
      <x:c r="O64" s="27"/>
      <x:c r="P64" s="27"/>
      <x:c r="Q64" s="27"/>
      <x:c r="R64" s="27"/>
      <x:c r="S64" s="27"/>
      <x:c r="T64" s="27"/>
      <x:c r="U64" s="27"/>
      <x:c r="V64" s="27"/>
      <x:c r="W64" s="27"/>
      <x:c r="X64" s="27"/>
      <x:c r="Y64" s="27"/>
      <x:c r="Z64" s="27"/>
      <x:c r="AA64" s="27"/>
      <x:c r="AB64" s="27"/>
      <x:c r="AC64" s="27"/>
      <x:c r="AD64" s="27"/>
      <x:c r="AE64" s="27"/>
      <x:c r="AF64" s="27"/>
      <x:c r="AG64" s="27"/>
      <x:c r="AH64" s="27"/>
      <x:c r="AI64" s="27"/>
      <x:c r="AJ64" s="27"/>
      <x:c r="AK64" s="27"/>
      <x:c r="AL64" s="27"/>
      <x:c r="AM64" s="27"/>
      <x:c r="AN64" s="27"/>
      <x:c r="AO64" s="27"/>
      <x:c r="AP64" s="27"/>
      <x:c r="AQ64" s="27"/>
      <x:c r="AR64" s="27"/>
      <x:c r="AS64" s="27"/>
      <x:c r="AT64" s="27"/>
      <x:c r="AU64" s="27"/>
      <x:c r="AV64" s="27"/>
      <x:c r="AW64" s="27"/>
      <x:c r="AX64" s="27"/>
      <x:c r="AY64" s="27"/>
      <x:c r="AZ64" s="27"/>
    </x:row>
    <x:row r="65">
      <x:c r="A65" s="27"/>
      <x:c r="B65" s="27"/>
      <x:c r="C65" s="27"/>
      <x:c r="D65" s="27"/>
      <x:c r="E65" s="27"/>
      <x:c r="F65" s="27"/>
      <x:c r="G65" s="27"/>
      <x:c r="H65" s="27"/>
      <x:c r="I65" s="27"/>
      <x:c r="J65" s="27"/>
      <x:c r="K65" s="27"/>
      <x:c r="L65" s="27"/>
      <x:c r="M65" s="27"/>
      <x:c r="N65" s="27"/>
      <x:c r="O65" s="27"/>
      <x:c r="P65" s="27"/>
      <x:c r="Q65" s="27"/>
      <x:c r="R65" s="27"/>
      <x:c r="S65" s="27"/>
      <x:c r="T65" s="27"/>
      <x:c r="U65" s="27"/>
      <x:c r="V65" s="27"/>
      <x:c r="W65" s="27"/>
      <x:c r="X65" s="27"/>
      <x:c r="Y65" s="27"/>
      <x:c r="Z65" s="27"/>
      <x:c r="AA65" s="27"/>
      <x:c r="AB65" s="27"/>
      <x:c r="AC65" s="27"/>
      <x:c r="AD65" s="27"/>
      <x:c r="AE65" s="27"/>
      <x:c r="AF65" s="27"/>
      <x:c r="AG65" s="27"/>
      <x:c r="AH65" s="27"/>
      <x:c r="AI65" s="27"/>
      <x:c r="AJ65" s="27"/>
      <x:c r="AK65" s="27"/>
      <x:c r="AL65" s="27"/>
      <x:c r="AM65" s="27"/>
      <x:c r="AN65" s="27"/>
      <x:c r="AO65" s="27"/>
      <x:c r="AP65" s="27"/>
      <x:c r="AQ65" s="27"/>
      <x:c r="AR65" s="27"/>
      <x:c r="AS65" s="27"/>
      <x:c r="AT65" s="27"/>
      <x:c r="AU65" s="27"/>
      <x:c r="AV65" s="27"/>
      <x:c r="AW65" s="27"/>
      <x:c r="AX65" s="27"/>
      <x:c r="AY65" s="27"/>
      <x:c r="AZ65" s="27"/>
    </x:row>
    <x:row r="66">
      <x:c r="A66" s="27"/>
      <x:c r="B66" s="27"/>
      <x:c r="C66" s="27"/>
      <x:c r="D66" s="27"/>
      <x:c r="E66" s="27"/>
      <x:c r="F66" s="27"/>
      <x:c r="G66" s="27"/>
      <x:c r="H66" s="27"/>
      <x:c r="I66" s="27"/>
      <x:c r="J66" s="27"/>
      <x:c r="K66" s="27"/>
      <x:c r="L66" s="27"/>
      <x:c r="M66" s="27"/>
      <x:c r="N66" s="27"/>
      <x:c r="O66" s="27"/>
      <x:c r="P66" s="27"/>
      <x:c r="Q66" s="27"/>
      <x:c r="R66" s="27"/>
      <x:c r="S66" s="27"/>
      <x:c r="T66" s="27"/>
      <x:c r="U66" s="27"/>
      <x:c r="V66" s="27"/>
      <x:c r="W66" s="27"/>
      <x:c r="X66" s="27"/>
      <x:c r="Y66" s="27"/>
      <x:c r="Z66" s="27"/>
      <x:c r="AA66" s="27"/>
      <x:c r="AB66" s="27"/>
      <x:c r="AC66" s="27"/>
      <x:c r="AD66" s="27"/>
      <x:c r="AE66" s="27"/>
      <x:c r="AF66" s="27"/>
      <x:c r="AG66" s="27"/>
      <x:c r="AH66" s="27"/>
      <x:c r="AI66" s="27"/>
      <x:c r="AJ66" s="27"/>
      <x:c r="AK66" s="27"/>
      <x:c r="AL66" s="27"/>
      <x:c r="AM66" s="27"/>
      <x:c r="AN66" s="27"/>
      <x:c r="AO66" s="27"/>
      <x:c r="AP66" s="27"/>
      <x:c r="AQ66" s="27"/>
      <x:c r="AR66" s="27"/>
      <x:c r="AS66" s="27"/>
      <x:c r="AT66" s="27"/>
      <x:c r="AU66" s="27"/>
      <x:c r="AV66" s="27"/>
      <x:c r="AW66" s="27"/>
      <x:c r="AX66" s="27"/>
      <x:c r="AY66" s="27"/>
      <x:c r="AZ66" s="27"/>
    </x:row>
    <x:row r="67">
      <x:c r="A67" s="27"/>
      <x:c r="B67" s="27"/>
      <x:c r="C67" s="27"/>
      <x:c r="D67" s="27"/>
      <x:c r="E67" s="27"/>
      <x:c r="F67" s="27"/>
      <x:c r="G67" s="27"/>
      <x:c r="H67" s="27"/>
      <x:c r="I67" s="27"/>
      <x:c r="J67" s="27"/>
      <x:c r="K67" s="27"/>
      <x:c r="L67" s="27"/>
      <x:c r="M67" s="27"/>
      <x:c r="N67" s="27"/>
      <x:c r="O67" s="27"/>
      <x:c r="P67" s="27"/>
      <x:c r="Q67" s="27"/>
      <x:c r="R67" s="27"/>
      <x:c r="S67" s="27"/>
      <x:c r="T67" s="27"/>
      <x:c r="U67" s="27"/>
      <x:c r="V67" s="27"/>
      <x:c r="W67" s="27"/>
      <x:c r="X67" s="27"/>
      <x:c r="Y67" s="27"/>
      <x:c r="Z67" s="27"/>
      <x:c r="AA67" s="27"/>
      <x:c r="AB67" s="27"/>
      <x:c r="AC67" s="27"/>
      <x:c r="AD67" s="27"/>
      <x:c r="AE67" s="27"/>
      <x:c r="AF67" s="27"/>
      <x:c r="AG67" s="27"/>
      <x:c r="AH67" s="27"/>
      <x:c r="AI67" s="27"/>
      <x:c r="AJ67" s="27"/>
      <x:c r="AK67" s="27"/>
      <x:c r="AL67" s="27"/>
      <x:c r="AM67" s="27"/>
      <x:c r="AN67" s="27"/>
      <x:c r="AO67" s="27"/>
      <x:c r="AP67" s="27"/>
      <x:c r="AQ67" s="27"/>
      <x:c r="AR67" s="27"/>
      <x:c r="AS67" s="27"/>
      <x:c r="AT67" s="27"/>
      <x:c r="AU67" s="27"/>
      <x:c r="AV67" s="27"/>
      <x:c r="AW67" s="27"/>
      <x:c r="AX67" s="27"/>
      <x:c r="AY67" s="27"/>
      <x:c r="AZ67" s="27"/>
    </x:row>
    <x:row r="68">
      <x:c r="A68" s="27"/>
      <x:c r="B68" s="27"/>
      <x:c r="C68" s="27"/>
      <x:c r="D68" s="27"/>
      <x:c r="E68" s="27"/>
      <x:c r="F68" s="27"/>
      <x:c r="G68" s="27"/>
      <x:c r="H68" s="27"/>
      <x:c r="I68" s="27"/>
      <x:c r="J68" s="27"/>
      <x:c r="K68" s="27"/>
      <x:c r="L68" s="27"/>
      <x:c r="M68" s="27"/>
      <x:c r="N68" s="27"/>
      <x:c r="O68" s="27"/>
      <x:c r="P68" s="27"/>
      <x:c r="Q68" s="27"/>
      <x:c r="R68" s="27"/>
      <x:c r="S68" s="27"/>
      <x:c r="T68" s="27"/>
      <x:c r="U68" s="27"/>
      <x:c r="V68" s="27"/>
      <x:c r="W68" s="27"/>
      <x:c r="X68" s="27"/>
      <x:c r="Y68" s="27"/>
      <x:c r="Z68" s="27"/>
      <x:c r="AA68" s="27"/>
      <x:c r="AB68" s="27"/>
      <x:c r="AC68" s="27"/>
      <x:c r="AD68" s="27"/>
      <x:c r="AE68" s="27"/>
      <x:c r="AF68" s="27"/>
      <x:c r="AG68" s="27"/>
      <x:c r="AH68" s="27"/>
      <x:c r="AI68" s="27"/>
      <x:c r="AJ68" s="27"/>
      <x:c r="AK68" s="27"/>
      <x:c r="AL68" s="27"/>
      <x:c r="AM68" s="27"/>
      <x:c r="AN68" s="27"/>
      <x:c r="AO68" s="27"/>
      <x:c r="AP68" s="27"/>
      <x:c r="AQ68" s="27"/>
      <x:c r="AR68" s="27"/>
      <x:c r="AS68" s="27"/>
      <x:c r="AT68" s="27"/>
      <x:c r="AU68" s="27"/>
      <x:c r="AV68" s="27"/>
      <x:c r="AW68" s="27"/>
      <x:c r="AX68" s="27"/>
      <x:c r="AY68" s="27"/>
      <x:c r="AZ68" s="27"/>
    </x:row>
    <x:row r="69">
      <x:c r="A69" s="27"/>
      <x:c r="B69" s="27"/>
      <x:c r="C69" s="27"/>
      <x:c r="D69" s="27"/>
      <x:c r="E69" s="27"/>
      <x:c r="F69" s="27"/>
      <x:c r="G69" s="27"/>
      <x:c r="H69" s="27"/>
      <x:c r="I69" s="27"/>
      <x:c r="J69" s="27"/>
      <x:c r="K69" s="27"/>
      <x:c r="L69" s="27"/>
      <x:c r="M69" s="27"/>
      <x:c r="N69" s="27"/>
      <x:c r="O69" s="27"/>
      <x:c r="P69" s="27"/>
      <x:c r="Q69" s="27"/>
      <x:c r="R69" s="27"/>
      <x:c r="S69" s="27"/>
      <x:c r="T69" s="27"/>
      <x:c r="U69" s="27"/>
      <x:c r="V69" s="27"/>
      <x:c r="W69" s="27"/>
      <x:c r="X69" s="27"/>
      <x:c r="Y69" s="27"/>
      <x:c r="Z69" s="27"/>
      <x:c r="AA69" s="27"/>
      <x:c r="AB69" s="27"/>
      <x:c r="AC69" s="27"/>
      <x:c r="AD69" s="27"/>
      <x:c r="AE69" s="27"/>
      <x:c r="AF69" s="27"/>
      <x:c r="AG69" s="27"/>
      <x:c r="AH69" s="27"/>
      <x:c r="AI69" s="27"/>
      <x:c r="AJ69" s="27"/>
      <x:c r="AK69" s="27"/>
      <x:c r="AL69" s="27"/>
      <x:c r="AM69" s="27"/>
      <x:c r="AN69" s="27"/>
      <x:c r="AO69" s="27"/>
      <x:c r="AP69" s="27"/>
      <x:c r="AQ69" s="27"/>
      <x:c r="AR69" s="27"/>
      <x:c r="AS69" s="27"/>
      <x:c r="AT69" s="27"/>
      <x:c r="AU69" s="27"/>
      <x:c r="AV69" s="27"/>
      <x:c r="AW69" s="27"/>
      <x:c r="AX69" s="27"/>
      <x:c r="AY69" s="27"/>
      <x:c r="AZ69" s="27"/>
    </x:row>
    <x:row r="70">
      <x:c r="A70" s="27"/>
      <x:c r="B70" s="27"/>
      <x:c r="C70" s="27"/>
      <x:c r="D70" s="27"/>
      <x:c r="E70" s="27"/>
      <x:c r="F70" s="27"/>
      <x:c r="G70" s="27"/>
      <x:c r="H70" s="27"/>
      <x:c r="I70" s="27"/>
      <x:c r="J70" s="27"/>
      <x:c r="K70" s="27"/>
      <x:c r="L70" s="27"/>
      <x:c r="M70" s="27"/>
      <x:c r="N70" s="27"/>
      <x:c r="O70" s="27"/>
      <x:c r="P70" s="27"/>
      <x:c r="Q70" s="27"/>
      <x:c r="R70" s="27"/>
      <x:c r="S70" s="27"/>
      <x:c r="T70" s="27"/>
      <x:c r="U70" s="27"/>
      <x:c r="V70" s="27"/>
      <x:c r="W70" s="27"/>
      <x:c r="X70" s="27"/>
      <x:c r="Y70" s="27"/>
      <x:c r="Z70" s="27"/>
      <x:c r="AA70" s="27"/>
      <x:c r="AB70" s="27"/>
      <x:c r="AC70" s="27"/>
      <x:c r="AD70" s="27"/>
      <x:c r="AE70" s="27"/>
      <x:c r="AF70" s="27"/>
      <x:c r="AG70" s="27"/>
      <x:c r="AH70" s="27"/>
      <x:c r="AI70" s="27"/>
      <x:c r="AJ70" s="27"/>
      <x:c r="AK70" s="27"/>
      <x:c r="AL70" s="27"/>
      <x:c r="AM70" s="27"/>
      <x:c r="AN70" s="27"/>
      <x:c r="AO70" s="27"/>
      <x:c r="AP70" s="27"/>
      <x:c r="AQ70" s="27"/>
      <x:c r="AR70" s="27"/>
      <x:c r="AS70" s="27"/>
      <x:c r="AT70" s="27"/>
      <x:c r="AU70" s="27"/>
      <x:c r="AV70" s="27"/>
      <x:c r="AW70" s="27"/>
      <x:c r="AX70" s="27"/>
      <x:c r="AY70" s="27"/>
      <x:c r="AZ70" s="27"/>
    </x:row>
    <x:row r="71">
      <x:c r="A71" s="27"/>
      <x:c r="B71" s="27"/>
      <x:c r="C71" s="27"/>
      <x:c r="D71" s="27"/>
      <x:c r="E71" s="27"/>
      <x:c r="F71" s="27"/>
      <x:c r="G71" s="27"/>
      <x:c r="H71" s="27"/>
      <x:c r="I71" s="27"/>
      <x:c r="J71" s="27"/>
      <x:c r="K71" s="27"/>
      <x:c r="L71" s="27"/>
      <x:c r="M71" s="27"/>
      <x:c r="N71" s="27"/>
      <x:c r="O71" s="27"/>
      <x:c r="P71" s="27"/>
      <x:c r="Q71" s="27"/>
      <x:c r="R71" s="27"/>
      <x:c r="S71" s="27"/>
      <x:c r="T71" s="27"/>
      <x:c r="U71" s="27"/>
      <x:c r="V71" s="27"/>
      <x:c r="W71" s="27"/>
      <x:c r="X71" s="27"/>
      <x:c r="Y71" s="27"/>
      <x:c r="Z71" s="27"/>
      <x:c r="AA71" s="27"/>
      <x:c r="AB71" s="27"/>
      <x:c r="AC71" s="27"/>
      <x:c r="AD71" s="27"/>
      <x:c r="AE71" s="27"/>
      <x:c r="AF71" s="27"/>
      <x:c r="AG71" s="27"/>
      <x:c r="AH71" s="27"/>
      <x:c r="AI71" s="27"/>
      <x:c r="AJ71" s="27"/>
      <x:c r="AK71" s="27"/>
      <x:c r="AL71" s="27"/>
      <x:c r="AM71" s="27"/>
      <x:c r="AN71" s="27"/>
      <x:c r="AO71" s="27"/>
      <x:c r="AP71" s="27"/>
      <x:c r="AQ71" s="27"/>
      <x:c r="AR71" s="27"/>
      <x:c r="AS71" s="27"/>
      <x:c r="AT71" s="27"/>
      <x:c r="AU71" s="27"/>
      <x:c r="AV71" s="27"/>
      <x:c r="AW71" s="27"/>
      <x:c r="AX71" s="27"/>
      <x:c r="AY71" s="27"/>
      <x:c r="AZ71" s="27"/>
    </x:row>
    <x:row r="72">
      <x:c r="A72" s="27"/>
      <x:c r="B72" s="27"/>
      <x:c r="C72" s="27"/>
      <x:c r="D72" s="27"/>
      <x:c r="E72" s="27"/>
      <x:c r="F72" s="27"/>
      <x:c r="G72" s="27"/>
      <x:c r="H72" s="27"/>
      <x:c r="I72" s="27"/>
      <x:c r="J72" s="27"/>
      <x:c r="K72" s="27"/>
      <x:c r="L72" s="27"/>
      <x:c r="M72" s="27"/>
      <x:c r="N72" s="27"/>
      <x:c r="O72" s="27"/>
      <x:c r="P72" s="27"/>
      <x:c r="Q72" s="27"/>
      <x:c r="R72" s="27"/>
      <x:c r="S72" s="27"/>
      <x:c r="T72" s="27"/>
      <x:c r="U72" s="27"/>
      <x:c r="V72" s="27"/>
      <x:c r="W72" s="27"/>
      <x:c r="X72" s="27"/>
      <x:c r="Y72" s="27"/>
      <x:c r="Z72" s="27"/>
      <x:c r="AA72" s="27"/>
      <x:c r="AB72" s="27"/>
      <x:c r="AC72" s="27"/>
      <x:c r="AD72" s="27"/>
      <x:c r="AE72" s="27"/>
      <x:c r="AF72" s="27"/>
      <x:c r="AG72" s="27"/>
      <x:c r="AH72" s="27"/>
      <x:c r="AI72" s="27"/>
      <x:c r="AJ72" s="27"/>
      <x:c r="AK72" s="27"/>
      <x:c r="AL72" s="27"/>
      <x:c r="AM72" s="27"/>
      <x:c r="AN72" s="27"/>
      <x:c r="AO72" s="27"/>
      <x:c r="AP72" s="27"/>
      <x:c r="AQ72" s="27"/>
      <x:c r="AR72" s="27"/>
      <x:c r="AS72" s="27"/>
      <x:c r="AT72" s="27"/>
      <x:c r="AU72" s="27"/>
      <x:c r="AV72" s="27"/>
      <x:c r="AW72" s="27"/>
      <x:c r="AX72" s="27"/>
      <x:c r="AY72" s="27"/>
      <x:c r="AZ72" s="27"/>
    </x:row>
    <x:row r="73">
      <x:c r="A73" s="27"/>
      <x:c r="B73" s="27"/>
      <x:c r="C73" s="27"/>
      <x:c r="D73" s="27"/>
      <x:c r="E73" s="27"/>
      <x:c r="F73" s="27"/>
      <x:c r="G73" s="27"/>
      <x:c r="H73" s="27"/>
      <x:c r="I73" s="27"/>
      <x:c r="J73" s="27"/>
      <x:c r="K73" s="27"/>
      <x:c r="L73" s="27"/>
      <x:c r="M73" s="27"/>
      <x:c r="N73" s="27"/>
      <x:c r="O73" s="27"/>
      <x:c r="P73" s="27"/>
      <x:c r="Q73" s="27"/>
      <x:c r="R73" s="27"/>
      <x:c r="S73" s="27"/>
      <x:c r="T73" s="27"/>
      <x:c r="U73" s="27"/>
      <x:c r="V73" s="27"/>
      <x:c r="W73" s="27"/>
      <x:c r="X73" s="27"/>
      <x:c r="Y73" s="27"/>
      <x:c r="Z73" s="27"/>
      <x:c r="AA73" s="27"/>
      <x:c r="AB73" s="27"/>
      <x:c r="AC73" s="27"/>
      <x:c r="AD73" s="27"/>
      <x:c r="AE73" s="27"/>
      <x:c r="AF73" s="27"/>
      <x:c r="AG73" s="27"/>
      <x:c r="AH73" s="27"/>
      <x:c r="AI73" s="27"/>
      <x:c r="AJ73" s="27"/>
      <x:c r="AK73" s="27"/>
      <x:c r="AL73" s="27"/>
      <x:c r="AM73" s="27"/>
      <x:c r="AN73" s="27"/>
      <x:c r="AO73" s="27"/>
      <x:c r="AP73" s="27"/>
      <x:c r="AQ73" s="27"/>
      <x:c r="AR73" s="27"/>
      <x:c r="AS73" s="27"/>
      <x:c r="AT73" s="27"/>
      <x:c r="AU73" s="27"/>
      <x:c r="AV73" s="27"/>
      <x:c r="AW73" s="27"/>
      <x:c r="AX73" s="27"/>
      <x:c r="AY73" s="27"/>
      <x:c r="AZ73" s="27"/>
    </x:row>
    <x:row r="74">
      <x:c r="A74" s="27"/>
      <x:c r="B74" s="27"/>
      <x:c r="C74" s="27"/>
      <x:c r="D74" s="27"/>
      <x:c r="E74" s="27"/>
      <x:c r="F74" s="27"/>
      <x:c r="G74" s="27"/>
      <x:c r="H74" s="27"/>
      <x:c r="I74" s="27"/>
      <x:c r="J74" s="27"/>
      <x:c r="K74" s="27"/>
      <x:c r="L74" s="27"/>
      <x:c r="M74" s="27"/>
      <x:c r="N74" s="27"/>
      <x:c r="O74" s="27"/>
      <x:c r="P74" s="27"/>
      <x:c r="Q74" s="27"/>
      <x:c r="R74" s="27"/>
      <x:c r="S74" s="27"/>
      <x:c r="T74" s="27"/>
      <x:c r="U74" s="27"/>
      <x:c r="V74" s="27"/>
      <x:c r="W74" s="27"/>
      <x:c r="X74" s="27"/>
      <x:c r="Y74" s="27"/>
      <x:c r="Z74" s="27"/>
      <x:c r="AA74" s="27"/>
      <x:c r="AB74" s="27"/>
      <x:c r="AC74" s="27"/>
      <x:c r="AD74" s="27"/>
      <x:c r="AE74" s="27"/>
      <x:c r="AF74" s="27"/>
      <x:c r="AG74" s="27"/>
      <x:c r="AH74" s="27"/>
      <x:c r="AI74" s="27"/>
      <x:c r="AJ74" s="27"/>
      <x:c r="AK74" s="27"/>
      <x:c r="AL74" s="27"/>
      <x:c r="AM74" s="27"/>
      <x:c r="AN74" s="27"/>
      <x:c r="AO74" s="27"/>
      <x:c r="AP74" s="27"/>
      <x:c r="AQ74" s="27"/>
      <x:c r="AR74" s="27"/>
      <x:c r="AS74" s="27"/>
      <x:c r="AT74" s="27"/>
      <x:c r="AU74" s="27"/>
      <x:c r="AV74" s="27"/>
      <x:c r="AW74" s="27"/>
      <x:c r="AX74" s="27"/>
      <x:c r="AY74" s="27"/>
      <x:c r="AZ74" s="27"/>
    </x:row>
    <x:row r="75">
      <x:c r="A75" s="27"/>
      <x:c r="B75" s="27"/>
      <x:c r="C75" s="27"/>
      <x:c r="D75" s="27"/>
      <x:c r="E75" s="27"/>
      <x:c r="F75" s="27"/>
      <x:c r="G75" s="27"/>
      <x:c r="H75" s="27"/>
      <x:c r="I75" s="27"/>
      <x:c r="J75" s="27"/>
      <x:c r="K75" s="27"/>
      <x:c r="L75" s="27"/>
      <x:c r="M75" s="27"/>
      <x:c r="N75" s="27"/>
      <x:c r="O75" s="27"/>
      <x:c r="P75" s="27"/>
      <x:c r="Q75" s="27"/>
      <x:c r="R75" s="27"/>
      <x:c r="S75" s="27"/>
      <x:c r="T75" s="27"/>
      <x:c r="U75" s="27"/>
      <x:c r="V75" s="27"/>
      <x:c r="W75" s="27"/>
      <x:c r="X75" s="27"/>
      <x:c r="Y75" s="27"/>
      <x:c r="Z75" s="27"/>
      <x:c r="AA75" s="27"/>
      <x:c r="AB75" s="27"/>
      <x:c r="AC75" s="27"/>
      <x:c r="AD75" s="27"/>
      <x:c r="AE75" s="27"/>
      <x:c r="AF75" s="27"/>
      <x:c r="AG75" s="27"/>
      <x:c r="AH75" s="27"/>
      <x:c r="AI75" s="27"/>
      <x:c r="AJ75" s="27"/>
      <x:c r="AK75" s="27"/>
      <x:c r="AL75" s="27"/>
      <x:c r="AM75" s="27"/>
      <x:c r="AN75" s="27"/>
      <x:c r="AO75" s="27"/>
      <x:c r="AP75" s="27"/>
      <x:c r="AQ75" s="27"/>
      <x:c r="AR75" s="27"/>
      <x:c r="AS75" s="27"/>
      <x:c r="AT75" s="27"/>
      <x:c r="AU75" s="27"/>
      <x:c r="AV75" s="27"/>
      <x:c r="AW75" s="27"/>
      <x:c r="AX75" s="27"/>
      <x:c r="AY75" s="27"/>
      <x:c r="AZ75" s="27"/>
    </x:row>
    <x:row r="76">
      <x:c r="A76" s="27"/>
      <x:c r="B76" s="27"/>
      <x:c r="C76" s="27"/>
      <x:c r="D76" s="27"/>
      <x:c r="E76" s="27"/>
      <x:c r="F76" s="27"/>
      <x:c r="G76" s="27"/>
      <x:c r="H76" s="27"/>
      <x:c r="I76" s="27"/>
      <x:c r="J76" s="27"/>
      <x:c r="K76" s="27"/>
      <x:c r="L76" s="27"/>
      <x:c r="M76" s="27"/>
      <x:c r="N76" s="27"/>
      <x:c r="O76" s="27"/>
      <x:c r="P76" s="27"/>
      <x:c r="Q76" s="27"/>
      <x:c r="R76" s="27"/>
      <x:c r="S76" s="27"/>
      <x:c r="T76" s="27"/>
      <x:c r="U76" s="27"/>
      <x:c r="V76" s="27"/>
      <x:c r="W76" s="27"/>
      <x:c r="X76" s="27"/>
      <x:c r="Y76" s="27"/>
      <x:c r="Z76" s="27"/>
      <x:c r="AA76" s="27"/>
      <x:c r="AB76" s="27"/>
      <x:c r="AC76" s="27"/>
      <x:c r="AD76" s="27"/>
      <x:c r="AE76" s="27"/>
      <x:c r="AF76" s="27"/>
      <x:c r="AG76" s="27"/>
      <x:c r="AH76" s="27"/>
      <x:c r="AI76" s="27"/>
      <x:c r="AJ76" s="27"/>
      <x:c r="AK76" s="27"/>
      <x:c r="AL76" s="27"/>
      <x:c r="AM76" s="27"/>
      <x:c r="AN76" s="27"/>
      <x:c r="AO76" s="27"/>
      <x:c r="AP76" s="27"/>
      <x:c r="AQ76" s="27"/>
      <x:c r="AR76" s="27"/>
      <x:c r="AS76" s="27"/>
      <x:c r="AT76" s="27"/>
      <x:c r="AU76" s="27"/>
      <x:c r="AV76" s="27"/>
      <x:c r="AW76" s="27"/>
      <x:c r="AX76" s="27"/>
      <x:c r="AY76" s="27"/>
      <x:c r="AZ76" s="27"/>
    </x:row>
    <x:row r="77">
      <x:c r="A77" s="27"/>
      <x:c r="B77" s="27"/>
      <x:c r="C77" s="27"/>
      <x:c r="D77" s="27"/>
      <x:c r="E77" s="27"/>
      <x:c r="F77" s="27"/>
      <x:c r="G77" s="27"/>
      <x:c r="H77" s="27"/>
      <x:c r="I77" s="27"/>
      <x:c r="J77" s="27"/>
      <x:c r="K77" s="27"/>
      <x:c r="L77" s="27"/>
      <x:c r="M77" s="27"/>
      <x:c r="N77" s="27"/>
      <x:c r="O77" s="27"/>
      <x:c r="P77" s="27"/>
      <x:c r="Q77" s="27"/>
      <x:c r="R77" s="27"/>
      <x:c r="S77" s="27"/>
      <x:c r="T77" s="27"/>
      <x:c r="U77" s="27"/>
      <x:c r="V77" s="27"/>
      <x:c r="W77" s="27"/>
      <x:c r="X77" s="27"/>
      <x:c r="Y77" s="27"/>
      <x:c r="Z77" s="27"/>
      <x:c r="AA77" s="27"/>
      <x:c r="AB77" s="27"/>
      <x:c r="AC77" s="27"/>
      <x:c r="AD77" s="27"/>
      <x:c r="AE77" s="27"/>
      <x:c r="AF77" s="27"/>
      <x:c r="AG77" s="27"/>
      <x:c r="AH77" s="27"/>
      <x:c r="AI77" s="27"/>
      <x:c r="AJ77" s="27"/>
      <x:c r="AK77" s="27"/>
      <x:c r="AL77" s="27"/>
      <x:c r="AM77" s="27"/>
      <x:c r="AN77" s="27"/>
      <x:c r="AO77" s="27"/>
      <x:c r="AP77" s="27"/>
      <x:c r="AQ77" s="27"/>
      <x:c r="AR77" s="27"/>
      <x:c r="AS77" s="27"/>
      <x:c r="AT77" s="27"/>
      <x:c r="AU77" s="27"/>
      <x:c r="AV77" s="27"/>
      <x:c r="AW77" s="27"/>
      <x:c r="AX77" s="27"/>
      <x:c r="AY77" s="27"/>
      <x:c r="AZ77" s="27"/>
    </x:row>
    <x:row r="78">
      <x:c r="A78" s="27"/>
      <x:c r="B78" s="27"/>
      <x:c r="C78" s="27"/>
      <x:c r="D78" s="27"/>
      <x:c r="E78" s="27"/>
      <x:c r="F78" s="27"/>
      <x:c r="G78" s="27"/>
      <x:c r="H78" s="27"/>
      <x:c r="I78" s="27"/>
      <x:c r="J78" s="27"/>
      <x:c r="K78" s="27"/>
      <x:c r="L78" s="27"/>
      <x:c r="M78" s="27"/>
      <x:c r="N78" s="27"/>
      <x:c r="O78" s="27"/>
      <x:c r="P78" s="27"/>
      <x:c r="Q78" s="27"/>
      <x:c r="R78" s="27"/>
      <x:c r="S78" s="27"/>
      <x:c r="T78" s="27"/>
      <x:c r="U78" s="27"/>
      <x:c r="V78" s="27"/>
      <x:c r="W78" s="27"/>
      <x:c r="X78" s="27"/>
      <x:c r="Y78" s="27"/>
      <x:c r="Z78" s="27"/>
      <x:c r="AA78" s="27"/>
      <x:c r="AB78" s="27"/>
      <x:c r="AC78" s="27"/>
      <x:c r="AD78" s="27"/>
      <x:c r="AE78" s="27"/>
      <x:c r="AF78" s="27"/>
      <x:c r="AG78" s="27"/>
      <x:c r="AH78" s="27"/>
      <x:c r="AI78" s="27"/>
      <x:c r="AJ78" s="27"/>
      <x:c r="AK78" s="27"/>
      <x:c r="AL78" s="27"/>
      <x:c r="AM78" s="27"/>
      <x:c r="AN78" s="27"/>
      <x:c r="AO78" s="27"/>
      <x:c r="AP78" s="27"/>
      <x:c r="AQ78" s="27"/>
      <x:c r="AR78" s="27"/>
      <x:c r="AS78" s="27"/>
      <x:c r="AT78" s="27"/>
      <x:c r="AU78" s="27"/>
      <x:c r="AV78" s="27"/>
      <x:c r="AW78" s="27"/>
      <x:c r="AX78" s="27"/>
      <x:c r="AY78" s="27"/>
      <x:c r="AZ78" s="27"/>
    </x:row>
    <x:row r="79">
      <x:c r="A79" s="27"/>
      <x:c r="B79" s="27"/>
      <x:c r="C79" s="27"/>
      <x:c r="D79" s="27"/>
      <x:c r="E79" s="27"/>
      <x:c r="F79" s="27"/>
      <x:c r="G79" s="27"/>
      <x:c r="H79" s="27"/>
      <x:c r="I79" s="27"/>
      <x:c r="J79" s="27"/>
      <x:c r="K79" s="27"/>
      <x:c r="L79" s="27"/>
      <x:c r="M79" s="27"/>
      <x:c r="N79" s="27"/>
      <x:c r="O79" s="27"/>
      <x:c r="P79" s="27"/>
      <x:c r="Q79" s="27"/>
      <x:c r="R79" s="27"/>
      <x:c r="S79" s="27"/>
      <x:c r="T79" s="27"/>
      <x:c r="U79" s="27"/>
      <x:c r="V79" s="27"/>
      <x:c r="W79" s="27"/>
      <x:c r="X79" s="27"/>
      <x:c r="Y79" s="27"/>
      <x:c r="Z79" s="27"/>
      <x:c r="AA79" s="27"/>
      <x:c r="AB79" s="27"/>
      <x:c r="AC79" s="27"/>
      <x:c r="AD79" s="27"/>
      <x:c r="AE79" s="27"/>
      <x:c r="AF79" s="27"/>
      <x:c r="AG79" s="27"/>
      <x:c r="AH79" s="27"/>
      <x:c r="AI79" s="27"/>
      <x:c r="AJ79" s="27"/>
      <x:c r="AK79" s="27"/>
      <x:c r="AL79" s="27"/>
      <x:c r="AM79" s="27"/>
      <x:c r="AN79" s="27"/>
      <x:c r="AO79" s="27"/>
      <x:c r="AP79" s="27"/>
      <x:c r="AQ79" s="27"/>
      <x:c r="AR79" s="27"/>
      <x:c r="AS79" s="27"/>
      <x:c r="AT79" s="27"/>
      <x:c r="AU79" s="27"/>
      <x:c r="AV79" s="27"/>
      <x:c r="AW79" s="27"/>
      <x:c r="AX79" s="27"/>
      <x:c r="AY79" s="27"/>
      <x:c r="AZ79" s="27"/>
    </x:row>
    <x:row r="80">
      <x:c r="A80" s="27"/>
      <x:c r="B80" s="27"/>
      <x:c r="C80" s="27"/>
      <x:c r="D80" s="27"/>
      <x:c r="E80" s="27"/>
      <x:c r="F80" s="27"/>
      <x:c r="G80" s="27"/>
      <x:c r="H80" s="27"/>
      <x:c r="I80" s="27"/>
      <x:c r="J80" s="27"/>
      <x:c r="K80" s="27"/>
      <x:c r="L80" s="27"/>
      <x:c r="M80" s="27"/>
      <x:c r="N80" s="27"/>
      <x:c r="O80" s="27"/>
      <x:c r="P80" s="27"/>
      <x:c r="Q80" s="27"/>
      <x:c r="R80" s="27"/>
      <x:c r="S80" s="27"/>
      <x:c r="T80" s="27"/>
      <x:c r="U80" s="27"/>
      <x:c r="V80" s="27"/>
      <x:c r="W80" s="27"/>
      <x:c r="X80" s="27"/>
      <x:c r="Y80" s="27"/>
      <x:c r="Z80" s="27"/>
      <x:c r="AA80" s="27"/>
      <x:c r="AB80" s="27"/>
      <x:c r="AC80" s="27"/>
      <x:c r="AD80" s="27"/>
      <x:c r="AE80" s="27"/>
      <x:c r="AF80" s="27"/>
      <x:c r="AG80" s="27"/>
      <x:c r="AH80" s="27"/>
      <x:c r="AI80" s="27"/>
      <x:c r="AJ80" s="27"/>
      <x:c r="AK80" s="27"/>
      <x:c r="AL80" s="27"/>
      <x:c r="AM80" s="27"/>
      <x:c r="AN80" s="27"/>
      <x:c r="AO80" s="27"/>
      <x:c r="AP80" s="27"/>
      <x:c r="AQ80" s="27"/>
      <x:c r="AR80" s="27"/>
      <x:c r="AS80" s="27"/>
      <x:c r="AT80" s="27"/>
      <x:c r="AU80" s="27"/>
      <x:c r="AV80" s="27"/>
      <x:c r="AW80" s="27"/>
      <x:c r="AX80" s="27"/>
      <x:c r="AY80" s="27"/>
      <x:c r="AZ80" s="27"/>
    </x:row>
    <x:row r="81">
      <x:c r="A81" s="27"/>
      <x:c r="B81" s="27"/>
      <x:c r="C81" s="27"/>
      <x:c r="D81" s="27"/>
      <x:c r="E81" s="27"/>
      <x:c r="F81" s="27"/>
      <x:c r="G81" s="27"/>
      <x:c r="H81" s="27"/>
      <x:c r="I81" s="27"/>
      <x:c r="J81" s="27"/>
      <x:c r="K81" s="27"/>
      <x:c r="L81" s="27"/>
      <x:c r="M81" s="27"/>
      <x:c r="N81" s="27"/>
      <x:c r="O81" s="27"/>
      <x:c r="P81" s="27"/>
      <x:c r="Q81" s="27"/>
      <x:c r="R81" s="27"/>
      <x:c r="S81" s="27"/>
      <x:c r="T81" s="27"/>
      <x:c r="U81" s="27"/>
      <x:c r="V81" s="27"/>
      <x:c r="W81" s="27"/>
      <x:c r="X81" s="27"/>
      <x:c r="Y81" s="27"/>
      <x:c r="Z81" s="27"/>
      <x:c r="AA81" s="27"/>
      <x:c r="AB81" s="27"/>
      <x:c r="AC81" s="27"/>
      <x:c r="AD81" s="27"/>
      <x:c r="AE81" s="27"/>
      <x:c r="AF81" s="27"/>
      <x:c r="AG81" s="27"/>
      <x:c r="AH81" s="27"/>
      <x:c r="AI81" s="27"/>
      <x:c r="AJ81" s="27"/>
      <x:c r="AK81" s="27"/>
      <x:c r="AL81" s="27"/>
      <x:c r="AM81" s="27"/>
      <x:c r="AN81" s="27"/>
      <x:c r="AO81" s="27"/>
      <x:c r="AP81" s="27"/>
      <x:c r="AQ81" s="27"/>
      <x:c r="AR81" s="27"/>
      <x:c r="AS81" s="27"/>
      <x:c r="AT81" s="27"/>
      <x:c r="AU81" s="27"/>
      <x:c r="AV81" s="27"/>
      <x:c r="AW81" s="27"/>
      <x:c r="AX81" s="27"/>
      <x:c r="AY81" s="27"/>
      <x:c r="AZ81" s="27"/>
    </x:row>
    <x:row r="82">
      <x:c r="A82" s="27"/>
      <x:c r="B82" s="27"/>
      <x:c r="C82" s="27"/>
      <x:c r="D82" s="27"/>
      <x:c r="E82" s="27"/>
      <x:c r="F82" s="27"/>
      <x:c r="G82" s="27"/>
      <x:c r="H82" s="27"/>
      <x:c r="I82" s="27"/>
      <x:c r="J82" s="27"/>
      <x:c r="K82" s="27"/>
      <x:c r="L82" s="27"/>
      <x:c r="M82" s="27"/>
      <x:c r="N82" s="27"/>
      <x:c r="O82" s="27"/>
      <x:c r="P82" s="27"/>
      <x:c r="Q82" s="27"/>
      <x:c r="R82" s="27"/>
      <x:c r="S82" s="27"/>
      <x:c r="T82" s="27"/>
      <x:c r="U82" s="27"/>
      <x:c r="V82" s="27"/>
      <x:c r="W82" s="27"/>
      <x:c r="X82" s="27"/>
      <x:c r="Y82" s="27"/>
      <x:c r="Z82" s="27"/>
      <x:c r="AA82" s="27"/>
      <x:c r="AB82" s="27"/>
      <x:c r="AC82" s="27"/>
      <x:c r="AD82" s="27"/>
      <x:c r="AE82" s="27"/>
      <x:c r="AF82" s="27"/>
      <x:c r="AG82" s="27"/>
      <x:c r="AH82" s="27"/>
      <x:c r="AI82" s="27"/>
      <x:c r="AJ82" s="27"/>
      <x:c r="AK82" s="27"/>
      <x:c r="AL82" s="27"/>
      <x:c r="AM82" s="27"/>
      <x:c r="AN82" s="27"/>
      <x:c r="AO82" s="27"/>
      <x:c r="AP82" s="27"/>
      <x:c r="AQ82" s="27"/>
      <x:c r="AR82" s="27"/>
      <x:c r="AS82" s="27"/>
      <x:c r="AT82" s="27"/>
      <x:c r="AU82" s="27"/>
      <x:c r="AV82" s="27"/>
      <x:c r="AW82" s="27"/>
      <x:c r="AX82" s="27"/>
      <x:c r="AY82" s="27"/>
      <x:c r="AZ82" s="27"/>
    </x:row>
    <x:row r="83">
      <x:c r="A83" s="27"/>
      <x:c r="B83" s="27"/>
      <x:c r="C83" s="27"/>
      <x:c r="D83" s="27"/>
      <x:c r="E83" s="27"/>
      <x:c r="F83" s="27"/>
      <x:c r="G83" s="27"/>
      <x:c r="H83" s="27"/>
      <x:c r="I83" s="27"/>
      <x:c r="J83" s="27"/>
      <x:c r="K83" s="27"/>
      <x:c r="L83" s="27"/>
      <x:c r="M83" s="27"/>
      <x:c r="N83" s="27"/>
      <x:c r="O83" s="27"/>
      <x:c r="P83" s="27"/>
      <x:c r="Q83" s="27"/>
      <x:c r="R83" s="27"/>
      <x:c r="S83" s="27"/>
      <x:c r="T83" s="27"/>
      <x:c r="U83" s="27"/>
      <x:c r="V83" s="27"/>
      <x:c r="W83" s="27"/>
      <x:c r="X83" s="27"/>
      <x:c r="Y83" s="27"/>
      <x:c r="Z83" s="27"/>
      <x:c r="AA83" s="27"/>
      <x:c r="AB83" s="27"/>
      <x:c r="AC83" s="27"/>
      <x:c r="AD83" s="27"/>
      <x:c r="AE83" s="27"/>
      <x:c r="AF83" s="27"/>
      <x:c r="AG83" s="27"/>
      <x:c r="AH83" s="27"/>
      <x:c r="AI83" s="27"/>
      <x:c r="AJ83" s="27"/>
      <x:c r="AK83" s="27"/>
      <x:c r="AL83" s="27"/>
      <x:c r="AM83" s="27"/>
      <x:c r="AN83" s="27"/>
      <x:c r="AO83" s="27"/>
      <x:c r="AP83" s="27"/>
      <x:c r="AQ83" s="27"/>
      <x:c r="AR83" s="27"/>
      <x:c r="AS83" s="27"/>
      <x:c r="AT83" s="27"/>
      <x:c r="AU83" s="27"/>
      <x:c r="AV83" s="27"/>
      <x:c r="AW83" s="27"/>
      <x:c r="AX83" s="27"/>
      <x:c r="AY83" s="27"/>
      <x:c r="AZ83" s="27"/>
    </x:row>
    <x:row r="84">
      <x:c r="A84" s="27"/>
      <x:c r="B84" s="27"/>
      <x:c r="C84" s="27"/>
      <x:c r="D84" s="27"/>
      <x:c r="E84" s="27"/>
      <x:c r="F84" s="27"/>
      <x:c r="G84" s="27"/>
      <x:c r="H84" s="27"/>
      <x:c r="I84" s="27"/>
      <x:c r="J84" s="27"/>
      <x:c r="K84" s="27"/>
      <x:c r="L84" s="27"/>
      <x:c r="M84" s="27"/>
      <x:c r="N84" s="27"/>
      <x:c r="O84" s="27"/>
      <x:c r="P84" s="27"/>
      <x:c r="Q84" s="27"/>
      <x:c r="R84" s="27"/>
      <x:c r="S84" s="27"/>
      <x:c r="T84" s="27"/>
      <x:c r="U84" s="27"/>
      <x:c r="V84" s="27"/>
      <x:c r="W84" s="27"/>
      <x:c r="X84" s="27"/>
      <x:c r="Y84" s="27"/>
      <x:c r="Z84" s="27"/>
      <x:c r="AA84" s="27"/>
      <x:c r="AB84" s="27"/>
      <x:c r="AC84" s="27"/>
      <x:c r="AD84" s="27"/>
      <x:c r="AE84" s="27"/>
      <x:c r="AF84" s="27"/>
      <x:c r="AG84" s="27"/>
      <x:c r="AH84" s="27"/>
      <x:c r="AI84" s="27"/>
      <x:c r="AJ84" s="27"/>
      <x:c r="AK84" s="27"/>
      <x:c r="AL84" s="27"/>
      <x:c r="AM84" s="27"/>
      <x:c r="AN84" s="27"/>
      <x:c r="AO84" s="27"/>
      <x:c r="AP84" s="27"/>
      <x:c r="AQ84" s="27"/>
      <x:c r="AR84" s="27"/>
      <x:c r="AS84" s="27"/>
      <x:c r="AT84" s="27"/>
      <x:c r="AU84" s="27"/>
      <x:c r="AV84" s="27"/>
      <x:c r="AW84" s="27"/>
      <x:c r="AX84" s="27"/>
      <x:c r="AY84" s="27"/>
      <x:c r="AZ84" s="27"/>
    </x:row>
    <x:row r="85">
      <x:c r="A85" s="27"/>
      <x:c r="B85" s="27"/>
      <x:c r="C85" s="27"/>
      <x:c r="D85" s="27"/>
      <x:c r="E85" s="27"/>
      <x:c r="F85" s="27"/>
      <x:c r="G85" s="27"/>
      <x:c r="H85" s="27"/>
      <x:c r="I85" s="27"/>
      <x:c r="J85" s="27"/>
      <x:c r="K85" s="27"/>
      <x:c r="L85" s="27"/>
      <x:c r="M85" s="27"/>
      <x:c r="N85" s="27"/>
      <x:c r="O85" s="27"/>
      <x:c r="P85" s="27"/>
      <x:c r="Q85" s="27"/>
      <x:c r="R85" s="27"/>
      <x:c r="S85" s="27"/>
      <x:c r="T85" s="27"/>
      <x:c r="U85" s="27"/>
      <x:c r="V85" s="27"/>
      <x:c r="W85" s="27"/>
      <x:c r="X85" s="27"/>
      <x:c r="Y85" s="27"/>
      <x:c r="Z85" s="27"/>
      <x:c r="AA85" s="27"/>
      <x:c r="AB85" s="27"/>
      <x:c r="AC85" s="27"/>
      <x:c r="AD85" s="27"/>
      <x:c r="AE85" s="27"/>
      <x:c r="AF85" s="27"/>
      <x:c r="AG85" s="27"/>
      <x:c r="AH85" s="27"/>
      <x:c r="AI85" s="27"/>
      <x:c r="AJ85" s="27"/>
      <x:c r="AK85" s="27"/>
      <x:c r="AL85" s="27"/>
      <x:c r="AM85" s="27"/>
      <x:c r="AN85" s="27"/>
      <x:c r="AO85" s="27"/>
      <x:c r="AP85" s="27"/>
      <x:c r="AQ85" s="27"/>
      <x:c r="AR85" s="27"/>
      <x:c r="AS85" s="27"/>
      <x:c r="AT85" s="27"/>
      <x:c r="AU85" s="27"/>
      <x:c r="AV85" s="27"/>
      <x:c r="AW85" s="27"/>
      <x:c r="AX85" s="27"/>
      <x:c r="AY85" s="27"/>
      <x:c r="AZ85" s="27"/>
    </x:row>
    <x:row r="86">
      <x:c r="A86" s="27"/>
      <x:c r="B86" s="27"/>
      <x:c r="C86" s="27"/>
      <x:c r="D86" s="27"/>
      <x:c r="E86" s="27"/>
      <x:c r="F86" s="27"/>
      <x:c r="G86" s="27"/>
      <x:c r="H86" s="27"/>
      <x:c r="I86" s="27"/>
      <x:c r="J86" s="27"/>
      <x:c r="K86" s="27"/>
      <x:c r="L86" s="27"/>
      <x:c r="M86" s="27"/>
      <x:c r="N86" s="27"/>
      <x:c r="O86" s="27"/>
      <x:c r="P86" s="27"/>
      <x:c r="Q86" s="27"/>
      <x:c r="R86" s="27"/>
      <x:c r="S86" s="27"/>
      <x:c r="T86" s="27"/>
      <x:c r="U86" s="27"/>
      <x:c r="V86" s="27"/>
      <x:c r="W86" s="27"/>
      <x:c r="X86" s="27"/>
      <x:c r="Y86" s="27"/>
      <x:c r="Z86" s="27"/>
      <x:c r="AA86" s="27"/>
      <x:c r="AB86" s="27"/>
      <x:c r="AC86" s="27"/>
      <x:c r="AD86" s="27"/>
      <x:c r="AE86" s="27"/>
      <x:c r="AF86" s="27"/>
      <x:c r="AG86" s="27"/>
      <x:c r="AH86" s="27"/>
      <x:c r="AI86" s="27"/>
      <x:c r="AJ86" s="27"/>
      <x:c r="AK86" s="27"/>
      <x:c r="AL86" s="27"/>
      <x:c r="AM86" s="27"/>
      <x:c r="AN86" s="27"/>
      <x:c r="AO86" s="27"/>
      <x:c r="AP86" s="27"/>
      <x:c r="AQ86" s="27"/>
      <x:c r="AR86" s="27"/>
      <x:c r="AS86" s="27"/>
      <x:c r="AT86" s="27"/>
      <x:c r="AU86" s="27"/>
      <x:c r="AV86" s="27"/>
      <x:c r="AW86" s="27"/>
      <x:c r="AX86" s="27"/>
      <x:c r="AY86" s="27"/>
      <x:c r="AZ86" s="27"/>
    </x:row>
    <x:row r="87">
      <x:c r="A87" s="27"/>
      <x:c r="B87" s="27"/>
      <x:c r="C87" s="27"/>
      <x:c r="D87" s="27"/>
      <x:c r="E87" s="27"/>
      <x:c r="F87" s="27"/>
      <x:c r="G87" s="27"/>
      <x:c r="H87" s="27"/>
      <x:c r="I87" s="27"/>
      <x:c r="J87" s="27"/>
      <x:c r="K87" s="27"/>
      <x:c r="L87" s="27"/>
      <x:c r="M87" s="27"/>
      <x:c r="N87" s="27"/>
      <x:c r="O87" s="27"/>
      <x:c r="P87" s="27"/>
      <x:c r="Q87" s="27"/>
      <x:c r="R87" s="27"/>
      <x:c r="S87" s="27"/>
      <x:c r="T87" s="27"/>
      <x:c r="U87" s="27"/>
      <x:c r="V87" s="27"/>
      <x:c r="W87" s="27"/>
      <x:c r="X87" s="27"/>
      <x:c r="Y87" s="27"/>
      <x:c r="Z87" s="27"/>
      <x:c r="AA87" s="27"/>
      <x:c r="AB87" s="27"/>
      <x:c r="AC87" s="27"/>
      <x:c r="AD87" s="27"/>
      <x:c r="AE87" s="27"/>
      <x:c r="AF87" s="27"/>
      <x:c r="AG87" s="27"/>
      <x:c r="AH87" s="27"/>
      <x:c r="AI87" s="27"/>
      <x:c r="AJ87" s="27"/>
      <x:c r="AK87" s="27"/>
      <x:c r="AL87" s="27"/>
      <x:c r="AM87" s="27"/>
      <x:c r="AN87" s="27"/>
      <x:c r="AO87" s="27"/>
      <x:c r="AP87" s="27"/>
      <x:c r="AQ87" s="27"/>
      <x:c r="AR87" s="27"/>
      <x:c r="AS87" s="27"/>
      <x:c r="AT87" s="27"/>
      <x:c r="AU87" s="27"/>
      <x:c r="AV87" s="27"/>
      <x:c r="AW87" s="27"/>
      <x:c r="AX87" s="27"/>
      <x:c r="AY87" s="27"/>
      <x:c r="AZ87" s="27"/>
    </x:row>
    <x:row r="88">
      <x:c r="A88" s="27"/>
      <x:c r="B88" s="27"/>
      <x:c r="C88" s="27"/>
      <x:c r="D88" s="27"/>
      <x:c r="E88" s="27"/>
      <x:c r="F88" s="27"/>
      <x:c r="G88" s="27"/>
      <x:c r="H88" s="27"/>
      <x:c r="I88" s="27"/>
      <x:c r="J88" s="27"/>
      <x:c r="K88" s="27"/>
      <x:c r="L88" s="27"/>
      <x:c r="M88" s="27"/>
      <x:c r="N88" s="27"/>
      <x:c r="O88" s="27"/>
      <x:c r="P88" s="27"/>
      <x:c r="Q88" s="27"/>
      <x:c r="R88" s="27"/>
      <x:c r="S88" s="27"/>
      <x:c r="T88" s="27"/>
      <x:c r="U88" s="27"/>
      <x:c r="V88" s="27"/>
      <x:c r="W88" s="27"/>
      <x:c r="X88" s="27"/>
      <x:c r="Y88" s="27"/>
      <x:c r="Z88" s="27"/>
      <x:c r="AA88" s="27"/>
      <x:c r="AB88" s="27"/>
      <x:c r="AC88" s="27"/>
      <x:c r="AD88" s="27"/>
      <x:c r="AE88" s="27"/>
      <x:c r="AF88" s="27"/>
      <x:c r="AG88" s="27"/>
      <x:c r="AH88" s="27"/>
      <x:c r="AI88" s="27"/>
      <x:c r="AJ88" s="27"/>
      <x:c r="AK88" s="27"/>
      <x:c r="AL88" s="27"/>
      <x:c r="AM88" s="27"/>
      <x:c r="AN88" s="27"/>
      <x:c r="AO88" s="27"/>
      <x:c r="AP88" s="27"/>
      <x:c r="AQ88" s="27"/>
      <x:c r="AR88" s="27"/>
      <x:c r="AS88" s="27"/>
      <x:c r="AT88" s="27"/>
      <x:c r="AU88" s="27"/>
      <x:c r="AV88" s="27"/>
      <x:c r="AW88" s="27"/>
      <x:c r="AX88" s="27"/>
      <x:c r="AY88" s="27"/>
      <x:c r="AZ88" s="27"/>
    </x:row>
    <x:row r="89">
      <x:c r="A89" s="27"/>
      <x:c r="B89" s="27"/>
      <x:c r="C89" s="27"/>
      <x:c r="D89" s="27"/>
      <x:c r="E89" s="27"/>
      <x:c r="F89" s="27"/>
      <x:c r="G89" s="27"/>
      <x:c r="H89" s="27"/>
      <x:c r="I89" s="27"/>
      <x:c r="J89" s="27"/>
      <x:c r="K89" s="27"/>
      <x:c r="L89" s="27"/>
      <x:c r="M89" s="27"/>
      <x:c r="N89" s="27"/>
      <x:c r="O89" s="27"/>
      <x:c r="P89" s="27"/>
      <x:c r="Q89" s="27"/>
      <x:c r="R89" s="27"/>
      <x:c r="S89" s="27"/>
      <x:c r="T89" s="27"/>
      <x:c r="U89" s="27"/>
      <x:c r="V89" s="27"/>
      <x:c r="W89" s="27"/>
      <x:c r="X89" s="27"/>
      <x:c r="Y89" s="27"/>
      <x:c r="Z89" s="27"/>
      <x:c r="AA89" s="27"/>
      <x:c r="AB89" s="27"/>
      <x:c r="AC89" s="27"/>
      <x:c r="AD89" s="27"/>
      <x:c r="AE89" s="27"/>
      <x:c r="AF89" s="27"/>
      <x:c r="AG89" s="27"/>
      <x:c r="AH89" s="27"/>
      <x:c r="AI89" s="27"/>
      <x:c r="AJ89" s="27"/>
      <x:c r="AK89" s="27"/>
      <x:c r="AL89" s="27"/>
      <x:c r="AM89" s="27"/>
      <x:c r="AN89" s="27"/>
      <x:c r="AO89" s="27"/>
      <x:c r="AP89" s="27"/>
      <x:c r="AQ89" s="27"/>
      <x:c r="AR89" s="27"/>
      <x:c r="AS89" s="27"/>
      <x:c r="AT89" s="27"/>
      <x:c r="AU89" s="27"/>
      <x:c r="AV89" s="27"/>
      <x:c r="AW89" s="27"/>
      <x:c r="AX89" s="27"/>
      <x:c r="AY89" s="27"/>
      <x:c r="AZ89" s="27"/>
    </x:row>
    <x:row r="90">
      <x:c r="A90" s="27"/>
      <x:c r="B90" s="27"/>
      <x:c r="C90" s="27"/>
      <x:c r="D90" s="27"/>
      <x:c r="E90" s="27"/>
      <x:c r="F90" s="27"/>
      <x:c r="G90" s="27"/>
      <x:c r="H90" s="27"/>
      <x:c r="I90" s="27"/>
      <x:c r="J90" s="27"/>
      <x:c r="K90" s="27"/>
      <x:c r="L90" s="27"/>
      <x:c r="M90" s="27"/>
      <x:c r="N90" s="27"/>
      <x:c r="O90" s="27"/>
      <x:c r="P90" s="27"/>
      <x:c r="Q90" s="27"/>
      <x:c r="R90" s="27"/>
      <x:c r="S90" s="27"/>
      <x:c r="T90" s="27"/>
      <x:c r="U90" s="27"/>
      <x:c r="V90" s="27"/>
      <x:c r="W90" s="27"/>
      <x:c r="X90" s="27"/>
      <x:c r="Y90" s="27"/>
      <x:c r="Z90" s="27"/>
      <x:c r="AA90" s="27"/>
      <x:c r="AB90" s="27"/>
      <x:c r="AC90" s="27"/>
      <x:c r="AD90" s="27"/>
      <x:c r="AE90" s="27"/>
      <x:c r="AF90" s="27"/>
      <x:c r="AG90" s="27"/>
      <x:c r="AH90" s="27"/>
      <x:c r="AI90" s="27"/>
      <x:c r="AJ90" s="27"/>
      <x:c r="AK90" s="27"/>
      <x:c r="AL90" s="27"/>
      <x:c r="AM90" s="27"/>
      <x:c r="AN90" s="27"/>
      <x:c r="AO90" s="27"/>
      <x:c r="AP90" s="27"/>
      <x:c r="AQ90" s="27"/>
      <x:c r="AR90" s="27"/>
      <x:c r="AS90" s="27"/>
      <x:c r="AT90" s="27"/>
      <x:c r="AU90" s="27"/>
      <x:c r="AV90" s="27"/>
      <x:c r="AW90" s="27"/>
      <x:c r="AX90" s="27"/>
      <x:c r="AY90" s="27"/>
      <x:c r="AZ90" s="27"/>
    </x:row>
    <x:row r="91">
      <x:c r="A91" s="27"/>
      <x:c r="B91" s="27"/>
      <x:c r="C91" s="27"/>
      <x:c r="D91" s="27"/>
      <x:c r="E91" s="27"/>
      <x:c r="F91" s="27"/>
      <x:c r="G91" s="27"/>
      <x:c r="H91" s="27"/>
      <x:c r="I91" s="27"/>
      <x:c r="J91" s="27"/>
      <x:c r="K91" s="27"/>
      <x:c r="L91" s="27"/>
      <x:c r="M91" s="27"/>
      <x:c r="N91" s="27"/>
      <x:c r="O91" s="27"/>
      <x:c r="P91" s="27"/>
      <x:c r="Q91" s="27"/>
      <x:c r="R91" s="27"/>
      <x:c r="S91" s="27"/>
      <x:c r="T91" s="27"/>
      <x:c r="U91" s="27"/>
      <x:c r="V91" s="27"/>
      <x:c r="W91" s="27"/>
      <x:c r="X91" s="27"/>
      <x:c r="Y91" s="27"/>
      <x:c r="Z91" s="27"/>
      <x:c r="AA91" s="27"/>
      <x:c r="AB91" s="27"/>
      <x:c r="AC91" s="27"/>
      <x:c r="AD91" s="27"/>
      <x:c r="AE91" s="27"/>
      <x:c r="AF91" s="27"/>
      <x:c r="AG91" s="27"/>
      <x:c r="AH91" s="27"/>
      <x:c r="AI91" s="27"/>
      <x:c r="AJ91" s="27"/>
      <x:c r="AK91" s="27"/>
      <x:c r="AL91" s="27"/>
      <x:c r="AM91" s="27"/>
      <x:c r="AN91" s="27"/>
      <x:c r="AO91" s="27"/>
      <x:c r="AP91" s="27"/>
      <x:c r="AQ91" s="27"/>
      <x:c r="AR91" s="27"/>
      <x:c r="AS91" s="27"/>
      <x:c r="AT91" s="27"/>
      <x:c r="AU91" s="27"/>
      <x:c r="AV91" s="27"/>
      <x:c r="AW91" s="27"/>
      <x:c r="AX91" s="27"/>
      <x:c r="AY91" s="27"/>
      <x:c r="AZ91" s="27"/>
    </x:row>
    <x:row r="92">
      <x:c r="A92" s="27"/>
      <x:c r="B92" s="27"/>
      <x:c r="C92" s="27"/>
      <x:c r="D92" s="27"/>
      <x:c r="E92" s="27"/>
      <x:c r="F92" s="27"/>
      <x:c r="G92" s="27"/>
      <x:c r="H92" s="27"/>
      <x:c r="I92" s="27"/>
      <x:c r="J92" s="27"/>
      <x:c r="K92" s="27"/>
      <x:c r="L92" s="27"/>
      <x:c r="M92" s="27"/>
      <x:c r="N92" s="27"/>
      <x:c r="O92" s="27"/>
      <x:c r="P92" s="27"/>
      <x:c r="Q92" s="27"/>
      <x:c r="R92" s="27"/>
      <x:c r="S92" s="27"/>
      <x:c r="T92" s="27"/>
      <x:c r="U92" s="27"/>
      <x:c r="V92" s="27"/>
      <x:c r="W92" s="27"/>
      <x:c r="X92" s="27"/>
      <x:c r="Y92" s="27"/>
      <x:c r="Z92" s="27"/>
      <x:c r="AA92" s="27"/>
      <x:c r="AB92" s="27"/>
      <x:c r="AC92" s="27"/>
      <x:c r="AD92" s="27"/>
      <x:c r="AE92" s="27"/>
      <x:c r="AF92" s="27"/>
      <x:c r="AG92" s="27"/>
      <x:c r="AH92" s="27"/>
      <x:c r="AI92" s="27"/>
      <x:c r="AJ92" s="27"/>
      <x:c r="AK92" s="27"/>
      <x:c r="AL92" s="27"/>
      <x:c r="AM92" s="27"/>
      <x:c r="AN92" s="27"/>
      <x:c r="AO92" s="27"/>
      <x:c r="AP92" s="27"/>
      <x:c r="AQ92" s="27"/>
      <x:c r="AR92" s="27"/>
      <x:c r="AS92" s="27"/>
      <x:c r="AT92" s="27"/>
      <x:c r="AU92" s="27"/>
      <x:c r="AV92" s="27"/>
      <x:c r="AW92" s="27"/>
      <x:c r="AX92" s="27"/>
      <x:c r="AY92" s="27"/>
      <x:c r="AZ92" s="27"/>
    </x:row>
    <x:row r="93">
      <x:c r="A93" s="27"/>
      <x:c r="B93" s="27"/>
      <x:c r="C93" s="27"/>
      <x:c r="D93" s="27"/>
      <x:c r="E93" s="27"/>
      <x:c r="F93" s="27"/>
      <x:c r="G93" s="27"/>
      <x:c r="H93" s="27"/>
      <x:c r="I93" s="27"/>
      <x:c r="J93" s="27"/>
      <x:c r="K93" s="27"/>
      <x:c r="L93" s="27"/>
      <x:c r="M93" s="27"/>
      <x:c r="N93" s="27"/>
      <x:c r="O93" s="27"/>
      <x:c r="P93" s="27"/>
      <x:c r="Q93" s="27"/>
      <x:c r="R93" s="27"/>
      <x:c r="S93" s="27"/>
      <x:c r="T93" s="27"/>
      <x:c r="U93" s="27"/>
      <x:c r="V93" s="27"/>
      <x:c r="W93" s="27"/>
      <x:c r="X93" s="27"/>
      <x:c r="Y93" s="27"/>
      <x:c r="Z93" s="27"/>
      <x:c r="AA93" s="27"/>
      <x:c r="AB93" s="27"/>
      <x:c r="AC93" s="27"/>
      <x:c r="AD93" s="27"/>
      <x:c r="AE93" s="27"/>
      <x:c r="AF93" s="27"/>
      <x:c r="AG93" s="27"/>
      <x:c r="AH93" s="27"/>
      <x:c r="AI93" s="27"/>
      <x:c r="AJ93" s="27"/>
      <x:c r="AK93" s="27"/>
      <x:c r="AL93" s="27"/>
      <x:c r="AM93" s="27"/>
      <x:c r="AN93" s="27"/>
      <x:c r="AO93" s="27"/>
      <x:c r="AP93" s="27"/>
      <x:c r="AQ93" s="27"/>
      <x:c r="AR93" s="27"/>
      <x:c r="AS93" s="27"/>
      <x:c r="AT93" s="27"/>
      <x:c r="AU93" s="27"/>
      <x:c r="AV93" s="27"/>
      <x:c r="AW93" s="27"/>
      <x:c r="AX93" s="27"/>
      <x:c r="AY93" s="27"/>
      <x:c r="AZ93" s="27"/>
    </x:row>
    <x:row r="94">
      <x:c r="A94" s="27"/>
      <x:c r="B94" s="27"/>
      <x:c r="C94" s="27"/>
      <x:c r="D94" s="27"/>
      <x:c r="E94" s="27"/>
      <x:c r="F94" s="27"/>
      <x:c r="G94" s="27"/>
      <x:c r="H94" s="27"/>
      <x:c r="I94" s="27"/>
      <x:c r="J94" s="27"/>
      <x:c r="K94" s="27"/>
      <x:c r="L94" s="27"/>
      <x:c r="M94" s="27"/>
      <x:c r="N94" s="27"/>
      <x:c r="O94" s="27"/>
      <x:c r="P94" s="27"/>
      <x:c r="Q94" s="27"/>
      <x:c r="R94" s="27"/>
      <x:c r="S94" s="27"/>
      <x:c r="T94" s="27"/>
      <x:c r="U94" s="27"/>
      <x:c r="V94" s="27"/>
      <x:c r="W94" s="27"/>
      <x:c r="X94" s="27"/>
      <x:c r="Y94" s="27"/>
      <x:c r="Z94" s="27"/>
      <x:c r="AA94" s="27"/>
      <x:c r="AB94" s="27"/>
      <x:c r="AC94" s="27"/>
      <x:c r="AD94" s="27"/>
      <x:c r="AE94" s="27"/>
      <x:c r="AF94" s="27"/>
      <x:c r="AG94" s="27"/>
      <x:c r="AH94" s="27"/>
      <x:c r="AI94" s="27"/>
      <x:c r="AJ94" s="27"/>
      <x:c r="AK94" s="27"/>
      <x:c r="AL94" s="27"/>
      <x:c r="AM94" s="27"/>
      <x:c r="AN94" s="27"/>
      <x:c r="AO94" s="27"/>
      <x:c r="AP94" s="27"/>
      <x:c r="AQ94" s="27"/>
      <x:c r="AR94" s="27"/>
      <x:c r="AS94" s="27"/>
      <x:c r="AT94" s="27"/>
      <x:c r="AU94" s="27"/>
      <x:c r="AV94" s="27"/>
      <x:c r="AW94" s="27"/>
      <x:c r="AX94" s="27"/>
      <x:c r="AY94" s="27"/>
      <x:c r="AZ94" s="27"/>
    </x:row>
    <x:row r="95">
      <x:c r="A95" s="27"/>
      <x:c r="B95" s="27"/>
      <x:c r="C95" s="27"/>
      <x:c r="D95" s="27"/>
      <x:c r="E95" s="27"/>
      <x:c r="F95" s="27"/>
      <x:c r="G95" s="27"/>
      <x:c r="H95" s="27"/>
      <x:c r="I95" s="27"/>
      <x:c r="J95" s="27"/>
      <x:c r="K95" s="27"/>
      <x:c r="L95" s="27"/>
      <x:c r="M95" s="27"/>
      <x:c r="N95" s="27"/>
      <x:c r="O95" s="27"/>
      <x:c r="P95" s="27"/>
      <x:c r="Q95" s="27"/>
      <x:c r="R95" s="27"/>
      <x:c r="S95" s="27"/>
      <x:c r="T95" s="27"/>
      <x:c r="U95" s="27"/>
      <x:c r="V95" s="27"/>
      <x:c r="W95" s="27"/>
      <x:c r="X95" s="27"/>
      <x:c r="Y95" s="27"/>
      <x:c r="Z95" s="27"/>
      <x:c r="AA95" s="27"/>
      <x:c r="AB95" s="27"/>
      <x:c r="AC95" s="27"/>
      <x:c r="AD95" s="27"/>
      <x:c r="AE95" s="27"/>
      <x:c r="AF95" s="27"/>
      <x:c r="AG95" s="27"/>
      <x:c r="AH95" s="27"/>
      <x:c r="AI95" s="27"/>
      <x:c r="AJ95" s="27"/>
      <x:c r="AK95" s="27"/>
      <x:c r="AL95" s="27"/>
      <x:c r="AM95" s="27"/>
      <x:c r="AN95" s="27"/>
      <x:c r="AO95" s="27"/>
      <x:c r="AP95" s="27"/>
      <x:c r="AQ95" s="27"/>
      <x:c r="AR95" s="27"/>
      <x:c r="AS95" s="27"/>
      <x:c r="AT95" s="27"/>
      <x:c r="AU95" s="27"/>
      <x:c r="AV95" s="27"/>
      <x:c r="AW95" s="27"/>
      <x:c r="AX95" s="27"/>
      <x:c r="AY95" s="27"/>
      <x:c r="AZ95" s="27"/>
    </x:row>
    <x:row r="96">
      <x:c r="A96" s="27"/>
      <x:c r="B96" s="27"/>
      <x:c r="C96" s="27"/>
      <x:c r="D96" s="27"/>
      <x:c r="E96" s="27"/>
      <x:c r="F96" s="27"/>
      <x:c r="G96" s="27"/>
      <x:c r="H96" s="27"/>
      <x:c r="I96" s="27"/>
      <x:c r="J96" s="27"/>
      <x:c r="K96" s="27"/>
      <x:c r="L96" s="27"/>
      <x:c r="M96" s="27"/>
      <x:c r="N96" s="27"/>
      <x:c r="O96" s="27"/>
      <x:c r="P96" s="27"/>
      <x:c r="Q96" s="27"/>
      <x:c r="R96" s="27"/>
      <x:c r="S96" s="27"/>
      <x:c r="T96" s="27"/>
      <x:c r="U96" s="27"/>
      <x:c r="V96" s="27"/>
      <x:c r="W96" s="27"/>
      <x:c r="X96" s="27"/>
      <x:c r="Y96" s="27"/>
      <x:c r="Z96" s="27"/>
      <x:c r="AA96" s="27"/>
      <x:c r="AB96" s="27"/>
      <x:c r="AC96" s="27"/>
      <x:c r="AD96" s="27"/>
      <x:c r="AE96" s="27"/>
      <x:c r="AF96" s="27"/>
      <x:c r="AG96" s="27"/>
      <x:c r="AH96" s="27"/>
      <x:c r="AI96" s="27"/>
      <x:c r="AJ96" s="27"/>
      <x:c r="AK96" s="27"/>
      <x:c r="AL96" s="27"/>
      <x:c r="AM96" s="27"/>
      <x:c r="AN96" s="27"/>
      <x:c r="AO96" s="27"/>
      <x:c r="AP96" s="27"/>
      <x:c r="AQ96" s="27"/>
      <x:c r="AR96" s="27"/>
      <x:c r="AS96" s="27"/>
      <x:c r="AT96" s="27"/>
      <x:c r="AU96" s="27"/>
      <x:c r="AV96" s="27"/>
      <x:c r="AW96" s="27"/>
      <x:c r="AX96" s="27"/>
      <x:c r="AY96" s="27"/>
      <x:c r="AZ96" s="27"/>
    </x:row>
    <x:row r="97">
      <x:c r="A97" s="27"/>
      <x:c r="B97" s="27"/>
      <x:c r="C97" s="27"/>
      <x:c r="D97" s="27"/>
      <x:c r="E97" s="27"/>
      <x:c r="F97" s="27"/>
      <x:c r="G97" s="27"/>
      <x:c r="H97" s="27"/>
      <x:c r="I97" s="27"/>
      <x:c r="J97" s="27"/>
      <x:c r="K97" s="27"/>
      <x:c r="L97" s="27"/>
      <x:c r="M97" s="27"/>
      <x:c r="N97" s="27"/>
      <x:c r="O97" s="27"/>
      <x:c r="P97" s="27"/>
      <x:c r="Q97" s="27"/>
      <x:c r="R97" s="27"/>
      <x:c r="S97" s="27"/>
      <x:c r="T97" s="27"/>
      <x:c r="U97" s="27"/>
      <x:c r="V97" s="27"/>
      <x:c r="W97" s="27"/>
      <x:c r="X97" s="27"/>
      <x:c r="Y97" s="27"/>
      <x:c r="Z97" s="27"/>
      <x:c r="AA97" s="27"/>
      <x:c r="AB97" s="27"/>
      <x:c r="AC97" s="27"/>
      <x:c r="AD97" s="27"/>
      <x:c r="AE97" s="27"/>
      <x:c r="AF97" s="27"/>
      <x:c r="AG97" s="27"/>
      <x:c r="AH97" s="27"/>
      <x:c r="AI97" s="27"/>
      <x:c r="AJ97" s="27"/>
      <x:c r="AK97" s="27"/>
      <x:c r="AL97" s="27"/>
      <x:c r="AM97" s="27"/>
      <x:c r="AN97" s="27"/>
      <x:c r="AO97" s="27"/>
      <x:c r="AP97" s="27"/>
      <x:c r="AQ97" s="27"/>
      <x:c r="AR97" s="27"/>
      <x:c r="AS97" s="27"/>
      <x:c r="AT97" s="27"/>
      <x:c r="AU97" s="27"/>
      <x:c r="AV97" s="27"/>
      <x:c r="AW97" s="27"/>
      <x:c r="AX97" s="27"/>
      <x:c r="AY97" s="27"/>
      <x:c r="AZ97" s="27"/>
    </x:row>
    <x:row r="98">
      <x:c r="A98" s="27"/>
      <x:c r="B98" s="27"/>
      <x:c r="C98" s="27"/>
      <x:c r="D98" s="27"/>
      <x:c r="E98" s="27"/>
      <x:c r="F98" s="27"/>
      <x:c r="G98" s="27"/>
      <x:c r="H98" s="27"/>
      <x:c r="I98" s="27"/>
      <x:c r="J98" s="27"/>
      <x:c r="K98" s="27"/>
      <x:c r="L98" s="27"/>
      <x:c r="M98" s="27"/>
      <x:c r="N98" s="27"/>
      <x:c r="O98" s="27"/>
      <x:c r="P98" s="27"/>
      <x:c r="Q98" s="27"/>
      <x:c r="R98" s="27"/>
      <x:c r="S98" s="27"/>
      <x:c r="T98" s="27"/>
      <x:c r="U98" s="27"/>
      <x:c r="V98" s="27"/>
      <x:c r="W98" s="27"/>
      <x:c r="X98" s="27"/>
      <x:c r="Y98" s="27"/>
      <x:c r="Z98" s="27"/>
      <x:c r="AA98" s="27"/>
      <x:c r="AB98" s="27"/>
      <x:c r="AC98" s="27"/>
      <x:c r="AD98" s="27"/>
      <x:c r="AE98" s="27"/>
      <x:c r="AF98" s="27"/>
      <x:c r="AG98" s="27"/>
      <x:c r="AH98" s="27"/>
      <x:c r="AI98" s="27"/>
      <x:c r="AJ98" s="27"/>
      <x:c r="AK98" s="27"/>
      <x:c r="AL98" s="27"/>
      <x:c r="AM98" s="27"/>
      <x:c r="AN98" s="27"/>
      <x:c r="AO98" s="27"/>
      <x:c r="AP98" s="27"/>
      <x:c r="AQ98" s="27"/>
      <x:c r="AR98" s="27"/>
      <x:c r="AS98" s="27"/>
      <x:c r="AT98" s="27"/>
      <x:c r="AU98" s="27"/>
      <x:c r="AV98" s="27"/>
      <x:c r="AW98" s="27"/>
      <x:c r="AX98" s="27"/>
      <x:c r="AY98" s="27"/>
      <x:c r="AZ98" s="27"/>
    </x:row>
    <x:row r="99">
      <x:c r="A99" s="27"/>
      <x:c r="B99" s="27"/>
      <x:c r="C99" s="27"/>
      <x:c r="D99" s="27"/>
      <x:c r="E99" s="27"/>
      <x:c r="F99" s="27"/>
      <x:c r="G99" s="27"/>
      <x:c r="H99" s="27"/>
      <x:c r="I99" s="27"/>
      <x:c r="J99" s="27"/>
      <x:c r="K99" s="27"/>
      <x:c r="L99" s="27"/>
      <x:c r="M99" s="27"/>
      <x:c r="N99" s="27"/>
      <x:c r="O99" s="27"/>
      <x:c r="P99" s="27"/>
      <x:c r="Q99" s="27"/>
      <x:c r="R99" s="27"/>
      <x:c r="S99" s="27"/>
      <x:c r="T99" s="27"/>
      <x:c r="U99" s="27"/>
      <x:c r="V99" s="27"/>
      <x:c r="W99" s="27"/>
      <x:c r="X99" s="27"/>
      <x:c r="Y99" s="27"/>
      <x:c r="Z99" s="27"/>
      <x:c r="AA99" s="27"/>
      <x:c r="AB99" s="27"/>
      <x:c r="AC99" s="27"/>
      <x:c r="AD99" s="27"/>
      <x:c r="AE99" s="27"/>
      <x:c r="AF99" s="27"/>
      <x:c r="AG99" s="27"/>
      <x:c r="AH99" s="27"/>
      <x:c r="AI99" s="27"/>
      <x:c r="AJ99" s="27"/>
      <x:c r="AK99" s="27"/>
      <x:c r="AL99" s="27"/>
      <x:c r="AM99" s="27"/>
      <x:c r="AN99" s="27"/>
      <x:c r="AO99" s="27"/>
      <x:c r="AP99" s="27"/>
      <x:c r="AQ99" s="27"/>
      <x:c r="AR99" s="27"/>
      <x:c r="AS99" s="27"/>
      <x:c r="AT99" s="27"/>
      <x:c r="AU99" s="27"/>
      <x:c r="AV99" s="27"/>
      <x:c r="AW99" s="27"/>
      <x:c r="AX99" s="27"/>
      <x:c r="AY99" s="27"/>
      <x:c r="AZ99" s="27"/>
    </x:row>
    <x:row r="100">
      <x:c r="A100" s="27"/>
      <x:c r="B100" s="27"/>
      <x:c r="C100" s="27"/>
      <x:c r="D100" s="27"/>
      <x:c r="E100" s="27"/>
      <x:c r="F100" s="27"/>
      <x:c r="G100" s="27"/>
      <x:c r="H100" s="27"/>
      <x:c r="I100" s="27"/>
      <x:c r="J100" s="27"/>
      <x:c r="K100" s="27"/>
      <x:c r="L100" s="27"/>
      <x:c r="M100" s="27"/>
      <x:c r="N100" s="27"/>
      <x:c r="O100" s="27"/>
      <x:c r="P100" s="27"/>
      <x:c r="Q100" s="27"/>
      <x:c r="R100" s="27"/>
      <x:c r="S100" s="27"/>
      <x:c r="T100" s="27"/>
      <x:c r="U100" s="27"/>
      <x:c r="V100" s="27"/>
      <x:c r="W100" s="27"/>
      <x:c r="X100" s="27"/>
      <x:c r="Y100" s="27"/>
      <x:c r="Z100" s="27"/>
      <x:c r="AA100" s="27"/>
      <x:c r="AB100" s="27"/>
      <x:c r="AC100" s="27"/>
      <x:c r="AD100" s="27"/>
      <x:c r="AE100" s="27"/>
      <x:c r="AF100" s="27"/>
      <x:c r="AG100" s="27"/>
      <x:c r="AH100" s="27"/>
      <x:c r="AI100" s="27"/>
      <x:c r="AJ100" s="27"/>
      <x:c r="AK100" s="27"/>
      <x:c r="AL100" s="27"/>
      <x:c r="AM100" s="27"/>
      <x:c r="AN100" s="27"/>
      <x:c r="AO100" s="27"/>
      <x:c r="AP100" s="27"/>
      <x:c r="AQ100" s="27"/>
      <x:c r="AR100" s="27"/>
      <x:c r="AS100" s="27"/>
      <x:c r="AT100" s="27"/>
      <x:c r="AU100" s="27"/>
      <x:c r="AV100" s="27"/>
      <x:c r="AW100" s="27"/>
      <x:c r="AX100" s="27"/>
      <x:c r="AY100" s="27"/>
      <x:c r="AZ100" s="27"/>
    </x:row>
    <x:row r="101">
      <x:c r="A101" s="27"/>
      <x:c r="B101" s="27"/>
      <x:c r="C101" s="27"/>
      <x:c r="D101" s="27"/>
      <x:c r="E101" s="27"/>
      <x:c r="F101" s="27"/>
      <x:c r="G101" s="27"/>
      <x:c r="H101" s="27"/>
      <x:c r="I101" s="27"/>
      <x:c r="J101" s="27"/>
      <x:c r="K101" s="27"/>
      <x:c r="L101" s="27"/>
      <x:c r="M101" s="27"/>
      <x:c r="N101" s="27"/>
      <x:c r="O101" s="27"/>
      <x:c r="P101" s="27"/>
      <x:c r="Q101" s="27"/>
      <x:c r="R101" s="27"/>
      <x:c r="S101" s="27"/>
      <x:c r="T101" s="27"/>
      <x:c r="U101" s="27"/>
      <x:c r="V101" s="27"/>
      <x:c r="W101" s="27"/>
      <x:c r="X101" s="27"/>
      <x:c r="Y101" s="27"/>
      <x:c r="Z101" s="27"/>
      <x:c r="AA101" s="27"/>
      <x:c r="AB101" s="27"/>
      <x:c r="AC101" s="27"/>
      <x:c r="AD101" s="27"/>
      <x:c r="AE101" s="27"/>
      <x:c r="AF101" s="27"/>
      <x:c r="AG101" s="27"/>
      <x:c r="AH101" s="27"/>
      <x:c r="AI101" s="27"/>
      <x:c r="AJ101" s="27"/>
      <x:c r="AK101" s="27"/>
      <x:c r="AL101" s="27"/>
      <x:c r="AM101" s="27"/>
      <x:c r="AN101" s="27"/>
      <x:c r="AO101" s="27"/>
      <x:c r="AP101" s="27"/>
      <x:c r="AQ101" s="27"/>
      <x:c r="AR101" s="27"/>
      <x:c r="AS101" s="27"/>
      <x:c r="AT101" s="27"/>
      <x:c r="AU101" s="27"/>
      <x:c r="AV101" s="27"/>
      <x:c r="AW101" s="27"/>
      <x:c r="AX101" s="27"/>
      <x:c r="AY101" s="27"/>
      <x:c r="AZ101" s="27"/>
    </x:row>
    <x:row r="102">
      <x:c r="A102" s="27"/>
      <x:c r="B102" s="27"/>
      <x:c r="C102" s="27"/>
      <x:c r="D102" s="27"/>
      <x:c r="E102" s="27"/>
      <x:c r="F102" s="27"/>
      <x:c r="G102" s="27"/>
      <x:c r="H102" s="27"/>
      <x:c r="I102" s="27"/>
      <x:c r="J102" s="27"/>
      <x:c r="K102" s="27"/>
      <x:c r="L102" s="27"/>
      <x:c r="M102" s="27"/>
      <x:c r="N102" s="27"/>
      <x:c r="O102" s="27"/>
      <x:c r="P102" s="27"/>
      <x:c r="Q102" s="27"/>
      <x:c r="R102" s="27"/>
      <x:c r="S102" s="27"/>
      <x:c r="T102" s="27"/>
      <x:c r="U102" s="27"/>
      <x:c r="V102" s="27"/>
      <x:c r="W102" s="27"/>
      <x:c r="X102" s="27"/>
      <x:c r="Y102" s="27"/>
      <x:c r="Z102" s="27"/>
      <x:c r="AA102" s="27"/>
      <x:c r="AB102" s="27"/>
      <x:c r="AC102" s="27"/>
      <x:c r="AD102" s="27"/>
      <x:c r="AE102" s="27"/>
      <x:c r="AF102" s="27"/>
      <x:c r="AG102" s="27"/>
      <x:c r="AH102" s="27"/>
      <x:c r="AI102" s="27"/>
      <x:c r="AJ102" s="27"/>
      <x:c r="AK102" s="27"/>
      <x:c r="AL102" s="27"/>
      <x:c r="AM102" s="27"/>
      <x:c r="AN102" s="27"/>
      <x:c r="AO102" s="27"/>
      <x:c r="AP102" s="27"/>
      <x:c r="AQ102" s="27"/>
      <x:c r="AR102" s="27"/>
      <x:c r="AS102" s="27"/>
      <x:c r="AT102" s="27"/>
      <x:c r="AU102" s="27"/>
      <x:c r="AV102" s="27"/>
      <x:c r="AW102" s="27"/>
      <x:c r="AX102" s="27"/>
      <x:c r="AY102" s="27"/>
      <x:c r="AZ102" s="27"/>
    </x:row>
    <x:row r="103">
      <x:c r="A103" s="27"/>
      <x:c r="B103" s="27"/>
      <x:c r="C103" s="27"/>
      <x:c r="D103" s="27"/>
      <x:c r="E103" s="27"/>
      <x:c r="F103" s="27"/>
      <x:c r="G103" s="27"/>
      <x:c r="H103" s="27"/>
      <x:c r="I103" s="27"/>
      <x:c r="J103" s="27"/>
      <x:c r="K103" s="27"/>
      <x:c r="L103" s="27"/>
      <x:c r="M103" s="27"/>
      <x:c r="N103" s="27"/>
      <x:c r="O103" s="27"/>
      <x:c r="P103" s="27"/>
      <x:c r="Q103" s="27"/>
      <x:c r="R103" s="27"/>
      <x:c r="S103" s="27"/>
      <x:c r="T103" s="27"/>
      <x:c r="U103" s="27"/>
      <x:c r="V103" s="27"/>
      <x:c r="W103" s="27"/>
      <x:c r="X103" s="27"/>
      <x:c r="Y103" s="27"/>
      <x:c r="Z103" s="27"/>
      <x:c r="AA103" s="27"/>
      <x:c r="AB103" s="27"/>
      <x:c r="AC103" s="27"/>
      <x:c r="AD103" s="27"/>
      <x:c r="AE103" s="27"/>
      <x:c r="AF103" s="27"/>
      <x:c r="AG103" s="27"/>
      <x:c r="AH103" s="27"/>
      <x:c r="AI103" s="27"/>
      <x:c r="AJ103" s="27"/>
      <x:c r="AK103" s="27"/>
      <x:c r="AL103" s="27"/>
      <x:c r="AM103" s="27"/>
      <x:c r="AN103" s="27"/>
      <x:c r="AO103" s="27"/>
      <x:c r="AP103" s="27"/>
      <x:c r="AQ103" s="27"/>
      <x:c r="AR103" s="27"/>
      <x:c r="AS103" s="27"/>
      <x:c r="AT103" s="27"/>
      <x:c r="AU103" s="27"/>
      <x:c r="AV103" s="27"/>
      <x:c r="AW103" s="27"/>
      <x:c r="AX103" s="27"/>
      <x:c r="AY103" s="27"/>
      <x:c r="AZ103" s="27"/>
    </x:row>
    <x:row r="104">
      <x:c r="A104" s="27"/>
      <x:c r="B104" s="27"/>
      <x:c r="C104" s="27"/>
      <x:c r="D104" s="27"/>
      <x:c r="E104" s="27"/>
      <x:c r="F104" s="27"/>
      <x:c r="G104" s="27"/>
      <x:c r="H104" s="27"/>
      <x:c r="I104" s="27"/>
      <x:c r="J104" s="27"/>
      <x:c r="K104" s="27"/>
      <x:c r="L104" s="27"/>
      <x:c r="M104" s="27"/>
      <x:c r="N104" s="27"/>
      <x:c r="O104" s="27"/>
      <x:c r="P104" s="27"/>
      <x:c r="Q104" s="27"/>
      <x:c r="R104" s="27"/>
      <x:c r="S104" s="27"/>
      <x:c r="T104" s="27"/>
      <x:c r="U104" s="27"/>
      <x:c r="V104" s="27"/>
      <x:c r="W104" s="27"/>
      <x:c r="X104" s="27"/>
      <x:c r="Y104" s="27"/>
      <x:c r="Z104" s="27"/>
      <x:c r="AA104" s="27"/>
      <x:c r="AB104" s="27"/>
      <x:c r="AC104" s="27"/>
      <x:c r="AD104" s="27"/>
      <x:c r="AE104" s="27"/>
      <x:c r="AF104" s="27"/>
      <x:c r="AG104" s="27"/>
      <x:c r="AH104" s="27"/>
      <x:c r="AI104" s="27"/>
      <x:c r="AJ104" s="27"/>
      <x:c r="AK104" s="27"/>
      <x:c r="AL104" s="27"/>
      <x:c r="AM104" s="27"/>
      <x:c r="AN104" s="27"/>
      <x:c r="AO104" s="27"/>
      <x:c r="AP104" s="27"/>
      <x:c r="AQ104" s="27"/>
      <x:c r="AR104" s="27"/>
      <x:c r="AS104" s="27"/>
      <x:c r="AT104" s="27"/>
      <x:c r="AU104" s="27"/>
      <x:c r="AV104" s="27"/>
      <x:c r="AW104" s="27"/>
      <x:c r="AX104" s="27"/>
      <x:c r="AY104" s="27"/>
      <x:c r="AZ104" s="27"/>
    </x:row>
    <x:row r="105">
      <x:c r="A105" s="27"/>
      <x:c r="B105" s="27"/>
      <x:c r="C105" s="27"/>
      <x:c r="D105" s="27"/>
      <x:c r="E105" s="27"/>
      <x:c r="F105" s="27"/>
      <x:c r="G105" s="27"/>
      <x:c r="H105" s="27"/>
      <x:c r="I105" s="27"/>
      <x:c r="J105" s="27"/>
      <x:c r="K105" s="27"/>
      <x:c r="L105" s="27"/>
      <x:c r="M105" s="27"/>
      <x:c r="N105" s="27"/>
      <x:c r="O105" s="27"/>
      <x:c r="P105" s="27"/>
      <x:c r="Q105" s="27"/>
      <x:c r="R105" s="27"/>
      <x:c r="S105" s="27"/>
      <x:c r="T105" s="27"/>
      <x:c r="U105" s="27"/>
      <x:c r="V105" s="27"/>
      <x:c r="W105" s="27"/>
      <x:c r="X105" s="27"/>
      <x:c r="Y105" s="27"/>
      <x:c r="Z105" s="27"/>
      <x:c r="AA105" s="27"/>
      <x:c r="AB105" s="27"/>
      <x:c r="AC105" s="27"/>
      <x:c r="AD105" s="27"/>
      <x:c r="AE105" s="27"/>
      <x:c r="AF105" s="27"/>
      <x:c r="AG105" s="27"/>
      <x:c r="AH105" s="27"/>
      <x:c r="AI105" s="27"/>
      <x:c r="AJ105" s="27"/>
      <x:c r="AK105" s="27"/>
      <x:c r="AL105" s="27"/>
      <x:c r="AM105" s="27"/>
      <x:c r="AN105" s="27"/>
      <x:c r="AO105" s="27"/>
      <x:c r="AP105" s="27"/>
      <x:c r="AQ105" s="27"/>
      <x:c r="AR105" s="27"/>
      <x:c r="AS105" s="27"/>
      <x:c r="AT105" s="27"/>
      <x:c r="AU105" s="27"/>
      <x:c r="AV105" s="27"/>
      <x:c r="AW105" s="27"/>
      <x:c r="AX105" s="27"/>
      <x:c r="AY105" s="27"/>
      <x:c r="AZ105" s="27"/>
    </x:row>
    <x:row r="106">
      <x:c r="A106" s="27"/>
      <x:c r="B106" s="27"/>
      <x:c r="C106" s="27"/>
      <x:c r="D106" s="27"/>
      <x:c r="E106" s="27"/>
      <x:c r="F106" s="27"/>
      <x:c r="G106" s="27"/>
      <x:c r="H106" s="27"/>
      <x:c r="I106" s="27"/>
      <x:c r="J106" s="27"/>
      <x:c r="K106" s="27"/>
      <x:c r="L106" s="27"/>
      <x:c r="M106" s="27"/>
      <x:c r="N106" s="27"/>
      <x:c r="O106" s="27"/>
      <x:c r="P106" s="27"/>
      <x:c r="Q106" s="27"/>
      <x:c r="R106" s="27"/>
      <x:c r="S106" s="27"/>
      <x:c r="T106" s="27"/>
      <x:c r="U106" s="27"/>
      <x:c r="V106" s="27"/>
      <x:c r="W106" s="27"/>
      <x:c r="X106" s="27"/>
      <x:c r="Y106" s="27"/>
      <x:c r="Z106" s="27"/>
      <x:c r="AA106" s="27"/>
      <x:c r="AB106" s="27"/>
      <x:c r="AC106" s="27"/>
      <x:c r="AD106" s="27"/>
      <x:c r="AE106" s="27"/>
      <x:c r="AF106" s="27"/>
      <x:c r="AG106" s="27"/>
      <x:c r="AH106" s="27"/>
      <x:c r="AI106" s="27"/>
      <x:c r="AJ106" s="27"/>
      <x:c r="AK106" s="27"/>
      <x:c r="AL106" s="27"/>
      <x:c r="AM106" s="27"/>
      <x:c r="AN106" s="27"/>
      <x:c r="AO106" s="27"/>
      <x:c r="AP106" s="27"/>
      <x:c r="AQ106" s="27"/>
      <x:c r="AR106" s="27"/>
      <x:c r="AS106" s="27"/>
      <x:c r="AT106" s="27"/>
      <x:c r="AU106" s="27"/>
      <x:c r="AV106" s="27"/>
      <x:c r="AW106" s="27"/>
      <x:c r="AX106" s="27"/>
      <x:c r="AY106" s="27"/>
      <x:c r="AZ106" s="27"/>
    </x:row>
    <x:row r="107">
      <x:c r="A107" s="27"/>
      <x:c r="B107" s="27"/>
      <x:c r="C107" s="27"/>
      <x:c r="D107" s="27"/>
      <x:c r="E107" s="27"/>
      <x:c r="F107" s="27"/>
      <x:c r="G107" s="27"/>
      <x:c r="H107" s="27"/>
      <x:c r="I107" s="27"/>
      <x:c r="J107" s="27"/>
      <x:c r="K107" s="27"/>
      <x:c r="L107" s="27"/>
      <x:c r="M107" s="27"/>
      <x:c r="N107" s="27"/>
      <x:c r="O107" s="27"/>
      <x:c r="P107" s="27"/>
      <x:c r="Q107" s="27"/>
      <x:c r="R107" s="27"/>
      <x:c r="S107" s="27"/>
      <x:c r="T107" s="27"/>
      <x:c r="U107" s="27"/>
      <x:c r="V107" s="27"/>
      <x:c r="W107" s="27"/>
      <x:c r="X107" s="27"/>
      <x:c r="Y107" s="27"/>
      <x:c r="Z107" s="27"/>
      <x:c r="AA107" s="27"/>
      <x:c r="AB107" s="27"/>
      <x:c r="AC107" s="27"/>
      <x:c r="AD107" s="27"/>
      <x:c r="AE107" s="27"/>
      <x:c r="AF107" s="27"/>
      <x:c r="AG107" s="27"/>
      <x:c r="AH107" s="27"/>
      <x:c r="AI107" s="27"/>
      <x:c r="AJ107" s="27"/>
      <x:c r="AK107" s="27"/>
      <x:c r="AL107" s="27"/>
      <x:c r="AM107" s="27"/>
      <x:c r="AN107" s="27"/>
      <x:c r="AO107" s="27"/>
      <x:c r="AP107" s="27"/>
      <x:c r="AQ107" s="27"/>
      <x:c r="AR107" s="27"/>
      <x:c r="AS107" s="27"/>
      <x:c r="AT107" s="27"/>
      <x:c r="AU107" s="27"/>
      <x:c r="AV107" s="27"/>
      <x:c r="AW107" s="27"/>
      <x:c r="AX107" s="27"/>
      <x:c r="AY107" s="27"/>
      <x:c r="AZ107" s="27"/>
    </x:row>
    <x:row r="108">
      <x:c r="A108" s="27"/>
      <x:c r="B108" s="27"/>
      <x:c r="C108" s="27"/>
      <x:c r="D108" s="27"/>
      <x:c r="E108" s="27"/>
      <x:c r="F108" s="27"/>
      <x:c r="G108" s="27"/>
      <x:c r="H108" s="27"/>
      <x:c r="I108" s="27"/>
      <x:c r="J108" s="27"/>
      <x:c r="K108" s="27"/>
      <x:c r="L108" s="27"/>
      <x:c r="M108" s="27"/>
      <x:c r="N108" s="27"/>
      <x:c r="O108" s="27"/>
      <x:c r="P108" s="27"/>
      <x:c r="Q108" s="27"/>
      <x:c r="R108" s="27"/>
      <x:c r="S108" s="27"/>
      <x:c r="T108" s="27"/>
      <x:c r="U108" s="27"/>
      <x:c r="V108" s="27"/>
      <x:c r="W108" s="27"/>
      <x:c r="X108" s="27"/>
      <x:c r="Y108" s="27"/>
      <x:c r="Z108" s="27"/>
      <x:c r="AA108" s="27"/>
      <x:c r="AB108" s="27"/>
      <x:c r="AC108" s="27"/>
      <x:c r="AD108" s="27"/>
      <x:c r="AE108" s="27"/>
      <x:c r="AF108" s="27"/>
      <x:c r="AG108" s="27"/>
      <x:c r="AH108" s="27"/>
      <x:c r="AI108" s="27"/>
      <x:c r="AJ108" s="27"/>
      <x:c r="AK108" s="27"/>
      <x:c r="AL108" s="27"/>
      <x:c r="AM108" s="27"/>
      <x:c r="AN108" s="27"/>
      <x:c r="AO108" s="27"/>
      <x:c r="AP108" s="27"/>
      <x:c r="AQ108" s="27"/>
      <x:c r="AR108" s="27"/>
      <x:c r="AS108" s="27"/>
      <x:c r="AT108" s="27"/>
      <x:c r="AU108" s="27"/>
      <x:c r="AV108" s="27"/>
      <x:c r="AW108" s="27"/>
      <x:c r="AX108" s="27"/>
      <x:c r="AY108" s="27"/>
      <x:c r="AZ108" s="27"/>
    </x:row>
    <x:row r="109">
      <x:c r="A109" s="27"/>
      <x:c r="B109" s="27"/>
      <x:c r="C109" s="27"/>
      <x:c r="D109" s="27"/>
      <x:c r="E109" s="27"/>
      <x:c r="F109" s="27"/>
      <x:c r="G109" s="27"/>
      <x:c r="H109" s="27"/>
      <x:c r="I109" s="27"/>
      <x:c r="J109" s="27"/>
      <x:c r="K109" s="27"/>
      <x:c r="L109" s="27"/>
      <x:c r="M109" s="27"/>
      <x:c r="N109" s="27"/>
      <x:c r="O109" s="27"/>
      <x:c r="P109" s="27"/>
      <x:c r="Q109" s="27"/>
      <x:c r="R109" s="27"/>
      <x:c r="S109" s="27"/>
      <x:c r="T109" s="27"/>
      <x:c r="U109" s="27"/>
      <x:c r="V109" s="27"/>
      <x:c r="W109" s="27"/>
      <x:c r="X109" s="27"/>
      <x:c r="Y109" s="27"/>
      <x:c r="Z109" s="27"/>
      <x:c r="AA109" s="27"/>
      <x:c r="AB109" s="27"/>
      <x:c r="AC109" s="27"/>
      <x:c r="AD109" s="27"/>
      <x:c r="AE109" s="27"/>
      <x:c r="AF109" s="27"/>
      <x:c r="AG109" s="27"/>
      <x:c r="AH109" s="27"/>
      <x:c r="AI109" s="27"/>
      <x:c r="AJ109" s="27"/>
      <x:c r="AK109" s="27"/>
      <x:c r="AL109" s="27"/>
      <x:c r="AM109" s="27"/>
      <x:c r="AN109" s="27"/>
      <x:c r="AO109" s="27"/>
      <x:c r="AP109" s="27"/>
      <x:c r="AQ109" s="27"/>
      <x:c r="AR109" s="27"/>
      <x:c r="AS109" s="27"/>
      <x:c r="AT109" s="27"/>
      <x:c r="AU109" s="27"/>
      <x:c r="AV109" s="27"/>
      <x:c r="AW109" s="27"/>
      <x:c r="AX109" s="27"/>
      <x:c r="AY109" s="27"/>
      <x:c r="AZ109" s="27"/>
    </x:row>
    <x:row r="110">
      <x:c r="A110" s="27"/>
      <x:c r="B110" s="27"/>
      <x:c r="C110" s="27"/>
      <x:c r="D110" s="27"/>
      <x:c r="E110" s="27"/>
      <x:c r="F110" s="27"/>
      <x:c r="G110" s="27"/>
      <x:c r="H110" s="27"/>
      <x:c r="I110" s="27"/>
      <x:c r="J110" s="27"/>
      <x:c r="K110" s="27"/>
      <x:c r="L110" s="27"/>
      <x:c r="M110" s="27"/>
      <x:c r="N110" s="27"/>
      <x:c r="O110" s="27"/>
      <x:c r="P110" s="27"/>
      <x:c r="Q110" s="27"/>
      <x:c r="R110" s="27"/>
      <x:c r="S110" s="27"/>
      <x:c r="T110" s="27"/>
      <x:c r="U110" s="27"/>
      <x:c r="V110" s="27"/>
      <x:c r="W110" s="27"/>
      <x:c r="X110" s="27"/>
      <x:c r="Y110" s="27"/>
      <x:c r="Z110" s="27"/>
      <x:c r="AA110" s="27"/>
      <x:c r="AB110" s="27"/>
      <x:c r="AC110" s="27"/>
      <x:c r="AD110" s="27"/>
      <x:c r="AE110" s="27"/>
      <x:c r="AF110" s="27"/>
      <x:c r="AG110" s="27"/>
      <x:c r="AH110" s="27"/>
      <x:c r="AI110" s="27"/>
      <x:c r="AJ110" s="27"/>
      <x:c r="AK110" s="27"/>
      <x:c r="AL110" s="27"/>
      <x:c r="AM110" s="27"/>
      <x:c r="AN110" s="27"/>
      <x:c r="AO110" s="27"/>
      <x:c r="AP110" s="27"/>
      <x:c r="AQ110" s="27"/>
      <x:c r="AR110" s="27"/>
      <x:c r="AS110" s="27"/>
      <x:c r="AT110" s="27"/>
      <x:c r="AU110" s="27"/>
      <x:c r="AV110" s="27"/>
      <x:c r="AW110" s="27"/>
      <x:c r="AX110" s="27"/>
      <x:c r="AY110" s="27"/>
      <x:c r="AZ110" s="27"/>
    </x:row>
    <x:row r="111">
      <x:c r="A111" s="27"/>
      <x:c r="B111" s="27"/>
      <x:c r="C111" s="27"/>
      <x:c r="D111" s="27"/>
      <x:c r="E111" s="27"/>
      <x:c r="F111" s="27"/>
      <x:c r="G111" s="27"/>
      <x:c r="H111" s="27"/>
      <x:c r="I111" s="27"/>
      <x:c r="J111" s="27"/>
      <x:c r="K111" s="27"/>
      <x:c r="L111" s="27"/>
      <x:c r="M111" s="27"/>
      <x:c r="N111" s="27"/>
      <x:c r="O111" s="27"/>
      <x:c r="P111" s="27"/>
      <x:c r="Q111" s="27"/>
      <x:c r="R111" s="27"/>
      <x:c r="S111" s="27"/>
      <x:c r="T111" s="27"/>
      <x:c r="U111" s="27"/>
      <x:c r="V111" s="27"/>
      <x:c r="W111" s="27"/>
      <x:c r="X111" s="27"/>
      <x:c r="Y111" s="27"/>
      <x:c r="Z111" s="27"/>
      <x:c r="AA111" s="27"/>
      <x:c r="AB111" s="27"/>
      <x:c r="AC111" s="27"/>
      <x:c r="AD111" s="27"/>
      <x:c r="AE111" s="27"/>
      <x:c r="AF111" s="27"/>
      <x:c r="AG111" s="27"/>
      <x:c r="AH111" s="27"/>
      <x:c r="AI111" s="27"/>
      <x:c r="AJ111" s="27"/>
      <x:c r="AK111" s="27"/>
      <x:c r="AL111" s="27"/>
      <x:c r="AM111" s="27"/>
      <x:c r="AN111" s="27"/>
      <x:c r="AO111" s="27"/>
      <x:c r="AP111" s="27"/>
      <x:c r="AQ111" s="27"/>
      <x:c r="AR111" s="27"/>
      <x:c r="AS111" s="27"/>
      <x:c r="AT111" s="27"/>
      <x:c r="AU111" s="27"/>
      <x:c r="AV111" s="27"/>
      <x:c r="AW111" s="27"/>
      <x:c r="AX111" s="27"/>
      <x:c r="AY111" s="27"/>
      <x:c r="AZ111" s="27"/>
    </x:row>
    <x:row r="112">
      <x:c r="A112" s="27"/>
      <x:c r="B112" s="27"/>
      <x:c r="C112" s="27"/>
      <x:c r="D112" s="27"/>
      <x:c r="E112" s="27"/>
      <x:c r="F112" s="27"/>
      <x:c r="G112" s="27"/>
      <x:c r="H112" s="27"/>
      <x:c r="I112" s="27"/>
      <x:c r="J112" s="27"/>
      <x:c r="K112" s="27"/>
      <x:c r="L112" s="27"/>
      <x:c r="M112" s="27"/>
      <x:c r="N112" s="27"/>
      <x:c r="O112" s="27"/>
      <x:c r="P112" s="27"/>
      <x:c r="Q112" s="27"/>
      <x:c r="R112" s="27"/>
      <x:c r="S112" s="27"/>
      <x:c r="T112" s="27"/>
      <x:c r="U112" s="27"/>
      <x:c r="V112" s="27"/>
      <x:c r="W112" s="27"/>
      <x:c r="X112" s="27"/>
      <x:c r="Y112" s="27"/>
      <x:c r="Z112" s="27"/>
      <x:c r="AA112" s="27"/>
      <x:c r="AB112" s="27"/>
      <x:c r="AC112" s="27"/>
      <x:c r="AD112" s="27"/>
      <x:c r="AE112" s="27"/>
      <x:c r="AF112" s="27"/>
      <x:c r="AG112" s="27"/>
      <x:c r="AH112" s="27"/>
      <x:c r="AI112" s="27"/>
      <x:c r="AJ112" s="27"/>
      <x:c r="AK112" s="27"/>
      <x:c r="AL112" s="27"/>
      <x:c r="AM112" s="27"/>
      <x:c r="AN112" s="27"/>
      <x:c r="AO112" s="27"/>
      <x:c r="AP112" s="27"/>
      <x:c r="AQ112" s="27"/>
      <x:c r="AR112" s="27"/>
      <x:c r="AS112" s="27"/>
      <x:c r="AT112" s="27"/>
      <x:c r="AU112" s="27"/>
      <x:c r="AV112" s="27"/>
      <x:c r="AW112" s="27"/>
      <x:c r="AX112" s="27"/>
      <x:c r="AY112" s="27"/>
      <x:c r="AZ112" s="27"/>
    </x:row>
    <x:row r="113">
      <x:c r="A113" s="27"/>
      <x:c r="B113" s="27"/>
      <x:c r="C113" s="27"/>
      <x:c r="D113" s="27"/>
      <x:c r="E113" s="27"/>
      <x:c r="F113" s="27"/>
      <x:c r="G113" s="27"/>
      <x:c r="H113" s="27"/>
      <x:c r="I113" s="27"/>
      <x:c r="J113" s="27"/>
      <x:c r="K113" s="27"/>
      <x:c r="L113" s="27"/>
      <x:c r="M113" s="27"/>
      <x:c r="N113" s="27"/>
      <x:c r="O113" s="27"/>
      <x:c r="P113" s="27"/>
      <x:c r="Q113" s="27"/>
      <x:c r="R113" s="27"/>
      <x:c r="S113" s="27"/>
      <x:c r="T113" s="27"/>
      <x:c r="U113" s="27"/>
      <x:c r="V113" s="27"/>
      <x:c r="W113" s="27"/>
      <x:c r="X113" s="27"/>
      <x:c r="Y113" s="27"/>
      <x:c r="Z113" s="27"/>
      <x:c r="AA113" s="27"/>
      <x:c r="AB113" s="27"/>
      <x:c r="AC113" s="27"/>
      <x:c r="AD113" s="27"/>
      <x:c r="AE113" s="27"/>
      <x:c r="AF113" s="27"/>
      <x:c r="AG113" s="27"/>
      <x:c r="AH113" s="27"/>
      <x:c r="AI113" s="27"/>
      <x:c r="AJ113" s="27"/>
      <x:c r="AK113" s="27"/>
      <x:c r="AL113" s="27"/>
      <x:c r="AM113" s="27"/>
      <x:c r="AN113" s="27"/>
      <x:c r="AO113" s="27"/>
      <x:c r="AP113" s="27"/>
      <x:c r="AQ113" s="27"/>
      <x:c r="AR113" s="27"/>
      <x:c r="AS113" s="27"/>
      <x:c r="AT113" s="27"/>
      <x:c r="AU113" s="27"/>
      <x:c r="AV113" s="27"/>
      <x:c r="AW113" s="27"/>
      <x:c r="AX113" s="27"/>
      <x:c r="AY113" s="27"/>
      <x:c r="AZ113" s="27"/>
    </x:row>
    <x:row r="114">
      <x:c r="A114" s="27"/>
      <x:c r="B114" s="27"/>
      <x:c r="C114" s="27"/>
      <x:c r="D114" s="27"/>
      <x:c r="E114" s="27"/>
      <x:c r="F114" s="27"/>
      <x:c r="G114" s="27"/>
      <x:c r="H114" s="27"/>
      <x:c r="I114" s="27"/>
      <x:c r="J114" s="27"/>
      <x:c r="K114" s="27"/>
      <x:c r="L114" s="27"/>
      <x:c r="M114" s="27"/>
      <x:c r="N114" s="27"/>
      <x:c r="O114" s="27"/>
      <x:c r="P114" s="27"/>
      <x:c r="Q114" s="27"/>
      <x:c r="R114" s="27"/>
      <x:c r="S114" s="27"/>
      <x:c r="T114" s="27"/>
      <x:c r="U114" s="27"/>
      <x:c r="V114" s="27"/>
      <x:c r="W114" s="27"/>
      <x:c r="X114" s="27"/>
      <x:c r="Y114" s="27"/>
      <x:c r="Z114" s="27"/>
      <x:c r="AA114" s="27"/>
      <x:c r="AB114" s="27"/>
      <x:c r="AC114" s="27"/>
      <x:c r="AD114" s="27"/>
      <x:c r="AE114" s="27"/>
      <x:c r="AF114" s="27"/>
      <x:c r="AG114" s="27"/>
      <x:c r="AH114" s="27"/>
      <x:c r="AI114" s="27"/>
      <x:c r="AJ114" s="27"/>
      <x:c r="AK114" s="27"/>
      <x:c r="AL114" s="27"/>
      <x:c r="AM114" s="27"/>
      <x:c r="AN114" s="27"/>
      <x:c r="AO114" s="27"/>
      <x:c r="AP114" s="27"/>
      <x:c r="AQ114" s="27"/>
      <x:c r="AR114" s="27"/>
      <x:c r="AS114" s="27"/>
      <x:c r="AT114" s="27"/>
      <x:c r="AU114" s="27"/>
      <x:c r="AV114" s="27"/>
      <x:c r="AW114" s="27"/>
      <x:c r="AX114" s="27"/>
      <x:c r="AY114" s="27"/>
      <x:c r="AZ114" s="27"/>
    </x:row>
    <x:row r="115">
      <x:c r="A115" s="27"/>
      <x:c r="B115" s="27"/>
      <x:c r="C115" s="27"/>
      <x:c r="D115" s="27"/>
      <x:c r="E115" s="27"/>
      <x:c r="F115" s="27"/>
      <x:c r="G115" s="27"/>
      <x:c r="H115" s="27"/>
      <x:c r="I115" s="27"/>
      <x:c r="J115" s="27"/>
      <x:c r="K115" s="27"/>
      <x:c r="L115" s="27"/>
      <x:c r="M115" s="27"/>
      <x:c r="N115" s="27"/>
      <x:c r="O115" s="27"/>
      <x:c r="P115" s="27"/>
      <x:c r="Q115" s="27"/>
      <x:c r="R115" s="27"/>
      <x:c r="S115" s="27"/>
      <x:c r="T115" s="27"/>
      <x:c r="U115" s="27"/>
      <x:c r="V115" s="27"/>
      <x:c r="W115" s="27"/>
      <x:c r="X115" s="27"/>
      <x:c r="Y115" s="27"/>
      <x:c r="Z115" s="27"/>
      <x:c r="AA115" s="27"/>
      <x:c r="AB115" s="27"/>
      <x:c r="AC115" s="27"/>
      <x:c r="AD115" s="27"/>
      <x:c r="AE115" s="27"/>
      <x:c r="AF115" s="27"/>
      <x:c r="AG115" s="27"/>
      <x:c r="AH115" s="27"/>
      <x:c r="AI115" s="27"/>
      <x:c r="AJ115" s="27"/>
      <x:c r="AK115" s="27"/>
      <x:c r="AL115" s="27"/>
      <x:c r="AM115" s="27"/>
      <x:c r="AN115" s="27"/>
      <x:c r="AO115" s="27"/>
      <x:c r="AP115" s="27"/>
      <x:c r="AQ115" s="27"/>
      <x:c r="AR115" s="27"/>
      <x:c r="AS115" s="27"/>
      <x:c r="AT115" s="27"/>
      <x:c r="AU115" s="27"/>
      <x:c r="AV115" s="27"/>
      <x:c r="AW115" s="27"/>
      <x:c r="AX115" s="27"/>
      <x:c r="AY115" s="27"/>
      <x:c r="AZ115" s="27"/>
    </x:row>
    <x:row r="116">
      <x:c r="A116" s="27"/>
      <x:c r="B116" s="27"/>
      <x:c r="C116" s="27"/>
      <x:c r="D116" s="27"/>
      <x:c r="E116" s="27"/>
      <x:c r="F116" s="27"/>
      <x:c r="G116" s="27"/>
      <x:c r="H116" s="27"/>
      <x:c r="I116" s="27"/>
      <x:c r="J116" s="27"/>
      <x:c r="K116" s="27"/>
      <x:c r="L116" s="27"/>
      <x:c r="M116" s="27"/>
      <x:c r="N116" s="27"/>
      <x:c r="O116" s="27"/>
      <x:c r="P116" s="27"/>
      <x:c r="Q116" s="27"/>
      <x:c r="R116" s="27"/>
      <x:c r="S116" s="27"/>
      <x:c r="T116" s="27"/>
      <x:c r="U116" s="27"/>
      <x:c r="V116" s="27"/>
      <x:c r="W116" s="27"/>
      <x:c r="X116" s="27"/>
      <x:c r="Y116" s="27"/>
      <x:c r="Z116" s="27"/>
      <x:c r="AA116" s="27"/>
      <x:c r="AB116" s="27"/>
      <x:c r="AC116" s="27"/>
      <x:c r="AD116" s="27"/>
      <x:c r="AE116" s="27"/>
      <x:c r="AF116" s="27"/>
      <x:c r="AG116" s="27"/>
      <x:c r="AH116" s="27"/>
      <x:c r="AI116" s="27"/>
      <x:c r="AJ116" s="27"/>
      <x:c r="AK116" s="27"/>
      <x:c r="AL116" s="27"/>
      <x:c r="AM116" s="27"/>
      <x:c r="AN116" s="27"/>
      <x:c r="AO116" s="27"/>
      <x:c r="AP116" s="27"/>
      <x:c r="AQ116" s="27"/>
      <x:c r="AR116" s="27"/>
      <x:c r="AS116" s="27"/>
      <x:c r="AT116" s="27"/>
      <x:c r="AU116" s="27"/>
      <x:c r="AV116" s="27"/>
      <x:c r="AW116" s="27"/>
      <x:c r="AX116" s="27"/>
      <x:c r="AY116" s="27"/>
      <x:c r="AZ116" s="27"/>
    </x:row>
    <x:row r="117">
      <x:c r="A117" s="27"/>
      <x:c r="B117" s="27"/>
      <x:c r="C117" s="27"/>
      <x:c r="D117" s="27"/>
      <x:c r="E117" s="27"/>
      <x:c r="F117" s="27"/>
      <x:c r="G117" s="27"/>
      <x:c r="H117" s="27"/>
      <x:c r="I117" s="27"/>
      <x:c r="J117" s="27"/>
      <x:c r="K117" s="27"/>
      <x:c r="L117" s="27"/>
      <x:c r="M117" s="27"/>
      <x:c r="N117" s="27"/>
      <x:c r="O117" s="27"/>
      <x:c r="P117" s="27"/>
      <x:c r="Q117" s="27"/>
      <x:c r="R117" s="27"/>
      <x:c r="S117" s="27"/>
      <x:c r="T117" s="27"/>
      <x:c r="U117" s="27"/>
      <x:c r="V117" s="27"/>
      <x:c r="W117" s="27"/>
      <x:c r="X117" s="27"/>
      <x:c r="Y117" s="27"/>
      <x:c r="Z117" s="27"/>
      <x:c r="AA117" s="27"/>
      <x:c r="AB117" s="27"/>
      <x:c r="AC117" s="27"/>
      <x:c r="AD117" s="27"/>
      <x:c r="AE117" s="27"/>
      <x:c r="AF117" s="27"/>
      <x:c r="AG117" s="27"/>
      <x:c r="AH117" s="27"/>
      <x:c r="AI117" s="27"/>
      <x:c r="AJ117" s="27"/>
      <x:c r="AK117" s="27"/>
      <x:c r="AL117" s="27"/>
      <x:c r="AM117" s="27"/>
      <x:c r="AN117" s="27"/>
      <x:c r="AO117" s="27"/>
      <x:c r="AP117" s="27"/>
      <x:c r="AQ117" s="27"/>
      <x:c r="AR117" s="27"/>
      <x:c r="AS117" s="27"/>
      <x:c r="AT117" s="27"/>
      <x:c r="AU117" s="27"/>
      <x:c r="AV117" s="27"/>
      <x:c r="AW117" s="27"/>
      <x:c r="AX117" s="27"/>
      <x:c r="AY117" s="27"/>
      <x:c r="AZ117" s="27"/>
    </x:row>
    <x:row r="118">
      <x:c r="A118" s="27"/>
      <x:c r="B118" s="27"/>
      <x:c r="C118" s="27"/>
      <x:c r="D118" s="27"/>
      <x:c r="E118" s="27"/>
      <x:c r="F118" s="27"/>
      <x:c r="G118" s="27"/>
      <x:c r="H118" s="27"/>
      <x:c r="I118" s="27"/>
      <x:c r="J118" s="27"/>
      <x:c r="K118" s="27"/>
      <x:c r="L118" s="27"/>
      <x:c r="M118" s="27"/>
      <x:c r="N118" s="27"/>
      <x:c r="O118" s="27"/>
      <x:c r="P118" s="27"/>
      <x:c r="Q118" s="27"/>
      <x:c r="R118" s="27"/>
      <x:c r="S118" s="27"/>
      <x:c r="T118" s="27"/>
      <x:c r="U118" s="27"/>
      <x:c r="V118" s="27"/>
      <x:c r="W118" s="27"/>
      <x:c r="X118" s="27"/>
      <x:c r="Y118" s="27"/>
      <x:c r="Z118" s="27"/>
      <x:c r="AA118" s="27"/>
      <x:c r="AB118" s="27"/>
      <x:c r="AC118" s="27"/>
      <x:c r="AD118" s="27"/>
      <x:c r="AE118" s="27"/>
      <x:c r="AF118" s="27"/>
      <x:c r="AG118" s="27"/>
      <x:c r="AH118" s="27"/>
      <x:c r="AI118" s="27"/>
      <x:c r="AJ118" s="27"/>
      <x:c r="AK118" s="27"/>
      <x:c r="AL118" s="27"/>
      <x:c r="AM118" s="27"/>
      <x:c r="AN118" s="27"/>
      <x:c r="AO118" s="27"/>
      <x:c r="AP118" s="27"/>
      <x:c r="AQ118" s="27"/>
      <x:c r="AR118" s="27"/>
      <x:c r="AS118" s="27"/>
      <x:c r="AT118" s="27"/>
      <x:c r="AU118" s="27"/>
      <x:c r="AV118" s="27"/>
      <x:c r="AW118" s="27"/>
      <x:c r="AX118" s="27"/>
      <x:c r="AY118" s="27"/>
      <x:c r="AZ118" s="27"/>
    </x:row>
    <x:row r="119">
      <x:c r="A119" s="27"/>
      <x:c r="B119" s="27"/>
      <x:c r="C119" s="27"/>
      <x:c r="D119" s="27"/>
      <x:c r="E119" s="27"/>
      <x:c r="F119" s="27"/>
      <x:c r="G119" s="27"/>
      <x:c r="H119" s="27"/>
      <x:c r="I119" s="27"/>
      <x:c r="J119" s="27"/>
      <x:c r="K119" s="27"/>
      <x:c r="L119" s="27"/>
      <x:c r="M119" s="27"/>
      <x:c r="N119" s="27"/>
      <x:c r="O119" s="27"/>
      <x:c r="P119" s="27"/>
      <x:c r="Q119" s="27"/>
      <x:c r="R119" s="27"/>
      <x:c r="S119" s="27"/>
      <x:c r="T119" s="27"/>
      <x:c r="U119" s="27"/>
      <x:c r="V119" s="27"/>
      <x:c r="W119" s="27"/>
      <x:c r="X119" s="27"/>
      <x:c r="Y119" s="27"/>
      <x:c r="Z119" s="27"/>
      <x:c r="AA119" s="27"/>
      <x:c r="AB119" s="27"/>
      <x:c r="AC119" s="27"/>
      <x:c r="AD119" s="27"/>
      <x:c r="AE119" s="27"/>
      <x:c r="AF119" s="27"/>
      <x:c r="AG119" s="27"/>
      <x:c r="AH119" s="27"/>
      <x:c r="AI119" s="27"/>
      <x:c r="AJ119" s="27"/>
      <x:c r="AK119" s="27"/>
      <x:c r="AL119" s="27"/>
      <x:c r="AM119" s="27"/>
      <x:c r="AN119" s="27"/>
      <x:c r="AO119" s="27"/>
      <x:c r="AP119" s="27"/>
      <x:c r="AQ119" s="27"/>
      <x:c r="AR119" s="27"/>
      <x:c r="AS119" s="27"/>
      <x:c r="AT119" s="27"/>
      <x:c r="AU119" s="27"/>
      <x:c r="AV119" s="27"/>
      <x:c r="AW119" s="27"/>
      <x:c r="AX119" s="27"/>
      <x:c r="AY119" s="27"/>
      <x:c r="AZ119" s="27"/>
    </x:row>
    <x:row r="120">
      <x:c r="A120" s="27"/>
      <x:c r="B120" s="27"/>
      <x:c r="C120" s="27"/>
      <x:c r="D120" s="27"/>
      <x:c r="E120" s="27"/>
      <x:c r="F120" s="27"/>
      <x:c r="G120" s="27"/>
      <x:c r="H120" s="27"/>
      <x:c r="I120" s="27"/>
      <x:c r="J120" s="27"/>
      <x:c r="K120" s="27"/>
      <x:c r="L120" s="27"/>
      <x:c r="M120" s="27"/>
      <x:c r="N120" s="27"/>
      <x:c r="O120" s="27"/>
      <x:c r="P120" s="27"/>
      <x:c r="Q120" s="27"/>
      <x:c r="R120" s="27"/>
      <x:c r="S120" s="27"/>
      <x:c r="T120" s="27"/>
      <x:c r="U120" s="27"/>
      <x:c r="V120" s="27"/>
      <x:c r="W120" s="27"/>
      <x:c r="X120" s="27"/>
      <x:c r="Y120" s="27"/>
      <x:c r="Z120" s="27"/>
      <x:c r="AA120" s="27"/>
      <x:c r="AB120" s="27"/>
      <x:c r="AC120" s="27"/>
      <x:c r="AD120" s="27"/>
      <x:c r="AE120" s="27"/>
      <x:c r="AF120" s="27"/>
      <x:c r="AG120" s="27"/>
      <x:c r="AH120" s="27"/>
      <x:c r="AI120" s="27"/>
      <x:c r="AJ120" s="27"/>
      <x:c r="AK120" s="27"/>
      <x:c r="AL120" s="27"/>
      <x:c r="AM120" s="27"/>
      <x:c r="AN120" s="27"/>
      <x:c r="AO120" s="27"/>
      <x:c r="AP120" s="27"/>
      <x:c r="AQ120" s="27"/>
      <x:c r="AR120" s="27"/>
      <x:c r="AS120" s="27"/>
      <x:c r="AT120" s="27"/>
      <x:c r="AU120" s="27"/>
      <x:c r="AV120" s="27"/>
      <x:c r="AW120" s="27"/>
      <x:c r="AX120" s="27"/>
      <x:c r="AY120" s="27"/>
      <x:c r="AZ120" s="27"/>
    </x:row>
    <x:row r="121">
      <x:c r="A121" s="27"/>
      <x:c r="B121" s="27"/>
      <x:c r="C121" s="27"/>
      <x:c r="D121" s="27"/>
      <x:c r="E121" s="27"/>
      <x:c r="F121" s="27"/>
      <x:c r="G121" s="27"/>
      <x:c r="H121" s="27"/>
      <x:c r="I121" s="27"/>
      <x:c r="J121" s="27"/>
      <x:c r="K121" s="27"/>
      <x:c r="L121" s="27"/>
      <x:c r="M121" s="27"/>
      <x:c r="N121" s="27"/>
      <x:c r="O121" s="27"/>
      <x:c r="P121" s="27"/>
      <x:c r="Q121" s="27"/>
      <x:c r="R121" s="27"/>
      <x:c r="S121" s="27"/>
      <x:c r="T121" s="27"/>
      <x:c r="U121" s="27"/>
      <x:c r="V121" s="27"/>
      <x:c r="W121" s="27"/>
      <x:c r="X121" s="27"/>
      <x:c r="Y121" s="27"/>
      <x:c r="Z121" s="27"/>
      <x:c r="AA121" s="27"/>
      <x:c r="AB121" s="27"/>
      <x:c r="AC121" s="27"/>
      <x:c r="AD121" s="27"/>
      <x:c r="AE121" s="27"/>
      <x:c r="AF121" s="27"/>
      <x:c r="AG121" s="27"/>
      <x:c r="AH121" s="27"/>
      <x:c r="AI121" s="27"/>
      <x:c r="AJ121" s="27"/>
      <x:c r="AK121" s="27"/>
      <x:c r="AL121" s="27"/>
      <x:c r="AM121" s="27"/>
      <x:c r="AN121" s="27"/>
      <x:c r="AO121" s="27"/>
      <x:c r="AP121" s="27"/>
      <x:c r="AQ121" s="27"/>
      <x:c r="AR121" s="27"/>
      <x:c r="AS121" s="27"/>
      <x:c r="AT121" s="27"/>
      <x:c r="AU121" s="27"/>
      <x:c r="AV121" s="27"/>
      <x:c r="AW121" s="27"/>
      <x:c r="AX121" s="27"/>
      <x:c r="AY121" s="27"/>
      <x:c r="AZ121" s="27"/>
    </x:row>
    <x:row r="122">
      <x:c r="A122" s="27"/>
      <x:c r="B122" s="27"/>
      <x:c r="C122" s="27"/>
      <x:c r="D122" s="27"/>
      <x:c r="E122" s="27"/>
      <x:c r="F122" s="27"/>
      <x:c r="G122" s="27"/>
      <x:c r="H122" s="27"/>
      <x:c r="I122" s="27"/>
      <x:c r="J122" s="27"/>
      <x:c r="K122" s="27"/>
      <x:c r="L122" s="27"/>
      <x:c r="M122" s="27"/>
      <x:c r="N122" s="27"/>
      <x:c r="O122" s="27"/>
      <x:c r="P122" s="27"/>
      <x:c r="Q122" s="27"/>
      <x:c r="R122" s="27"/>
      <x:c r="S122" s="27"/>
      <x:c r="T122" s="27"/>
      <x:c r="U122" s="27"/>
      <x:c r="V122" s="27"/>
      <x:c r="W122" s="27"/>
      <x:c r="X122" s="27"/>
      <x:c r="Y122" s="27"/>
      <x:c r="Z122" s="27"/>
      <x:c r="AA122" s="27"/>
      <x:c r="AB122" s="27"/>
      <x:c r="AC122" s="27"/>
      <x:c r="AD122" s="27"/>
      <x:c r="AE122" s="27"/>
      <x:c r="AF122" s="27"/>
      <x:c r="AG122" s="27"/>
      <x:c r="AH122" s="27"/>
      <x:c r="AI122" s="27"/>
      <x:c r="AJ122" s="27"/>
      <x:c r="AK122" s="27"/>
      <x:c r="AL122" s="27"/>
      <x:c r="AM122" s="27"/>
      <x:c r="AN122" s="27"/>
      <x:c r="AO122" s="27"/>
      <x:c r="AP122" s="27"/>
      <x:c r="AQ122" s="27"/>
      <x:c r="AR122" s="27"/>
      <x:c r="AS122" s="27"/>
      <x:c r="AT122" s="27"/>
      <x:c r="AU122" s="27"/>
      <x:c r="AV122" s="27"/>
      <x:c r="AW122" s="27"/>
      <x:c r="AX122" s="27"/>
      <x:c r="AY122" s="27"/>
      <x:c r="AZ122" s="27"/>
    </x:row>
    <x:row r="123">
      <x:c r="A123" s="27"/>
      <x:c r="B123" s="27"/>
      <x:c r="C123" s="27"/>
      <x:c r="D123" s="27"/>
      <x:c r="E123" s="27"/>
      <x:c r="F123" s="27"/>
      <x:c r="G123" s="27"/>
      <x:c r="H123" s="27"/>
      <x:c r="I123" s="27"/>
      <x:c r="J123" s="27"/>
      <x:c r="K123" s="27"/>
      <x:c r="L123" s="27"/>
      <x:c r="M123" s="27"/>
      <x:c r="N123" s="27"/>
      <x:c r="O123" s="27"/>
      <x:c r="P123" s="27"/>
      <x:c r="Q123" s="27"/>
      <x:c r="R123" s="27"/>
      <x:c r="S123" s="27"/>
      <x:c r="T123" s="27"/>
      <x:c r="U123" s="27"/>
      <x:c r="V123" s="27"/>
      <x:c r="W123" s="27"/>
      <x:c r="X123" s="27"/>
      <x:c r="Y123" s="27"/>
      <x:c r="Z123" s="27"/>
      <x:c r="AA123" s="27"/>
      <x:c r="AB123" s="27"/>
      <x:c r="AC123" s="27"/>
      <x:c r="AD123" s="27"/>
      <x:c r="AE123" s="27"/>
      <x:c r="AF123" s="27"/>
      <x:c r="AG123" s="27"/>
      <x:c r="AH123" s="27"/>
      <x:c r="AI123" s="27"/>
      <x:c r="AJ123" s="27"/>
      <x:c r="AK123" s="27"/>
      <x:c r="AL123" s="27"/>
      <x:c r="AM123" s="27"/>
      <x:c r="AN123" s="27"/>
      <x:c r="AO123" s="27"/>
      <x:c r="AP123" s="27"/>
      <x:c r="AQ123" s="27"/>
      <x:c r="AR123" s="27"/>
      <x:c r="AS123" s="27"/>
      <x:c r="AT123" s="27"/>
      <x:c r="AU123" s="27"/>
      <x:c r="AV123" s="27"/>
      <x:c r="AW123" s="27"/>
      <x:c r="AX123" s="27"/>
      <x:c r="AY123" s="27"/>
      <x:c r="AZ123" s="27"/>
    </x:row>
    <x:row r="124">
      <x:c r="A124" s="27"/>
      <x:c r="B124" s="27"/>
      <x:c r="C124" s="27"/>
      <x:c r="D124" s="27"/>
      <x:c r="E124" s="27"/>
      <x:c r="F124" s="27"/>
      <x:c r="G124" s="27"/>
      <x:c r="H124" s="27"/>
      <x:c r="I124" s="27"/>
      <x:c r="J124" s="27"/>
      <x:c r="K124" s="27"/>
      <x:c r="L124" s="27"/>
      <x:c r="M124" s="27"/>
      <x:c r="N124" s="27"/>
      <x:c r="O124" s="27"/>
      <x:c r="P124" s="27"/>
      <x:c r="Q124" s="27"/>
      <x:c r="R124" s="27"/>
      <x:c r="S124" s="27"/>
      <x:c r="T124" s="27"/>
      <x:c r="U124" s="27"/>
      <x:c r="V124" s="27"/>
      <x:c r="W124" s="27"/>
      <x:c r="X124" s="27"/>
      <x:c r="Y124" s="27"/>
      <x:c r="Z124" s="27"/>
      <x:c r="AA124" s="27"/>
      <x:c r="AB124" s="27"/>
      <x:c r="AC124" s="27"/>
      <x:c r="AD124" s="27"/>
      <x:c r="AE124" s="27"/>
      <x:c r="AF124" s="27"/>
      <x:c r="AG124" s="27"/>
      <x:c r="AH124" s="27"/>
      <x:c r="AI124" s="27"/>
      <x:c r="AJ124" s="27"/>
      <x:c r="AK124" s="27"/>
      <x:c r="AL124" s="27"/>
      <x:c r="AM124" s="27"/>
      <x:c r="AN124" s="27"/>
      <x:c r="AO124" s="27"/>
      <x:c r="AP124" s="27"/>
      <x:c r="AQ124" s="27"/>
      <x:c r="AR124" s="27"/>
      <x:c r="AS124" s="27"/>
      <x:c r="AT124" s="27"/>
      <x:c r="AU124" s="27"/>
      <x:c r="AV124" s="27"/>
      <x:c r="AW124" s="27"/>
      <x:c r="AX124" s="27"/>
      <x:c r="AY124" s="27"/>
      <x:c r="AZ124" s="27"/>
    </x:row>
    <x:row r="125">
      <x:c r="A125" s="27"/>
      <x:c r="B125" s="27"/>
      <x:c r="C125" s="27"/>
      <x:c r="D125" s="27"/>
      <x:c r="E125" s="27"/>
      <x:c r="F125" s="27"/>
      <x:c r="G125" s="27"/>
      <x:c r="H125" s="27"/>
      <x:c r="I125" s="27"/>
      <x:c r="J125" s="27"/>
      <x:c r="K125" s="27"/>
      <x:c r="L125" s="27"/>
      <x:c r="M125" s="27"/>
      <x:c r="N125" s="27"/>
      <x:c r="O125" s="27"/>
      <x:c r="P125" s="27"/>
      <x:c r="Q125" s="27"/>
      <x:c r="R125" s="27"/>
      <x:c r="S125" s="27"/>
      <x:c r="T125" s="27"/>
      <x:c r="U125" s="27"/>
      <x:c r="V125" s="27"/>
      <x:c r="W125" s="27"/>
      <x:c r="X125" s="27"/>
      <x:c r="Y125" s="27"/>
      <x:c r="Z125" s="27"/>
      <x:c r="AA125" s="27"/>
      <x:c r="AB125" s="27"/>
      <x:c r="AC125" s="27"/>
      <x:c r="AD125" s="27"/>
      <x:c r="AE125" s="27"/>
      <x:c r="AF125" s="27"/>
      <x:c r="AG125" s="27"/>
      <x:c r="AH125" s="27"/>
      <x:c r="AI125" s="27"/>
      <x:c r="AJ125" s="27"/>
      <x:c r="AK125" s="27"/>
      <x:c r="AL125" s="27"/>
      <x:c r="AM125" s="27"/>
      <x:c r="AN125" s="27"/>
      <x:c r="AO125" s="27"/>
      <x:c r="AP125" s="27"/>
      <x:c r="AQ125" s="27"/>
      <x:c r="AR125" s="27"/>
      <x:c r="AS125" s="27"/>
      <x:c r="AT125" s="27"/>
      <x:c r="AU125" s="27"/>
      <x:c r="AV125" s="27"/>
      <x:c r="AW125" s="27"/>
      <x:c r="AX125" s="27"/>
      <x:c r="AY125" s="27"/>
      <x:c r="AZ125" s="27"/>
    </x:row>
    <x:row r="126">
      <x:c r="A126" s="27"/>
      <x:c r="B126" s="27"/>
      <x:c r="C126" s="27"/>
      <x:c r="D126" s="27"/>
      <x:c r="E126" s="27"/>
      <x:c r="F126" s="27"/>
      <x:c r="G126" s="27"/>
      <x:c r="H126" s="27"/>
      <x:c r="I126" s="27"/>
      <x:c r="J126" s="27"/>
      <x:c r="K126" s="27"/>
      <x:c r="L126" s="27"/>
      <x:c r="M126" s="27"/>
      <x:c r="N126" s="27"/>
      <x:c r="O126" s="27"/>
      <x:c r="P126" s="27"/>
      <x:c r="Q126" s="27"/>
      <x:c r="R126" s="27"/>
      <x:c r="S126" s="27"/>
      <x:c r="T126" s="27"/>
      <x:c r="U126" s="27"/>
      <x:c r="V126" s="27"/>
      <x:c r="W126" s="27"/>
      <x:c r="X126" s="27"/>
      <x:c r="Y126" s="27"/>
      <x:c r="Z126" s="27"/>
      <x:c r="AA126" s="27"/>
      <x:c r="AB126" s="27"/>
      <x:c r="AC126" s="27"/>
      <x:c r="AD126" s="27"/>
      <x:c r="AE126" s="27"/>
      <x:c r="AF126" s="27"/>
      <x:c r="AG126" s="27"/>
      <x:c r="AH126" s="27"/>
      <x:c r="AI126" s="27"/>
      <x:c r="AJ126" s="27"/>
      <x:c r="AK126" s="27"/>
      <x:c r="AL126" s="27"/>
      <x:c r="AM126" s="27"/>
      <x:c r="AN126" s="27"/>
      <x:c r="AO126" s="27"/>
      <x:c r="AP126" s="27"/>
      <x:c r="AQ126" s="27"/>
      <x:c r="AR126" s="27"/>
      <x:c r="AS126" s="27"/>
      <x:c r="AT126" s="27"/>
      <x:c r="AU126" s="27"/>
      <x:c r="AV126" s="27"/>
      <x:c r="AW126" s="27"/>
      <x:c r="AX126" s="27"/>
      <x:c r="AY126" s="27"/>
      <x:c r="AZ126" s="27"/>
    </x:row>
    <x:row r="127">
      <x:c r="A127" s="27"/>
      <x:c r="B127" s="27"/>
      <x:c r="C127" s="27"/>
      <x:c r="D127" s="27"/>
      <x:c r="E127" s="27"/>
      <x:c r="F127" s="27"/>
      <x:c r="G127" s="27"/>
      <x:c r="H127" s="27"/>
      <x:c r="I127" s="27"/>
      <x:c r="J127" s="27"/>
      <x:c r="K127" s="27"/>
      <x:c r="L127" s="27"/>
      <x:c r="M127" s="27"/>
      <x:c r="N127" s="27"/>
      <x:c r="O127" s="27"/>
      <x:c r="P127" s="27"/>
      <x:c r="Q127" s="27"/>
      <x:c r="R127" s="27"/>
      <x:c r="S127" s="27"/>
      <x:c r="T127" s="27"/>
      <x:c r="U127" s="27"/>
      <x:c r="V127" s="27"/>
      <x:c r="W127" s="27"/>
      <x:c r="X127" s="27"/>
      <x:c r="Y127" s="27"/>
      <x:c r="Z127" s="27"/>
      <x:c r="AA127" s="27"/>
      <x:c r="AB127" s="27"/>
      <x:c r="AC127" s="27"/>
      <x:c r="AD127" s="27"/>
      <x:c r="AE127" s="27"/>
      <x:c r="AF127" s="27"/>
      <x:c r="AG127" s="27"/>
      <x:c r="AH127" s="27"/>
      <x:c r="AI127" s="27"/>
      <x:c r="AJ127" s="27"/>
      <x:c r="AK127" s="27"/>
      <x:c r="AL127" s="27"/>
      <x:c r="AM127" s="27"/>
      <x:c r="AN127" s="27"/>
      <x:c r="AO127" s="27"/>
      <x:c r="AP127" s="27"/>
      <x:c r="AQ127" s="27"/>
      <x:c r="AR127" s="27"/>
      <x:c r="AS127" s="27"/>
      <x:c r="AT127" s="27"/>
      <x:c r="AU127" s="27"/>
      <x:c r="AV127" s="27"/>
      <x:c r="AW127" s="27"/>
      <x:c r="AX127" s="27"/>
      <x:c r="AY127" s="27"/>
      <x:c r="AZ127" s="27"/>
    </x:row>
    <x:row r="128">
      <x:c r="A128" s="27"/>
      <x:c r="B128" s="27"/>
      <x:c r="C128" s="27"/>
      <x:c r="D128" s="27"/>
      <x:c r="E128" s="27"/>
      <x:c r="F128" s="27"/>
      <x:c r="G128" s="27"/>
      <x:c r="H128" s="27"/>
      <x:c r="I128" s="27"/>
      <x:c r="J128" s="27"/>
      <x:c r="K128" s="27"/>
      <x:c r="L128" s="27"/>
      <x:c r="M128" s="27"/>
      <x:c r="N128" s="27"/>
      <x:c r="O128" s="27"/>
      <x:c r="P128" s="27"/>
      <x:c r="Q128" s="27"/>
      <x:c r="R128" s="27"/>
      <x:c r="S128" s="27"/>
      <x:c r="T128" s="27"/>
      <x:c r="U128" s="27"/>
      <x:c r="V128" s="27"/>
      <x:c r="W128" s="27"/>
      <x:c r="X128" s="27"/>
      <x:c r="Y128" s="27"/>
      <x:c r="Z128" s="27"/>
      <x:c r="AA128" s="27"/>
      <x:c r="AB128" s="27"/>
      <x:c r="AC128" s="27"/>
      <x:c r="AD128" s="27"/>
      <x:c r="AE128" s="27"/>
      <x:c r="AF128" s="27"/>
      <x:c r="AG128" s="27"/>
      <x:c r="AH128" s="27"/>
      <x:c r="AI128" s="27"/>
      <x:c r="AJ128" s="27"/>
      <x:c r="AK128" s="27"/>
      <x:c r="AL128" s="27"/>
      <x:c r="AM128" s="27"/>
      <x:c r="AN128" s="27"/>
      <x:c r="AO128" s="27"/>
      <x:c r="AP128" s="27"/>
      <x:c r="AQ128" s="27"/>
      <x:c r="AR128" s="27"/>
      <x:c r="AS128" s="27"/>
      <x:c r="AT128" s="27"/>
      <x:c r="AU128" s="27"/>
      <x:c r="AV128" s="27"/>
      <x:c r="AW128" s="27"/>
      <x:c r="AX128" s="27"/>
      <x:c r="AY128" s="27"/>
      <x:c r="AZ128" s="27"/>
    </x:row>
    <x:row r="129">
      <x:c r="A129" s="27"/>
      <x:c r="B129" s="27"/>
      <x:c r="C129" s="27"/>
      <x:c r="D129" s="27"/>
      <x:c r="E129" s="27"/>
      <x:c r="F129" s="27"/>
      <x:c r="G129" s="27"/>
      <x:c r="H129" s="27"/>
      <x:c r="I129" s="27"/>
      <x:c r="J129" s="27"/>
      <x:c r="K129" s="27"/>
      <x:c r="L129" s="27"/>
      <x:c r="M129" s="27"/>
      <x:c r="N129" s="27"/>
      <x:c r="O129" s="27"/>
      <x:c r="P129" s="27"/>
      <x:c r="Q129" s="27"/>
      <x:c r="R129" s="27"/>
      <x:c r="S129" s="27"/>
      <x:c r="T129" s="27"/>
      <x:c r="U129" s="27"/>
      <x:c r="V129" s="27"/>
      <x:c r="W129" s="27"/>
      <x:c r="X129" s="27"/>
      <x:c r="Y129" s="27"/>
      <x:c r="Z129" s="27"/>
      <x:c r="AA129" s="27"/>
      <x:c r="AB129" s="27"/>
      <x:c r="AC129" s="27"/>
      <x:c r="AD129" s="27"/>
      <x:c r="AE129" s="27"/>
      <x:c r="AF129" s="27"/>
      <x:c r="AG129" s="27"/>
      <x:c r="AH129" s="27"/>
      <x:c r="AI129" s="27"/>
      <x:c r="AJ129" s="27"/>
      <x:c r="AK129" s="27"/>
      <x:c r="AL129" s="27"/>
      <x:c r="AM129" s="27"/>
      <x:c r="AN129" s="27"/>
      <x:c r="AO129" s="27"/>
      <x:c r="AP129" s="27"/>
      <x:c r="AQ129" s="27"/>
      <x:c r="AR129" s="27"/>
      <x:c r="AS129" s="27"/>
      <x:c r="AT129" s="27"/>
      <x:c r="AU129" s="27"/>
      <x:c r="AV129" s="27"/>
      <x:c r="AW129" s="27"/>
      <x:c r="AX129" s="27"/>
      <x:c r="AY129" s="27"/>
      <x:c r="AZ129" s="27"/>
    </x:row>
    <x:row r="130">
      <x:c r="A130" s="27"/>
      <x:c r="B130" s="27"/>
      <x:c r="C130" s="27"/>
      <x:c r="D130" s="27"/>
      <x:c r="E130" s="27"/>
      <x:c r="F130" s="27"/>
      <x:c r="G130" s="27"/>
      <x:c r="H130" s="27"/>
      <x:c r="I130" s="27"/>
      <x:c r="J130" s="27"/>
      <x:c r="K130" s="27"/>
      <x:c r="L130" s="27"/>
      <x:c r="M130" s="27"/>
      <x:c r="N130" s="27"/>
      <x:c r="O130" s="27"/>
      <x:c r="P130" s="27"/>
      <x:c r="Q130" s="27"/>
      <x:c r="R130" s="27"/>
      <x:c r="S130" s="27"/>
      <x:c r="T130" s="27"/>
      <x:c r="U130" s="27"/>
      <x:c r="V130" s="27"/>
      <x:c r="W130" s="27"/>
      <x:c r="X130" s="27"/>
      <x:c r="Y130" s="27"/>
      <x:c r="Z130" s="27"/>
      <x:c r="AA130" s="27"/>
      <x:c r="AB130" s="27"/>
      <x:c r="AC130" s="27"/>
      <x:c r="AD130" s="27"/>
      <x:c r="AE130" s="27"/>
      <x:c r="AF130" s="27"/>
      <x:c r="AG130" s="27"/>
      <x:c r="AH130" s="27"/>
      <x:c r="AI130" s="27"/>
      <x:c r="AJ130" s="27"/>
      <x:c r="AK130" s="27"/>
      <x:c r="AL130" s="27"/>
      <x:c r="AM130" s="27"/>
      <x:c r="AN130" s="27"/>
      <x:c r="AO130" s="27"/>
      <x:c r="AP130" s="27"/>
      <x:c r="AQ130" s="27"/>
      <x:c r="AR130" s="27"/>
      <x:c r="AS130" s="27"/>
      <x:c r="AT130" s="27"/>
      <x:c r="AU130" s="27"/>
      <x:c r="AV130" s="27"/>
      <x:c r="AW130" s="27"/>
      <x:c r="AX130" s="27"/>
      <x:c r="AY130" s="27"/>
      <x:c r="AZ130" s="27"/>
    </x:row>
    <x:row r="131">
      <x:c r="A131" s="27"/>
      <x:c r="B131" s="27"/>
      <x:c r="C131" s="27"/>
      <x:c r="D131" s="27"/>
      <x:c r="E131" s="27"/>
      <x:c r="F131" s="27"/>
      <x:c r="G131" s="27"/>
      <x:c r="H131" s="27"/>
      <x:c r="I131" s="27"/>
      <x:c r="J131" s="27"/>
      <x:c r="K131" s="27"/>
      <x:c r="L131" s="27"/>
      <x:c r="M131" s="27"/>
      <x:c r="N131" s="27"/>
      <x:c r="O131" s="27"/>
      <x:c r="P131" s="27"/>
      <x:c r="Q131" s="27"/>
      <x:c r="R131" s="27"/>
      <x:c r="S131" s="27"/>
      <x:c r="T131" s="27"/>
      <x:c r="U131" s="27"/>
      <x:c r="V131" s="27"/>
      <x:c r="W131" s="27"/>
      <x:c r="X131" s="27"/>
      <x:c r="Y131" s="27"/>
      <x:c r="Z131" s="27"/>
      <x:c r="AA131" s="27"/>
      <x:c r="AB131" s="27"/>
      <x:c r="AC131" s="27"/>
      <x:c r="AD131" s="27"/>
      <x:c r="AE131" s="27"/>
      <x:c r="AF131" s="27"/>
      <x:c r="AG131" s="27"/>
      <x:c r="AH131" s="27"/>
      <x:c r="AI131" s="27"/>
      <x:c r="AJ131" s="27"/>
      <x:c r="AK131" s="27"/>
      <x:c r="AL131" s="27"/>
      <x:c r="AM131" s="27"/>
      <x:c r="AN131" s="27"/>
      <x:c r="AO131" s="27"/>
      <x:c r="AP131" s="27"/>
      <x:c r="AQ131" s="27"/>
      <x:c r="AR131" s="27"/>
      <x:c r="AS131" s="27"/>
      <x:c r="AT131" s="27"/>
      <x:c r="AU131" s="27"/>
      <x:c r="AV131" s="27"/>
      <x:c r="AW131" s="27"/>
      <x:c r="AX131" s="27"/>
      <x:c r="AY131" s="27"/>
      <x:c r="AZ131" s="27"/>
    </x:row>
    <x:row r="132">
      <x:c r="A132" s="27"/>
      <x:c r="B132" s="27"/>
      <x:c r="C132" s="27"/>
      <x:c r="D132" s="27"/>
      <x:c r="E132" s="27"/>
      <x:c r="F132" s="27"/>
      <x:c r="G132" s="27"/>
      <x:c r="H132" s="27"/>
      <x:c r="I132" s="27"/>
      <x:c r="J132" s="27"/>
      <x:c r="K132" s="27"/>
      <x:c r="L132" s="27"/>
      <x:c r="M132" s="27"/>
      <x:c r="N132" s="27"/>
      <x:c r="O132" s="27"/>
      <x:c r="P132" s="27"/>
      <x:c r="Q132" s="27"/>
      <x:c r="R132" s="27"/>
      <x:c r="S132" s="27"/>
      <x:c r="T132" s="27"/>
      <x:c r="U132" s="27"/>
      <x:c r="V132" s="27"/>
      <x:c r="W132" s="27"/>
      <x:c r="X132" s="27"/>
      <x:c r="Y132" s="27"/>
      <x:c r="Z132" s="27"/>
      <x:c r="AA132" s="27"/>
      <x:c r="AB132" s="27"/>
      <x:c r="AC132" s="27"/>
      <x:c r="AD132" s="27"/>
      <x:c r="AE132" s="27"/>
      <x:c r="AF132" s="27"/>
      <x:c r="AG132" s="27"/>
      <x:c r="AH132" s="27"/>
      <x:c r="AI132" s="27"/>
      <x:c r="AJ132" s="27"/>
      <x:c r="AK132" s="27"/>
      <x:c r="AL132" s="27"/>
      <x:c r="AM132" s="27"/>
      <x:c r="AN132" s="27"/>
      <x:c r="AO132" s="27"/>
      <x:c r="AP132" s="27"/>
      <x:c r="AQ132" s="27"/>
      <x:c r="AR132" s="27"/>
      <x:c r="AS132" s="27"/>
      <x:c r="AT132" s="27"/>
      <x:c r="AU132" s="27"/>
      <x:c r="AV132" s="27"/>
      <x:c r="AW132" s="27"/>
      <x:c r="AX132" s="27"/>
      <x:c r="AY132" s="27"/>
      <x:c r="AZ132" s="27"/>
    </x:row>
    <x:row r="133">
      <x:c r="A133" s="27"/>
      <x:c r="B133" s="27"/>
      <x:c r="C133" s="27"/>
      <x:c r="D133" s="27"/>
      <x:c r="E133" s="27"/>
      <x:c r="F133" s="27"/>
      <x:c r="G133" s="27"/>
      <x:c r="H133" s="27"/>
      <x:c r="I133" s="27"/>
      <x:c r="J133" s="27"/>
      <x:c r="K133" s="27"/>
      <x:c r="L133" s="27"/>
      <x:c r="M133" s="27"/>
      <x:c r="N133" s="27"/>
      <x:c r="O133" s="27"/>
      <x:c r="P133" s="27"/>
      <x:c r="Q133" s="27"/>
      <x:c r="R133" s="27"/>
      <x:c r="S133" s="27"/>
      <x:c r="T133" s="27"/>
      <x:c r="U133" s="27"/>
      <x:c r="V133" s="27"/>
      <x:c r="W133" s="27"/>
      <x:c r="X133" s="27"/>
      <x:c r="Y133" s="27"/>
      <x:c r="Z133" s="27"/>
      <x:c r="AA133" s="27"/>
      <x:c r="AB133" s="27"/>
      <x:c r="AC133" s="27"/>
      <x:c r="AD133" s="27"/>
      <x:c r="AE133" s="27"/>
      <x:c r="AF133" s="27"/>
      <x:c r="AG133" s="27"/>
      <x:c r="AH133" s="27"/>
      <x:c r="AI133" s="27"/>
      <x:c r="AJ133" s="27"/>
      <x:c r="AK133" s="27"/>
      <x:c r="AL133" s="27"/>
      <x:c r="AM133" s="27"/>
      <x:c r="AN133" s="27"/>
      <x:c r="AO133" s="27"/>
      <x:c r="AP133" s="27"/>
      <x:c r="AQ133" s="27"/>
      <x:c r="AR133" s="27"/>
      <x:c r="AS133" s="27"/>
      <x:c r="AT133" s="27"/>
      <x:c r="AU133" s="27"/>
      <x:c r="AV133" s="27"/>
      <x:c r="AW133" s="27"/>
      <x:c r="AX133" s="27"/>
      <x:c r="AY133" s="27"/>
      <x:c r="AZ133" s="27"/>
    </x:row>
    <x:row r="134">
      <x:c r="A134" s="27"/>
      <x:c r="B134" s="27"/>
      <x:c r="C134" s="27"/>
      <x:c r="D134" s="27"/>
      <x:c r="E134" s="27"/>
      <x:c r="F134" s="27"/>
      <x:c r="G134" s="27"/>
      <x:c r="H134" s="27"/>
      <x:c r="I134" s="27"/>
      <x:c r="J134" s="27"/>
      <x:c r="K134" s="27"/>
      <x:c r="L134" s="27"/>
      <x:c r="M134" s="27"/>
      <x:c r="N134" s="27"/>
      <x:c r="O134" s="27"/>
      <x:c r="P134" s="27"/>
      <x:c r="Q134" s="27"/>
      <x:c r="R134" s="27"/>
      <x:c r="S134" s="27"/>
      <x:c r="T134" s="27"/>
      <x:c r="U134" s="27"/>
      <x:c r="V134" s="27"/>
      <x:c r="W134" s="27"/>
      <x:c r="X134" s="27"/>
      <x:c r="Y134" s="27"/>
      <x:c r="Z134" s="27"/>
      <x:c r="AA134" s="27"/>
      <x:c r="AB134" s="27"/>
      <x:c r="AC134" s="27"/>
      <x:c r="AD134" s="27"/>
      <x:c r="AE134" s="27"/>
      <x:c r="AF134" s="27"/>
      <x:c r="AG134" s="27"/>
      <x:c r="AH134" s="27"/>
      <x:c r="AI134" s="27"/>
      <x:c r="AJ134" s="27"/>
      <x:c r="AK134" s="27"/>
      <x:c r="AL134" s="27"/>
      <x:c r="AM134" s="27"/>
      <x:c r="AN134" s="27"/>
      <x:c r="AO134" s="27"/>
      <x:c r="AP134" s="27"/>
      <x:c r="AQ134" s="27"/>
      <x:c r="AR134" s="27"/>
      <x:c r="AS134" s="27"/>
      <x:c r="AT134" s="27"/>
      <x:c r="AU134" s="27"/>
      <x:c r="AV134" s="27"/>
      <x:c r="AW134" s="27"/>
      <x:c r="AX134" s="27"/>
      <x:c r="AY134" s="27"/>
      <x:c r="AZ134" s="27"/>
    </x:row>
    <x:row r="135">
      <x:c r="A135" s="27"/>
      <x:c r="B135" s="27"/>
      <x:c r="C135" s="27"/>
      <x:c r="D135" s="27"/>
      <x:c r="E135" s="27"/>
      <x:c r="F135" s="27"/>
      <x:c r="G135" s="27"/>
      <x:c r="H135" s="27"/>
      <x:c r="I135" s="27"/>
      <x:c r="J135" s="27"/>
      <x:c r="K135" s="27"/>
      <x:c r="L135" s="27"/>
      <x:c r="M135" s="27"/>
      <x:c r="N135" s="27"/>
      <x:c r="O135" s="27"/>
      <x:c r="P135" s="27"/>
      <x:c r="Q135" s="27"/>
      <x:c r="R135" s="27"/>
      <x:c r="S135" s="27"/>
      <x:c r="T135" s="27"/>
      <x:c r="U135" s="27"/>
      <x:c r="V135" s="27"/>
      <x:c r="W135" s="27"/>
      <x:c r="X135" s="27"/>
      <x:c r="Y135" s="27"/>
      <x:c r="Z135" s="27"/>
      <x:c r="AA135" s="27"/>
      <x:c r="AB135" s="27"/>
      <x:c r="AC135" s="27"/>
      <x:c r="AD135" s="27"/>
      <x:c r="AE135" s="27"/>
      <x:c r="AF135" s="27"/>
      <x:c r="AG135" s="27"/>
      <x:c r="AH135" s="27"/>
      <x:c r="AI135" s="27"/>
      <x:c r="AJ135" s="27"/>
      <x:c r="AK135" s="27"/>
      <x:c r="AL135" s="27"/>
      <x:c r="AM135" s="27"/>
      <x:c r="AN135" s="27"/>
      <x:c r="AO135" s="27"/>
      <x:c r="AP135" s="27"/>
      <x:c r="AQ135" s="27"/>
      <x:c r="AR135" s="27"/>
      <x:c r="AS135" s="27"/>
      <x:c r="AT135" s="27"/>
      <x:c r="AU135" s="27"/>
      <x:c r="AV135" s="27"/>
      <x:c r="AW135" s="27"/>
      <x:c r="AX135" s="27"/>
      <x:c r="AY135" s="27"/>
      <x:c r="AZ135" s="27"/>
    </x:row>
    <x:row r="136">
      <x:c r="A136" s="27"/>
      <x:c r="B136" s="27"/>
      <x:c r="C136" s="27"/>
      <x:c r="D136" s="27"/>
      <x:c r="E136" s="27"/>
      <x:c r="F136" s="27"/>
      <x:c r="G136" s="27"/>
      <x:c r="H136" s="27"/>
      <x:c r="I136" s="27"/>
      <x:c r="J136" s="27"/>
      <x:c r="K136" s="27"/>
      <x:c r="L136" s="27"/>
      <x:c r="M136" s="27"/>
      <x:c r="N136" s="27"/>
      <x:c r="O136" s="27"/>
      <x:c r="P136" s="27"/>
      <x:c r="Q136" s="27"/>
      <x:c r="R136" s="27"/>
      <x:c r="S136" s="27"/>
      <x:c r="T136" s="27"/>
      <x:c r="U136" s="27"/>
      <x:c r="V136" s="27"/>
      <x:c r="W136" s="27"/>
      <x:c r="X136" s="27"/>
      <x:c r="Y136" s="27"/>
      <x:c r="Z136" s="27"/>
      <x:c r="AA136" s="27"/>
      <x:c r="AB136" s="27"/>
      <x:c r="AC136" s="27"/>
      <x:c r="AD136" s="27"/>
      <x:c r="AE136" s="27"/>
      <x:c r="AF136" s="27"/>
      <x:c r="AG136" s="27"/>
      <x:c r="AH136" s="27"/>
      <x:c r="AI136" s="27"/>
      <x:c r="AJ136" s="27"/>
      <x:c r="AK136" s="27"/>
      <x:c r="AL136" s="27"/>
      <x:c r="AM136" s="27"/>
      <x:c r="AN136" s="27"/>
      <x:c r="AO136" s="27"/>
      <x:c r="AP136" s="27"/>
      <x:c r="AQ136" s="27"/>
      <x:c r="AR136" s="27"/>
      <x:c r="AS136" s="27"/>
      <x:c r="AT136" s="27"/>
      <x:c r="AU136" s="27"/>
      <x:c r="AV136" s="27"/>
      <x:c r="AW136" s="27"/>
      <x:c r="AX136" s="27"/>
      <x:c r="AY136" s="27"/>
      <x:c r="AZ136" s="27"/>
    </x:row>
    <x:row r="137">
      <x:c r="A137" s="27"/>
      <x:c r="B137" s="27"/>
      <x:c r="C137" s="27"/>
      <x:c r="D137" s="27"/>
      <x:c r="E137" s="27"/>
      <x:c r="F137" s="27"/>
      <x:c r="G137" s="27"/>
      <x:c r="H137" s="27"/>
      <x:c r="I137" s="27"/>
      <x:c r="J137" s="27"/>
      <x:c r="K137" s="27"/>
      <x:c r="L137" s="27"/>
      <x:c r="M137" s="27"/>
      <x:c r="N137" s="27"/>
      <x:c r="O137" s="27"/>
      <x:c r="P137" s="27"/>
      <x:c r="Q137" s="27"/>
      <x:c r="R137" s="27"/>
      <x:c r="S137" s="27"/>
      <x:c r="T137" s="27"/>
      <x:c r="U137" s="27"/>
      <x:c r="V137" s="27"/>
      <x:c r="W137" s="27"/>
      <x:c r="X137" s="27"/>
      <x:c r="Y137" s="27"/>
      <x:c r="Z137" s="27"/>
      <x:c r="AA137" s="27"/>
      <x:c r="AB137" s="27"/>
      <x:c r="AC137" s="27"/>
      <x:c r="AD137" s="27"/>
      <x:c r="AE137" s="27"/>
      <x:c r="AF137" s="27"/>
      <x:c r="AG137" s="27"/>
      <x:c r="AH137" s="27"/>
      <x:c r="AI137" s="27"/>
      <x:c r="AJ137" s="27"/>
      <x:c r="AK137" s="27"/>
      <x:c r="AL137" s="27"/>
      <x:c r="AM137" s="27"/>
      <x:c r="AN137" s="27"/>
      <x:c r="AO137" s="27"/>
      <x:c r="AP137" s="27"/>
      <x:c r="AQ137" s="27"/>
      <x:c r="AR137" s="27"/>
      <x:c r="AS137" s="27"/>
      <x:c r="AT137" s="27"/>
      <x:c r="AU137" s="27"/>
      <x:c r="AV137" s="27"/>
      <x:c r="AW137" s="27"/>
      <x:c r="AX137" s="27"/>
      <x:c r="AY137" s="27"/>
      <x:c r="AZ137" s="27"/>
    </x:row>
    <x:row r="138">
      <x:c r="A138" s="27"/>
      <x:c r="B138" s="27"/>
      <x:c r="C138" s="27"/>
      <x:c r="D138" s="27"/>
      <x:c r="E138" s="27"/>
      <x:c r="F138" s="27"/>
      <x:c r="G138" s="27"/>
      <x:c r="H138" s="27"/>
      <x:c r="I138" s="27"/>
      <x:c r="J138" s="27"/>
      <x:c r="K138" s="27"/>
      <x:c r="L138" s="27"/>
      <x:c r="M138" s="27"/>
      <x:c r="N138" s="27"/>
      <x:c r="O138" s="27"/>
      <x:c r="P138" s="27"/>
      <x:c r="Q138" s="27"/>
      <x:c r="R138" s="27"/>
      <x:c r="S138" s="27"/>
      <x:c r="T138" s="27"/>
      <x:c r="U138" s="27"/>
      <x:c r="V138" s="27"/>
      <x:c r="W138" s="27"/>
      <x:c r="X138" s="27"/>
      <x:c r="Y138" s="27"/>
      <x:c r="Z138" s="27"/>
      <x:c r="AA138" s="27"/>
      <x:c r="AB138" s="27"/>
      <x:c r="AC138" s="27"/>
      <x:c r="AD138" s="27"/>
      <x:c r="AE138" s="27"/>
      <x:c r="AF138" s="27"/>
      <x:c r="AG138" s="27"/>
      <x:c r="AH138" s="27"/>
      <x:c r="AI138" s="27"/>
      <x:c r="AJ138" s="27"/>
      <x:c r="AK138" s="27"/>
      <x:c r="AL138" s="27"/>
      <x:c r="AM138" s="27"/>
      <x:c r="AN138" s="27"/>
      <x:c r="AO138" s="27"/>
      <x:c r="AP138" s="27"/>
      <x:c r="AQ138" s="27"/>
      <x:c r="AR138" s="27"/>
      <x:c r="AS138" s="27"/>
      <x:c r="AT138" s="27"/>
      <x:c r="AU138" s="27"/>
      <x:c r="AV138" s="27"/>
      <x:c r="AW138" s="27"/>
      <x:c r="AX138" s="27"/>
      <x:c r="AY138" s="27"/>
      <x:c r="AZ138" s="27"/>
    </x:row>
    <x:row r="139">
      <x:c r="A139" s="27"/>
      <x:c r="B139" s="27"/>
      <x:c r="C139" s="27"/>
      <x:c r="D139" s="27"/>
      <x:c r="E139" s="27"/>
      <x:c r="F139" s="27"/>
      <x:c r="G139" s="27"/>
      <x:c r="H139" s="27"/>
      <x:c r="I139" s="27"/>
      <x:c r="J139" s="27"/>
      <x:c r="K139" s="27"/>
      <x:c r="L139" s="27"/>
      <x:c r="M139" s="27"/>
      <x:c r="N139" s="27"/>
      <x:c r="O139" s="27"/>
      <x:c r="P139" s="27"/>
      <x:c r="Q139" s="27"/>
      <x:c r="R139" s="27"/>
      <x:c r="S139" s="27"/>
      <x:c r="T139" s="27"/>
      <x:c r="U139" s="27"/>
      <x:c r="V139" s="27"/>
      <x:c r="W139" s="27"/>
      <x:c r="X139" s="27"/>
      <x:c r="Y139" s="27"/>
      <x:c r="Z139" s="27"/>
      <x:c r="AA139" s="27"/>
      <x:c r="AB139" s="27"/>
      <x:c r="AC139" s="27"/>
      <x:c r="AD139" s="27"/>
      <x:c r="AE139" s="27"/>
      <x:c r="AF139" s="27"/>
      <x:c r="AG139" s="27"/>
      <x:c r="AH139" s="27"/>
      <x:c r="AI139" s="27"/>
      <x:c r="AJ139" s="27"/>
      <x:c r="AK139" s="27"/>
      <x:c r="AL139" s="27"/>
      <x:c r="AM139" s="27"/>
      <x:c r="AN139" s="27"/>
      <x:c r="AO139" s="27"/>
      <x:c r="AP139" s="27"/>
      <x:c r="AQ139" s="27"/>
      <x:c r="AR139" s="27"/>
      <x:c r="AS139" s="27"/>
      <x:c r="AT139" s="27"/>
      <x:c r="AU139" s="27"/>
      <x:c r="AV139" s="27"/>
      <x:c r="AW139" s="27"/>
      <x:c r="AX139" s="27"/>
      <x:c r="AY139" s="27"/>
      <x:c r="AZ139" s="27"/>
    </x:row>
    <x:row r="140">
      <x:c r="A140" s="27"/>
      <x:c r="B140" s="27"/>
      <x:c r="C140" s="27"/>
      <x:c r="D140" s="27"/>
      <x:c r="E140" s="27"/>
      <x:c r="F140" s="27"/>
      <x:c r="G140" s="27"/>
      <x:c r="H140" s="27"/>
      <x:c r="I140" s="27"/>
      <x:c r="J140" s="27"/>
      <x:c r="K140" s="27"/>
      <x:c r="L140" s="27"/>
      <x:c r="M140" s="27"/>
      <x:c r="N140" s="27"/>
      <x:c r="O140" s="27"/>
      <x:c r="P140" s="27"/>
      <x:c r="Q140" s="27"/>
      <x:c r="R140" s="27"/>
      <x:c r="S140" s="27"/>
      <x:c r="T140" s="27"/>
      <x:c r="U140" s="27"/>
      <x:c r="V140" s="27"/>
      <x:c r="W140" s="27"/>
      <x:c r="X140" s="27"/>
      <x:c r="Y140" s="27"/>
      <x:c r="Z140" s="27"/>
      <x:c r="AA140" s="27"/>
      <x:c r="AB140" s="27"/>
      <x:c r="AC140" s="27"/>
      <x:c r="AD140" s="27"/>
      <x:c r="AE140" s="27"/>
      <x:c r="AF140" s="27"/>
      <x:c r="AG140" s="27"/>
      <x:c r="AH140" s="27"/>
      <x:c r="AI140" s="27"/>
      <x:c r="AJ140" s="27"/>
      <x:c r="AK140" s="27"/>
      <x:c r="AL140" s="27"/>
      <x:c r="AM140" s="27"/>
      <x:c r="AN140" s="27"/>
      <x:c r="AO140" s="27"/>
      <x:c r="AP140" s="27"/>
      <x:c r="AQ140" s="27"/>
      <x:c r="AR140" s="27"/>
      <x:c r="AS140" s="27"/>
      <x:c r="AT140" s="27"/>
      <x:c r="AU140" s="27"/>
      <x:c r="AV140" s="27"/>
      <x:c r="AW140" s="27"/>
      <x:c r="AX140" s="27"/>
      <x:c r="AY140" s="27"/>
      <x:c r="AZ140" s="27"/>
    </x:row>
    <x:row r="141">
      <x:c r="A141" s="27"/>
      <x:c r="B141" s="27"/>
      <x:c r="C141" s="27"/>
      <x:c r="D141" s="27"/>
      <x:c r="E141" s="27"/>
      <x:c r="F141" s="27"/>
      <x:c r="G141" s="27"/>
      <x:c r="H141" s="27"/>
      <x:c r="I141" s="27"/>
      <x:c r="J141" s="27"/>
      <x:c r="K141" s="27"/>
      <x:c r="L141" s="27"/>
      <x:c r="M141" s="27"/>
      <x:c r="N141" s="27"/>
      <x:c r="O141" s="27"/>
      <x:c r="P141" s="27"/>
      <x:c r="Q141" s="27"/>
      <x:c r="R141" s="27"/>
      <x:c r="S141" s="27"/>
      <x:c r="T141" s="27"/>
      <x:c r="U141" s="27"/>
      <x:c r="V141" s="27"/>
      <x:c r="W141" s="27"/>
      <x:c r="X141" s="27"/>
      <x:c r="Y141" s="27"/>
      <x:c r="Z141" s="27"/>
      <x:c r="AA141" s="27"/>
      <x:c r="AB141" s="27"/>
      <x:c r="AC141" s="27"/>
      <x:c r="AD141" s="27"/>
      <x:c r="AE141" s="27"/>
      <x:c r="AF141" s="27"/>
      <x:c r="AG141" s="27"/>
      <x:c r="AH141" s="27"/>
      <x:c r="AI141" s="27"/>
      <x:c r="AJ141" s="27"/>
      <x:c r="AK141" s="27"/>
      <x:c r="AL141" s="27"/>
      <x:c r="AM141" s="27"/>
      <x:c r="AN141" s="27"/>
      <x:c r="AO141" s="27"/>
      <x:c r="AP141" s="27"/>
      <x:c r="AQ141" s="27"/>
      <x:c r="AR141" s="27"/>
      <x:c r="AS141" s="27"/>
      <x:c r="AT141" s="27"/>
      <x:c r="AU141" s="27"/>
      <x:c r="AV141" s="27"/>
      <x:c r="AW141" s="27"/>
      <x:c r="AX141" s="27"/>
      <x:c r="AY141" s="27"/>
      <x:c r="AZ141" s="27"/>
    </x:row>
    <x:row r="142">
      <x:c r="A142" s="27"/>
      <x:c r="B142" s="27"/>
      <x:c r="C142" s="27"/>
      <x:c r="D142" s="27"/>
      <x:c r="E142" s="27"/>
      <x:c r="F142" s="27"/>
      <x:c r="G142" s="27"/>
      <x:c r="H142" s="27"/>
      <x:c r="I142" s="27"/>
      <x:c r="J142" s="27"/>
      <x:c r="K142" s="27"/>
      <x:c r="L142" s="27"/>
      <x:c r="M142" s="27"/>
      <x:c r="N142" s="27"/>
      <x:c r="O142" s="27"/>
      <x:c r="P142" s="27"/>
      <x:c r="Q142" s="27"/>
      <x:c r="R142" s="27"/>
      <x:c r="S142" s="27"/>
      <x:c r="T142" s="27"/>
      <x:c r="U142" s="27"/>
      <x:c r="V142" s="27"/>
      <x:c r="W142" s="27"/>
      <x:c r="X142" s="27"/>
      <x:c r="Y142" s="27"/>
      <x:c r="Z142" s="27"/>
      <x:c r="AA142" s="27"/>
      <x:c r="AB142" s="27"/>
      <x:c r="AC142" s="27"/>
      <x:c r="AD142" s="27"/>
      <x:c r="AE142" s="27"/>
      <x:c r="AF142" s="27"/>
      <x:c r="AG142" s="27"/>
      <x:c r="AH142" s="27"/>
      <x:c r="AI142" s="27"/>
      <x:c r="AJ142" s="27"/>
      <x:c r="AK142" s="27"/>
      <x:c r="AL142" s="27"/>
      <x:c r="AM142" s="27"/>
      <x:c r="AN142" s="27"/>
      <x:c r="AO142" s="27"/>
      <x:c r="AP142" s="27"/>
      <x:c r="AQ142" s="27"/>
      <x:c r="AR142" s="27"/>
      <x:c r="AS142" s="27"/>
      <x:c r="AT142" s="27"/>
      <x:c r="AU142" s="27"/>
      <x:c r="AV142" s="27"/>
      <x:c r="AW142" s="27"/>
      <x:c r="AX142" s="27"/>
      <x:c r="AY142" s="27"/>
      <x:c r="AZ142" s="27"/>
    </x:row>
    <x:row r="143">
      <x:c r="A143" s="27"/>
      <x:c r="B143" s="27"/>
      <x:c r="C143" s="27"/>
      <x:c r="D143" s="27"/>
      <x:c r="E143" s="27"/>
      <x:c r="F143" s="27"/>
      <x:c r="G143" s="27"/>
      <x:c r="H143" s="27"/>
      <x:c r="I143" s="27"/>
      <x:c r="J143" s="27"/>
      <x:c r="K143" s="27"/>
      <x:c r="L143" s="27"/>
      <x:c r="M143" s="27"/>
      <x:c r="N143" s="27"/>
      <x:c r="O143" s="27"/>
      <x:c r="P143" s="27"/>
      <x:c r="Q143" s="27"/>
      <x:c r="R143" s="27"/>
      <x:c r="S143" s="27"/>
      <x:c r="T143" s="27"/>
      <x:c r="U143" s="27"/>
      <x:c r="V143" s="27"/>
      <x:c r="W143" s="27"/>
      <x:c r="X143" s="27"/>
      <x:c r="Y143" s="27"/>
      <x:c r="Z143" s="27"/>
      <x:c r="AA143" s="27"/>
      <x:c r="AB143" s="27"/>
      <x:c r="AC143" s="27"/>
      <x:c r="AD143" s="27"/>
      <x:c r="AE143" s="27"/>
      <x:c r="AF143" s="27"/>
      <x:c r="AG143" s="27"/>
      <x:c r="AH143" s="27"/>
      <x:c r="AI143" s="27"/>
      <x:c r="AJ143" s="27"/>
      <x:c r="AK143" s="27"/>
      <x:c r="AL143" s="27"/>
      <x:c r="AM143" s="27"/>
      <x:c r="AN143" s="27"/>
      <x:c r="AO143" s="27"/>
      <x:c r="AP143" s="27"/>
      <x:c r="AQ143" s="27"/>
      <x:c r="AR143" s="27"/>
      <x:c r="AS143" s="27"/>
      <x:c r="AT143" s="27"/>
      <x:c r="AU143" s="27"/>
      <x:c r="AV143" s="27"/>
      <x:c r="AW143" s="27"/>
      <x:c r="AX143" s="27"/>
      <x:c r="AY143" s="27"/>
      <x:c r="AZ143" s="27"/>
    </x:row>
    <x:row r="144">
      <x:c r="A144" s="27"/>
      <x:c r="B144" s="27"/>
      <x:c r="C144" s="27"/>
      <x:c r="D144" s="27"/>
      <x:c r="E144" s="27"/>
      <x:c r="F144" s="27"/>
      <x:c r="G144" s="27"/>
      <x:c r="H144" s="27"/>
      <x:c r="I144" s="27"/>
      <x:c r="J144" s="27"/>
      <x:c r="K144" s="27"/>
      <x:c r="L144" s="27"/>
      <x:c r="M144" s="27"/>
      <x:c r="N144" s="27"/>
      <x:c r="O144" s="27"/>
      <x:c r="P144" s="27"/>
      <x:c r="Q144" s="27"/>
      <x:c r="R144" s="27"/>
      <x:c r="S144" s="27"/>
      <x:c r="T144" s="27"/>
      <x:c r="U144" s="27"/>
      <x:c r="V144" s="27"/>
      <x:c r="W144" s="27"/>
      <x:c r="X144" s="27"/>
      <x:c r="Y144" s="27"/>
      <x:c r="Z144" s="27"/>
      <x:c r="AA144" s="27"/>
      <x:c r="AB144" s="27"/>
      <x:c r="AC144" s="27"/>
      <x:c r="AD144" s="27"/>
      <x:c r="AE144" s="27"/>
      <x:c r="AF144" s="27"/>
      <x:c r="AG144" s="27"/>
      <x:c r="AH144" s="27"/>
      <x:c r="AI144" s="27"/>
      <x:c r="AJ144" s="27"/>
      <x:c r="AK144" s="27"/>
      <x:c r="AL144" s="27"/>
      <x:c r="AM144" s="27"/>
      <x:c r="AN144" s="27"/>
      <x:c r="AO144" s="27"/>
      <x:c r="AP144" s="27"/>
      <x:c r="AQ144" s="27"/>
      <x:c r="AR144" s="27"/>
      <x:c r="AS144" s="27"/>
      <x:c r="AT144" s="27"/>
      <x:c r="AU144" s="27"/>
      <x:c r="AV144" s="27"/>
      <x:c r="AW144" s="27"/>
      <x:c r="AX144" s="27"/>
      <x:c r="AY144" s="27"/>
      <x:c r="AZ144" s="27"/>
    </x:row>
    <x:row r="145">
      <x:c r="A145" s="27"/>
      <x:c r="B145" s="27"/>
      <x:c r="C145" s="27"/>
      <x:c r="D145" s="27"/>
      <x:c r="E145" s="27"/>
      <x:c r="F145" s="27"/>
      <x:c r="G145" s="27"/>
      <x:c r="H145" s="27"/>
      <x:c r="I145" s="27"/>
      <x:c r="J145" s="27"/>
      <x:c r="K145" s="27"/>
      <x:c r="L145" s="27"/>
      <x:c r="M145" s="27"/>
      <x:c r="N145" s="27"/>
      <x:c r="O145" s="27"/>
      <x:c r="P145" s="27"/>
      <x:c r="Q145" s="27"/>
      <x:c r="R145" s="27"/>
      <x:c r="S145" s="27"/>
      <x:c r="T145" s="27"/>
      <x:c r="U145" s="27"/>
      <x:c r="V145" s="27"/>
      <x:c r="W145" s="27"/>
      <x:c r="X145" s="27"/>
      <x:c r="Y145" s="27"/>
      <x:c r="Z145" s="27"/>
      <x:c r="AA145" s="27"/>
      <x:c r="AB145" s="27"/>
      <x:c r="AC145" s="27"/>
      <x:c r="AD145" s="27"/>
      <x:c r="AE145" s="27"/>
      <x:c r="AF145" s="27"/>
      <x:c r="AG145" s="27"/>
      <x:c r="AH145" s="27"/>
      <x:c r="AI145" s="27"/>
      <x:c r="AJ145" s="27"/>
      <x:c r="AK145" s="27"/>
      <x:c r="AL145" s="27"/>
      <x:c r="AM145" s="27"/>
      <x:c r="AN145" s="27"/>
      <x:c r="AO145" s="27"/>
      <x:c r="AP145" s="27"/>
      <x:c r="AQ145" s="27"/>
      <x:c r="AR145" s="27"/>
      <x:c r="AS145" s="27"/>
      <x:c r="AT145" s="27"/>
      <x:c r="AU145" s="27"/>
      <x:c r="AV145" s="27"/>
      <x:c r="AW145" s="27"/>
      <x:c r="AX145" s="27"/>
      <x:c r="AY145" s="27"/>
      <x:c r="AZ145" s="27"/>
    </x:row>
    <x:row r="146">
      <x:c r="A146" s="27"/>
      <x:c r="B146" s="27"/>
      <x:c r="C146" s="27"/>
      <x:c r="D146" s="27"/>
      <x:c r="E146" s="27"/>
      <x:c r="F146" s="27"/>
      <x:c r="G146" s="27"/>
      <x:c r="H146" s="27"/>
      <x:c r="I146" s="27"/>
      <x:c r="J146" s="27"/>
      <x:c r="K146" s="27"/>
      <x:c r="L146" s="27"/>
      <x:c r="M146" s="27"/>
      <x:c r="N146" s="27"/>
      <x:c r="O146" s="27"/>
      <x:c r="P146" s="27"/>
      <x:c r="Q146" s="27"/>
      <x:c r="R146" s="27"/>
      <x:c r="S146" s="27"/>
      <x:c r="T146" s="27"/>
      <x:c r="U146" s="27"/>
      <x:c r="V146" s="27"/>
      <x:c r="W146" s="27"/>
      <x:c r="X146" s="27"/>
      <x:c r="Y146" s="27"/>
      <x:c r="Z146" s="27"/>
      <x:c r="AA146" s="27"/>
      <x:c r="AB146" s="27"/>
      <x:c r="AC146" s="27"/>
      <x:c r="AD146" s="27"/>
      <x:c r="AE146" s="27"/>
      <x:c r="AF146" s="27"/>
      <x:c r="AG146" s="27"/>
      <x:c r="AH146" s="27"/>
      <x:c r="AI146" s="27"/>
      <x:c r="AJ146" s="27"/>
      <x:c r="AK146" s="27"/>
      <x:c r="AL146" s="27"/>
      <x:c r="AM146" s="27"/>
      <x:c r="AN146" s="27"/>
      <x:c r="AO146" s="27"/>
      <x:c r="AP146" s="27"/>
      <x:c r="AQ146" s="27"/>
      <x:c r="AR146" s="27"/>
      <x:c r="AS146" s="27"/>
      <x:c r="AT146" s="27"/>
      <x:c r="AU146" s="27"/>
      <x:c r="AV146" s="27"/>
      <x:c r="AW146" s="27"/>
      <x:c r="AX146" s="27"/>
      <x:c r="AY146" s="27"/>
      <x:c r="AZ146" s="27"/>
    </x:row>
    <x:row r="147">
      <x:c r="A147" s="27"/>
      <x:c r="B147" s="27"/>
      <x:c r="C147" s="27"/>
      <x:c r="D147" s="27"/>
      <x:c r="E147" s="27"/>
      <x:c r="F147" s="27"/>
      <x:c r="G147" s="27"/>
      <x:c r="H147" s="27"/>
      <x:c r="I147" s="27"/>
      <x:c r="J147" s="27"/>
      <x:c r="K147" s="27"/>
      <x:c r="L147" s="27"/>
      <x:c r="M147" s="27"/>
      <x:c r="N147" s="27"/>
      <x:c r="O147" s="27"/>
      <x:c r="P147" s="27"/>
      <x:c r="Q147" s="27"/>
      <x:c r="R147" s="27"/>
      <x:c r="S147" s="27"/>
      <x:c r="T147" s="27"/>
      <x:c r="U147" s="27"/>
      <x:c r="V147" s="27"/>
      <x:c r="W147" s="27"/>
      <x:c r="X147" s="27"/>
      <x:c r="Y147" s="27"/>
      <x:c r="Z147" s="27"/>
      <x:c r="AA147" s="27"/>
      <x:c r="AB147" s="27"/>
      <x:c r="AC147" s="27"/>
      <x:c r="AD147" s="27"/>
      <x:c r="AE147" s="27"/>
      <x:c r="AF147" s="27"/>
      <x:c r="AG147" s="27"/>
      <x:c r="AH147" s="27"/>
      <x:c r="AI147" s="27"/>
      <x:c r="AJ147" s="27"/>
      <x:c r="AK147" s="27"/>
      <x:c r="AL147" s="27"/>
      <x:c r="AM147" s="27"/>
      <x:c r="AN147" s="27"/>
      <x:c r="AO147" s="27"/>
      <x:c r="AP147" s="27"/>
      <x:c r="AQ147" s="27"/>
      <x:c r="AR147" s="27"/>
      <x:c r="AS147" s="27"/>
      <x:c r="AT147" s="27"/>
      <x:c r="AU147" s="27"/>
      <x:c r="AV147" s="27"/>
      <x:c r="AW147" s="27"/>
      <x:c r="AX147" s="27"/>
      <x:c r="AY147" s="27"/>
      <x:c r="AZ147" s="27"/>
    </x:row>
    <x:row r="148">
      <x:c r="A148" s="27"/>
      <x:c r="B148" s="27"/>
      <x:c r="C148" s="27"/>
      <x:c r="D148" s="27"/>
      <x:c r="E148" s="27"/>
      <x:c r="F148" s="27"/>
      <x:c r="G148" s="27"/>
      <x:c r="H148" s="27"/>
      <x:c r="I148" s="27"/>
      <x:c r="J148" s="27"/>
      <x:c r="K148" s="27"/>
      <x:c r="L148" s="27"/>
      <x:c r="M148" s="27"/>
      <x:c r="N148" s="27"/>
      <x:c r="O148" s="27"/>
      <x:c r="P148" s="27"/>
      <x:c r="Q148" s="27"/>
      <x:c r="R148" s="27"/>
      <x:c r="S148" s="27"/>
      <x:c r="T148" s="27"/>
      <x:c r="U148" s="27"/>
      <x:c r="V148" s="27"/>
      <x:c r="W148" s="27"/>
      <x:c r="X148" s="27"/>
      <x:c r="Y148" s="27"/>
      <x:c r="Z148" s="27"/>
      <x:c r="AA148" s="27"/>
      <x:c r="AB148" s="27"/>
      <x:c r="AC148" s="27"/>
      <x:c r="AD148" s="27"/>
      <x:c r="AE148" s="27"/>
      <x:c r="AF148" s="27"/>
      <x:c r="AG148" s="27"/>
      <x:c r="AH148" s="27"/>
      <x:c r="AI148" s="27"/>
      <x:c r="AJ148" s="27"/>
      <x:c r="AK148" s="27"/>
      <x:c r="AL148" s="27"/>
      <x:c r="AM148" s="27"/>
      <x:c r="AN148" s="27"/>
      <x:c r="AO148" s="27"/>
      <x:c r="AP148" s="27"/>
      <x:c r="AQ148" s="27"/>
      <x:c r="AR148" s="27"/>
      <x:c r="AS148" s="27"/>
      <x:c r="AT148" s="27"/>
      <x:c r="AU148" s="27"/>
      <x:c r="AV148" s="27"/>
      <x:c r="AW148" s="27"/>
      <x:c r="AX148" s="27"/>
      <x:c r="AY148" s="27"/>
      <x:c r="AZ148" s="27"/>
    </x:row>
    <x:row r="149">
      <x:c r="A149" s="27"/>
      <x:c r="B149" s="27"/>
      <x:c r="C149" s="27"/>
      <x:c r="D149" s="27"/>
      <x:c r="E149" s="27"/>
      <x:c r="F149" s="27"/>
      <x:c r="G149" s="27"/>
      <x:c r="H149" s="27"/>
      <x:c r="I149" s="27"/>
      <x:c r="J149" s="27"/>
      <x:c r="K149" s="27"/>
      <x:c r="L149" s="27"/>
      <x:c r="M149" s="27"/>
      <x:c r="N149" s="27"/>
      <x:c r="O149" s="27"/>
      <x:c r="P149" s="27"/>
      <x:c r="Q149" s="27"/>
      <x:c r="R149" s="27"/>
      <x:c r="S149" s="27"/>
      <x:c r="T149" s="27"/>
      <x:c r="U149" s="27"/>
      <x:c r="V149" s="27"/>
      <x:c r="W149" s="27"/>
      <x:c r="X149" s="27"/>
      <x:c r="Y149" s="27"/>
      <x:c r="Z149" s="27"/>
      <x:c r="AA149" s="27"/>
      <x:c r="AB149" s="27"/>
      <x:c r="AC149" s="27"/>
      <x:c r="AD149" s="27"/>
      <x:c r="AE149" s="27"/>
      <x:c r="AF149" s="27"/>
      <x:c r="AG149" s="27"/>
      <x:c r="AH149" s="27"/>
      <x:c r="AI149" s="27"/>
      <x:c r="AJ149" s="27"/>
      <x:c r="AK149" s="27"/>
      <x:c r="AL149" s="27"/>
      <x:c r="AM149" s="27"/>
      <x:c r="AN149" s="27"/>
      <x:c r="AO149" s="27"/>
      <x:c r="AP149" s="27"/>
      <x:c r="AQ149" s="27"/>
      <x:c r="AR149" s="27"/>
      <x:c r="AS149" s="27"/>
      <x:c r="AT149" s="27"/>
      <x:c r="AU149" s="27"/>
      <x:c r="AV149" s="27"/>
      <x:c r="AW149" s="27"/>
      <x:c r="AX149" s="27"/>
      <x:c r="AY149" s="27"/>
      <x:c r="AZ149" s="27"/>
    </x:row>
    <x:row r="150">
      <x:c r="A150" s="27"/>
      <x:c r="B150" s="27"/>
      <x:c r="C150" s="27"/>
      <x:c r="D150" s="27"/>
      <x:c r="E150" s="27"/>
      <x:c r="F150" s="27"/>
      <x:c r="G150" s="27"/>
      <x:c r="H150" s="27"/>
      <x:c r="I150" s="27"/>
      <x:c r="J150" s="27"/>
      <x:c r="K150" s="27"/>
      <x:c r="L150" s="27"/>
      <x:c r="M150" s="27"/>
      <x:c r="N150" s="27"/>
      <x:c r="O150" s="27"/>
      <x:c r="P150" s="27"/>
      <x:c r="Q150" s="27"/>
      <x:c r="R150" s="27"/>
      <x:c r="S150" s="27"/>
      <x:c r="T150" s="27"/>
      <x:c r="U150" s="27"/>
      <x:c r="V150" s="27"/>
      <x:c r="W150" s="27"/>
      <x:c r="X150" s="27"/>
      <x:c r="Y150" s="27"/>
      <x:c r="Z150" s="27"/>
      <x:c r="AA150" s="27"/>
      <x:c r="AB150" s="27"/>
      <x:c r="AC150" s="27"/>
      <x:c r="AD150" s="27"/>
      <x:c r="AE150" s="27"/>
      <x:c r="AF150" s="27"/>
      <x:c r="AG150" s="27"/>
      <x:c r="AH150" s="27"/>
      <x:c r="AI150" s="27"/>
      <x:c r="AJ150" s="27"/>
      <x:c r="AK150" s="27"/>
      <x:c r="AL150" s="27"/>
      <x:c r="AM150" s="27"/>
      <x:c r="AN150" s="27"/>
      <x:c r="AO150" s="27"/>
      <x:c r="AP150" s="27"/>
      <x:c r="AQ150" s="27"/>
      <x:c r="AR150" s="27"/>
      <x:c r="AS150" s="27"/>
      <x:c r="AT150" s="27"/>
      <x:c r="AU150" s="27"/>
      <x:c r="AV150" s="27"/>
      <x:c r="AW150" s="27"/>
      <x:c r="AX150" s="27"/>
      <x:c r="AY150" s="27"/>
      <x:c r="AZ150" s="27"/>
    </x:row>
    <x:row r="151">
      <x:c r="A151" s="27"/>
      <x:c r="B151" s="27"/>
      <x:c r="C151" s="27"/>
      <x:c r="D151" s="27"/>
      <x:c r="E151" s="27"/>
      <x:c r="F151" s="27"/>
      <x:c r="G151" s="27"/>
      <x:c r="H151" s="27"/>
      <x:c r="I151" s="27"/>
      <x:c r="J151" s="27"/>
      <x:c r="K151" s="27"/>
      <x:c r="L151" s="27"/>
      <x:c r="M151" s="27"/>
      <x:c r="N151" s="27"/>
      <x:c r="O151" s="27"/>
      <x:c r="P151" s="27"/>
      <x:c r="Q151" s="27"/>
      <x:c r="R151" s="27"/>
      <x:c r="S151" s="27"/>
      <x:c r="T151" s="27"/>
      <x:c r="U151" s="27"/>
      <x:c r="V151" s="27"/>
      <x:c r="W151" s="27"/>
      <x:c r="X151" s="27"/>
      <x:c r="Y151" s="27"/>
      <x:c r="Z151" s="27"/>
      <x:c r="AA151" s="27"/>
      <x:c r="AB151" s="27"/>
      <x:c r="AC151" s="27"/>
      <x:c r="AD151" s="27"/>
      <x:c r="AE151" s="27"/>
      <x:c r="AF151" s="27"/>
      <x:c r="AG151" s="27"/>
      <x:c r="AH151" s="27"/>
      <x:c r="AI151" s="27"/>
      <x:c r="AJ151" s="27"/>
      <x:c r="AK151" s="27"/>
      <x:c r="AL151" s="27"/>
      <x:c r="AM151" s="27"/>
      <x:c r="AN151" s="27"/>
      <x:c r="AO151" s="27"/>
      <x:c r="AP151" s="27"/>
      <x:c r="AQ151" s="27"/>
      <x:c r="AR151" s="27"/>
      <x:c r="AS151" s="27"/>
      <x:c r="AT151" s="27"/>
      <x:c r="AU151" s="27"/>
      <x:c r="AV151" s="27"/>
      <x:c r="AW151" s="27"/>
      <x:c r="AX151" s="27"/>
      <x:c r="AY151" s="27"/>
      <x:c r="AZ151" s="27"/>
    </x:row>
    <x:row r="152">
      <x:c r="A152" s="27"/>
      <x:c r="B152" s="27"/>
      <x:c r="C152" s="27"/>
      <x:c r="D152" s="27"/>
      <x:c r="E152" s="27"/>
      <x:c r="F152" s="27"/>
      <x:c r="G152" s="27"/>
      <x:c r="H152" s="27"/>
      <x:c r="I152" s="27"/>
      <x:c r="J152" s="27"/>
      <x:c r="K152" s="27"/>
      <x:c r="L152" s="27"/>
      <x:c r="M152" s="27"/>
      <x:c r="N152" s="27"/>
      <x:c r="O152" s="27"/>
      <x:c r="P152" s="27"/>
      <x:c r="Q152" s="27"/>
      <x:c r="R152" s="27"/>
      <x:c r="S152" s="27"/>
      <x:c r="T152" s="27"/>
      <x:c r="U152" s="27"/>
      <x:c r="V152" s="27"/>
      <x:c r="W152" s="27"/>
      <x:c r="X152" s="27"/>
      <x:c r="Y152" s="27"/>
      <x:c r="Z152" s="27"/>
      <x:c r="AA152" s="27"/>
      <x:c r="AB152" s="27"/>
      <x:c r="AC152" s="27"/>
      <x:c r="AD152" s="27"/>
      <x:c r="AE152" s="27"/>
      <x:c r="AF152" s="27"/>
      <x:c r="AG152" s="27"/>
      <x:c r="AH152" s="27"/>
      <x:c r="AI152" s="27"/>
      <x:c r="AJ152" s="27"/>
      <x:c r="AK152" s="27"/>
      <x:c r="AL152" s="27"/>
      <x:c r="AM152" s="27"/>
      <x:c r="AN152" s="27"/>
      <x:c r="AO152" s="27"/>
      <x:c r="AP152" s="27"/>
      <x:c r="AQ152" s="27"/>
      <x:c r="AR152" s="27"/>
      <x:c r="AS152" s="27"/>
      <x:c r="AT152" s="27"/>
      <x:c r="AU152" s="27"/>
      <x:c r="AV152" s="27"/>
      <x:c r="AW152" s="27"/>
      <x:c r="AX152" s="27"/>
      <x:c r="AY152" s="27"/>
      <x:c r="AZ152" s="27"/>
    </x:row>
    <x:row r="153">
      <x:c r="A153" s="27"/>
      <x:c r="B153" s="27"/>
      <x:c r="C153" s="27"/>
      <x:c r="D153" s="27"/>
      <x:c r="E153" s="27"/>
      <x:c r="F153" s="27"/>
      <x:c r="G153" s="27"/>
      <x:c r="H153" s="27"/>
      <x:c r="I153" s="27"/>
      <x:c r="J153" s="27"/>
      <x:c r="K153" s="27"/>
      <x:c r="L153" s="27"/>
      <x:c r="M153" s="27"/>
      <x:c r="N153" s="27"/>
      <x:c r="O153" s="27"/>
      <x:c r="P153" s="27"/>
      <x:c r="Q153" s="27"/>
      <x:c r="R153" s="27"/>
      <x:c r="S153" s="27"/>
      <x:c r="T153" s="27"/>
      <x:c r="U153" s="27"/>
      <x:c r="V153" s="27"/>
      <x:c r="W153" s="27"/>
      <x:c r="X153" s="27"/>
      <x:c r="Y153" s="27"/>
      <x:c r="Z153" s="27"/>
      <x:c r="AA153" s="27"/>
      <x:c r="AB153" s="27"/>
      <x:c r="AC153" s="27"/>
      <x:c r="AD153" s="27"/>
      <x:c r="AE153" s="27"/>
      <x:c r="AF153" s="27"/>
      <x:c r="AG153" s="27"/>
      <x:c r="AH153" s="27"/>
      <x:c r="AI153" s="27"/>
      <x:c r="AJ153" s="27"/>
      <x:c r="AK153" s="27"/>
      <x:c r="AL153" s="27"/>
      <x:c r="AM153" s="27"/>
      <x:c r="AN153" s="27"/>
      <x:c r="AO153" s="27"/>
      <x:c r="AP153" s="27"/>
      <x:c r="AQ153" s="27"/>
      <x:c r="AR153" s="27"/>
      <x:c r="AS153" s="27"/>
      <x:c r="AT153" s="27"/>
      <x:c r="AU153" s="27"/>
      <x:c r="AV153" s="27"/>
      <x:c r="AW153" s="27"/>
      <x:c r="AX153" s="27"/>
      <x:c r="AY153" s="27"/>
      <x:c r="AZ153" s="27"/>
    </x:row>
    <x:row r="154">
      <x:c r="A154" s="27"/>
      <x:c r="B154" s="27"/>
      <x:c r="C154" s="27"/>
      <x:c r="D154" s="27"/>
      <x:c r="E154" s="27"/>
      <x:c r="F154" s="27"/>
      <x:c r="G154" s="27"/>
      <x:c r="H154" s="27"/>
      <x:c r="I154" s="27"/>
      <x:c r="J154" s="27"/>
      <x:c r="K154" s="27"/>
      <x:c r="L154" s="27"/>
      <x:c r="M154" s="27"/>
      <x:c r="N154" s="27"/>
      <x:c r="O154" s="27"/>
      <x:c r="P154" s="27"/>
      <x:c r="Q154" s="27"/>
      <x:c r="R154" s="27"/>
      <x:c r="S154" s="27"/>
      <x:c r="T154" s="27"/>
      <x:c r="U154" s="27"/>
      <x:c r="V154" s="27"/>
      <x:c r="W154" s="27"/>
      <x:c r="X154" s="27"/>
      <x:c r="Y154" s="27"/>
      <x:c r="Z154" s="27"/>
      <x:c r="AA154" s="27"/>
      <x:c r="AB154" s="27"/>
      <x:c r="AC154" s="27"/>
      <x:c r="AD154" s="27"/>
      <x:c r="AE154" s="27"/>
      <x:c r="AF154" s="27"/>
      <x:c r="AG154" s="27"/>
      <x:c r="AH154" s="27"/>
      <x:c r="AI154" s="27"/>
      <x:c r="AJ154" s="27"/>
      <x:c r="AK154" s="27"/>
      <x:c r="AL154" s="27"/>
      <x:c r="AM154" s="27"/>
      <x:c r="AN154" s="27"/>
      <x:c r="AO154" s="27"/>
      <x:c r="AP154" s="27"/>
      <x:c r="AQ154" s="27"/>
      <x:c r="AR154" s="27"/>
      <x:c r="AS154" s="27"/>
      <x:c r="AT154" s="27"/>
      <x:c r="AU154" s="27"/>
      <x:c r="AV154" s="27"/>
      <x:c r="AW154" s="27"/>
      <x:c r="AX154" s="27"/>
      <x:c r="AY154" s="27"/>
      <x:c r="AZ154" s="27"/>
    </x:row>
    <x:row r="155">
      <x:c r="A155" s="27"/>
      <x:c r="B155" s="27"/>
      <x:c r="C155" s="27"/>
      <x:c r="D155" s="27"/>
      <x:c r="E155" s="27"/>
      <x:c r="F155" s="27"/>
      <x:c r="G155" s="27"/>
      <x:c r="H155" s="27"/>
      <x:c r="I155" s="27"/>
      <x:c r="J155" s="27"/>
      <x:c r="K155" s="27"/>
      <x:c r="L155" s="27"/>
      <x:c r="M155" s="27"/>
      <x:c r="N155" s="27"/>
      <x:c r="O155" s="27"/>
      <x:c r="P155" s="27"/>
      <x:c r="Q155" s="27"/>
      <x:c r="R155" s="27"/>
      <x:c r="S155" s="27"/>
      <x:c r="T155" s="27"/>
      <x:c r="U155" s="27"/>
      <x:c r="V155" s="27"/>
      <x:c r="W155" s="27"/>
      <x:c r="X155" s="27"/>
      <x:c r="Y155" s="27"/>
      <x:c r="Z155" s="27"/>
      <x:c r="AA155" s="27"/>
      <x:c r="AB155" s="27"/>
      <x:c r="AC155" s="27"/>
      <x:c r="AD155" s="27"/>
      <x:c r="AE155" s="27"/>
      <x:c r="AF155" s="27"/>
      <x:c r="AG155" s="27"/>
      <x:c r="AH155" s="27"/>
      <x:c r="AI155" s="27"/>
      <x:c r="AJ155" s="27"/>
      <x:c r="AK155" s="27"/>
      <x:c r="AL155" s="27"/>
      <x:c r="AM155" s="27"/>
      <x:c r="AN155" s="27"/>
      <x:c r="AO155" s="27"/>
      <x:c r="AP155" s="27"/>
      <x:c r="AQ155" s="27"/>
      <x:c r="AR155" s="27"/>
      <x:c r="AS155" s="27"/>
      <x:c r="AT155" s="27"/>
      <x:c r="AU155" s="27"/>
      <x:c r="AV155" s="27"/>
      <x:c r="AW155" s="27"/>
      <x:c r="AX155" s="27"/>
      <x:c r="AY155" s="27"/>
      <x:c r="AZ155" s="27"/>
    </x:row>
    <x:row r="156">
      <x:c r="A156" s="27"/>
      <x:c r="B156" s="27"/>
      <x:c r="C156" s="27"/>
      <x:c r="D156" s="27"/>
      <x:c r="E156" s="27"/>
      <x:c r="F156" s="27"/>
      <x:c r="G156" s="27"/>
      <x:c r="H156" s="27"/>
      <x:c r="I156" s="27"/>
      <x:c r="J156" s="27"/>
      <x:c r="K156" s="27"/>
      <x:c r="L156" s="27"/>
      <x:c r="M156" s="27"/>
      <x:c r="N156" s="27"/>
      <x:c r="O156" s="27"/>
      <x:c r="P156" s="27"/>
      <x:c r="Q156" s="27"/>
      <x:c r="R156" s="27"/>
      <x:c r="S156" s="27"/>
      <x:c r="T156" s="27"/>
      <x:c r="U156" s="27"/>
      <x:c r="V156" s="27"/>
      <x:c r="W156" s="27"/>
      <x:c r="X156" s="27"/>
      <x:c r="Y156" s="27"/>
      <x:c r="Z156" s="27"/>
      <x:c r="AA156" s="27"/>
      <x:c r="AB156" s="27"/>
      <x:c r="AC156" s="27"/>
      <x:c r="AD156" s="27"/>
      <x:c r="AE156" s="27"/>
      <x:c r="AF156" s="27"/>
      <x:c r="AG156" s="27"/>
      <x:c r="AH156" s="27"/>
      <x:c r="AI156" s="27"/>
      <x:c r="AJ156" s="27"/>
      <x:c r="AK156" s="27"/>
      <x:c r="AL156" s="27"/>
      <x:c r="AM156" s="27"/>
      <x:c r="AN156" s="27"/>
      <x:c r="AO156" s="27"/>
      <x:c r="AP156" s="27"/>
      <x:c r="AQ156" s="27"/>
      <x:c r="AR156" s="27"/>
      <x:c r="AS156" s="27"/>
      <x:c r="AT156" s="27"/>
      <x:c r="AU156" s="27"/>
      <x:c r="AV156" s="27"/>
      <x:c r="AW156" s="27"/>
      <x:c r="AX156" s="27"/>
      <x:c r="AY156" s="27"/>
      <x:c r="AZ156" s="27"/>
    </x:row>
    <x:row r="157">
      <x:c r="A157" s="27"/>
      <x:c r="B157" s="27"/>
      <x:c r="C157" s="27"/>
      <x:c r="D157" s="27"/>
      <x:c r="E157" s="27"/>
      <x:c r="F157" s="27"/>
      <x:c r="G157" s="27"/>
      <x:c r="H157" s="27"/>
      <x:c r="I157" s="27"/>
      <x:c r="J157" s="27"/>
      <x:c r="K157" s="27"/>
      <x:c r="L157" s="27"/>
      <x:c r="M157" s="27"/>
      <x:c r="N157" s="27"/>
      <x:c r="O157" s="27"/>
      <x:c r="P157" s="27"/>
      <x:c r="Q157" s="27"/>
      <x:c r="R157" s="27"/>
      <x:c r="S157" s="27"/>
      <x:c r="T157" s="27"/>
      <x:c r="U157" s="27"/>
      <x:c r="V157" s="27"/>
      <x:c r="W157" s="27"/>
      <x:c r="X157" s="27"/>
      <x:c r="Y157" s="27"/>
      <x:c r="Z157" s="27"/>
      <x:c r="AA157" s="27"/>
      <x:c r="AB157" s="27"/>
      <x:c r="AC157" s="27"/>
      <x:c r="AD157" s="27"/>
      <x:c r="AE157" s="27"/>
      <x:c r="AF157" s="27"/>
      <x:c r="AG157" s="27"/>
      <x:c r="AH157" s="27"/>
      <x:c r="AI157" s="27"/>
      <x:c r="AJ157" s="27"/>
      <x:c r="AK157" s="27"/>
      <x:c r="AL157" s="27"/>
      <x:c r="AM157" s="27"/>
      <x:c r="AN157" s="27"/>
      <x:c r="AO157" s="27"/>
      <x:c r="AP157" s="27"/>
      <x:c r="AQ157" s="27"/>
      <x:c r="AR157" s="27"/>
      <x:c r="AS157" s="27"/>
      <x:c r="AT157" s="27"/>
      <x:c r="AU157" s="27"/>
      <x:c r="AV157" s="27"/>
      <x:c r="AW157" s="27"/>
      <x:c r="AX157" s="27"/>
      <x:c r="AY157" s="27"/>
      <x:c r="AZ157" s="27"/>
    </x:row>
    <x:row r="158">
      <x:c r="A158" s="27"/>
      <x:c r="B158" s="27"/>
      <x:c r="C158" s="27"/>
      <x:c r="D158" s="27"/>
      <x:c r="E158" s="27"/>
      <x:c r="F158" s="27"/>
      <x:c r="G158" s="27"/>
      <x:c r="H158" s="27"/>
      <x:c r="I158" s="27"/>
      <x:c r="J158" s="27"/>
      <x:c r="K158" s="27"/>
      <x:c r="L158" s="27"/>
      <x:c r="M158" s="27"/>
      <x:c r="N158" s="27"/>
      <x:c r="O158" s="27"/>
      <x:c r="P158" s="27"/>
      <x:c r="Q158" s="27"/>
      <x:c r="R158" s="27"/>
      <x:c r="S158" s="27"/>
      <x:c r="T158" s="27"/>
      <x:c r="U158" s="27"/>
      <x:c r="V158" s="27"/>
      <x:c r="W158" s="27"/>
      <x:c r="X158" s="27"/>
      <x:c r="Y158" s="27"/>
      <x:c r="Z158" s="27"/>
      <x:c r="AA158" s="27"/>
      <x:c r="AB158" s="27"/>
      <x:c r="AC158" s="27"/>
      <x:c r="AD158" s="27"/>
      <x:c r="AE158" s="27"/>
      <x:c r="AF158" s="27"/>
      <x:c r="AG158" s="27"/>
      <x:c r="AH158" s="27"/>
      <x:c r="AI158" s="27"/>
      <x:c r="AJ158" s="27"/>
      <x:c r="AK158" s="27"/>
      <x:c r="AL158" s="27"/>
      <x:c r="AM158" s="27"/>
      <x:c r="AN158" s="27"/>
      <x:c r="AO158" s="27"/>
      <x:c r="AP158" s="27"/>
      <x:c r="AQ158" s="27"/>
      <x:c r="AR158" s="27"/>
      <x:c r="AS158" s="27"/>
      <x:c r="AT158" s="27"/>
      <x:c r="AU158" s="27"/>
      <x:c r="AV158" s="27"/>
      <x:c r="AW158" s="27"/>
      <x:c r="AX158" s="27"/>
      <x:c r="AY158" s="27"/>
      <x:c r="AZ158" s="27"/>
    </x:row>
    <x:row r="159">
      <x:c r="A159" s="27"/>
      <x:c r="B159" s="27"/>
      <x:c r="C159" s="27"/>
      <x:c r="D159" s="27"/>
      <x:c r="E159" s="27"/>
      <x:c r="F159" s="27"/>
      <x:c r="G159" s="27"/>
      <x:c r="H159" s="27"/>
      <x:c r="I159" s="27"/>
      <x:c r="J159" s="27"/>
      <x:c r="K159" s="27"/>
      <x:c r="L159" s="27"/>
      <x:c r="M159" s="27"/>
      <x:c r="N159" s="27"/>
      <x:c r="O159" s="27"/>
      <x:c r="P159" s="27"/>
      <x:c r="Q159" s="27"/>
      <x:c r="R159" s="27"/>
      <x:c r="S159" s="27"/>
      <x:c r="T159" s="27"/>
      <x:c r="U159" s="27"/>
      <x:c r="V159" s="27"/>
      <x:c r="W159" s="27"/>
      <x:c r="X159" s="27"/>
      <x:c r="Y159" s="27"/>
      <x:c r="Z159" s="27"/>
      <x:c r="AA159" s="27"/>
      <x:c r="AB159" s="27"/>
      <x:c r="AC159" s="27"/>
      <x:c r="AD159" s="27"/>
      <x:c r="AE159" s="27"/>
      <x:c r="AF159" s="27"/>
      <x:c r="AG159" s="27"/>
      <x:c r="AH159" s="27"/>
      <x:c r="AI159" s="27"/>
      <x:c r="AJ159" s="27"/>
      <x:c r="AK159" s="27"/>
      <x:c r="AL159" s="27"/>
      <x:c r="AM159" s="27"/>
      <x:c r="AN159" s="27"/>
      <x:c r="AO159" s="27"/>
      <x:c r="AP159" s="27"/>
      <x:c r="AQ159" s="27"/>
      <x:c r="AR159" s="27"/>
      <x:c r="AS159" s="27"/>
      <x:c r="AT159" s="27"/>
      <x:c r="AU159" s="27"/>
      <x:c r="AV159" s="27"/>
      <x:c r="AW159" s="27"/>
      <x:c r="AX159" s="27"/>
      <x:c r="AY159" s="27"/>
      <x:c r="AZ159" s="27"/>
    </x:row>
    <x:row r="160">
      <x:c r="A160" s="27"/>
      <x:c r="B160" s="27"/>
      <x:c r="C160" s="27"/>
      <x:c r="D160" s="27"/>
      <x:c r="E160" s="27"/>
      <x:c r="F160" s="27"/>
      <x:c r="G160" s="27"/>
      <x:c r="H160" s="27"/>
      <x:c r="I160" s="27"/>
      <x:c r="J160" s="27"/>
      <x:c r="K160" s="27"/>
      <x:c r="L160" s="27"/>
      <x:c r="M160" s="27"/>
      <x:c r="N160" s="27"/>
      <x:c r="O160" s="27"/>
      <x:c r="P160" s="27"/>
      <x:c r="Q160" s="27"/>
      <x:c r="R160" s="27"/>
      <x:c r="S160" s="27"/>
      <x:c r="T160" s="27"/>
      <x:c r="U160" s="27"/>
      <x:c r="V160" s="27"/>
      <x:c r="W160" s="27"/>
      <x:c r="X160" s="27"/>
      <x:c r="Y160" s="27"/>
      <x:c r="Z160" s="27"/>
      <x:c r="AA160" s="27"/>
      <x:c r="AB160" s="27"/>
      <x:c r="AC160" s="27"/>
      <x:c r="AD160" s="27"/>
      <x:c r="AE160" s="27"/>
      <x:c r="AF160" s="27"/>
      <x:c r="AG160" s="27"/>
      <x:c r="AH160" s="27"/>
      <x:c r="AI160" s="27"/>
      <x:c r="AJ160" s="27"/>
      <x:c r="AK160" s="27"/>
      <x:c r="AL160" s="27"/>
      <x:c r="AM160" s="27"/>
      <x:c r="AN160" s="27"/>
      <x:c r="AO160" s="27"/>
      <x:c r="AP160" s="27"/>
      <x:c r="AQ160" s="27"/>
      <x:c r="AR160" s="27"/>
      <x:c r="AS160" s="27"/>
      <x:c r="AT160" s="27"/>
      <x:c r="AU160" s="27"/>
      <x:c r="AV160" s="27"/>
      <x:c r="AW160" s="27"/>
      <x:c r="AX160" s="27"/>
      <x:c r="AY160" s="27"/>
      <x:c r="AZ160" s="27"/>
    </x:row>
    <x:row r="161">
      <x:c r="A161" s="27"/>
      <x:c r="B161" s="27"/>
      <x:c r="C161" s="27"/>
      <x:c r="D161" s="27"/>
      <x:c r="E161" s="27"/>
      <x:c r="F161" s="27"/>
      <x:c r="G161" s="27"/>
      <x:c r="H161" s="27"/>
      <x:c r="I161" s="27"/>
      <x:c r="J161" s="27"/>
      <x:c r="K161" s="27"/>
      <x:c r="L161" s="27"/>
      <x:c r="M161" s="27"/>
      <x:c r="N161" s="27"/>
      <x:c r="O161" s="27"/>
      <x:c r="P161" s="27"/>
      <x:c r="Q161" s="27"/>
      <x:c r="R161" s="27"/>
      <x:c r="S161" s="27"/>
      <x:c r="T161" s="27"/>
      <x:c r="U161" s="27"/>
      <x:c r="V161" s="27"/>
      <x:c r="W161" s="27"/>
      <x:c r="X161" s="27"/>
      <x:c r="Y161" s="27"/>
      <x:c r="Z161" s="27"/>
      <x:c r="AA161" s="27"/>
      <x:c r="AB161" s="27"/>
      <x:c r="AC161" s="27"/>
      <x:c r="AD161" s="27"/>
      <x:c r="AE161" s="27"/>
      <x:c r="AF161" s="27"/>
      <x:c r="AG161" s="27"/>
      <x:c r="AH161" s="27"/>
      <x:c r="AI161" s="27"/>
      <x:c r="AJ161" s="27"/>
      <x:c r="AK161" s="27"/>
      <x:c r="AL161" s="27"/>
      <x:c r="AM161" s="27"/>
      <x:c r="AN161" s="27"/>
      <x:c r="AO161" s="27"/>
      <x:c r="AP161" s="27"/>
      <x:c r="AQ161" s="27"/>
      <x:c r="AR161" s="27"/>
      <x:c r="AS161" s="27"/>
      <x:c r="AT161" s="27"/>
      <x:c r="AU161" s="27"/>
      <x:c r="AV161" s="27"/>
      <x:c r="AW161" s="27"/>
      <x:c r="AX161" s="27"/>
      <x:c r="AY161" s="27"/>
      <x:c r="AZ161" s="27"/>
    </x:row>
    <x:row r="162">
      <x:c r="A162" s="27"/>
      <x:c r="B162" s="27"/>
      <x:c r="C162" s="27"/>
      <x:c r="D162" s="27"/>
      <x:c r="E162" s="27"/>
      <x:c r="F162" s="27"/>
      <x:c r="G162" s="27"/>
      <x:c r="H162" s="27"/>
      <x:c r="I162" s="27"/>
      <x:c r="J162" s="27"/>
      <x:c r="K162" s="27"/>
      <x:c r="L162" s="27"/>
      <x:c r="M162" s="27"/>
      <x:c r="N162" s="27"/>
      <x:c r="O162" s="27"/>
      <x:c r="P162" s="27"/>
      <x:c r="Q162" s="27"/>
      <x:c r="R162" s="27"/>
      <x:c r="S162" s="27"/>
      <x:c r="T162" s="27"/>
      <x:c r="U162" s="27"/>
      <x:c r="V162" s="27"/>
      <x:c r="W162" s="27"/>
      <x:c r="X162" s="27"/>
      <x:c r="Y162" s="27"/>
      <x:c r="Z162" s="27"/>
      <x:c r="AA162" s="27"/>
      <x:c r="AB162" s="27"/>
      <x:c r="AC162" s="27"/>
      <x:c r="AD162" s="27"/>
      <x:c r="AE162" s="27"/>
      <x:c r="AF162" s="27"/>
      <x:c r="AG162" s="27"/>
      <x:c r="AH162" s="27"/>
      <x:c r="AI162" s="27"/>
      <x:c r="AJ162" s="27"/>
      <x:c r="AK162" s="27"/>
      <x:c r="AL162" s="27"/>
      <x:c r="AM162" s="27"/>
      <x:c r="AN162" s="27"/>
      <x:c r="AO162" s="27"/>
      <x:c r="AP162" s="27"/>
      <x:c r="AQ162" s="27"/>
      <x:c r="AR162" s="27"/>
      <x:c r="AS162" s="27"/>
      <x:c r="AT162" s="27"/>
      <x:c r="AU162" s="27"/>
      <x:c r="AV162" s="27"/>
      <x:c r="AW162" s="27"/>
      <x:c r="AX162" s="27"/>
      <x:c r="AY162" s="27"/>
      <x:c r="AZ162" s="27"/>
    </x:row>
    <x:row r="163">
      <x:c r="A163" s="27"/>
      <x:c r="B163" s="27"/>
      <x:c r="C163" s="27"/>
      <x:c r="D163" s="27"/>
      <x:c r="E163" s="27"/>
      <x:c r="F163" s="27"/>
      <x:c r="G163" s="27"/>
      <x:c r="H163" s="27"/>
      <x:c r="I163" s="27"/>
      <x:c r="J163" s="27"/>
      <x:c r="K163" s="27"/>
      <x:c r="L163" s="27"/>
      <x:c r="M163" s="27"/>
      <x:c r="N163" s="27"/>
      <x:c r="O163" s="27"/>
      <x:c r="P163" s="27"/>
      <x:c r="Q163" s="27"/>
      <x:c r="R163" s="27"/>
      <x:c r="S163" s="27"/>
      <x:c r="T163" s="27"/>
      <x:c r="U163" s="27"/>
      <x:c r="V163" s="27"/>
      <x:c r="W163" s="27"/>
      <x:c r="X163" s="27"/>
      <x:c r="Y163" s="27"/>
      <x:c r="Z163" s="27"/>
      <x:c r="AA163" s="27"/>
      <x:c r="AB163" s="27"/>
      <x:c r="AC163" s="27"/>
      <x:c r="AD163" s="27"/>
      <x:c r="AE163" s="27"/>
      <x:c r="AF163" s="27"/>
      <x:c r="AG163" s="27"/>
      <x:c r="AH163" s="27"/>
      <x:c r="AI163" s="27"/>
      <x:c r="AJ163" s="27"/>
      <x:c r="AK163" s="27"/>
      <x:c r="AL163" s="27"/>
      <x:c r="AM163" s="27"/>
      <x:c r="AN163" s="27"/>
      <x:c r="AO163" s="27"/>
      <x:c r="AP163" s="27"/>
      <x:c r="AQ163" s="27"/>
      <x:c r="AR163" s="27"/>
      <x:c r="AS163" s="27"/>
      <x:c r="AT163" s="27"/>
      <x:c r="AU163" s="27"/>
      <x:c r="AV163" s="27"/>
      <x:c r="AW163" s="27"/>
      <x:c r="AX163" s="27"/>
      <x:c r="AY163" s="27"/>
      <x:c r="AZ163" s="27"/>
    </x:row>
    <x:row r="164">
      <x:c r="A164" s="27"/>
      <x:c r="B164" s="27"/>
      <x:c r="C164" s="27"/>
      <x:c r="D164" s="27"/>
      <x:c r="E164" s="27"/>
      <x:c r="F164" s="27"/>
      <x:c r="G164" s="27"/>
      <x:c r="H164" s="27"/>
      <x:c r="I164" s="27"/>
      <x:c r="J164" s="27"/>
      <x:c r="K164" s="27"/>
      <x:c r="L164" s="27"/>
      <x:c r="M164" s="27"/>
      <x:c r="N164" s="27"/>
      <x:c r="O164" s="27"/>
      <x:c r="P164" s="27"/>
      <x:c r="Q164" s="27"/>
      <x:c r="R164" s="27"/>
      <x:c r="S164" s="27"/>
      <x:c r="T164" s="27"/>
      <x:c r="U164" s="27"/>
      <x:c r="V164" s="27"/>
      <x:c r="W164" s="27"/>
      <x:c r="X164" s="27"/>
      <x:c r="Y164" s="27"/>
      <x:c r="Z164" s="27"/>
      <x:c r="AA164" s="27"/>
      <x:c r="AB164" s="27"/>
      <x:c r="AC164" s="27"/>
      <x:c r="AD164" s="27"/>
      <x:c r="AE164" s="27"/>
      <x:c r="AF164" s="27"/>
      <x:c r="AG164" s="27"/>
      <x:c r="AH164" s="27"/>
      <x:c r="AI164" s="27"/>
      <x:c r="AJ164" s="27"/>
      <x:c r="AK164" s="27"/>
      <x:c r="AL164" s="27"/>
      <x:c r="AM164" s="27"/>
      <x:c r="AN164" s="27"/>
      <x:c r="AO164" s="27"/>
      <x:c r="AP164" s="27"/>
      <x:c r="AQ164" s="27"/>
      <x:c r="AR164" s="27"/>
      <x:c r="AS164" s="27"/>
      <x:c r="AT164" s="27"/>
      <x:c r="AU164" s="27"/>
      <x:c r="AV164" s="27"/>
      <x:c r="AW164" s="27"/>
      <x:c r="AX164" s="27"/>
      <x:c r="AY164" s="27"/>
      <x:c r="AZ164" s="27"/>
    </x:row>
    <x:row r="165">
      <x:c r="A165" s="27"/>
      <x:c r="B165" s="27"/>
      <x:c r="C165" s="27"/>
      <x:c r="D165" s="27"/>
      <x:c r="E165" s="27"/>
      <x:c r="F165" s="27"/>
      <x:c r="G165" s="27"/>
      <x:c r="H165" s="27"/>
      <x:c r="I165" s="27"/>
      <x:c r="J165" s="27"/>
      <x:c r="K165" s="27"/>
      <x:c r="L165" s="27"/>
      <x:c r="M165" s="27"/>
      <x:c r="N165" s="27"/>
      <x:c r="O165" s="27"/>
      <x:c r="P165" s="27"/>
      <x:c r="Q165" s="27"/>
      <x:c r="R165" s="27"/>
      <x:c r="S165" s="27"/>
      <x:c r="T165" s="27"/>
      <x:c r="U165" s="27"/>
      <x:c r="V165" s="27"/>
      <x:c r="W165" s="27"/>
      <x:c r="X165" s="27"/>
      <x:c r="Y165" s="27"/>
      <x:c r="Z165" s="27"/>
      <x:c r="AA165" s="27"/>
      <x:c r="AB165" s="27"/>
      <x:c r="AC165" s="27"/>
      <x:c r="AD165" s="27"/>
      <x:c r="AE165" s="27"/>
      <x:c r="AF165" s="27"/>
      <x:c r="AG165" s="27"/>
      <x:c r="AH165" s="27"/>
      <x:c r="AI165" s="27"/>
      <x:c r="AJ165" s="27"/>
      <x:c r="AK165" s="27"/>
      <x:c r="AL165" s="27"/>
      <x:c r="AM165" s="27"/>
      <x:c r="AN165" s="27"/>
      <x:c r="AO165" s="27"/>
      <x:c r="AP165" s="27"/>
      <x:c r="AQ165" s="27"/>
      <x:c r="AR165" s="27"/>
      <x:c r="AS165" s="27"/>
      <x:c r="AT165" s="27"/>
      <x:c r="AU165" s="27"/>
      <x:c r="AV165" s="27"/>
      <x:c r="AW165" s="27"/>
      <x:c r="AX165" s="27"/>
      <x:c r="AY165" s="27"/>
      <x:c r="AZ165" s="27"/>
    </x:row>
    <x:row r="166">
      <x:c r="A166" s="27"/>
      <x:c r="B166" s="27"/>
      <x:c r="C166" s="27"/>
      <x:c r="D166" s="27"/>
      <x:c r="E166" s="27"/>
      <x:c r="F166" s="27"/>
      <x:c r="G166" s="27"/>
      <x:c r="H166" s="27"/>
      <x:c r="I166" s="27"/>
      <x:c r="J166" s="27"/>
      <x:c r="K166" s="27"/>
      <x:c r="L166" s="27"/>
      <x:c r="M166" s="27"/>
      <x:c r="N166" s="27"/>
      <x:c r="O166" s="27"/>
      <x:c r="P166" s="27"/>
      <x:c r="Q166" s="27"/>
      <x:c r="R166" s="27"/>
      <x:c r="S166" s="27"/>
      <x:c r="T166" s="27"/>
      <x:c r="U166" s="27"/>
      <x:c r="V166" s="27"/>
      <x:c r="W166" s="27"/>
      <x:c r="X166" s="27"/>
      <x:c r="Y166" s="27"/>
      <x:c r="Z166" s="27"/>
      <x:c r="AA166" s="27"/>
      <x:c r="AB166" s="27"/>
      <x:c r="AC166" s="27"/>
      <x:c r="AD166" s="27"/>
      <x:c r="AE166" s="27"/>
      <x:c r="AF166" s="27"/>
      <x:c r="AG166" s="27"/>
      <x:c r="AH166" s="27"/>
      <x:c r="AI166" s="27"/>
      <x:c r="AJ166" s="27"/>
      <x:c r="AK166" s="27"/>
      <x:c r="AL166" s="27"/>
      <x:c r="AM166" s="27"/>
      <x:c r="AN166" s="27"/>
      <x:c r="AO166" s="27"/>
      <x:c r="AP166" s="27"/>
      <x:c r="AQ166" s="27"/>
      <x:c r="AR166" s="27"/>
      <x:c r="AS166" s="27"/>
      <x:c r="AT166" s="27"/>
      <x:c r="AU166" s="27"/>
      <x:c r="AV166" s="27"/>
      <x:c r="AW166" s="27"/>
      <x:c r="AX166" s="27"/>
      <x:c r="AY166" s="27"/>
      <x:c r="AZ166" s="27"/>
    </x:row>
    <x:row r="167">
      <x:c r="A167" s="27"/>
      <x:c r="B167" s="27"/>
      <x:c r="C167" s="27"/>
      <x:c r="D167" s="27"/>
      <x:c r="E167" s="27"/>
      <x:c r="F167" s="27"/>
      <x:c r="G167" s="27"/>
      <x:c r="H167" s="27"/>
      <x:c r="I167" s="27"/>
      <x:c r="J167" s="27"/>
      <x:c r="K167" s="27"/>
      <x:c r="L167" s="27"/>
      <x:c r="M167" s="27"/>
      <x:c r="N167" s="27"/>
      <x:c r="O167" s="27"/>
      <x:c r="P167" s="27"/>
      <x:c r="Q167" s="27"/>
      <x:c r="R167" s="27"/>
      <x:c r="S167" s="27"/>
      <x:c r="T167" s="27"/>
      <x:c r="U167" s="27"/>
      <x:c r="V167" s="27"/>
      <x:c r="W167" s="27"/>
      <x:c r="X167" s="27"/>
      <x:c r="Y167" s="27"/>
      <x:c r="Z167" s="27"/>
      <x:c r="AA167" s="27"/>
      <x:c r="AB167" s="27"/>
      <x:c r="AC167" s="27"/>
      <x:c r="AD167" s="27"/>
      <x:c r="AE167" s="27"/>
      <x:c r="AF167" s="27"/>
      <x:c r="AG167" s="27"/>
      <x:c r="AH167" s="27"/>
      <x:c r="AI167" s="27"/>
      <x:c r="AJ167" s="27"/>
      <x:c r="AK167" s="27"/>
      <x:c r="AL167" s="27"/>
      <x:c r="AM167" s="27"/>
      <x:c r="AN167" s="27"/>
      <x:c r="AO167" s="27"/>
      <x:c r="AP167" s="27"/>
      <x:c r="AQ167" s="27"/>
      <x:c r="AR167" s="27"/>
      <x:c r="AS167" s="27"/>
      <x:c r="AT167" s="27"/>
      <x:c r="AU167" s="27"/>
      <x:c r="AV167" s="27"/>
      <x:c r="AW167" s="27"/>
      <x:c r="AX167" s="27"/>
      <x:c r="AY167" s="27"/>
      <x:c r="AZ167" s="27"/>
    </x:row>
    <x:row r="168">
      <x:c r="A168" s="27"/>
      <x:c r="B168" s="27"/>
      <x:c r="C168" s="27"/>
      <x:c r="D168" s="27"/>
      <x:c r="E168" s="27"/>
      <x:c r="F168" s="27"/>
      <x:c r="G168" s="27"/>
      <x:c r="H168" s="27"/>
      <x:c r="I168" s="27"/>
      <x:c r="J168" s="27"/>
      <x:c r="K168" s="27"/>
      <x:c r="L168" s="27"/>
      <x:c r="M168" s="27"/>
      <x:c r="N168" s="27"/>
      <x:c r="O168" s="27"/>
      <x:c r="P168" s="27"/>
      <x:c r="Q168" s="27"/>
      <x:c r="R168" s="27"/>
      <x:c r="S168" s="27"/>
      <x:c r="T168" s="27"/>
      <x:c r="U168" s="27"/>
      <x:c r="V168" s="27"/>
      <x:c r="W168" s="27"/>
      <x:c r="X168" s="27"/>
      <x:c r="Y168" s="27"/>
      <x:c r="Z168" s="27"/>
      <x:c r="AA168" s="27"/>
      <x:c r="AB168" s="27"/>
      <x:c r="AC168" s="27"/>
      <x:c r="AD168" s="27"/>
      <x:c r="AE168" s="27"/>
      <x:c r="AF168" s="27"/>
      <x:c r="AG168" s="27"/>
      <x:c r="AH168" s="27"/>
      <x:c r="AI168" s="27"/>
      <x:c r="AJ168" s="27"/>
      <x:c r="AK168" s="27"/>
      <x:c r="AL168" s="27"/>
      <x:c r="AM168" s="27"/>
      <x:c r="AN168" s="27"/>
      <x:c r="AO168" s="27"/>
      <x:c r="AP168" s="27"/>
      <x:c r="AQ168" s="27"/>
      <x:c r="AR168" s="27"/>
      <x:c r="AS168" s="27"/>
      <x:c r="AT168" s="27"/>
      <x:c r="AU168" s="27"/>
      <x:c r="AV168" s="27"/>
      <x:c r="AW168" s="27"/>
      <x:c r="AX168" s="27"/>
      <x:c r="AY168" s="27"/>
      <x:c r="AZ168" s="27"/>
    </x:row>
    <x:row r="169">
      <x:c r="A169" s="27"/>
      <x:c r="B169" s="27"/>
      <x:c r="C169" s="27"/>
      <x:c r="D169" s="27"/>
      <x:c r="E169" s="27"/>
      <x:c r="F169" s="27"/>
      <x:c r="G169" s="27"/>
      <x:c r="H169" s="27"/>
      <x:c r="I169" s="27"/>
      <x:c r="J169" s="27"/>
      <x:c r="K169" s="27"/>
      <x:c r="L169" s="27"/>
      <x:c r="M169" s="27"/>
      <x:c r="N169" s="27"/>
      <x:c r="O169" s="27"/>
      <x:c r="P169" s="27"/>
      <x:c r="Q169" s="27"/>
      <x:c r="R169" s="27"/>
      <x:c r="S169" s="27"/>
      <x:c r="T169" s="27"/>
      <x:c r="U169" s="27"/>
      <x:c r="V169" s="27"/>
      <x:c r="W169" s="27"/>
      <x:c r="X169" s="27"/>
      <x:c r="Y169" s="27"/>
      <x:c r="Z169" s="27"/>
      <x:c r="AA169" s="27"/>
      <x:c r="AB169" s="27"/>
      <x:c r="AC169" s="27"/>
      <x:c r="AD169" s="27"/>
      <x:c r="AE169" s="27"/>
      <x:c r="AF169" s="27"/>
      <x:c r="AG169" s="27"/>
      <x:c r="AH169" s="27"/>
      <x:c r="AI169" s="27"/>
      <x:c r="AJ169" s="27"/>
      <x:c r="AK169" s="27"/>
      <x:c r="AL169" s="27"/>
      <x:c r="AM169" s="27"/>
      <x:c r="AN169" s="27"/>
      <x:c r="AO169" s="27"/>
      <x:c r="AP169" s="27"/>
      <x:c r="AQ169" s="27"/>
      <x:c r="AR169" s="27"/>
      <x:c r="AS169" s="27"/>
      <x:c r="AT169" s="27"/>
      <x:c r="AU169" s="27"/>
      <x:c r="AV169" s="27"/>
      <x:c r="AW169" s="27"/>
      <x:c r="AX169" s="27"/>
      <x:c r="AY169" s="27"/>
      <x:c r="AZ169" s="27"/>
    </x:row>
    <x:row r="170">
      <x:c r="A170" s="27"/>
      <x:c r="B170" s="27"/>
      <x:c r="C170" s="27"/>
      <x:c r="D170" s="27"/>
      <x:c r="E170" s="27"/>
      <x:c r="F170" s="27"/>
      <x:c r="G170" s="27"/>
      <x:c r="H170" s="27"/>
      <x:c r="I170" s="27"/>
      <x:c r="J170" s="27"/>
      <x:c r="K170" s="27"/>
      <x:c r="L170" s="27"/>
      <x:c r="M170" s="27"/>
      <x:c r="N170" s="27"/>
      <x:c r="O170" s="27"/>
      <x:c r="P170" s="27"/>
      <x:c r="Q170" s="27"/>
      <x:c r="R170" s="27"/>
      <x:c r="S170" s="27"/>
      <x:c r="T170" s="27"/>
      <x:c r="U170" s="27"/>
      <x:c r="V170" s="27"/>
      <x:c r="W170" s="27"/>
      <x:c r="X170" s="27"/>
      <x:c r="Y170" s="27"/>
      <x:c r="Z170" s="27"/>
      <x:c r="AA170" s="27"/>
      <x:c r="AB170" s="27"/>
      <x:c r="AC170" s="27"/>
      <x:c r="AD170" s="27"/>
      <x:c r="AE170" s="27"/>
      <x:c r="AF170" s="27"/>
      <x:c r="AG170" s="27"/>
      <x:c r="AH170" s="27"/>
      <x:c r="AI170" s="27"/>
      <x:c r="AJ170" s="27"/>
      <x:c r="AK170" s="27"/>
      <x:c r="AL170" s="27"/>
      <x:c r="AM170" s="27"/>
      <x:c r="AN170" s="27"/>
      <x:c r="AO170" s="27"/>
      <x:c r="AP170" s="27"/>
      <x:c r="AQ170" s="27"/>
      <x:c r="AR170" s="27"/>
      <x:c r="AS170" s="27"/>
      <x:c r="AT170" s="27"/>
      <x:c r="AU170" s="27"/>
      <x:c r="AV170" s="27"/>
      <x:c r="AW170" s="27"/>
      <x:c r="AX170" s="27"/>
      <x:c r="AY170" s="27"/>
      <x:c r="AZ170" s="27"/>
    </x:row>
    <x:row r="171">
      <x:c r="A171" s="27"/>
      <x:c r="B171" s="27"/>
      <x:c r="C171" s="27"/>
      <x:c r="D171" s="27"/>
      <x:c r="E171" s="27"/>
      <x:c r="F171" s="27"/>
      <x:c r="G171" s="27"/>
      <x:c r="H171" s="27"/>
      <x:c r="I171" s="27"/>
      <x:c r="J171" s="27"/>
      <x:c r="K171" s="27"/>
      <x:c r="L171" s="27"/>
      <x:c r="M171" s="27"/>
      <x:c r="N171" s="27"/>
      <x:c r="O171" s="27"/>
      <x:c r="P171" s="27"/>
      <x:c r="Q171" s="27"/>
      <x:c r="R171" s="27"/>
      <x:c r="S171" s="27"/>
      <x:c r="T171" s="27"/>
      <x:c r="U171" s="27"/>
      <x:c r="V171" s="27"/>
      <x:c r="W171" s="27"/>
      <x:c r="X171" s="27"/>
      <x:c r="Y171" s="27"/>
      <x:c r="Z171" s="27"/>
      <x:c r="AA171" s="27"/>
      <x:c r="AB171" s="27"/>
      <x:c r="AC171" s="27"/>
      <x:c r="AD171" s="27"/>
      <x:c r="AE171" s="27"/>
      <x:c r="AF171" s="27"/>
      <x:c r="AG171" s="27"/>
      <x:c r="AH171" s="27"/>
      <x:c r="AI171" s="27"/>
      <x:c r="AJ171" s="27"/>
      <x:c r="AK171" s="27"/>
      <x:c r="AL171" s="27"/>
      <x:c r="AM171" s="27"/>
      <x:c r="AN171" s="27"/>
      <x:c r="AO171" s="27"/>
      <x:c r="AP171" s="27"/>
      <x:c r="AQ171" s="27"/>
      <x:c r="AR171" s="27"/>
      <x:c r="AS171" s="27"/>
      <x:c r="AT171" s="27"/>
      <x:c r="AU171" s="27"/>
      <x:c r="AV171" s="27"/>
      <x:c r="AW171" s="27"/>
      <x:c r="AX171" s="27"/>
      <x:c r="AY171" s="27"/>
      <x:c r="AZ171" s="27"/>
    </x:row>
    <x:row r="172">
      <x:c r="A172" s="27"/>
      <x:c r="B172" s="27"/>
      <x:c r="C172" s="27"/>
      <x:c r="D172" s="27"/>
      <x:c r="E172" s="27"/>
      <x:c r="F172" s="27"/>
      <x:c r="G172" s="27"/>
      <x:c r="H172" s="27"/>
      <x:c r="I172" s="27"/>
      <x:c r="J172" s="27"/>
      <x:c r="K172" s="27"/>
      <x:c r="L172" s="27"/>
      <x:c r="M172" s="27"/>
      <x:c r="N172" s="27"/>
      <x:c r="O172" s="27"/>
      <x:c r="P172" s="27"/>
      <x:c r="Q172" s="27"/>
      <x:c r="R172" s="27"/>
      <x:c r="S172" s="27"/>
      <x:c r="T172" s="27"/>
      <x:c r="U172" s="27"/>
      <x:c r="V172" s="27"/>
      <x:c r="W172" s="27"/>
      <x:c r="X172" s="27"/>
      <x:c r="Y172" s="27"/>
      <x:c r="Z172" s="27"/>
      <x:c r="AA172" s="27"/>
      <x:c r="AB172" s="27"/>
      <x:c r="AC172" s="27"/>
      <x:c r="AD172" s="27"/>
      <x:c r="AE172" s="27"/>
      <x:c r="AF172" s="27"/>
      <x:c r="AG172" s="27"/>
      <x:c r="AH172" s="27"/>
      <x:c r="AI172" s="27"/>
      <x:c r="AJ172" s="27"/>
      <x:c r="AK172" s="27"/>
      <x:c r="AL172" s="27"/>
      <x:c r="AM172" s="27"/>
      <x:c r="AN172" s="27"/>
      <x:c r="AO172" s="27"/>
      <x:c r="AP172" s="27"/>
      <x:c r="AQ172" s="27"/>
      <x:c r="AR172" s="27"/>
      <x:c r="AS172" s="27"/>
      <x:c r="AT172" s="27"/>
      <x:c r="AU172" s="27"/>
      <x:c r="AV172" s="27"/>
      <x:c r="AW172" s="27"/>
      <x:c r="AX172" s="27"/>
      <x:c r="AY172" s="27"/>
      <x:c r="AZ172" s="27"/>
    </x:row>
    <x:row r="173">
      <x:c r="A173" s="27"/>
      <x:c r="B173" s="27"/>
      <x:c r="C173" s="27"/>
      <x:c r="D173" s="27"/>
      <x:c r="E173" s="27"/>
      <x:c r="F173" s="27"/>
      <x:c r="G173" s="27"/>
      <x:c r="H173" s="27"/>
      <x:c r="I173" s="27"/>
      <x:c r="J173" s="27"/>
      <x:c r="K173" s="27"/>
      <x:c r="L173" s="27"/>
      <x:c r="M173" s="27"/>
      <x:c r="N173" s="27"/>
      <x:c r="O173" s="27"/>
      <x:c r="P173" s="27"/>
      <x:c r="Q173" s="27"/>
      <x:c r="R173" s="27"/>
      <x:c r="S173" s="27"/>
      <x:c r="T173" s="27"/>
      <x:c r="U173" s="27"/>
      <x:c r="V173" s="27"/>
      <x:c r="W173" s="27"/>
      <x:c r="X173" s="27"/>
      <x:c r="Y173" s="27"/>
      <x:c r="Z173" s="27"/>
      <x:c r="AA173" s="27"/>
      <x:c r="AB173" s="27"/>
      <x:c r="AC173" s="27"/>
      <x:c r="AD173" s="27"/>
      <x:c r="AE173" s="27"/>
      <x:c r="AF173" s="27"/>
      <x:c r="AG173" s="27"/>
      <x:c r="AH173" s="27"/>
      <x:c r="AI173" s="27"/>
      <x:c r="AJ173" s="27"/>
      <x:c r="AK173" s="27"/>
      <x:c r="AL173" s="27"/>
      <x:c r="AM173" s="27"/>
      <x:c r="AN173" s="27"/>
      <x:c r="AO173" s="27"/>
      <x:c r="AP173" s="27"/>
      <x:c r="AQ173" s="27"/>
      <x:c r="AR173" s="27"/>
      <x:c r="AS173" s="27"/>
      <x:c r="AT173" s="27"/>
      <x:c r="AU173" s="27"/>
      <x:c r="AV173" s="27"/>
      <x:c r="AW173" s="27"/>
      <x:c r="AX173" s="27"/>
      <x:c r="AY173" s="27"/>
      <x:c r="AZ173" s="27"/>
    </x:row>
    <x:row r="174">
      <x:c r="A174" s="27"/>
      <x:c r="B174" s="27"/>
      <x:c r="C174" s="27"/>
      <x:c r="D174" s="27"/>
      <x:c r="E174" s="27"/>
      <x:c r="F174" s="27"/>
      <x:c r="G174" s="27"/>
      <x:c r="H174" s="27"/>
      <x:c r="I174" s="27"/>
      <x:c r="J174" s="27"/>
      <x:c r="K174" s="27"/>
      <x:c r="L174" s="27"/>
      <x:c r="M174" s="27"/>
      <x:c r="N174" s="27"/>
      <x:c r="O174" s="27"/>
      <x:c r="P174" s="27"/>
      <x:c r="Q174" s="27"/>
      <x:c r="R174" s="27"/>
      <x:c r="S174" s="27"/>
      <x:c r="T174" s="27"/>
      <x:c r="U174" s="27"/>
      <x:c r="V174" s="27"/>
      <x:c r="W174" s="27"/>
      <x:c r="X174" s="27"/>
      <x:c r="Y174" s="27"/>
      <x:c r="Z174" s="27"/>
      <x:c r="AA174" s="27"/>
      <x:c r="AB174" s="27"/>
      <x:c r="AC174" s="27"/>
      <x:c r="AD174" s="27"/>
      <x:c r="AE174" s="27"/>
      <x:c r="AF174" s="27"/>
      <x:c r="AG174" s="27"/>
      <x:c r="AH174" s="27"/>
      <x:c r="AI174" s="27"/>
      <x:c r="AJ174" s="27"/>
      <x:c r="AK174" s="27"/>
      <x:c r="AL174" s="27"/>
      <x:c r="AM174" s="27"/>
      <x:c r="AN174" s="27"/>
      <x:c r="AO174" s="27"/>
      <x:c r="AP174" s="27"/>
      <x:c r="AQ174" s="27"/>
      <x:c r="AR174" s="27"/>
      <x:c r="AS174" s="27"/>
      <x:c r="AT174" s="27"/>
      <x:c r="AU174" s="27"/>
      <x:c r="AV174" s="27"/>
      <x:c r="AW174" s="27"/>
      <x:c r="AX174" s="27"/>
      <x:c r="AY174" s="27"/>
      <x:c r="AZ174" s="27"/>
    </x:row>
    <x:row r="175">
      <x:c r="A175" s="27"/>
      <x:c r="B175" s="27"/>
      <x:c r="C175" s="27"/>
      <x:c r="D175" s="27"/>
      <x:c r="E175" s="27"/>
      <x:c r="F175" s="27"/>
      <x:c r="G175" s="27"/>
      <x:c r="H175" s="27"/>
      <x:c r="I175" s="27"/>
      <x:c r="J175" s="27"/>
      <x:c r="K175" s="27"/>
      <x:c r="L175" s="27"/>
      <x:c r="M175" s="27"/>
      <x:c r="N175" s="27"/>
      <x:c r="O175" s="27"/>
      <x:c r="P175" s="27"/>
      <x:c r="Q175" s="27"/>
      <x:c r="R175" s="27"/>
      <x:c r="S175" s="27"/>
      <x:c r="T175" s="27"/>
      <x:c r="U175" s="27"/>
      <x:c r="V175" s="27"/>
      <x:c r="W175" s="27"/>
      <x:c r="X175" s="27"/>
      <x:c r="Y175" s="27"/>
      <x:c r="Z175" s="27"/>
      <x:c r="AA175" s="27"/>
      <x:c r="AB175" s="27"/>
      <x:c r="AC175" s="27"/>
      <x:c r="AD175" s="27"/>
      <x:c r="AE175" s="27"/>
      <x:c r="AF175" s="27"/>
      <x:c r="AG175" s="27"/>
      <x:c r="AH175" s="27"/>
      <x:c r="AI175" s="27"/>
      <x:c r="AJ175" s="27"/>
      <x:c r="AK175" s="27"/>
      <x:c r="AL175" s="27"/>
      <x:c r="AM175" s="27"/>
      <x:c r="AN175" s="27"/>
      <x:c r="AO175" s="27"/>
      <x:c r="AP175" s="27"/>
      <x:c r="AQ175" s="27"/>
      <x:c r="AR175" s="27"/>
      <x:c r="AS175" s="27"/>
      <x:c r="AT175" s="27"/>
      <x:c r="AU175" s="27"/>
      <x:c r="AV175" s="27"/>
      <x:c r="AW175" s="27"/>
      <x:c r="AX175" s="27"/>
      <x:c r="AY175" s="27"/>
      <x:c r="AZ175" s="27"/>
    </x:row>
    <x:row r="176">
      <x:c r="A176" s="27"/>
      <x:c r="B176" s="27"/>
      <x:c r="C176" s="27"/>
      <x:c r="D176" s="27"/>
      <x:c r="E176" s="27"/>
      <x:c r="F176" s="27"/>
      <x:c r="G176" s="27"/>
      <x:c r="H176" s="27"/>
      <x:c r="I176" s="27"/>
      <x:c r="J176" s="27"/>
      <x:c r="K176" s="27"/>
      <x:c r="L176" s="27"/>
      <x:c r="M176" s="27"/>
      <x:c r="N176" s="27"/>
      <x:c r="O176" s="27"/>
      <x:c r="P176" s="27"/>
      <x:c r="Q176" s="27"/>
      <x:c r="R176" s="27"/>
      <x:c r="S176" s="27"/>
      <x:c r="T176" s="27"/>
      <x:c r="U176" s="27"/>
      <x:c r="V176" s="27"/>
      <x:c r="W176" s="27"/>
      <x:c r="X176" s="27"/>
      <x:c r="Y176" s="27"/>
      <x:c r="Z176" s="27"/>
      <x:c r="AA176" s="27"/>
      <x:c r="AB176" s="27"/>
      <x:c r="AC176" s="27"/>
      <x:c r="AD176" s="27"/>
      <x:c r="AE176" s="27"/>
      <x:c r="AF176" s="27"/>
      <x:c r="AG176" s="27"/>
      <x:c r="AH176" s="27"/>
      <x:c r="AI176" s="27"/>
      <x:c r="AJ176" s="27"/>
      <x:c r="AK176" s="27"/>
      <x:c r="AL176" s="27"/>
      <x:c r="AM176" s="27"/>
      <x:c r="AN176" s="27"/>
      <x:c r="AO176" s="27"/>
      <x:c r="AP176" s="27"/>
      <x:c r="AQ176" s="27"/>
      <x:c r="AR176" s="27"/>
      <x:c r="AS176" s="27"/>
      <x:c r="AT176" s="27"/>
      <x:c r="AU176" s="27"/>
      <x:c r="AV176" s="27"/>
      <x:c r="AW176" s="27"/>
      <x:c r="AX176" s="27"/>
      <x:c r="AY176" s="27"/>
      <x:c r="AZ176" s="27"/>
    </x:row>
    <x:row r="177">
      <x:c r="A177" s="27"/>
      <x:c r="B177" s="27"/>
      <x:c r="C177" s="27"/>
      <x:c r="D177" s="27"/>
      <x:c r="E177" s="27"/>
      <x:c r="F177" s="27"/>
      <x:c r="G177" s="27"/>
      <x:c r="H177" s="27"/>
      <x:c r="I177" s="27"/>
      <x:c r="J177" s="27"/>
      <x:c r="K177" s="27"/>
      <x:c r="L177" s="27"/>
      <x:c r="M177" s="27"/>
      <x:c r="N177" s="27"/>
      <x:c r="O177" s="27"/>
      <x:c r="P177" s="27"/>
      <x:c r="Q177" s="27"/>
      <x:c r="R177" s="27"/>
      <x:c r="S177" s="27"/>
      <x:c r="T177" s="27"/>
      <x:c r="U177" s="27"/>
      <x:c r="V177" s="27"/>
      <x:c r="W177" s="27"/>
      <x:c r="X177" s="27"/>
      <x:c r="Y177" s="27"/>
      <x:c r="Z177" s="27"/>
      <x:c r="AA177" s="27"/>
      <x:c r="AB177" s="27"/>
      <x:c r="AC177" s="27"/>
      <x:c r="AD177" s="27"/>
      <x:c r="AE177" s="27"/>
      <x:c r="AF177" s="27"/>
      <x:c r="AG177" s="27"/>
      <x:c r="AH177" s="27"/>
      <x:c r="AI177" s="27"/>
      <x:c r="AJ177" s="27"/>
      <x:c r="AK177" s="27"/>
      <x:c r="AL177" s="27"/>
      <x:c r="AM177" s="27"/>
      <x:c r="AN177" s="27"/>
      <x:c r="AO177" s="27"/>
      <x:c r="AP177" s="27"/>
      <x:c r="AQ177" s="27"/>
      <x:c r="AR177" s="27"/>
      <x:c r="AS177" s="27"/>
      <x:c r="AT177" s="27"/>
      <x:c r="AU177" s="27"/>
      <x:c r="AV177" s="27"/>
      <x:c r="AW177" s="27"/>
      <x:c r="AX177" s="27"/>
      <x:c r="AY177" s="27"/>
      <x:c r="AZ177" s="27"/>
    </x:row>
    <x:row r="178">
      <x:c r="A178" s="27"/>
      <x:c r="B178" s="27"/>
      <x:c r="C178" s="27"/>
      <x:c r="D178" s="27"/>
      <x:c r="E178" s="27"/>
      <x:c r="F178" s="27"/>
      <x:c r="G178" s="27"/>
      <x:c r="H178" s="27"/>
      <x:c r="I178" s="27"/>
      <x:c r="J178" s="27"/>
      <x:c r="K178" s="27"/>
      <x:c r="L178" s="27"/>
      <x:c r="M178" s="27"/>
      <x:c r="N178" s="27"/>
      <x:c r="O178" s="27"/>
      <x:c r="P178" s="27"/>
      <x:c r="Q178" s="27"/>
      <x:c r="R178" s="27"/>
      <x:c r="S178" s="27"/>
      <x:c r="T178" s="27"/>
      <x:c r="U178" s="27"/>
      <x:c r="V178" s="27"/>
      <x:c r="W178" s="27"/>
      <x:c r="X178" s="27"/>
      <x:c r="Y178" s="27"/>
      <x:c r="Z178" s="27"/>
      <x:c r="AA178" s="27"/>
      <x:c r="AB178" s="27"/>
      <x:c r="AC178" s="27"/>
      <x:c r="AD178" s="27"/>
      <x:c r="AE178" s="27"/>
      <x:c r="AF178" s="27"/>
      <x:c r="AG178" s="27"/>
      <x:c r="AH178" s="27"/>
      <x:c r="AI178" s="27"/>
      <x:c r="AJ178" s="27"/>
      <x:c r="AK178" s="27"/>
      <x:c r="AL178" s="27"/>
      <x:c r="AM178" s="27"/>
      <x:c r="AN178" s="27"/>
      <x:c r="AO178" s="27"/>
      <x:c r="AP178" s="27"/>
      <x:c r="AQ178" s="27"/>
      <x:c r="AR178" s="27"/>
      <x:c r="AS178" s="27"/>
      <x:c r="AT178" s="27"/>
      <x:c r="AU178" s="27"/>
      <x:c r="AV178" s="27"/>
      <x:c r="AW178" s="27"/>
      <x:c r="AX178" s="27"/>
      <x:c r="AY178" s="27"/>
      <x:c r="AZ178" s="27"/>
    </x:row>
    <x:row r="179">
      <x:c r="A179" s="27"/>
      <x:c r="B179" s="27"/>
      <x:c r="C179" s="27"/>
      <x:c r="D179" s="27"/>
      <x:c r="E179" s="27"/>
      <x:c r="F179" s="27"/>
      <x:c r="G179" s="27"/>
      <x:c r="H179" s="27"/>
      <x:c r="I179" s="27"/>
      <x:c r="J179" s="27"/>
      <x:c r="K179" s="27"/>
      <x:c r="L179" s="27"/>
      <x:c r="M179" s="27"/>
      <x:c r="N179" s="27"/>
      <x:c r="O179" s="27"/>
      <x:c r="P179" s="27"/>
      <x:c r="Q179" s="27"/>
      <x:c r="R179" s="27"/>
      <x:c r="S179" s="27"/>
      <x:c r="T179" s="27"/>
      <x:c r="U179" s="27"/>
      <x:c r="V179" s="27"/>
      <x:c r="W179" s="27"/>
      <x:c r="X179" s="27"/>
      <x:c r="Y179" s="27"/>
      <x:c r="Z179" s="27"/>
      <x:c r="AA179" s="27"/>
      <x:c r="AB179" s="27"/>
      <x:c r="AC179" s="27"/>
      <x:c r="AD179" s="27"/>
      <x:c r="AE179" s="27"/>
      <x:c r="AF179" s="27"/>
      <x:c r="AG179" s="27"/>
      <x:c r="AH179" s="27"/>
      <x:c r="AI179" s="27"/>
      <x:c r="AJ179" s="27"/>
      <x:c r="AK179" s="27"/>
      <x:c r="AL179" s="27"/>
      <x:c r="AM179" s="27"/>
      <x:c r="AN179" s="27"/>
      <x:c r="AO179" s="27"/>
      <x:c r="AP179" s="27"/>
      <x:c r="AQ179" s="27"/>
      <x:c r="AR179" s="27"/>
      <x:c r="AS179" s="27"/>
      <x:c r="AT179" s="27"/>
      <x:c r="AU179" s="27"/>
      <x:c r="AV179" s="27"/>
      <x:c r="AW179" s="27"/>
      <x:c r="AX179" s="27"/>
      <x:c r="AY179" s="27"/>
      <x:c r="AZ179" s="27"/>
    </x:row>
    <x:row r="180">
      <x:c r="A180" s="27"/>
      <x:c r="B180" s="27"/>
      <x:c r="C180" s="27"/>
      <x:c r="D180" s="27"/>
      <x:c r="E180" s="27"/>
      <x:c r="F180" s="27"/>
      <x:c r="G180" s="27"/>
      <x:c r="H180" s="27"/>
      <x:c r="I180" s="27"/>
      <x:c r="J180" s="27"/>
      <x:c r="K180" s="27"/>
      <x:c r="L180" s="27"/>
      <x:c r="M180" s="27"/>
      <x:c r="N180" s="27"/>
      <x:c r="O180" s="27"/>
      <x:c r="P180" s="27"/>
      <x:c r="Q180" s="27"/>
      <x:c r="R180" s="27"/>
      <x:c r="S180" s="27"/>
      <x:c r="T180" s="27"/>
      <x:c r="U180" s="27"/>
      <x:c r="V180" s="27"/>
      <x:c r="W180" s="27"/>
      <x:c r="X180" s="27"/>
      <x:c r="Y180" s="27"/>
      <x:c r="Z180" s="27"/>
      <x:c r="AA180" s="27"/>
      <x:c r="AB180" s="27"/>
      <x:c r="AC180" s="27"/>
      <x:c r="AD180" s="27"/>
      <x:c r="AE180" s="27"/>
      <x:c r="AF180" s="27"/>
      <x:c r="AG180" s="27"/>
      <x:c r="AH180" s="27"/>
      <x:c r="AI180" s="27"/>
      <x:c r="AJ180" s="27"/>
      <x:c r="AK180" s="27"/>
      <x:c r="AL180" s="27"/>
      <x:c r="AM180" s="27"/>
      <x:c r="AN180" s="27"/>
      <x:c r="AO180" s="27"/>
      <x:c r="AP180" s="27"/>
      <x:c r="AQ180" s="27"/>
      <x:c r="AR180" s="27"/>
      <x:c r="AS180" s="27"/>
      <x:c r="AT180" s="27"/>
      <x:c r="AU180" s="27"/>
      <x:c r="AV180" s="27"/>
      <x:c r="AW180" s="27"/>
      <x:c r="AX180" s="27"/>
      <x:c r="AY180" s="27"/>
      <x:c r="AZ180" s="27"/>
    </x:row>
    <x:row r="181">
      <x:c r="A181" s="27"/>
      <x:c r="B181" s="27"/>
      <x:c r="C181" s="27"/>
      <x:c r="D181" s="27"/>
      <x:c r="E181" s="27"/>
      <x:c r="F181" s="27"/>
      <x:c r="G181" s="27"/>
      <x:c r="H181" s="27"/>
      <x:c r="I181" s="27"/>
      <x:c r="J181" s="27"/>
      <x:c r="K181" s="27"/>
      <x:c r="L181" s="27"/>
      <x:c r="M181" s="27"/>
      <x:c r="N181" s="27"/>
      <x:c r="O181" s="27"/>
      <x:c r="P181" s="27"/>
      <x:c r="Q181" s="27"/>
      <x:c r="R181" s="27"/>
      <x:c r="S181" s="27"/>
      <x:c r="T181" s="27"/>
      <x:c r="U181" s="27"/>
      <x:c r="V181" s="27"/>
      <x:c r="W181" s="27"/>
      <x:c r="X181" s="27"/>
      <x:c r="Y181" s="27"/>
      <x:c r="Z181" s="27"/>
      <x:c r="AA181" s="27"/>
      <x:c r="AB181" s="27"/>
      <x:c r="AC181" s="27"/>
      <x:c r="AD181" s="27"/>
      <x:c r="AE181" s="27"/>
      <x:c r="AF181" s="27"/>
      <x:c r="AG181" s="27"/>
      <x:c r="AH181" s="27"/>
      <x:c r="AI181" s="27"/>
      <x:c r="AJ181" s="27"/>
      <x:c r="AK181" s="27"/>
      <x:c r="AL181" s="27"/>
      <x:c r="AM181" s="27"/>
      <x:c r="AN181" s="27"/>
      <x:c r="AO181" s="27"/>
      <x:c r="AP181" s="27"/>
      <x:c r="AQ181" s="27"/>
      <x:c r="AR181" s="27"/>
      <x:c r="AS181" s="27"/>
      <x:c r="AT181" s="27"/>
      <x:c r="AU181" s="27"/>
      <x:c r="AV181" s="27"/>
      <x:c r="AW181" s="27"/>
      <x:c r="AX181" s="27"/>
      <x:c r="AY181" s="27"/>
      <x:c r="AZ181" s="27"/>
    </x:row>
    <x:row r="182">
      <x:c r="A182" s="27"/>
      <x:c r="B182" s="27"/>
      <x:c r="C182" s="27"/>
      <x:c r="D182" s="27"/>
      <x:c r="E182" s="27"/>
      <x:c r="F182" s="27"/>
      <x:c r="G182" s="27"/>
      <x:c r="H182" s="27"/>
      <x:c r="I182" s="27"/>
      <x:c r="J182" s="27"/>
      <x:c r="K182" s="27"/>
      <x:c r="L182" s="27"/>
      <x:c r="M182" s="27"/>
      <x:c r="N182" s="27"/>
      <x:c r="O182" s="27"/>
      <x:c r="P182" s="27"/>
      <x:c r="Q182" s="27"/>
      <x:c r="R182" s="27"/>
      <x:c r="S182" s="27"/>
      <x:c r="T182" s="27"/>
      <x:c r="U182" s="27"/>
      <x:c r="V182" s="27"/>
      <x:c r="W182" s="27"/>
      <x:c r="X182" s="27"/>
      <x:c r="Y182" s="27"/>
      <x:c r="Z182" s="27"/>
      <x:c r="AA182" s="27"/>
      <x:c r="AB182" s="27"/>
      <x:c r="AC182" s="27"/>
      <x:c r="AD182" s="27"/>
      <x:c r="AE182" s="27"/>
      <x:c r="AF182" s="27"/>
      <x:c r="AG182" s="27"/>
      <x:c r="AH182" s="27"/>
      <x:c r="AI182" s="27"/>
      <x:c r="AJ182" s="27"/>
      <x:c r="AK182" s="27"/>
      <x:c r="AL182" s="27"/>
      <x:c r="AM182" s="27"/>
      <x:c r="AN182" s="27"/>
      <x:c r="AO182" s="27"/>
      <x:c r="AP182" s="27"/>
      <x:c r="AQ182" s="27"/>
      <x:c r="AR182" s="27"/>
      <x:c r="AS182" s="27"/>
      <x:c r="AT182" s="27"/>
      <x:c r="AU182" s="27"/>
      <x:c r="AV182" s="27"/>
      <x:c r="AW182" s="27"/>
      <x:c r="AX182" s="27"/>
      <x:c r="AY182" s="27"/>
      <x:c r="AZ182" s="27"/>
    </x:row>
    <x:row r="183">
      <x:c r="A183" s="27"/>
      <x:c r="B183" s="27"/>
      <x:c r="C183" s="27"/>
      <x:c r="D183" s="27"/>
      <x:c r="E183" s="27"/>
      <x:c r="F183" s="27"/>
      <x:c r="G183" s="27"/>
      <x:c r="H183" s="27"/>
      <x:c r="I183" s="27"/>
      <x:c r="J183" s="27"/>
      <x:c r="K183" s="27"/>
      <x:c r="L183" s="27"/>
      <x:c r="M183" s="27"/>
      <x:c r="N183" s="27"/>
      <x:c r="O183" s="27"/>
      <x:c r="P183" s="27"/>
      <x:c r="Q183" s="27"/>
      <x:c r="R183" s="27"/>
      <x:c r="S183" s="27"/>
      <x:c r="T183" s="27"/>
      <x:c r="U183" s="27"/>
      <x:c r="V183" s="27"/>
      <x:c r="W183" s="27"/>
      <x:c r="X183" s="27"/>
      <x:c r="Y183" s="27"/>
      <x:c r="Z183" s="27"/>
      <x:c r="AA183" s="27"/>
      <x:c r="AB183" s="27"/>
      <x:c r="AC183" s="27"/>
      <x:c r="AD183" s="27"/>
      <x:c r="AE183" s="27"/>
      <x:c r="AF183" s="27"/>
      <x:c r="AG183" s="27"/>
      <x:c r="AH183" s="27"/>
      <x:c r="AI183" s="27"/>
      <x:c r="AJ183" s="27"/>
      <x:c r="AK183" s="27"/>
      <x:c r="AL183" s="27"/>
      <x:c r="AM183" s="27"/>
      <x:c r="AN183" s="27"/>
      <x:c r="AO183" s="27"/>
      <x:c r="AP183" s="27"/>
      <x:c r="AQ183" s="27"/>
      <x:c r="AR183" s="27"/>
      <x:c r="AS183" s="27"/>
      <x:c r="AT183" s="27"/>
      <x:c r="AU183" s="27"/>
      <x:c r="AV183" s="27"/>
      <x:c r="AW183" s="27"/>
      <x:c r="AX183" s="27"/>
      <x:c r="AY183" s="27"/>
      <x:c r="AZ183" s="27"/>
    </x:row>
    <x:row r="184">
      <x:c r="A184" s="27"/>
      <x:c r="B184" s="27"/>
      <x:c r="C184" s="27"/>
      <x:c r="D184" s="27"/>
      <x:c r="E184" s="27"/>
      <x:c r="F184" s="27"/>
      <x:c r="G184" s="27"/>
      <x:c r="H184" s="27"/>
      <x:c r="I184" s="27"/>
      <x:c r="J184" s="27"/>
      <x:c r="K184" s="27"/>
      <x:c r="L184" s="27"/>
      <x:c r="M184" s="27"/>
      <x:c r="N184" s="27"/>
      <x:c r="O184" s="27"/>
      <x:c r="P184" s="27"/>
      <x:c r="Q184" s="27"/>
      <x:c r="R184" s="27"/>
      <x:c r="S184" s="27"/>
      <x:c r="T184" s="27"/>
      <x:c r="U184" s="27"/>
      <x:c r="V184" s="27"/>
      <x:c r="W184" s="27"/>
      <x:c r="X184" s="27"/>
      <x:c r="Y184" s="27"/>
      <x:c r="Z184" s="27"/>
      <x:c r="AA184" s="27"/>
      <x:c r="AB184" s="27"/>
      <x:c r="AC184" s="27"/>
      <x:c r="AD184" s="27"/>
      <x:c r="AE184" s="27"/>
      <x:c r="AF184" s="27"/>
      <x:c r="AG184" s="27"/>
      <x:c r="AH184" s="27"/>
      <x:c r="AI184" s="27"/>
      <x:c r="AJ184" s="27"/>
      <x:c r="AK184" s="27"/>
      <x:c r="AL184" s="27"/>
      <x:c r="AM184" s="27"/>
      <x:c r="AN184" s="27"/>
      <x:c r="AO184" s="27"/>
      <x:c r="AP184" s="27"/>
      <x:c r="AQ184" s="27"/>
      <x:c r="AR184" s="27"/>
      <x:c r="AS184" s="27"/>
      <x:c r="AT184" s="27"/>
      <x:c r="AU184" s="27"/>
      <x:c r="AV184" s="27"/>
      <x:c r="AW184" s="27"/>
      <x:c r="AX184" s="27"/>
      <x:c r="AY184" s="27"/>
      <x:c r="AZ184" s="27"/>
    </x:row>
    <x:row r="185">
      <x:c r="A185" s="27"/>
      <x:c r="B185" s="27"/>
      <x:c r="C185" s="27"/>
      <x:c r="D185" s="27"/>
      <x:c r="E185" s="27"/>
      <x:c r="F185" s="27"/>
      <x:c r="G185" s="27"/>
      <x:c r="H185" s="27"/>
      <x:c r="I185" s="27"/>
      <x:c r="J185" s="27"/>
      <x:c r="K185" s="27"/>
      <x:c r="L185" s="27"/>
      <x:c r="M185" s="27"/>
      <x:c r="N185" s="27"/>
      <x:c r="O185" s="27"/>
      <x:c r="P185" s="27"/>
      <x:c r="Q185" s="27"/>
      <x:c r="R185" s="27"/>
      <x:c r="S185" s="27"/>
      <x:c r="T185" s="27"/>
      <x:c r="U185" s="27"/>
      <x:c r="V185" s="27"/>
      <x:c r="W185" s="27"/>
      <x:c r="X185" s="27"/>
      <x:c r="Y185" s="27"/>
      <x:c r="Z185" s="27"/>
      <x:c r="AA185" s="27"/>
      <x:c r="AB185" s="27"/>
      <x:c r="AC185" s="27"/>
      <x:c r="AD185" s="27"/>
      <x:c r="AE185" s="27"/>
      <x:c r="AF185" s="27"/>
      <x:c r="AG185" s="27"/>
      <x:c r="AH185" s="27"/>
      <x:c r="AI185" s="27"/>
      <x:c r="AJ185" s="27"/>
      <x:c r="AK185" s="27"/>
      <x:c r="AL185" s="27"/>
      <x:c r="AM185" s="27"/>
      <x:c r="AN185" s="27"/>
      <x:c r="AO185" s="27"/>
      <x:c r="AP185" s="27"/>
      <x:c r="AQ185" s="27"/>
      <x:c r="AR185" s="27"/>
      <x:c r="AS185" s="27"/>
      <x:c r="AT185" s="27"/>
      <x:c r="AU185" s="27"/>
      <x:c r="AV185" s="27"/>
      <x:c r="AW185" s="27"/>
      <x:c r="AX185" s="27"/>
      <x:c r="AY185" s="27"/>
      <x:c r="AZ185" s="27"/>
    </x:row>
    <x:row r="186">
      <x:c r="A186" s="27"/>
      <x:c r="B186" s="27"/>
      <x:c r="C186" s="27"/>
      <x:c r="D186" s="27"/>
      <x:c r="E186" s="27"/>
      <x:c r="F186" s="27"/>
      <x:c r="G186" s="27"/>
      <x:c r="H186" s="27"/>
      <x:c r="I186" s="27"/>
      <x:c r="J186" s="27"/>
      <x:c r="K186" s="27"/>
      <x:c r="L186" s="27"/>
      <x:c r="M186" s="27"/>
      <x:c r="N186" s="27"/>
      <x:c r="O186" s="27"/>
      <x:c r="P186" s="27"/>
      <x:c r="Q186" s="27"/>
      <x:c r="R186" s="27"/>
      <x:c r="S186" s="27"/>
      <x:c r="T186" s="27"/>
      <x:c r="U186" s="27"/>
      <x:c r="V186" s="27"/>
      <x:c r="W186" s="27"/>
      <x:c r="X186" s="27"/>
      <x:c r="Y186" s="27"/>
      <x:c r="Z186" s="27"/>
      <x:c r="AA186" s="27"/>
      <x:c r="AB186" s="27"/>
      <x:c r="AC186" s="27"/>
      <x:c r="AD186" s="27"/>
      <x:c r="AE186" s="27"/>
      <x:c r="AF186" s="27"/>
      <x:c r="AG186" s="27"/>
      <x:c r="AH186" s="27"/>
      <x:c r="AI186" s="27"/>
      <x:c r="AJ186" s="27"/>
      <x:c r="AK186" s="27"/>
      <x:c r="AL186" s="27"/>
      <x:c r="AM186" s="27"/>
      <x:c r="AN186" s="27"/>
      <x:c r="AO186" s="27"/>
      <x:c r="AP186" s="27"/>
      <x:c r="AQ186" s="27"/>
      <x:c r="AR186" s="27"/>
      <x:c r="AS186" s="27"/>
      <x:c r="AT186" s="27"/>
      <x:c r="AU186" s="27"/>
      <x:c r="AV186" s="27"/>
      <x:c r="AW186" s="27"/>
      <x:c r="AX186" s="27"/>
      <x:c r="AY186" s="27"/>
      <x:c r="AZ186" s="27"/>
    </x:row>
    <x:row r="187">
      <x:c r="A187" s="27"/>
      <x:c r="B187" s="27"/>
      <x:c r="C187" s="27"/>
      <x:c r="D187" s="27"/>
      <x:c r="E187" s="27"/>
      <x:c r="F187" s="27"/>
      <x:c r="G187" s="27"/>
      <x:c r="H187" s="27"/>
      <x:c r="I187" s="27"/>
      <x:c r="J187" s="27"/>
      <x:c r="K187" s="27"/>
      <x:c r="L187" s="27"/>
      <x:c r="M187" s="27"/>
      <x:c r="N187" s="27"/>
      <x:c r="O187" s="27"/>
      <x:c r="P187" s="27"/>
      <x:c r="Q187" s="27"/>
      <x:c r="R187" s="27"/>
      <x:c r="S187" s="27"/>
      <x:c r="T187" s="27"/>
      <x:c r="U187" s="27"/>
      <x:c r="V187" s="27"/>
      <x:c r="W187" s="27"/>
      <x:c r="X187" s="27"/>
      <x:c r="Y187" s="27"/>
      <x:c r="Z187" s="27"/>
      <x:c r="AA187" s="27"/>
      <x:c r="AB187" s="27"/>
      <x:c r="AC187" s="27"/>
      <x:c r="AD187" s="27"/>
      <x:c r="AE187" s="27"/>
      <x:c r="AF187" s="27"/>
      <x:c r="AG187" s="27"/>
      <x:c r="AH187" s="27"/>
      <x:c r="AI187" s="27"/>
      <x:c r="AJ187" s="27"/>
      <x:c r="AK187" s="27"/>
      <x:c r="AL187" s="27"/>
      <x:c r="AM187" s="27"/>
      <x:c r="AN187" s="27"/>
      <x:c r="AO187" s="27"/>
      <x:c r="AP187" s="27"/>
      <x:c r="AQ187" s="27"/>
      <x:c r="AR187" s="27"/>
      <x:c r="AS187" s="27"/>
      <x:c r="AT187" s="27"/>
      <x:c r="AU187" s="27"/>
      <x:c r="AV187" s="27"/>
      <x:c r="AW187" s="27"/>
      <x:c r="AX187" s="27"/>
      <x:c r="AY187" s="27"/>
      <x:c r="AZ187" s="27"/>
    </x:row>
    <x:row r="188">
      <x:c r="A188" s="27"/>
      <x:c r="B188" s="27"/>
      <x:c r="C188" s="27"/>
      <x:c r="D188" s="27"/>
      <x:c r="E188" s="27"/>
      <x:c r="F188" s="27"/>
      <x:c r="G188" s="27"/>
      <x:c r="H188" s="27"/>
      <x:c r="I188" s="27"/>
      <x:c r="J188" s="27"/>
      <x:c r="K188" s="27"/>
      <x:c r="L188" s="27"/>
      <x:c r="M188" s="27"/>
      <x:c r="N188" s="27"/>
      <x:c r="O188" s="27"/>
      <x:c r="P188" s="27"/>
      <x:c r="Q188" s="27"/>
      <x:c r="R188" s="27"/>
      <x:c r="S188" s="27"/>
      <x:c r="T188" s="27"/>
      <x:c r="U188" s="27"/>
      <x:c r="V188" s="27"/>
      <x:c r="W188" s="27"/>
      <x:c r="X188" s="27"/>
      <x:c r="Y188" s="27"/>
      <x:c r="Z188" s="27"/>
      <x:c r="AA188" s="27"/>
      <x:c r="AB188" s="27"/>
      <x:c r="AC188" s="27"/>
      <x:c r="AD188" s="27"/>
      <x:c r="AE188" s="27"/>
      <x:c r="AF188" s="27"/>
      <x:c r="AG188" s="27"/>
      <x:c r="AH188" s="27"/>
      <x:c r="AI188" s="27"/>
      <x:c r="AJ188" s="27"/>
      <x:c r="AK188" s="27"/>
      <x:c r="AL188" s="27"/>
      <x:c r="AM188" s="27"/>
      <x:c r="AN188" s="27"/>
      <x:c r="AO188" s="27"/>
      <x:c r="AP188" s="27"/>
      <x:c r="AQ188" s="27"/>
      <x:c r="AR188" s="27"/>
      <x:c r="AS188" s="27"/>
      <x:c r="AT188" s="27"/>
      <x:c r="AU188" s="27"/>
      <x:c r="AV188" s="27"/>
      <x:c r="AW188" s="27"/>
      <x:c r="AX188" s="27"/>
      <x:c r="AY188" s="27"/>
      <x:c r="AZ188" s="27"/>
    </x:row>
    <x:row r="189">
      <x:c r="A189" s="27"/>
      <x:c r="B189" s="27"/>
      <x:c r="C189" s="27"/>
      <x:c r="D189" s="27"/>
      <x:c r="E189" s="27"/>
      <x:c r="F189" s="27"/>
      <x:c r="G189" s="27"/>
      <x:c r="H189" s="27"/>
      <x:c r="I189" s="27"/>
      <x:c r="J189" s="27"/>
      <x:c r="K189" s="27"/>
      <x:c r="L189" s="27"/>
      <x:c r="M189" s="27"/>
      <x:c r="N189" s="27"/>
      <x:c r="O189" s="27"/>
      <x:c r="P189" s="27"/>
      <x:c r="Q189" s="27"/>
      <x:c r="R189" s="27"/>
      <x:c r="S189" s="27"/>
      <x:c r="T189" s="27"/>
      <x:c r="U189" s="27"/>
      <x:c r="V189" s="27"/>
      <x:c r="W189" s="27"/>
      <x:c r="X189" s="27"/>
      <x:c r="Y189" s="27"/>
      <x:c r="Z189" s="27"/>
      <x:c r="AA189" s="27"/>
      <x:c r="AB189" s="27"/>
      <x:c r="AC189" s="27"/>
      <x:c r="AD189" s="27"/>
      <x:c r="AE189" s="27"/>
      <x:c r="AF189" s="27"/>
      <x:c r="AG189" s="27"/>
      <x:c r="AH189" s="27"/>
      <x:c r="AI189" s="27"/>
      <x:c r="AJ189" s="27"/>
      <x:c r="AK189" s="27"/>
      <x:c r="AL189" s="27"/>
      <x:c r="AM189" s="27"/>
      <x:c r="AN189" s="27"/>
      <x:c r="AO189" s="27"/>
      <x:c r="AP189" s="27"/>
      <x:c r="AQ189" s="27"/>
      <x:c r="AR189" s="27"/>
      <x:c r="AS189" s="27"/>
      <x:c r="AT189" s="27"/>
      <x:c r="AU189" s="27"/>
      <x:c r="AV189" s="27"/>
      <x:c r="AW189" s="27"/>
      <x:c r="AX189" s="27"/>
      <x:c r="AY189" s="27"/>
      <x:c r="AZ189" s="27"/>
    </x:row>
    <x:row r="190">
      <x:c r="A190" s="27"/>
      <x:c r="B190" s="27"/>
      <x:c r="C190" s="27"/>
      <x:c r="D190" s="27"/>
      <x:c r="E190" s="27"/>
      <x:c r="F190" s="27"/>
      <x:c r="G190" s="27"/>
      <x:c r="H190" s="27"/>
      <x:c r="I190" s="27"/>
      <x:c r="J190" s="27"/>
      <x:c r="K190" s="27"/>
      <x:c r="L190" s="27"/>
      <x:c r="M190" s="27"/>
      <x:c r="N190" s="27"/>
      <x:c r="O190" s="27"/>
      <x:c r="P190" s="27"/>
      <x:c r="Q190" s="27"/>
      <x:c r="R190" s="27"/>
      <x:c r="S190" s="27"/>
      <x:c r="T190" s="27"/>
      <x:c r="U190" s="27"/>
      <x:c r="V190" s="27"/>
      <x:c r="W190" s="27"/>
      <x:c r="X190" s="27"/>
      <x:c r="Y190" s="27"/>
      <x:c r="Z190" s="27"/>
      <x:c r="AA190" s="27"/>
      <x:c r="AB190" s="27"/>
      <x:c r="AC190" s="27"/>
      <x:c r="AD190" s="27"/>
      <x:c r="AE190" s="27"/>
      <x:c r="AF190" s="27"/>
      <x:c r="AG190" s="27"/>
      <x:c r="AH190" s="27"/>
      <x:c r="AI190" s="27"/>
      <x:c r="AJ190" s="27"/>
      <x:c r="AK190" s="27"/>
      <x:c r="AL190" s="27"/>
      <x:c r="AM190" s="27"/>
      <x:c r="AN190" s="27"/>
      <x:c r="AO190" s="27"/>
      <x:c r="AP190" s="27"/>
      <x:c r="AQ190" s="27"/>
      <x:c r="AR190" s="27"/>
      <x:c r="AS190" s="27"/>
      <x:c r="AT190" s="27"/>
      <x:c r="AU190" s="27"/>
      <x:c r="AV190" s="27"/>
      <x:c r="AW190" s="27"/>
      <x:c r="AX190" s="27"/>
      <x:c r="AY190" s="27"/>
      <x:c r="AZ190" s="27"/>
    </x:row>
    <x:row r="191">
      <x:c r="A191" s="27"/>
      <x:c r="B191" s="27"/>
      <x:c r="C191" s="27"/>
      <x:c r="D191" s="27"/>
      <x:c r="E191" s="27"/>
      <x:c r="F191" s="27"/>
      <x:c r="G191" s="27"/>
      <x:c r="H191" s="27"/>
      <x:c r="I191" s="27"/>
      <x:c r="J191" s="27"/>
      <x:c r="K191" s="27"/>
      <x:c r="L191" s="27"/>
      <x:c r="M191" s="27"/>
      <x:c r="N191" s="27"/>
      <x:c r="O191" s="27"/>
      <x:c r="P191" s="27"/>
      <x:c r="Q191" s="27"/>
      <x:c r="R191" s="27"/>
      <x:c r="S191" s="27"/>
      <x:c r="T191" s="27"/>
      <x:c r="U191" s="27"/>
      <x:c r="V191" s="27"/>
      <x:c r="W191" s="27"/>
      <x:c r="X191" s="27"/>
      <x:c r="Y191" s="27"/>
      <x:c r="Z191" s="27"/>
      <x:c r="AA191" s="27"/>
      <x:c r="AB191" s="27"/>
      <x:c r="AC191" s="27"/>
      <x:c r="AD191" s="27"/>
      <x:c r="AE191" s="27"/>
      <x:c r="AF191" s="27"/>
      <x:c r="AG191" s="27"/>
      <x:c r="AH191" s="27"/>
      <x:c r="AI191" s="27"/>
      <x:c r="AJ191" s="27"/>
      <x:c r="AK191" s="27"/>
      <x:c r="AL191" s="27"/>
      <x:c r="AM191" s="27"/>
      <x:c r="AN191" s="27"/>
      <x:c r="AO191" s="27"/>
      <x:c r="AP191" s="27"/>
      <x:c r="AQ191" s="27"/>
      <x:c r="AR191" s="27"/>
      <x:c r="AS191" s="27"/>
      <x:c r="AT191" s="27"/>
      <x:c r="AU191" s="27"/>
      <x:c r="AV191" s="27"/>
      <x:c r="AW191" s="27"/>
      <x:c r="AX191" s="27"/>
      <x:c r="AY191" s="27"/>
      <x:c r="AZ191" s="27"/>
    </x:row>
    <x:row r="192">
      <x:c r="A192" s="27"/>
      <x:c r="B192" s="27"/>
      <x:c r="C192" s="27"/>
      <x:c r="D192" s="27"/>
      <x:c r="E192" s="27"/>
      <x:c r="F192" s="27"/>
      <x:c r="G192" s="27"/>
      <x:c r="H192" s="27"/>
      <x:c r="I192" s="27"/>
      <x:c r="J192" s="27"/>
      <x:c r="K192" s="27"/>
      <x:c r="L192" s="27"/>
      <x:c r="M192" s="27"/>
      <x:c r="N192" s="27"/>
      <x:c r="O192" s="27"/>
      <x:c r="P192" s="27"/>
      <x:c r="Q192" s="27"/>
      <x:c r="R192" s="27"/>
      <x:c r="S192" s="27"/>
      <x:c r="T192" s="27"/>
      <x:c r="U192" s="27"/>
      <x:c r="V192" s="27"/>
      <x:c r="W192" s="27"/>
      <x:c r="X192" s="27"/>
      <x:c r="Y192" s="27"/>
      <x:c r="Z192" s="27"/>
      <x:c r="AA192" s="27"/>
      <x:c r="AB192" s="27"/>
      <x:c r="AC192" s="27"/>
      <x:c r="AD192" s="27"/>
      <x:c r="AE192" s="27"/>
      <x:c r="AF192" s="27"/>
      <x:c r="AG192" s="27"/>
      <x:c r="AH192" s="27"/>
      <x:c r="AI192" s="27"/>
      <x:c r="AJ192" s="27"/>
      <x:c r="AK192" s="27"/>
      <x:c r="AL192" s="27"/>
      <x:c r="AM192" s="27"/>
      <x:c r="AN192" s="27"/>
      <x:c r="AO192" s="27"/>
      <x:c r="AP192" s="27"/>
      <x:c r="AQ192" s="27"/>
      <x:c r="AR192" s="27"/>
      <x:c r="AS192" s="27"/>
      <x:c r="AT192" s="27"/>
      <x:c r="AU192" s="27"/>
      <x:c r="AV192" s="27"/>
      <x:c r="AW192" s="27"/>
      <x:c r="AX192" s="27"/>
      <x:c r="AY192" s="27"/>
      <x:c r="AZ192" s="27"/>
    </x:row>
    <x:row r="193">
      <x:c r="A193" s="27"/>
      <x:c r="B193" s="27"/>
      <x:c r="C193" s="27"/>
      <x:c r="D193" s="27"/>
      <x:c r="E193" s="27"/>
      <x:c r="F193" s="27"/>
      <x:c r="G193" s="27"/>
      <x:c r="H193" s="27"/>
      <x:c r="I193" s="27"/>
      <x:c r="J193" s="27"/>
      <x:c r="K193" s="27"/>
      <x:c r="L193" s="27"/>
      <x:c r="M193" s="27"/>
      <x:c r="N193" s="27"/>
      <x:c r="O193" s="27"/>
      <x:c r="P193" s="27"/>
      <x:c r="Q193" s="27"/>
      <x:c r="R193" s="27"/>
      <x:c r="S193" s="27"/>
      <x:c r="T193" s="27"/>
      <x:c r="U193" s="27"/>
      <x:c r="V193" s="27"/>
      <x:c r="W193" s="27"/>
      <x:c r="X193" s="27"/>
      <x:c r="Y193" s="27"/>
      <x:c r="Z193" s="27"/>
      <x:c r="AA193" s="27"/>
      <x:c r="AB193" s="27"/>
      <x:c r="AC193" s="27"/>
      <x:c r="AD193" s="27"/>
      <x:c r="AE193" s="27"/>
      <x:c r="AF193" s="27"/>
      <x:c r="AG193" s="27"/>
      <x:c r="AH193" s="27"/>
      <x:c r="AI193" s="27"/>
      <x:c r="AJ193" s="27"/>
      <x:c r="AK193" s="27"/>
      <x:c r="AL193" s="27"/>
      <x:c r="AM193" s="27"/>
      <x:c r="AN193" s="27"/>
      <x:c r="AO193" s="27"/>
      <x:c r="AP193" s="27"/>
      <x:c r="AQ193" s="27"/>
      <x:c r="AR193" s="27"/>
      <x:c r="AS193" s="27"/>
      <x:c r="AT193" s="27"/>
      <x:c r="AU193" s="27"/>
      <x:c r="AV193" s="27"/>
      <x:c r="AW193" s="27"/>
      <x:c r="AX193" s="27"/>
      <x:c r="AY193" s="27"/>
      <x:c r="AZ193" s="27"/>
    </x:row>
    <x:row r="194">
      <x:c r="A194" s="27"/>
      <x:c r="B194" s="27"/>
      <x:c r="C194" s="27"/>
      <x:c r="D194" s="27"/>
      <x:c r="E194" s="27"/>
      <x:c r="F194" s="27"/>
      <x:c r="G194" s="27"/>
      <x:c r="H194" s="27"/>
      <x:c r="I194" s="27"/>
      <x:c r="J194" s="27"/>
      <x:c r="K194" s="27"/>
      <x:c r="L194" s="27"/>
      <x:c r="M194" s="27"/>
      <x:c r="N194" s="27"/>
      <x:c r="O194" s="27"/>
      <x:c r="P194" s="27"/>
      <x:c r="Q194" s="27"/>
      <x:c r="R194" s="27"/>
      <x:c r="S194" s="27"/>
      <x:c r="T194" s="27"/>
      <x:c r="U194" s="27"/>
      <x:c r="V194" s="27"/>
      <x:c r="W194" s="27"/>
      <x:c r="X194" s="27"/>
      <x:c r="Y194" s="27"/>
      <x:c r="Z194" s="27"/>
      <x:c r="AA194" s="27"/>
      <x:c r="AB194" s="27"/>
      <x:c r="AC194" s="27"/>
      <x:c r="AD194" s="27"/>
      <x:c r="AE194" s="27"/>
      <x:c r="AF194" s="27"/>
      <x:c r="AG194" s="27"/>
      <x:c r="AH194" s="27"/>
      <x:c r="AI194" s="27"/>
      <x:c r="AJ194" s="27"/>
      <x:c r="AK194" s="27"/>
      <x:c r="AL194" s="27"/>
      <x:c r="AM194" s="27"/>
      <x:c r="AN194" s="27"/>
      <x:c r="AO194" s="27"/>
      <x:c r="AP194" s="27"/>
      <x:c r="AQ194" s="27"/>
      <x:c r="AR194" s="27"/>
      <x:c r="AS194" s="27"/>
      <x:c r="AT194" s="27"/>
      <x:c r="AU194" s="27"/>
      <x:c r="AV194" s="27"/>
      <x:c r="AW194" s="27"/>
      <x:c r="AX194" s="27"/>
      <x:c r="AY194" s="27"/>
      <x:c r="AZ194" s="27"/>
    </x:row>
    <x:row r="195">
      <x:c r="A195" s="27"/>
      <x:c r="B195" s="27"/>
      <x:c r="C195" s="27"/>
      <x:c r="D195" s="27"/>
      <x:c r="E195" s="27"/>
      <x:c r="F195" s="27"/>
      <x:c r="G195" s="27"/>
      <x:c r="H195" s="27"/>
      <x:c r="I195" s="27"/>
      <x:c r="J195" s="27"/>
      <x:c r="K195" s="27"/>
      <x:c r="L195" s="27"/>
      <x:c r="M195" s="27"/>
      <x:c r="N195" s="27"/>
      <x:c r="O195" s="27"/>
      <x:c r="P195" s="27"/>
      <x:c r="Q195" s="27"/>
      <x:c r="R195" s="27"/>
      <x:c r="S195" s="27"/>
      <x:c r="T195" s="27"/>
      <x:c r="U195" s="27"/>
      <x:c r="V195" s="27"/>
      <x:c r="W195" s="27"/>
      <x:c r="X195" s="27"/>
      <x:c r="Y195" s="27"/>
      <x:c r="Z195" s="27"/>
      <x:c r="AA195" s="27"/>
      <x:c r="AB195" s="27"/>
      <x:c r="AC195" s="27"/>
      <x:c r="AD195" s="27"/>
      <x:c r="AE195" s="27"/>
      <x:c r="AF195" s="27"/>
      <x:c r="AG195" s="27"/>
      <x:c r="AH195" s="27"/>
      <x:c r="AI195" s="27"/>
      <x:c r="AJ195" s="27"/>
      <x:c r="AK195" s="27"/>
      <x:c r="AL195" s="27"/>
      <x:c r="AM195" s="27"/>
      <x:c r="AN195" s="27"/>
      <x:c r="AO195" s="27"/>
      <x:c r="AP195" s="27"/>
      <x:c r="AQ195" s="27"/>
      <x:c r="AR195" s="27"/>
      <x:c r="AS195" s="27"/>
      <x:c r="AT195" s="27"/>
      <x:c r="AU195" s="27"/>
      <x:c r="AV195" s="27"/>
      <x:c r="AW195" s="27"/>
      <x:c r="AX195" s="27"/>
      <x:c r="AY195" s="27"/>
      <x:c r="AZ195" s="27"/>
    </x:row>
    <x:row r="196">
      <x:c r="A196" s="27"/>
      <x:c r="B196" s="27"/>
      <x:c r="C196" s="27"/>
      <x:c r="D196" s="27"/>
      <x:c r="E196" s="27"/>
      <x:c r="F196" s="27"/>
      <x:c r="G196" s="27"/>
      <x:c r="H196" s="27"/>
      <x:c r="I196" s="27"/>
      <x:c r="J196" s="27"/>
      <x:c r="K196" s="27"/>
      <x:c r="L196" s="27"/>
      <x:c r="M196" s="27"/>
      <x:c r="N196" s="27"/>
      <x:c r="O196" s="27"/>
      <x:c r="P196" s="27"/>
      <x:c r="Q196" s="27"/>
      <x:c r="R196" s="27"/>
      <x:c r="S196" s="27"/>
      <x:c r="T196" s="27"/>
      <x:c r="U196" s="27"/>
      <x:c r="V196" s="27"/>
      <x:c r="W196" s="27"/>
      <x:c r="X196" s="27"/>
      <x:c r="Y196" s="27"/>
      <x:c r="Z196" s="27"/>
      <x:c r="AA196" s="27"/>
      <x:c r="AB196" s="27"/>
      <x:c r="AC196" s="27"/>
      <x:c r="AD196" s="27"/>
      <x:c r="AE196" s="27"/>
      <x:c r="AF196" s="27"/>
      <x:c r="AG196" s="27"/>
      <x:c r="AH196" s="27"/>
      <x:c r="AI196" s="27"/>
      <x:c r="AJ196" s="27"/>
      <x:c r="AK196" s="27"/>
      <x:c r="AL196" s="27"/>
      <x:c r="AM196" s="27"/>
      <x:c r="AN196" s="27"/>
      <x:c r="AO196" s="27"/>
      <x:c r="AP196" s="27"/>
      <x:c r="AQ196" s="27"/>
      <x:c r="AR196" s="27"/>
      <x:c r="AS196" s="27"/>
      <x:c r="AT196" s="27"/>
      <x:c r="AU196" s="27"/>
      <x:c r="AV196" s="27"/>
      <x:c r="AW196" s="27"/>
      <x:c r="AX196" s="27"/>
      <x:c r="AY196" s="27"/>
      <x:c r="AZ196" s="27"/>
    </x:row>
    <x:row r="197">
      <x:c r="A197" s="27"/>
      <x:c r="B197" s="27"/>
      <x:c r="C197" s="27"/>
      <x:c r="D197" s="27"/>
      <x:c r="E197" s="27"/>
      <x:c r="F197" s="27"/>
      <x:c r="G197" s="27"/>
      <x:c r="H197" s="27"/>
      <x:c r="I197" s="27"/>
      <x:c r="J197" s="27"/>
      <x:c r="K197" s="27"/>
      <x:c r="L197" s="27"/>
      <x:c r="M197" s="27"/>
      <x:c r="N197" s="27"/>
      <x:c r="O197" s="27"/>
      <x:c r="P197" s="27"/>
      <x:c r="Q197" s="27"/>
      <x:c r="R197" s="27"/>
      <x:c r="S197" s="27"/>
      <x:c r="T197" s="27"/>
      <x:c r="U197" s="27"/>
      <x:c r="V197" s="27"/>
      <x:c r="W197" s="27"/>
      <x:c r="X197" s="27"/>
      <x:c r="Y197" s="27"/>
      <x:c r="Z197" s="27"/>
      <x:c r="AA197" s="27"/>
      <x:c r="AB197" s="27"/>
      <x:c r="AC197" s="27"/>
      <x:c r="AD197" s="27"/>
      <x:c r="AE197" s="27"/>
      <x:c r="AF197" s="27"/>
      <x:c r="AG197" s="27"/>
      <x:c r="AH197" s="27"/>
      <x:c r="AI197" s="27"/>
      <x:c r="AJ197" s="27"/>
      <x:c r="AK197" s="27"/>
      <x:c r="AL197" s="27"/>
      <x:c r="AM197" s="27"/>
      <x:c r="AN197" s="27"/>
      <x:c r="AO197" s="27"/>
      <x:c r="AP197" s="27"/>
      <x:c r="AQ197" s="27"/>
      <x:c r="AR197" s="27"/>
      <x:c r="AS197" s="27"/>
      <x:c r="AT197" s="27"/>
      <x:c r="AU197" s="27"/>
      <x:c r="AV197" s="27"/>
      <x:c r="AW197" s="27"/>
      <x:c r="AX197" s="27"/>
      <x:c r="AY197" s="27"/>
      <x:c r="AZ197" s="27"/>
    </x:row>
    <x:row r="198">
      <x:c r="A198" s="27"/>
      <x:c r="B198" s="27"/>
      <x:c r="C198" s="27"/>
      <x:c r="D198" s="27"/>
      <x:c r="E198" s="27"/>
      <x:c r="F198" s="27"/>
      <x:c r="G198" s="27"/>
      <x:c r="H198" s="27"/>
      <x:c r="I198" s="27"/>
      <x:c r="J198" s="27"/>
      <x:c r="K198" s="27"/>
      <x:c r="L198" s="27"/>
      <x:c r="M198" s="27"/>
      <x:c r="N198" s="27"/>
      <x:c r="O198" s="27"/>
      <x:c r="P198" s="27"/>
      <x:c r="Q198" s="27"/>
      <x:c r="R198" s="27"/>
      <x:c r="S198" s="27"/>
      <x:c r="T198" s="27"/>
      <x:c r="U198" s="27"/>
      <x:c r="V198" s="27"/>
      <x:c r="W198" s="27"/>
      <x:c r="X198" s="27"/>
      <x:c r="Y198" s="27"/>
      <x:c r="Z198" s="27"/>
      <x:c r="AA198" s="27"/>
      <x:c r="AB198" s="27"/>
      <x:c r="AC198" s="27"/>
      <x:c r="AD198" s="27"/>
      <x:c r="AE198" s="27"/>
      <x:c r="AF198" s="27"/>
      <x:c r="AG198" s="27"/>
      <x:c r="AH198" s="27"/>
      <x:c r="AI198" s="27"/>
      <x:c r="AJ198" s="27"/>
      <x:c r="AK198" s="27"/>
      <x:c r="AL198" s="27"/>
      <x:c r="AM198" s="27"/>
      <x:c r="AN198" s="27"/>
      <x:c r="AO198" s="27"/>
      <x:c r="AP198" s="27"/>
      <x:c r="AQ198" s="27"/>
      <x:c r="AR198" s="27"/>
      <x:c r="AS198" s="27"/>
      <x:c r="AT198" s="27"/>
      <x:c r="AU198" s="27"/>
      <x:c r="AV198" s="27"/>
      <x:c r="AW198" s="27"/>
      <x:c r="AX198" s="27"/>
      <x:c r="AY198" s="27"/>
      <x:c r="AZ198" s="27"/>
    </x:row>
    <x:row r="199">
      <x:c r="A199" s="27"/>
      <x:c r="B199" s="27"/>
      <x:c r="C199" s="27"/>
      <x:c r="D199" s="27"/>
      <x:c r="E199" s="27"/>
      <x:c r="F199" s="27"/>
      <x:c r="G199" s="27"/>
      <x:c r="H199" s="27"/>
      <x:c r="I199" s="27"/>
      <x:c r="J199" s="27"/>
      <x:c r="K199" s="27"/>
      <x:c r="L199" s="27"/>
      <x:c r="M199" s="27"/>
      <x:c r="N199" s="27"/>
      <x:c r="O199" s="27"/>
      <x:c r="P199" s="27"/>
      <x:c r="Q199" s="27"/>
      <x:c r="R199" s="27"/>
      <x:c r="S199" s="27"/>
      <x:c r="T199" s="27"/>
      <x:c r="U199" s="27"/>
      <x:c r="V199" s="27"/>
      <x:c r="W199" s="27"/>
      <x:c r="X199" s="27"/>
      <x:c r="Y199" s="27"/>
      <x:c r="Z199" s="27"/>
      <x:c r="AA199" s="27"/>
      <x:c r="AB199" s="27"/>
      <x:c r="AC199" s="27"/>
      <x:c r="AD199" s="27"/>
      <x:c r="AE199" s="27"/>
      <x:c r="AF199" s="27"/>
      <x:c r="AG199" s="27"/>
      <x:c r="AH199" s="27"/>
      <x:c r="AI199" s="27"/>
      <x:c r="AJ199" s="27"/>
      <x:c r="AK199" s="27"/>
      <x:c r="AL199" s="27"/>
      <x:c r="AM199" s="27"/>
      <x:c r="AN199" s="27"/>
      <x:c r="AO199" s="27"/>
      <x:c r="AP199" s="27"/>
      <x:c r="AQ199" s="27"/>
      <x:c r="AR199" s="27"/>
      <x:c r="AS199" s="27"/>
      <x:c r="AT199" s="27"/>
      <x:c r="AU199" s="27"/>
      <x:c r="AV199" s="27"/>
      <x:c r="AW199" s="27"/>
      <x:c r="AX199" s="27"/>
      <x:c r="AY199" s="27"/>
      <x:c r="AZ199" s="27"/>
    </x:row>
    <x:row r="200">
      <x:c r="A200" s="27"/>
      <x:c r="B200" s="27"/>
      <x:c r="C200" s="27"/>
      <x:c r="D200" s="27"/>
      <x:c r="E200" s="27"/>
      <x:c r="F200" s="27"/>
      <x:c r="G200" s="27"/>
      <x:c r="H200" s="27"/>
      <x:c r="I200" s="27"/>
      <x:c r="J200" s="27"/>
      <x:c r="K200" s="27"/>
      <x:c r="L200" s="27"/>
      <x:c r="M200" s="27"/>
      <x:c r="N200" s="27"/>
      <x:c r="O200" s="27"/>
      <x:c r="P200" s="27"/>
      <x:c r="Q200" s="27"/>
      <x:c r="R200" s="27"/>
      <x:c r="S200" s="27"/>
      <x:c r="T200" s="27"/>
      <x:c r="U200" s="27"/>
      <x:c r="V200" s="27"/>
      <x:c r="W200" s="27"/>
      <x:c r="X200" s="27"/>
      <x:c r="Y200" s="27"/>
      <x:c r="Z200" s="27"/>
      <x:c r="AA200" s="27"/>
      <x:c r="AB200" s="27"/>
      <x:c r="AC200" s="27"/>
      <x:c r="AD200" s="27"/>
      <x:c r="AE200" s="27"/>
      <x:c r="AF200" s="27"/>
      <x:c r="AG200" s="27"/>
      <x:c r="AH200" s="27"/>
      <x:c r="AI200" s="27"/>
      <x:c r="AJ200" s="27"/>
      <x:c r="AK200" s="27"/>
      <x:c r="AL200" s="27"/>
      <x:c r="AM200" s="27"/>
      <x:c r="AN200" s="27"/>
      <x:c r="AO200" s="27"/>
      <x:c r="AP200" s="27"/>
      <x:c r="AQ200" s="27"/>
      <x:c r="AR200" s="27"/>
      <x:c r="AS200" s="27"/>
      <x:c r="AT200" s="27"/>
      <x:c r="AU200" s="27"/>
      <x:c r="AV200" s="27"/>
      <x:c r="AW200" s="27"/>
      <x:c r="AX200" s="27"/>
      <x:c r="AY200" s="27"/>
      <x:c r="AZ200" s="27"/>
    </x:row>
  </x:sheetData>
  <x:mergeCells>
    <x:mergeCell ref="A1:H1"/>
    <x:mergeCell ref="A2:H2"/>
  </x:mergeCells>
  <x:pageMargins left="0.7" right="0.7" top="0.75" bottom="0.75" header="0.3" footer="0.3"/>
  <x:tableParts count="1">
    <x:tablePart xmlns:r="http://schemas.openxmlformats.org/officeDocument/2006/relationships" r:id="R470ec7ff2cdd49e5"/>
  </x:tableParts>
</x:worksheet>
</file>

<file path=xl/worksheets/sheet8.xml><?xml version="1.0" encoding="utf-8"?>
<x:worksheet xmlns:x="http://schemas.openxmlformats.org/spreadsheetml/2006/main">
  <x:sheetFormatPr defaultRowHeight="15"/>
  <x:cols>
    <x:col min="1" max="1" width="12" hidden="0" customWidth="1"/>
    <x:col min="2" max="2" width="24" hidden="0" customWidth="1"/>
    <x:col min="3" max="3" width="12" hidden="0" customWidth="1"/>
    <x:col min="4" max="4" width="20" hidden="0" customWidth="1"/>
    <x:col min="5" max="5" width="20"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s>
  <x:sheetData>
    <x:row r="1" ht="28" customHeight="1">
      <x:c r="A1" s="26" t="str">
        <x:v>CFB27 Center Cards - Selected Extracted Evidence</x:v>
      </x:c>
      <x:c r="B1" s="26"/>
      <x:c r="C1" s="26"/>
      <x:c r="D1" s="26"/>
      <x:c r="E1" s="26"/>
      <x:c r="F1" s="26"/>
      <x:c r="G1" s="26"/>
      <x:c r="H1" s="26"/>
      <x:c r="I1" s="26"/>
      <x:c r="J1" s="26"/>
      <x:c r="K1" s="26"/>
      <x:c r="L1" s="26"/>
      <x:c r="M1" s="26"/>
      <x:c r="N1" s="26"/>
      <x:c r="O1" s="26"/>
      <x:c r="P1" s="26"/>
      <x:c r="Q1" s="26"/>
      <x:c r="R1" s="26"/>
      <x:c r="S1" s="26"/>
      <x:c r="T1" s="26"/>
      <x:c r="U1" s="26"/>
      <x:c r="V1" s="26"/>
      <x:c r="W1" s="27"/>
      <x:c r="X1" s="27"/>
      <x:c r="Y1" s="27"/>
      <x:c r="Z1" s="27"/>
      <x:c r="AA1" s="27"/>
      <x:c r="AB1" s="27"/>
      <x:c r="AC1" s="27"/>
      <x:c r="AD1" s="27"/>
      <x:c r="AE1" s="27"/>
      <x:c r="AF1" s="27"/>
      <x:c r="AG1" s="27"/>
      <x:c r="AH1" s="27"/>
      <x:c r="AI1" s="27"/>
      <x:c r="AJ1" s="27"/>
      <x:c r="AK1" s="27"/>
      <x:c r="AL1" s="27"/>
      <x:c r="AM1" s="27"/>
      <x:c r="AN1" s="27"/>
      <x:c r="AO1" s="27"/>
      <x:c r="AP1" s="27"/>
      <x:c r="AQ1" s="27"/>
      <x:c r="AR1" s="27"/>
      <x:c r="AS1" s="27"/>
      <x:c r="AT1" s="27"/>
      <x:c r="AU1" s="27"/>
      <x:c r="AV1" s="27"/>
      <x:c r="AW1" s="27"/>
      <x:c r="AX1" s="27"/>
      <x:c r="AY1" s="27"/>
      <x:c r="AZ1" s="27"/>
    </x:row>
    <x:row r="2" ht="34" customHeight="1">
      <x:c r="A2" s="28" t="str">
        <x:v>Only visually verified rows are included in v1.0. Remaining center PDFs/screenshots are retained in Source_Registry and Extraction_Queue.</x:v>
      </x:c>
      <x:c r="B2" s="28"/>
      <x:c r="C2" s="28"/>
      <x:c r="D2" s="28"/>
      <x:c r="E2" s="28"/>
      <x:c r="F2" s="28"/>
      <x:c r="G2" s="28"/>
      <x:c r="H2" s="28"/>
      <x:c r="I2" s="28"/>
      <x:c r="J2" s="28"/>
      <x:c r="K2" s="28"/>
      <x:c r="L2" s="28"/>
      <x:c r="M2" s="28"/>
      <x:c r="N2" s="28"/>
      <x:c r="O2" s="28"/>
      <x:c r="P2" s="28"/>
      <x:c r="Q2" s="28"/>
      <x:c r="R2" s="28"/>
      <x:c r="S2" s="28"/>
      <x:c r="T2" s="28"/>
      <x:c r="U2" s="28"/>
      <x:c r="V2" s="28"/>
      <x:c r="W2" s="27"/>
      <x:c r="X2" s="27"/>
      <x:c r="Y2" s="27"/>
      <x:c r="Z2" s="27"/>
      <x:c r="AA2" s="27"/>
      <x:c r="AB2" s="27"/>
      <x:c r="AC2" s="27"/>
      <x:c r="AD2" s="27"/>
      <x:c r="AE2" s="27"/>
      <x:c r="AF2" s="27"/>
      <x:c r="AG2" s="27"/>
      <x:c r="AH2" s="27"/>
      <x:c r="AI2" s="27"/>
      <x:c r="AJ2" s="27"/>
      <x:c r="AK2" s="27"/>
      <x:c r="AL2" s="27"/>
      <x:c r="AM2" s="27"/>
      <x:c r="AN2" s="27"/>
      <x:c r="AO2" s="27"/>
      <x:c r="AP2" s="27"/>
      <x:c r="AQ2" s="27"/>
      <x:c r="AR2" s="27"/>
      <x:c r="AS2" s="27"/>
      <x:c r="AT2" s="27"/>
      <x:c r="AU2" s="27"/>
      <x:c r="AV2" s="27"/>
      <x:c r="AW2" s="27"/>
      <x:c r="AX2" s="27"/>
      <x:c r="AY2" s="27"/>
      <x:c r="AZ2" s="27"/>
    </x:row>
    <x:row r="3">
      <x:c r="A3" s="27"/>
      <x:c r="B3" s="27"/>
      <x:c r="C3" s="27"/>
      <x:c r="D3" s="27"/>
      <x:c r="E3" s="27"/>
      <x:c r="F3" s="27"/>
      <x:c r="G3" s="27"/>
      <x:c r="H3" s="27"/>
      <x:c r="I3" s="27"/>
      <x:c r="J3" s="27"/>
      <x:c r="K3" s="27"/>
      <x:c r="L3" s="27"/>
      <x:c r="M3" s="27"/>
      <x:c r="N3" s="27"/>
      <x:c r="O3" s="27"/>
      <x:c r="P3" s="27"/>
      <x:c r="Q3" s="27"/>
      <x:c r="R3" s="27"/>
      <x:c r="S3" s="27"/>
      <x:c r="T3" s="27"/>
      <x:c r="U3" s="27"/>
      <x:c r="V3" s="27"/>
      <x:c r="W3" s="27"/>
      <x:c r="X3" s="27"/>
      <x:c r="Y3" s="27"/>
      <x:c r="Z3" s="27"/>
      <x:c r="AA3" s="27"/>
      <x:c r="AB3" s="27"/>
      <x:c r="AC3" s="27"/>
      <x:c r="AD3" s="27"/>
      <x:c r="AE3" s="27"/>
      <x:c r="AF3" s="27"/>
      <x:c r="AG3" s="27"/>
      <x:c r="AH3" s="27"/>
      <x:c r="AI3" s="27"/>
      <x:c r="AJ3" s="27"/>
      <x:c r="AK3" s="27"/>
      <x:c r="AL3" s="27"/>
      <x:c r="AM3" s="27"/>
      <x:c r="AN3" s="27"/>
      <x:c r="AO3" s="27"/>
      <x:c r="AP3" s="27"/>
      <x:c r="AQ3" s="27"/>
      <x:c r="AR3" s="27"/>
      <x:c r="AS3" s="27"/>
      <x:c r="AT3" s="27"/>
      <x:c r="AU3" s="27"/>
      <x:c r="AV3" s="27"/>
      <x:c r="AW3" s="27"/>
      <x:c r="AX3" s="27"/>
      <x:c r="AY3" s="27"/>
      <x:c r="AZ3" s="27"/>
    </x:row>
    <x:row r="4" ht="30" customHeight="1">
      <x:c r="A4" s="29" t="str">
        <x:v>Card_ID</x:v>
      </x:c>
      <x:c r="B4" s="29" t="str">
        <x:v>Player</x:v>
      </x:c>
      <x:c r="C4" s="29" t="str">
        <x:v>OVR</x:v>
      </x:c>
      <x:c r="D4" s="29" t="str">
        <x:v>Program</x:v>
      </x:c>
      <x:c r="E4" s="29" t="str">
        <x:v>Archetype</x:v>
      </x:c>
      <x:c r="F4" s="29" t="str">
        <x:v>SPD</x:v>
      </x:c>
      <x:c r="G4" s="29" t="str">
        <x:v>ACC</x:v>
      </x:c>
      <x:c r="H4" s="29" t="str">
        <x:v>AGI</x:v>
      </x:c>
      <x:c r="I4" s="29" t="str">
        <x:v>COD</x:v>
      </x:c>
      <x:c r="J4" s="29" t="str">
        <x:v>AWR</x:v>
      </x:c>
      <x:c r="K4" s="29" t="str">
        <x:v>STR</x:v>
      </x:c>
      <x:c r="L4" s="29" t="str">
        <x:v>TGH</x:v>
      </x:c>
      <x:c r="M4" s="29" t="str">
        <x:v>RBK</x:v>
      </x:c>
      <x:c r="N4" s="29" t="str">
        <x:v>RBF</x:v>
      </x:c>
      <x:c r="O4" s="29" t="str">
        <x:v>RBP</x:v>
      </x:c>
      <x:c r="P4" s="29" t="str">
        <x:v>PBK</x:v>
      </x:c>
      <x:c r="Q4" s="29" t="str">
        <x:v>PBF</x:v>
      </x:c>
      <x:c r="R4" s="29" t="str">
        <x:v>PBP</x:v>
      </x:c>
      <x:c r="S4" s="29" t="str">
        <x:v>LBK</x:v>
      </x:c>
      <x:c r="T4" s="29" t="str">
        <x:v>IBL</x:v>
      </x:c>
      <x:c r="U4" s="29" t="str">
        <x:v>Source_ID</x:v>
      </x:c>
      <x:c r="V4" s="29" t="str">
        <x:v>Source_Page</x:v>
      </x:c>
      <x:c r="W4" s="27"/>
      <x:c r="X4" s="27"/>
      <x:c r="Y4" s="27"/>
      <x:c r="Z4" s="27"/>
      <x:c r="AA4" s="27"/>
      <x:c r="AB4" s="27"/>
      <x:c r="AC4" s="27"/>
      <x:c r="AD4" s="27"/>
      <x:c r="AE4" s="27"/>
      <x:c r="AF4" s="27"/>
      <x:c r="AG4" s="27"/>
      <x:c r="AH4" s="27"/>
      <x:c r="AI4" s="27"/>
      <x:c r="AJ4" s="27"/>
      <x:c r="AK4" s="27"/>
      <x:c r="AL4" s="27"/>
      <x:c r="AM4" s="27"/>
      <x:c r="AN4" s="27"/>
      <x:c r="AO4" s="27"/>
      <x:c r="AP4" s="27"/>
      <x:c r="AQ4" s="27"/>
      <x:c r="AR4" s="27"/>
      <x:c r="AS4" s="27"/>
      <x:c r="AT4" s="27"/>
      <x:c r="AU4" s="27"/>
      <x:c r="AV4" s="27"/>
      <x:c r="AW4" s="27"/>
      <x:c r="AX4" s="27"/>
      <x:c r="AY4" s="27"/>
      <x:c r="AZ4" s="27"/>
    </x:row>
    <x:row r="5">
      <x:c r="A5" s="30" t="str">
        <x:v>C-0001</x:v>
      </x:c>
      <x:c r="B5" s="30" t="str">
        <x:v>Ashton Beers</x:v>
      </x:c>
      <x:c r="C5" s="30" t="n">
        <x:v>85</x:v>
      </x:c>
      <x:c r="D5" s="30" t="str">
        <x:v>Standouts</x:v>
      </x:c>
      <x:c r="E5" s="30" t="str">
        <x:v>Raw Strength</x:v>
      </x:c>
      <x:c r="F5" s="30" t="n">
        <x:v>67</x:v>
      </x:c>
      <x:c r="G5" s="30" t="n">
        <x:v>66</x:v>
      </x:c>
      <x:c r="H5" s="30" t="n">
        <x:v>65</x:v>
      </x:c>
      <x:c r="I5" s="30" t="n">
        <x:v>62</x:v>
      </x:c>
      <x:c r="J5" s="30" t="n">
        <x:v>82</x:v>
      </x:c>
      <x:c r="K5" s="30" t="n">
        <x:v>85</x:v>
      </x:c>
      <x:c r="L5" s="30" t="n">
        <x:v>90</x:v>
      </x:c>
      <x:c r="M5" s="30" t="n">
        <x:v>84</x:v>
      </x:c>
      <x:c r="N5" s="30" t="n">
        <x:v>81</x:v>
      </x:c>
      <x:c r="O5" s="30" t="n">
        <x:v>86</x:v>
      </x:c>
      <x:c r="P5" s="30" t="n">
        <x:v>83</x:v>
      </x:c>
      <x:c r="Q5" s="30" t="n">
        <x:v>81</x:v>
      </x:c>
      <x:c r="R5" s="30" t="n">
        <x:v>85</x:v>
      </x:c>
      <x:c r="S5" s="30" t="n">
        <x:v>77</x:v>
      </x:c>
      <x:c r="T5" s="30" t="n">
        <x:v>85</x:v>
      </x:c>
      <x:c r="U5" s="30" t="str">
        <x:v>SRC-C-RAW-001</x:v>
      </x:c>
      <x:c r="V5" s="30" t="n">
        <x:v>1</x:v>
      </x:c>
      <x:c r="W5" s="27"/>
      <x:c r="X5" s="27"/>
      <x:c r="Y5" s="27"/>
      <x:c r="Z5" s="27"/>
      <x:c r="AA5" s="27"/>
      <x:c r="AB5" s="27"/>
      <x:c r="AC5" s="27"/>
      <x:c r="AD5" s="27"/>
      <x:c r="AE5" s="27"/>
      <x:c r="AF5" s="27"/>
      <x:c r="AG5" s="27"/>
      <x:c r="AH5" s="27"/>
      <x:c r="AI5" s="27"/>
      <x:c r="AJ5" s="27"/>
      <x:c r="AK5" s="27"/>
      <x:c r="AL5" s="27"/>
      <x:c r="AM5" s="27"/>
      <x:c r="AN5" s="27"/>
      <x:c r="AO5" s="27"/>
      <x:c r="AP5" s="27"/>
      <x:c r="AQ5" s="27"/>
      <x:c r="AR5" s="27"/>
      <x:c r="AS5" s="27"/>
      <x:c r="AT5" s="27"/>
      <x:c r="AU5" s="27"/>
      <x:c r="AV5" s="27"/>
      <x:c r="AW5" s="27"/>
      <x:c r="AX5" s="27"/>
      <x:c r="AY5" s="27"/>
      <x:c r="AZ5" s="27"/>
    </x:row>
    <x:row r="6">
      <x:c r="A6" s="30" t="str">
        <x:v>C-0002</x:v>
      </x:c>
      <x:c r="B6" s="30" t="str">
        <x:v>Justin Evans</x:v>
      </x:c>
      <x:c r="C6" s="30" t="n">
        <x:v>84</x:v>
      </x:c>
      <x:c r="D6" s="30" t="str">
        <x:v>Platinum Rare</x:v>
      </x:c>
      <x:c r="E6" s="30" t="str">
        <x:v>Raw Strength</x:v>
      </x:c>
      <x:c r="F6" s="30" t="n">
        <x:v>66</x:v>
      </x:c>
      <x:c r="G6" s="30" t="n">
        <x:v>67</x:v>
      </x:c>
      <x:c r="H6" s="30" t="n">
        <x:v>67</x:v>
      </x:c>
      <x:c r="I6" s="30" t="n">
        <x:v>64</x:v>
      </x:c>
      <x:c r="J6" s="30" t="n">
        <x:v>82</x:v>
      </x:c>
      <x:c r="K6" s="30" t="n">
        <x:v>83</x:v>
      </x:c>
      <x:c r="L6" s="30" t="n">
        <x:v>84</x:v>
      </x:c>
      <x:c r="M6" s="30" t="n">
        <x:v>83</x:v>
      </x:c>
      <x:c r="N6" s="30" t="n">
        <x:v>82</x:v>
      </x:c>
      <x:c r="O6" s="30" t="n">
        <x:v>83</x:v>
      </x:c>
      <x:c r="P6" s="30" t="n">
        <x:v>83</x:v>
      </x:c>
      <x:c r="Q6" s="30" t="n">
        <x:v>82</x:v>
      </x:c>
      <x:c r="R6" s="30" t="n">
        <x:v>83</x:v>
      </x:c>
      <x:c r="S6" s="30" t="n">
        <x:v>81</x:v>
      </x:c>
      <x:c r="T6" s="30" t="n">
        <x:v>83</x:v>
      </x:c>
      <x:c r="U6" s="30" t="str">
        <x:v>SRC-C-RAW-001</x:v>
      </x:c>
      <x:c r="V6" s="30" t="n">
        <x:v>2</x:v>
      </x:c>
      <x:c r="W6" s="27"/>
      <x:c r="X6" s="27"/>
      <x:c r="Y6" s="27"/>
      <x:c r="Z6" s="27"/>
      <x:c r="AA6" s="27"/>
      <x:c r="AB6" s="27"/>
      <x:c r="AC6" s="27"/>
      <x:c r="AD6" s="27"/>
      <x:c r="AE6" s="27"/>
      <x:c r="AF6" s="27"/>
      <x:c r="AG6" s="27"/>
      <x:c r="AH6" s="27"/>
      <x:c r="AI6" s="27"/>
      <x:c r="AJ6" s="27"/>
      <x:c r="AK6" s="27"/>
      <x:c r="AL6" s="27"/>
      <x:c r="AM6" s="27"/>
      <x:c r="AN6" s="27"/>
      <x:c r="AO6" s="27"/>
      <x:c r="AP6" s="27"/>
      <x:c r="AQ6" s="27"/>
      <x:c r="AR6" s="27"/>
      <x:c r="AS6" s="27"/>
      <x:c r="AT6" s="27"/>
      <x:c r="AU6" s="27"/>
      <x:c r="AV6" s="27"/>
      <x:c r="AW6" s="27"/>
      <x:c r="AX6" s="27"/>
      <x:c r="AY6" s="27"/>
      <x:c r="AZ6" s="27"/>
    </x:row>
    <x:row r="7">
      <x:c r="A7" s="30" t="str">
        <x:v>C-0003</x:v>
      </x:c>
      <x:c r="B7" s="30" t="str">
        <x:v>Bruce Mitchell</x:v>
      </x:c>
      <x:c r="C7" s="30" t="n">
        <x:v>84</x:v>
      </x:c>
      <x:c r="D7" s="30" t="str">
        <x:v>Platinum Rare</x:v>
      </x:c>
      <x:c r="E7" s="30" t="str">
        <x:v>Raw Strength</x:v>
      </x:c>
      <x:c r="F7" s="30" t="n">
        <x:v>64</x:v>
      </x:c>
      <x:c r="G7" s="30" t="n">
        <x:v>65</x:v>
      </x:c>
      <x:c r="H7" s="30" t="n">
        <x:v>63</x:v>
      </x:c>
      <x:c r="I7" s="30" t="n">
        <x:v>55</x:v>
      </x:c>
      <x:c r="J7" s="30" t="n">
        <x:v>81</x:v>
      </x:c>
      <x:c r="K7" s="30" t="n">
        <x:v>82</x:v>
      </x:c>
      <x:c r="L7" s="30" t="n">
        <x:v>83</x:v>
      </x:c>
      <x:c r="M7" s="30" t="n">
        <x:v>85</x:v>
      </x:c>
      <x:c r="N7" s="30" t="n">
        <x:v>84</x:v>
      </x:c>
      <x:c r="O7" s="30" t="n">
        <x:v>85</x:v>
      </x:c>
      <x:c r="P7" s="30" t="n">
        <x:v>81</x:v>
      </x:c>
      <x:c r="Q7" s="30" t="n">
        <x:v>79</x:v>
      </x:c>
      <x:c r="R7" s="30" t="n">
        <x:v>83</x:v>
      </x:c>
      <x:c r="S7" s="30" t="n">
        <x:v>83</x:v>
      </x:c>
      <x:c r="T7" s="30" t="n">
        <x:v>81</x:v>
      </x:c>
      <x:c r="U7" s="30" t="str">
        <x:v>SRC-C-RAW-001</x:v>
      </x:c>
      <x:c r="V7" s="30" t="n">
        <x:v>3</x:v>
      </x:c>
      <x:c r="W7" s="27"/>
      <x:c r="X7" s="27"/>
      <x:c r="Y7" s="27"/>
      <x:c r="Z7" s="27"/>
      <x:c r="AA7" s="27"/>
      <x:c r="AB7" s="27"/>
      <x:c r="AC7" s="27"/>
      <x:c r="AD7" s="27"/>
      <x:c r="AE7" s="27"/>
      <x:c r="AF7" s="27"/>
      <x:c r="AG7" s="27"/>
      <x:c r="AH7" s="27"/>
      <x:c r="AI7" s="27"/>
      <x:c r="AJ7" s="27"/>
      <x:c r="AK7" s="27"/>
      <x:c r="AL7" s="27"/>
      <x:c r="AM7" s="27"/>
      <x:c r="AN7" s="27"/>
      <x:c r="AO7" s="27"/>
      <x:c r="AP7" s="27"/>
      <x:c r="AQ7" s="27"/>
      <x:c r="AR7" s="27"/>
      <x:c r="AS7" s="27"/>
      <x:c r="AT7" s="27"/>
      <x:c r="AU7" s="27"/>
      <x:c r="AV7" s="27"/>
      <x:c r="AW7" s="27"/>
      <x:c r="AX7" s="27"/>
      <x:c r="AY7" s="27"/>
      <x:c r="AZ7" s="27"/>
    </x:row>
    <x:row r="8">
      <x:c r="A8" s="27"/>
      <x:c r="B8" s="27"/>
      <x:c r="C8" s="27"/>
      <x:c r="D8" s="27"/>
      <x:c r="E8" s="27"/>
      <x:c r="F8" s="27"/>
      <x:c r="G8" s="27"/>
      <x:c r="H8" s="27"/>
      <x:c r="I8" s="27"/>
      <x:c r="J8" s="27"/>
      <x:c r="K8" s="27"/>
      <x:c r="L8" s="27"/>
      <x:c r="M8" s="27"/>
      <x:c r="N8" s="27"/>
      <x:c r="O8" s="27"/>
      <x:c r="P8" s="27"/>
      <x:c r="Q8" s="27"/>
      <x:c r="R8" s="27"/>
      <x:c r="S8" s="27"/>
      <x:c r="T8" s="27"/>
      <x:c r="U8" s="27"/>
      <x:c r="V8" s="27"/>
      <x:c r="W8" s="27"/>
      <x:c r="X8" s="27"/>
      <x:c r="Y8" s="27"/>
      <x:c r="Z8" s="27"/>
      <x:c r="AA8" s="27"/>
      <x:c r="AB8" s="27"/>
      <x:c r="AC8" s="27"/>
      <x:c r="AD8" s="27"/>
      <x:c r="AE8" s="27"/>
      <x:c r="AF8" s="27"/>
      <x:c r="AG8" s="27"/>
      <x:c r="AH8" s="27"/>
      <x:c r="AI8" s="27"/>
      <x:c r="AJ8" s="27"/>
      <x:c r="AK8" s="27"/>
      <x:c r="AL8" s="27"/>
      <x:c r="AM8" s="27"/>
      <x:c r="AN8" s="27"/>
      <x:c r="AO8" s="27"/>
      <x:c r="AP8" s="27"/>
      <x:c r="AQ8" s="27"/>
      <x:c r="AR8" s="27"/>
      <x:c r="AS8" s="27"/>
      <x:c r="AT8" s="27"/>
      <x:c r="AU8" s="27"/>
      <x:c r="AV8" s="27"/>
      <x:c r="AW8" s="27"/>
      <x:c r="AX8" s="27"/>
      <x:c r="AY8" s="27"/>
      <x:c r="AZ8" s="27"/>
    </x:row>
    <x:row r="9">
      <x:c r="A9" s="27"/>
      <x:c r="B9" s="27"/>
      <x:c r="C9" s="27"/>
      <x:c r="D9" s="27"/>
      <x:c r="E9" s="27"/>
      <x:c r="F9" s="27"/>
      <x:c r="G9" s="27"/>
      <x:c r="H9" s="27"/>
      <x:c r="I9" s="27"/>
      <x:c r="J9" s="27"/>
      <x:c r="K9" s="27"/>
      <x:c r="L9" s="27"/>
      <x:c r="M9" s="27"/>
      <x:c r="N9" s="27"/>
      <x:c r="O9" s="27"/>
      <x:c r="P9" s="27"/>
      <x:c r="Q9" s="27"/>
      <x:c r="R9" s="27"/>
      <x:c r="S9" s="27"/>
      <x:c r="T9" s="27"/>
      <x:c r="U9" s="27"/>
      <x:c r="V9" s="27"/>
      <x:c r="W9" s="27"/>
      <x:c r="X9" s="27"/>
      <x:c r="Y9" s="27"/>
      <x:c r="Z9" s="27"/>
      <x:c r="AA9" s="27"/>
      <x:c r="AB9" s="27"/>
      <x:c r="AC9" s="27"/>
      <x:c r="AD9" s="27"/>
      <x:c r="AE9" s="27"/>
      <x:c r="AF9" s="27"/>
      <x:c r="AG9" s="27"/>
      <x:c r="AH9" s="27"/>
      <x:c r="AI9" s="27"/>
      <x:c r="AJ9" s="27"/>
      <x:c r="AK9" s="27"/>
      <x:c r="AL9" s="27"/>
      <x:c r="AM9" s="27"/>
      <x:c r="AN9" s="27"/>
      <x:c r="AO9" s="27"/>
      <x:c r="AP9" s="27"/>
      <x:c r="AQ9" s="27"/>
      <x:c r="AR9" s="27"/>
      <x:c r="AS9" s="27"/>
      <x:c r="AT9" s="27"/>
      <x:c r="AU9" s="27"/>
      <x:c r="AV9" s="27"/>
      <x:c r="AW9" s="27"/>
      <x:c r="AX9" s="27"/>
      <x:c r="AY9" s="27"/>
      <x:c r="AZ9" s="27"/>
    </x:row>
    <x:row r="10">
      <x:c r="A10" s="27"/>
      <x:c r="B10" s="27"/>
      <x:c r="C10" s="27"/>
      <x:c r="D10" s="27"/>
      <x:c r="E10" s="27"/>
      <x:c r="F10" s="27"/>
      <x:c r="G10" s="27"/>
      <x:c r="H10" s="27"/>
      <x:c r="I10" s="27"/>
      <x:c r="J10" s="27"/>
      <x:c r="K10" s="27"/>
      <x:c r="L10" s="27"/>
      <x:c r="M10" s="27"/>
      <x:c r="N10" s="27"/>
      <x:c r="O10" s="27"/>
      <x:c r="P10" s="27"/>
      <x:c r="Q10" s="27"/>
      <x:c r="R10" s="27"/>
      <x:c r="S10" s="27"/>
      <x:c r="T10" s="27"/>
      <x:c r="U10" s="27"/>
      <x:c r="V10" s="27"/>
      <x:c r="W10" s="27"/>
      <x:c r="X10" s="27"/>
      <x:c r="Y10" s="27"/>
      <x:c r="Z10" s="27"/>
      <x:c r="AA10" s="27"/>
      <x:c r="AB10" s="27"/>
      <x:c r="AC10" s="27"/>
      <x:c r="AD10" s="27"/>
      <x:c r="AE10" s="27"/>
      <x:c r="AF10" s="27"/>
      <x:c r="AG10" s="27"/>
      <x:c r="AH10" s="27"/>
      <x:c r="AI10" s="27"/>
      <x:c r="AJ10" s="27"/>
      <x:c r="AK10" s="27"/>
      <x:c r="AL10" s="27"/>
      <x:c r="AM10" s="27"/>
      <x:c r="AN10" s="27"/>
      <x:c r="AO10" s="27"/>
      <x:c r="AP10" s="27"/>
      <x:c r="AQ10" s="27"/>
      <x:c r="AR10" s="27"/>
      <x:c r="AS10" s="27"/>
      <x:c r="AT10" s="27"/>
      <x:c r="AU10" s="27"/>
      <x:c r="AV10" s="27"/>
      <x:c r="AW10" s="27"/>
      <x:c r="AX10" s="27"/>
      <x:c r="AY10" s="27"/>
      <x:c r="AZ10" s="27"/>
    </x:row>
    <x:row r="11">
      <x:c r="A11" s="27"/>
      <x:c r="B11" s="27"/>
      <x:c r="C11" s="27"/>
      <x:c r="D11" s="27"/>
      <x:c r="E11" s="27"/>
      <x:c r="F11" s="27"/>
      <x:c r="G11" s="27"/>
      <x:c r="H11" s="27"/>
      <x:c r="I11" s="27"/>
      <x:c r="J11" s="27"/>
      <x:c r="K11" s="27"/>
      <x:c r="L11" s="27"/>
      <x:c r="M11" s="27"/>
      <x:c r="N11" s="27"/>
      <x:c r="O11" s="27"/>
      <x:c r="P11" s="27"/>
      <x:c r="Q11" s="27"/>
      <x:c r="R11" s="27"/>
      <x:c r="S11" s="27"/>
      <x:c r="T11" s="27"/>
      <x:c r="U11" s="27"/>
      <x:c r="V11" s="27"/>
      <x:c r="W11" s="27"/>
      <x:c r="X11" s="27"/>
      <x:c r="Y11" s="27"/>
      <x:c r="Z11" s="27"/>
      <x:c r="AA11" s="27"/>
      <x:c r="AB11" s="27"/>
      <x:c r="AC11" s="27"/>
      <x:c r="AD11" s="27"/>
      <x:c r="AE11" s="27"/>
      <x:c r="AF11" s="27"/>
      <x:c r="AG11" s="27"/>
      <x:c r="AH11" s="27"/>
      <x:c r="AI11" s="27"/>
      <x:c r="AJ11" s="27"/>
      <x:c r="AK11" s="27"/>
      <x:c r="AL11" s="27"/>
      <x:c r="AM11" s="27"/>
      <x:c r="AN11" s="27"/>
      <x:c r="AO11" s="27"/>
      <x:c r="AP11" s="27"/>
      <x:c r="AQ11" s="27"/>
      <x:c r="AR11" s="27"/>
      <x:c r="AS11" s="27"/>
      <x:c r="AT11" s="27"/>
      <x:c r="AU11" s="27"/>
      <x:c r="AV11" s="27"/>
      <x:c r="AW11" s="27"/>
      <x:c r="AX11" s="27"/>
      <x:c r="AY11" s="27"/>
      <x:c r="AZ11" s="27"/>
    </x:row>
    <x:row r="12">
      <x:c r="A12" s="27"/>
      <x:c r="B12" s="27"/>
      <x:c r="C12" s="27"/>
      <x:c r="D12" s="27"/>
      <x:c r="E12" s="27"/>
      <x:c r="F12" s="27"/>
      <x:c r="G12" s="27"/>
      <x:c r="H12" s="27"/>
      <x:c r="I12" s="27"/>
      <x:c r="J12" s="27"/>
      <x:c r="K12" s="27"/>
      <x:c r="L12" s="27"/>
      <x:c r="M12" s="27"/>
      <x:c r="N12" s="27"/>
      <x:c r="O12" s="27"/>
      <x:c r="P12" s="27"/>
      <x:c r="Q12" s="27"/>
      <x:c r="R12" s="27"/>
      <x:c r="S12" s="27"/>
      <x:c r="T12" s="27"/>
      <x:c r="U12" s="27"/>
      <x:c r="V12" s="27"/>
      <x:c r="W12" s="27"/>
      <x:c r="X12" s="27"/>
      <x:c r="Y12" s="27"/>
      <x:c r="Z12" s="27"/>
      <x:c r="AA12" s="27"/>
      <x:c r="AB12" s="27"/>
      <x:c r="AC12" s="27"/>
      <x:c r="AD12" s="27"/>
      <x:c r="AE12" s="27"/>
      <x:c r="AF12" s="27"/>
      <x:c r="AG12" s="27"/>
      <x:c r="AH12" s="27"/>
      <x:c r="AI12" s="27"/>
      <x:c r="AJ12" s="27"/>
      <x:c r="AK12" s="27"/>
      <x:c r="AL12" s="27"/>
      <x:c r="AM12" s="27"/>
      <x:c r="AN12" s="27"/>
      <x:c r="AO12" s="27"/>
      <x:c r="AP12" s="27"/>
      <x:c r="AQ12" s="27"/>
      <x:c r="AR12" s="27"/>
      <x:c r="AS12" s="27"/>
      <x:c r="AT12" s="27"/>
      <x:c r="AU12" s="27"/>
      <x:c r="AV12" s="27"/>
      <x:c r="AW12" s="27"/>
      <x:c r="AX12" s="27"/>
      <x:c r="AY12" s="27"/>
      <x:c r="AZ12" s="27"/>
    </x:row>
    <x:row r="13">
      <x:c r="A13" s="27"/>
      <x:c r="B13" s="27"/>
      <x:c r="C13" s="27"/>
      <x:c r="D13" s="27"/>
      <x:c r="E13" s="27"/>
      <x:c r="F13" s="27"/>
      <x:c r="G13" s="27"/>
      <x:c r="H13" s="27"/>
      <x:c r="I13" s="27"/>
      <x:c r="J13" s="27"/>
      <x:c r="K13" s="27"/>
      <x:c r="L13" s="27"/>
      <x:c r="M13" s="27"/>
      <x:c r="N13" s="27"/>
      <x:c r="O13" s="27"/>
      <x:c r="P13" s="27"/>
      <x:c r="Q13" s="27"/>
      <x:c r="R13" s="27"/>
      <x:c r="S13" s="27"/>
      <x:c r="T13" s="27"/>
      <x:c r="U13" s="27"/>
      <x:c r="V13" s="27"/>
      <x:c r="W13" s="27"/>
      <x:c r="X13" s="27"/>
      <x:c r="Y13" s="27"/>
      <x:c r="Z13" s="27"/>
      <x:c r="AA13" s="27"/>
      <x:c r="AB13" s="27"/>
      <x:c r="AC13" s="27"/>
      <x:c r="AD13" s="27"/>
      <x:c r="AE13" s="27"/>
      <x:c r="AF13" s="27"/>
      <x:c r="AG13" s="27"/>
      <x:c r="AH13" s="27"/>
      <x:c r="AI13" s="27"/>
      <x:c r="AJ13" s="27"/>
      <x:c r="AK13" s="27"/>
      <x:c r="AL13" s="27"/>
      <x:c r="AM13" s="27"/>
      <x:c r="AN13" s="27"/>
      <x:c r="AO13" s="27"/>
      <x:c r="AP13" s="27"/>
      <x:c r="AQ13" s="27"/>
      <x:c r="AR13" s="27"/>
      <x:c r="AS13" s="27"/>
      <x:c r="AT13" s="27"/>
      <x:c r="AU13" s="27"/>
      <x:c r="AV13" s="27"/>
      <x:c r="AW13" s="27"/>
      <x:c r="AX13" s="27"/>
      <x:c r="AY13" s="27"/>
      <x:c r="AZ13" s="27"/>
    </x:row>
    <x:row r="14">
      <x:c r="A14" s="27"/>
      <x:c r="B14" s="27"/>
      <x:c r="C14" s="27"/>
      <x:c r="D14" s="27"/>
      <x:c r="E14" s="27"/>
      <x:c r="F14" s="27"/>
      <x:c r="G14" s="27"/>
      <x:c r="H14" s="27"/>
      <x:c r="I14" s="27"/>
      <x:c r="J14" s="27"/>
      <x:c r="K14" s="27"/>
      <x:c r="L14" s="27"/>
      <x:c r="M14" s="27"/>
      <x:c r="N14" s="27"/>
      <x:c r="O14" s="27"/>
      <x:c r="P14" s="27"/>
      <x:c r="Q14" s="27"/>
      <x:c r="R14" s="27"/>
      <x:c r="S14" s="27"/>
      <x:c r="T14" s="27"/>
      <x:c r="U14" s="27"/>
      <x:c r="V14" s="27"/>
      <x:c r="W14" s="27"/>
      <x:c r="X14" s="27"/>
      <x:c r="Y14" s="27"/>
      <x:c r="Z14" s="27"/>
      <x:c r="AA14" s="27"/>
      <x:c r="AB14" s="27"/>
      <x:c r="AC14" s="27"/>
      <x:c r="AD14" s="27"/>
      <x:c r="AE14" s="27"/>
      <x:c r="AF14" s="27"/>
      <x:c r="AG14" s="27"/>
      <x:c r="AH14" s="27"/>
      <x:c r="AI14" s="27"/>
      <x:c r="AJ14" s="27"/>
      <x:c r="AK14" s="27"/>
      <x:c r="AL14" s="27"/>
      <x:c r="AM14" s="27"/>
      <x:c r="AN14" s="27"/>
      <x:c r="AO14" s="27"/>
      <x:c r="AP14" s="27"/>
      <x:c r="AQ14" s="27"/>
      <x:c r="AR14" s="27"/>
      <x:c r="AS14" s="27"/>
      <x:c r="AT14" s="27"/>
      <x:c r="AU14" s="27"/>
      <x:c r="AV14" s="27"/>
      <x:c r="AW14" s="27"/>
      <x:c r="AX14" s="27"/>
      <x:c r="AY14" s="27"/>
      <x:c r="AZ14" s="27"/>
    </x:row>
    <x:row r="15">
      <x:c r="A15" s="27"/>
      <x:c r="B15" s="27"/>
      <x:c r="C15" s="27"/>
      <x:c r="D15" s="27"/>
      <x:c r="E15" s="27"/>
      <x:c r="F15" s="27"/>
      <x:c r="G15" s="27"/>
      <x:c r="H15" s="27"/>
      <x:c r="I15" s="27"/>
      <x:c r="J15" s="27"/>
      <x:c r="K15" s="27"/>
      <x:c r="L15" s="27"/>
      <x:c r="M15" s="27"/>
      <x:c r="N15" s="27"/>
      <x:c r="O15" s="27"/>
      <x:c r="P15" s="27"/>
      <x:c r="Q15" s="27"/>
      <x:c r="R15" s="27"/>
      <x:c r="S15" s="27"/>
      <x:c r="T15" s="27"/>
      <x:c r="U15" s="27"/>
      <x:c r="V15" s="27"/>
      <x:c r="W15" s="27"/>
      <x:c r="X15" s="27"/>
      <x:c r="Y15" s="27"/>
      <x:c r="Z15" s="27"/>
      <x:c r="AA15" s="27"/>
      <x:c r="AB15" s="27"/>
      <x:c r="AC15" s="27"/>
      <x:c r="AD15" s="27"/>
      <x:c r="AE15" s="27"/>
      <x:c r="AF15" s="27"/>
      <x:c r="AG15" s="27"/>
      <x:c r="AH15" s="27"/>
      <x:c r="AI15" s="27"/>
      <x:c r="AJ15" s="27"/>
      <x:c r="AK15" s="27"/>
      <x:c r="AL15" s="27"/>
      <x:c r="AM15" s="27"/>
      <x:c r="AN15" s="27"/>
      <x:c r="AO15" s="27"/>
      <x:c r="AP15" s="27"/>
      <x:c r="AQ15" s="27"/>
      <x:c r="AR15" s="27"/>
      <x:c r="AS15" s="27"/>
      <x:c r="AT15" s="27"/>
      <x:c r="AU15" s="27"/>
      <x:c r="AV15" s="27"/>
      <x:c r="AW15" s="27"/>
      <x:c r="AX15" s="27"/>
      <x:c r="AY15" s="27"/>
      <x:c r="AZ15" s="27"/>
    </x:row>
    <x:row r="16">
      <x:c r="A16" s="27"/>
      <x:c r="B16" s="27"/>
      <x:c r="C16" s="27"/>
      <x:c r="D16" s="27"/>
      <x:c r="E16" s="27"/>
      <x:c r="F16" s="27"/>
      <x:c r="G16" s="27"/>
      <x:c r="H16" s="27"/>
      <x:c r="I16" s="27"/>
      <x:c r="J16" s="27"/>
      <x:c r="K16" s="27"/>
      <x:c r="L16" s="27"/>
      <x:c r="M16" s="27"/>
      <x:c r="N16" s="27"/>
      <x:c r="O16" s="27"/>
      <x:c r="P16" s="27"/>
      <x:c r="Q16" s="27"/>
      <x:c r="R16" s="27"/>
      <x:c r="S16" s="27"/>
      <x:c r="T16" s="27"/>
      <x:c r="U16" s="27"/>
      <x:c r="V16" s="27"/>
      <x:c r="W16" s="27"/>
      <x:c r="X16" s="27"/>
      <x:c r="Y16" s="27"/>
      <x:c r="Z16" s="27"/>
      <x:c r="AA16" s="27"/>
      <x:c r="AB16" s="27"/>
      <x:c r="AC16" s="27"/>
      <x:c r="AD16" s="27"/>
      <x:c r="AE16" s="27"/>
      <x:c r="AF16" s="27"/>
      <x:c r="AG16" s="27"/>
      <x:c r="AH16" s="27"/>
      <x:c r="AI16" s="27"/>
      <x:c r="AJ16" s="27"/>
      <x:c r="AK16" s="27"/>
      <x:c r="AL16" s="27"/>
      <x:c r="AM16" s="27"/>
      <x:c r="AN16" s="27"/>
      <x:c r="AO16" s="27"/>
      <x:c r="AP16" s="27"/>
      <x:c r="AQ16" s="27"/>
      <x:c r="AR16" s="27"/>
      <x:c r="AS16" s="27"/>
      <x:c r="AT16" s="27"/>
      <x:c r="AU16" s="27"/>
      <x:c r="AV16" s="27"/>
      <x:c r="AW16" s="27"/>
      <x:c r="AX16" s="27"/>
      <x:c r="AY16" s="27"/>
      <x:c r="AZ16" s="27"/>
    </x:row>
    <x:row r="17">
      <x:c r="A17" s="27"/>
      <x:c r="B17" s="27"/>
      <x:c r="C17" s="27"/>
      <x:c r="D17" s="27"/>
      <x:c r="E17" s="27"/>
      <x:c r="F17" s="27"/>
      <x:c r="G17" s="27"/>
      <x:c r="H17" s="27"/>
      <x:c r="I17" s="27"/>
      <x:c r="J17" s="27"/>
      <x:c r="K17" s="27"/>
      <x:c r="L17" s="27"/>
      <x:c r="M17" s="27"/>
      <x:c r="N17" s="27"/>
      <x:c r="O17" s="27"/>
      <x:c r="P17" s="27"/>
      <x:c r="Q17" s="27"/>
      <x:c r="R17" s="27"/>
      <x:c r="S17" s="27"/>
      <x:c r="T17" s="27"/>
      <x:c r="U17" s="27"/>
      <x:c r="V17" s="27"/>
      <x:c r="W17" s="27"/>
      <x:c r="X17" s="27"/>
      <x:c r="Y17" s="27"/>
      <x:c r="Z17" s="27"/>
      <x:c r="AA17" s="27"/>
      <x:c r="AB17" s="27"/>
      <x:c r="AC17" s="27"/>
      <x:c r="AD17" s="27"/>
      <x:c r="AE17" s="27"/>
      <x:c r="AF17" s="27"/>
      <x:c r="AG17" s="27"/>
      <x:c r="AH17" s="27"/>
      <x:c r="AI17" s="27"/>
      <x:c r="AJ17" s="27"/>
      <x:c r="AK17" s="27"/>
      <x:c r="AL17" s="27"/>
      <x:c r="AM17" s="27"/>
      <x:c r="AN17" s="27"/>
      <x:c r="AO17" s="27"/>
      <x:c r="AP17" s="27"/>
      <x:c r="AQ17" s="27"/>
      <x:c r="AR17" s="27"/>
      <x:c r="AS17" s="27"/>
      <x:c r="AT17" s="27"/>
      <x:c r="AU17" s="27"/>
      <x:c r="AV17" s="27"/>
      <x:c r="AW17" s="27"/>
      <x:c r="AX17" s="27"/>
      <x:c r="AY17" s="27"/>
      <x:c r="AZ17" s="27"/>
    </x:row>
    <x:row r="18">
      <x:c r="A18" s="27"/>
      <x:c r="B18" s="27"/>
      <x:c r="C18" s="27"/>
      <x:c r="D18" s="27"/>
      <x:c r="E18" s="27"/>
      <x:c r="F18" s="27"/>
      <x:c r="G18" s="27"/>
      <x:c r="H18" s="27"/>
      <x:c r="I18" s="27"/>
      <x:c r="J18" s="27"/>
      <x:c r="K18" s="27"/>
      <x:c r="L18" s="27"/>
      <x:c r="M18" s="27"/>
      <x:c r="N18" s="27"/>
      <x:c r="O18" s="27"/>
      <x:c r="P18" s="27"/>
      <x:c r="Q18" s="27"/>
      <x:c r="R18" s="27"/>
      <x:c r="S18" s="27"/>
      <x:c r="T18" s="27"/>
      <x:c r="U18" s="27"/>
      <x:c r="V18" s="27"/>
      <x:c r="W18" s="27"/>
      <x:c r="X18" s="27"/>
      <x:c r="Y18" s="27"/>
      <x:c r="Z18" s="27"/>
      <x:c r="AA18" s="27"/>
      <x:c r="AB18" s="27"/>
      <x:c r="AC18" s="27"/>
      <x:c r="AD18" s="27"/>
      <x:c r="AE18" s="27"/>
      <x:c r="AF18" s="27"/>
      <x:c r="AG18" s="27"/>
      <x:c r="AH18" s="27"/>
      <x:c r="AI18" s="27"/>
      <x:c r="AJ18" s="27"/>
      <x:c r="AK18" s="27"/>
      <x:c r="AL18" s="27"/>
      <x:c r="AM18" s="27"/>
      <x:c r="AN18" s="27"/>
      <x:c r="AO18" s="27"/>
      <x:c r="AP18" s="27"/>
      <x:c r="AQ18" s="27"/>
      <x:c r="AR18" s="27"/>
      <x:c r="AS18" s="27"/>
      <x:c r="AT18" s="27"/>
      <x:c r="AU18" s="27"/>
      <x:c r="AV18" s="27"/>
      <x:c r="AW18" s="27"/>
      <x:c r="AX18" s="27"/>
      <x:c r="AY18" s="27"/>
      <x:c r="AZ18" s="27"/>
    </x:row>
    <x:row r="19">
      <x:c r="A19" s="27"/>
      <x:c r="B19" s="27"/>
      <x:c r="C19" s="27"/>
      <x:c r="D19" s="27"/>
      <x:c r="E19" s="27"/>
      <x:c r="F19" s="27"/>
      <x:c r="G19" s="27"/>
      <x:c r="H19" s="27"/>
      <x:c r="I19" s="27"/>
      <x:c r="J19" s="27"/>
      <x:c r="K19" s="27"/>
      <x:c r="L19" s="27"/>
      <x:c r="M19" s="27"/>
      <x:c r="N19" s="27"/>
      <x:c r="O19" s="27"/>
      <x:c r="P19" s="27"/>
      <x:c r="Q19" s="27"/>
      <x:c r="R19" s="27"/>
      <x:c r="S19" s="27"/>
      <x:c r="T19" s="27"/>
      <x:c r="U19" s="27"/>
      <x:c r="V19" s="27"/>
      <x:c r="W19" s="27"/>
      <x:c r="X19" s="27"/>
      <x:c r="Y19" s="27"/>
      <x:c r="Z19" s="27"/>
      <x:c r="AA19" s="27"/>
      <x:c r="AB19" s="27"/>
      <x:c r="AC19" s="27"/>
      <x:c r="AD19" s="27"/>
      <x:c r="AE19" s="27"/>
      <x:c r="AF19" s="27"/>
      <x:c r="AG19" s="27"/>
      <x:c r="AH19" s="27"/>
      <x:c r="AI19" s="27"/>
      <x:c r="AJ19" s="27"/>
      <x:c r="AK19" s="27"/>
      <x:c r="AL19" s="27"/>
      <x:c r="AM19" s="27"/>
      <x:c r="AN19" s="27"/>
      <x:c r="AO19" s="27"/>
      <x:c r="AP19" s="27"/>
      <x:c r="AQ19" s="27"/>
      <x:c r="AR19" s="27"/>
      <x:c r="AS19" s="27"/>
      <x:c r="AT19" s="27"/>
      <x:c r="AU19" s="27"/>
      <x:c r="AV19" s="27"/>
      <x:c r="AW19" s="27"/>
      <x:c r="AX19" s="27"/>
      <x:c r="AY19" s="27"/>
      <x:c r="AZ19" s="27"/>
    </x:row>
    <x:row r="20">
      <x:c r="A20" s="27"/>
      <x:c r="B20" s="27"/>
      <x:c r="C20" s="27"/>
      <x:c r="D20" s="27"/>
      <x:c r="E20" s="27"/>
      <x:c r="F20" s="27"/>
      <x:c r="G20" s="27"/>
      <x:c r="H20" s="27"/>
      <x:c r="I20" s="27"/>
      <x:c r="J20" s="27"/>
      <x:c r="K20" s="27"/>
      <x:c r="L20" s="27"/>
      <x:c r="M20" s="27"/>
      <x:c r="N20" s="27"/>
      <x:c r="O20" s="27"/>
      <x:c r="P20" s="27"/>
      <x:c r="Q20" s="27"/>
      <x:c r="R20" s="27"/>
      <x:c r="S20" s="27"/>
      <x:c r="T20" s="27"/>
      <x:c r="U20" s="27"/>
      <x:c r="V20" s="27"/>
      <x:c r="W20" s="27"/>
      <x:c r="X20" s="27"/>
      <x:c r="Y20" s="27"/>
      <x:c r="Z20" s="27"/>
      <x:c r="AA20" s="27"/>
      <x:c r="AB20" s="27"/>
      <x:c r="AC20" s="27"/>
      <x:c r="AD20" s="27"/>
      <x:c r="AE20" s="27"/>
      <x:c r="AF20" s="27"/>
      <x:c r="AG20" s="27"/>
      <x:c r="AH20" s="27"/>
      <x:c r="AI20" s="27"/>
      <x:c r="AJ20" s="27"/>
      <x:c r="AK20" s="27"/>
      <x:c r="AL20" s="27"/>
      <x:c r="AM20" s="27"/>
      <x:c r="AN20" s="27"/>
      <x:c r="AO20" s="27"/>
      <x:c r="AP20" s="27"/>
      <x:c r="AQ20" s="27"/>
      <x:c r="AR20" s="27"/>
      <x:c r="AS20" s="27"/>
      <x:c r="AT20" s="27"/>
      <x:c r="AU20" s="27"/>
      <x:c r="AV20" s="27"/>
      <x:c r="AW20" s="27"/>
      <x:c r="AX20" s="27"/>
      <x:c r="AY20" s="27"/>
      <x:c r="AZ20" s="27"/>
    </x:row>
    <x:row r="21">
      <x:c r="A21" s="27"/>
      <x:c r="B21" s="27"/>
      <x:c r="C21" s="27"/>
      <x:c r="D21" s="27"/>
      <x:c r="E21" s="27"/>
      <x:c r="F21" s="27"/>
      <x:c r="G21" s="27"/>
      <x:c r="H21" s="27"/>
      <x:c r="I21" s="27"/>
      <x:c r="J21" s="27"/>
      <x:c r="K21" s="27"/>
      <x:c r="L21" s="27"/>
      <x:c r="M21" s="27"/>
      <x:c r="N21" s="27"/>
      <x:c r="O21" s="27"/>
      <x:c r="P21" s="27"/>
      <x:c r="Q21" s="27"/>
      <x:c r="R21" s="27"/>
      <x:c r="S21" s="27"/>
      <x:c r="T21" s="27"/>
      <x:c r="U21" s="27"/>
      <x:c r="V21" s="27"/>
      <x:c r="W21" s="27"/>
      <x:c r="X21" s="27"/>
      <x:c r="Y21" s="27"/>
      <x:c r="Z21" s="27"/>
      <x:c r="AA21" s="27"/>
      <x:c r="AB21" s="27"/>
      <x:c r="AC21" s="27"/>
      <x:c r="AD21" s="27"/>
      <x:c r="AE21" s="27"/>
      <x:c r="AF21" s="27"/>
      <x:c r="AG21" s="27"/>
      <x:c r="AH21" s="27"/>
      <x:c r="AI21" s="27"/>
      <x:c r="AJ21" s="27"/>
      <x:c r="AK21" s="27"/>
      <x:c r="AL21" s="27"/>
      <x:c r="AM21" s="27"/>
      <x:c r="AN21" s="27"/>
      <x:c r="AO21" s="27"/>
      <x:c r="AP21" s="27"/>
      <x:c r="AQ21" s="27"/>
      <x:c r="AR21" s="27"/>
      <x:c r="AS21" s="27"/>
      <x:c r="AT21" s="27"/>
      <x:c r="AU21" s="27"/>
      <x:c r="AV21" s="27"/>
      <x:c r="AW21" s="27"/>
      <x:c r="AX21" s="27"/>
      <x:c r="AY21" s="27"/>
      <x:c r="AZ21" s="27"/>
    </x:row>
    <x:row r="22">
      <x:c r="A22" s="27"/>
      <x:c r="B22" s="27"/>
      <x:c r="C22" s="27"/>
      <x:c r="D22" s="27"/>
      <x:c r="E22" s="27"/>
      <x:c r="F22" s="27"/>
      <x:c r="G22" s="27"/>
      <x:c r="H22" s="27"/>
      <x:c r="I22" s="27"/>
      <x:c r="J22" s="27"/>
      <x:c r="K22" s="27"/>
      <x:c r="L22" s="27"/>
      <x:c r="M22" s="27"/>
      <x:c r="N22" s="27"/>
      <x:c r="O22" s="27"/>
      <x:c r="P22" s="27"/>
      <x:c r="Q22" s="27"/>
      <x:c r="R22" s="27"/>
      <x:c r="S22" s="27"/>
      <x:c r="T22" s="27"/>
      <x:c r="U22" s="27"/>
      <x:c r="V22" s="27"/>
      <x:c r="W22" s="27"/>
      <x:c r="X22" s="27"/>
      <x:c r="Y22" s="27"/>
      <x:c r="Z22" s="27"/>
      <x:c r="AA22" s="27"/>
      <x:c r="AB22" s="27"/>
      <x:c r="AC22" s="27"/>
      <x:c r="AD22" s="27"/>
      <x:c r="AE22" s="27"/>
      <x:c r="AF22" s="27"/>
      <x:c r="AG22" s="27"/>
      <x:c r="AH22" s="27"/>
      <x:c r="AI22" s="27"/>
      <x:c r="AJ22" s="27"/>
      <x:c r="AK22" s="27"/>
      <x:c r="AL22" s="27"/>
      <x:c r="AM22" s="27"/>
      <x:c r="AN22" s="27"/>
      <x:c r="AO22" s="27"/>
      <x:c r="AP22" s="27"/>
      <x:c r="AQ22" s="27"/>
      <x:c r="AR22" s="27"/>
      <x:c r="AS22" s="27"/>
      <x:c r="AT22" s="27"/>
      <x:c r="AU22" s="27"/>
      <x:c r="AV22" s="27"/>
      <x:c r="AW22" s="27"/>
      <x:c r="AX22" s="27"/>
      <x:c r="AY22" s="27"/>
      <x:c r="AZ22" s="27"/>
    </x:row>
    <x:row r="23">
      <x:c r="A23" s="27"/>
      <x:c r="B23" s="27"/>
      <x:c r="C23" s="27"/>
      <x:c r="D23" s="27"/>
      <x:c r="E23" s="27"/>
      <x:c r="F23" s="27"/>
      <x:c r="G23" s="27"/>
      <x:c r="H23" s="27"/>
      <x:c r="I23" s="27"/>
      <x:c r="J23" s="27"/>
      <x:c r="K23" s="27"/>
      <x:c r="L23" s="27"/>
      <x:c r="M23" s="27"/>
      <x:c r="N23" s="27"/>
      <x:c r="O23" s="27"/>
      <x:c r="P23" s="27"/>
      <x:c r="Q23" s="27"/>
      <x:c r="R23" s="27"/>
      <x:c r="S23" s="27"/>
      <x:c r="T23" s="27"/>
      <x:c r="U23" s="27"/>
      <x:c r="V23" s="27"/>
      <x:c r="W23" s="27"/>
      <x:c r="X23" s="27"/>
      <x:c r="Y23" s="27"/>
      <x:c r="Z23" s="27"/>
      <x:c r="AA23" s="27"/>
      <x:c r="AB23" s="27"/>
      <x:c r="AC23" s="27"/>
      <x:c r="AD23" s="27"/>
      <x:c r="AE23" s="27"/>
      <x:c r="AF23" s="27"/>
      <x:c r="AG23" s="27"/>
      <x:c r="AH23" s="27"/>
      <x:c r="AI23" s="27"/>
      <x:c r="AJ23" s="27"/>
      <x:c r="AK23" s="27"/>
      <x:c r="AL23" s="27"/>
      <x:c r="AM23" s="27"/>
      <x:c r="AN23" s="27"/>
      <x:c r="AO23" s="27"/>
      <x:c r="AP23" s="27"/>
      <x:c r="AQ23" s="27"/>
      <x:c r="AR23" s="27"/>
      <x:c r="AS23" s="27"/>
      <x:c r="AT23" s="27"/>
      <x:c r="AU23" s="27"/>
      <x:c r="AV23" s="27"/>
      <x:c r="AW23" s="27"/>
      <x:c r="AX23" s="27"/>
      <x:c r="AY23" s="27"/>
      <x:c r="AZ23" s="27"/>
    </x:row>
    <x:row r="24">
      <x:c r="A24" s="27"/>
      <x:c r="B24" s="27"/>
      <x:c r="C24" s="27"/>
      <x:c r="D24" s="27"/>
      <x:c r="E24" s="27"/>
      <x:c r="F24" s="27"/>
      <x:c r="G24" s="27"/>
      <x:c r="H24" s="27"/>
      <x:c r="I24" s="27"/>
      <x:c r="J24" s="27"/>
      <x:c r="K24" s="27"/>
      <x:c r="L24" s="27"/>
      <x:c r="M24" s="27"/>
      <x:c r="N24" s="27"/>
      <x:c r="O24" s="27"/>
      <x:c r="P24" s="27"/>
      <x:c r="Q24" s="27"/>
      <x:c r="R24" s="27"/>
      <x:c r="S24" s="27"/>
      <x:c r="T24" s="27"/>
      <x:c r="U24" s="27"/>
      <x:c r="V24" s="27"/>
      <x:c r="W24" s="27"/>
      <x:c r="X24" s="27"/>
      <x:c r="Y24" s="27"/>
      <x:c r="Z24" s="27"/>
      <x:c r="AA24" s="27"/>
      <x:c r="AB24" s="27"/>
      <x:c r="AC24" s="27"/>
      <x:c r="AD24" s="27"/>
      <x:c r="AE24" s="27"/>
      <x:c r="AF24" s="27"/>
      <x:c r="AG24" s="27"/>
      <x:c r="AH24" s="27"/>
      <x:c r="AI24" s="27"/>
      <x:c r="AJ24" s="27"/>
      <x:c r="AK24" s="27"/>
      <x:c r="AL24" s="27"/>
      <x:c r="AM24" s="27"/>
      <x:c r="AN24" s="27"/>
      <x:c r="AO24" s="27"/>
      <x:c r="AP24" s="27"/>
      <x:c r="AQ24" s="27"/>
      <x:c r="AR24" s="27"/>
      <x:c r="AS24" s="27"/>
      <x:c r="AT24" s="27"/>
      <x:c r="AU24" s="27"/>
      <x:c r="AV24" s="27"/>
      <x:c r="AW24" s="27"/>
      <x:c r="AX24" s="27"/>
      <x:c r="AY24" s="27"/>
      <x:c r="AZ24" s="27"/>
    </x:row>
    <x:row r="25">
      <x:c r="A25" s="27"/>
      <x:c r="B25" s="27"/>
      <x:c r="C25" s="27"/>
      <x:c r="D25" s="27"/>
      <x:c r="E25" s="27"/>
      <x:c r="F25" s="27"/>
      <x:c r="G25" s="27"/>
      <x:c r="H25" s="27"/>
      <x:c r="I25" s="27"/>
      <x:c r="J25" s="27"/>
      <x:c r="K25" s="27"/>
      <x:c r="L25" s="27"/>
      <x:c r="M25" s="27"/>
      <x:c r="N25" s="27"/>
      <x:c r="O25" s="27"/>
      <x:c r="P25" s="27"/>
      <x:c r="Q25" s="27"/>
      <x:c r="R25" s="27"/>
      <x:c r="S25" s="27"/>
      <x:c r="T25" s="27"/>
      <x:c r="U25" s="27"/>
      <x:c r="V25" s="27"/>
      <x:c r="W25" s="27"/>
      <x:c r="X25" s="27"/>
      <x:c r="Y25" s="27"/>
      <x:c r="Z25" s="27"/>
      <x:c r="AA25" s="27"/>
      <x:c r="AB25" s="27"/>
      <x:c r="AC25" s="27"/>
      <x:c r="AD25" s="27"/>
      <x:c r="AE25" s="27"/>
      <x:c r="AF25" s="27"/>
      <x:c r="AG25" s="27"/>
      <x:c r="AH25" s="27"/>
      <x:c r="AI25" s="27"/>
      <x:c r="AJ25" s="27"/>
      <x:c r="AK25" s="27"/>
      <x:c r="AL25" s="27"/>
      <x:c r="AM25" s="27"/>
      <x:c r="AN25" s="27"/>
      <x:c r="AO25" s="27"/>
      <x:c r="AP25" s="27"/>
      <x:c r="AQ25" s="27"/>
      <x:c r="AR25" s="27"/>
      <x:c r="AS25" s="27"/>
      <x:c r="AT25" s="27"/>
      <x:c r="AU25" s="27"/>
      <x:c r="AV25" s="27"/>
      <x:c r="AW25" s="27"/>
      <x:c r="AX25" s="27"/>
      <x:c r="AY25" s="27"/>
      <x:c r="AZ25" s="27"/>
    </x:row>
    <x:row r="26">
      <x:c r="A26" s="27"/>
      <x:c r="B26" s="27"/>
      <x:c r="C26" s="27"/>
      <x:c r="D26" s="27"/>
      <x:c r="E26" s="27"/>
      <x:c r="F26" s="27"/>
      <x:c r="G26" s="27"/>
      <x:c r="H26" s="27"/>
      <x:c r="I26" s="27"/>
      <x:c r="J26" s="27"/>
      <x:c r="K26" s="27"/>
      <x:c r="L26" s="27"/>
      <x:c r="M26" s="27"/>
      <x:c r="N26" s="27"/>
      <x:c r="O26" s="27"/>
      <x:c r="P26" s="27"/>
      <x:c r="Q26" s="27"/>
      <x:c r="R26" s="27"/>
      <x:c r="S26" s="27"/>
      <x:c r="T26" s="27"/>
      <x:c r="U26" s="27"/>
      <x:c r="V26" s="27"/>
      <x:c r="W26" s="27"/>
      <x:c r="X26" s="27"/>
      <x:c r="Y26" s="27"/>
      <x:c r="Z26" s="27"/>
      <x:c r="AA26" s="27"/>
      <x:c r="AB26" s="27"/>
      <x:c r="AC26" s="27"/>
      <x:c r="AD26" s="27"/>
      <x:c r="AE26" s="27"/>
      <x:c r="AF26" s="27"/>
      <x:c r="AG26" s="27"/>
      <x:c r="AH26" s="27"/>
      <x:c r="AI26" s="27"/>
      <x:c r="AJ26" s="27"/>
      <x:c r="AK26" s="27"/>
      <x:c r="AL26" s="27"/>
      <x:c r="AM26" s="27"/>
      <x:c r="AN26" s="27"/>
      <x:c r="AO26" s="27"/>
      <x:c r="AP26" s="27"/>
      <x:c r="AQ26" s="27"/>
      <x:c r="AR26" s="27"/>
      <x:c r="AS26" s="27"/>
      <x:c r="AT26" s="27"/>
      <x:c r="AU26" s="27"/>
      <x:c r="AV26" s="27"/>
      <x:c r="AW26" s="27"/>
      <x:c r="AX26" s="27"/>
      <x:c r="AY26" s="27"/>
      <x:c r="AZ26" s="27"/>
    </x:row>
    <x:row r="27">
      <x:c r="A27" s="27"/>
      <x:c r="B27" s="27"/>
      <x:c r="C27" s="27"/>
      <x:c r="D27" s="27"/>
      <x:c r="E27" s="27"/>
      <x:c r="F27" s="27"/>
      <x:c r="G27" s="27"/>
      <x:c r="H27" s="27"/>
      <x:c r="I27" s="27"/>
      <x:c r="J27" s="27"/>
      <x:c r="K27" s="27"/>
      <x:c r="L27" s="27"/>
      <x:c r="M27" s="27"/>
      <x:c r="N27" s="27"/>
      <x:c r="O27" s="27"/>
      <x:c r="P27" s="27"/>
      <x:c r="Q27" s="27"/>
      <x:c r="R27" s="27"/>
      <x:c r="S27" s="27"/>
      <x:c r="T27" s="27"/>
      <x:c r="U27" s="27"/>
      <x:c r="V27" s="27"/>
      <x:c r="W27" s="27"/>
      <x:c r="X27" s="27"/>
      <x:c r="Y27" s="27"/>
      <x:c r="Z27" s="27"/>
      <x:c r="AA27" s="27"/>
      <x:c r="AB27" s="27"/>
      <x:c r="AC27" s="27"/>
      <x:c r="AD27" s="27"/>
      <x:c r="AE27" s="27"/>
      <x:c r="AF27" s="27"/>
      <x:c r="AG27" s="27"/>
      <x:c r="AH27" s="27"/>
      <x:c r="AI27" s="27"/>
      <x:c r="AJ27" s="27"/>
      <x:c r="AK27" s="27"/>
      <x:c r="AL27" s="27"/>
      <x:c r="AM27" s="27"/>
      <x:c r="AN27" s="27"/>
      <x:c r="AO27" s="27"/>
      <x:c r="AP27" s="27"/>
      <x:c r="AQ27" s="27"/>
      <x:c r="AR27" s="27"/>
      <x:c r="AS27" s="27"/>
      <x:c r="AT27" s="27"/>
      <x:c r="AU27" s="27"/>
      <x:c r="AV27" s="27"/>
      <x:c r="AW27" s="27"/>
      <x:c r="AX27" s="27"/>
      <x:c r="AY27" s="27"/>
      <x:c r="AZ27" s="27"/>
    </x:row>
    <x:row r="28">
      <x:c r="A28" s="27"/>
      <x:c r="B28" s="27"/>
      <x:c r="C28" s="27"/>
      <x:c r="D28" s="27"/>
      <x:c r="E28" s="27"/>
      <x:c r="F28" s="27"/>
      <x:c r="G28" s="27"/>
      <x:c r="H28" s="27"/>
      <x:c r="I28" s="27"/>
      <x:c r="J28" s="27"/>
      <x:c r="K28" s="27"/>
      <x:c r="L28" s="27"/>
      <x:c r="M28" s="27"/>
      <x:c r="N28" s="27"/>
      <x:c r="O28" s="27"/>
      <x:c r="P28" s="27"/>
      <x:c r="Q28" s="27"/>
      <x:c r="R28" s="27"/>
      <x:c r="S28" s="27"/>
      <x:c r="T28" s="27"/>
      <x:c r="U28" s="27"/>
      <x:c r="V28" s="27"/>
      <x:c r="W28" s="27"/>
      <x:c r="X28" s="27"/>
      <x:c r="Y28" s="27"/>
      <x:c r="Z28" s="27"/>
      <x:c r="AA28" s="27"/>
      <x:c r="AB28" s="27"/>
      <x:c r="AC28" s="27"/>
      <x:c r="AD28" s="27"/>
      <x:c r="AE28" s="27"/>
      <x:c r="AF28" s="27"/>
      <x:c r="AG28" s="27"/>
      <x:c r="AH28" s="27"/>
      <x:c r="AI28" s="27"/>
      <x:c r="AJ28" s="27"/>
      <x:c r="AK28" s="27"/>
      <x:c r="AL28" s="27"/>
      <x:c r="AM28" s="27"/>
      <x:c r="AN28" s="27"/>
      <x:c r="AO28" s="27"/>
      <x:c r="AP28" s="27"/>
      <x:c r="AQ28" s="27"/>
      <x:c r="AR28" s="27"/>
      <x:c r="AS28" s="27"/>
      <x:c r="AT28" s="27"/>
      <x:c r="AU28" s="27"/>
      <x:c r="AV28" s="27"/>
      <x:c r="AW28" s="27"/>
      <x:c r="AX28" s="27"/>
      <x:c r="AY28" s="27"/>
      <x:c r="AZ28" s="27"/>
    </x:row>
    <x:row r="29">
      <x:c r="A29" s="27"/>
      <x:c r="B29" s="27"/>
      <x:c r="C29" s="27"/>
      <x:c r="D29" s="27"/>
      <x:c r="E29" s="27"/>
      <x:c r="F29" s="27"/>
      <x:c r="G29" s="27"/>
      <x:c r="H29" s="27"/>
      <x:c r="I29" s="27"/>
      <x:c r="J29" s="27"/>
      <x:c r="K29" s="27"/>
      <x:c r="L29" s="27"/>
      <x:c r="M29" s="27"/>
      <x:c r="N29" s="27"/>
      <x:c r="O29" s="27"/>
      <x:c r="P29" s="27"/>
      <x:c r="Q29" s="27"/>
      <x:c r="R29" s="27"/>
      <x:c r="S29" s="27"/>
      <x:c r="T29" s="27"/>
      <x:c r="U29" s="27"/>
      <x:c r="V29" s="27"/>
      <x:c r="W29" s="27"/>
      <x:c r="X29" s="27"/>
      <x:c r="Y29" s="27"/>
      <x:c r="Z29" s="27"/>
      <x:c r="AA29" s="27"/>
      <x:c r="AB29" s="27"/>
      <x:c r="AC29" s="27"/>
      <x:c r="AD29" s="27"/>
      <x:c r="AE29" s="27"/>
      <x:c r="AF29" s="27"/>
      <x:c r="AG29" s="27"/>
      <x:c r="AH29" s="27"/>
      <x:c r="AI29" s="27"/>
      <x:c r="AJ29" s="27"/>
      <x:c r="AK29" s="27"/>
      <x:c r="AL29" s="27"/>
      <x:c r="AM29" s="27"/>
      <x:c r="AN29" s="27"/>
      <x:c r="AO29" s="27"/>
      <x:c r="AP29" s="27"/>
      <x:c r="AQ29" s="27"/>
      <x:c r="AR29" s="27"/>
      <x:c r="AS29" s="27"/>
      <x:c r="AT29" s="27"/>
      <x:c r="AU29" s="27"/>
      <x:c r="AV29" s="27"/>
      <x:c r="AW29" s="27"/>
      <x:c r="AX29" s="27"/>
      <x:c r="AY29" s="27"/>
      <x:c r="AZ29" s="27"/>
    </x:row>
    <x:row r="30">
      <x:c r="A30" s="27"/>
      <x:c r="B30" s="27"/>
      <x:c r="C30" s="27"/>
      <x:c r="D30" s="27"/>
      <x:c r="E30" s="27"/>
      <x:c r="F30" s="27"/>
      <x:c r="G30" s="27"/>
      <x:c r="H30" s="27"/>
      <x:c r="I30" s="27"/>
      <x:c r="J30" s="27"/>
      <x:c r="K30" s="27"/>
      <x:c r="L30" s="27"/>
      <x:c r="M30" s="27"/>
      <x:c r="N30" s="27"/>
      <x:c r="O30" s="27"/>
      <x:c r="P30" s="27"/>
      <x:c r="Q30" s="27"/>
      <x:c r="R30" s="27"/>
      <x:c r="S30" s="27"/>
      <x:c r="T30" s="27"/>
      <x:c r="U30" s="27"/>
      <x:c r="V30" s="27"/>
      <x:c r="W30" s="27"/>
      <x:c r="X30" s="27"/>
      <x:c r="Y30" s="27"/>
      <x:c r="Z30" s="27"/>
      <x:c r="AA30" s="27"/>
      <x:c r="AB30" s="27"/>
      <x:c r="AC30" s="27"/>
      <x:c r="AD30" s="27"/>
      <x:c r="AE30" s="27"/>
      <x:c r="AF30" s="27"/>
      <x:c r="AG30" s="27"/>
      <x:c r="AH30" s="27"/>
      <x:c r="AI30" s="27"/>
      <x:c r="AJ30" s="27"/>
      <x:c r="AK30" s="27"/>
      <x:c r="AL30" s="27"/>
      <x:c r="AM30" s="27"/>
      <x:c r="AN30" s="27"/>
      <x:c r="AO30" s="27"/>
      <x:c r="AP30" s="27"/>
      <x:c r="AQ30" s="27"/>
      <x:c r="AR30" s="27"/>
      <x:c r="AS30" s="27"/>
      <x:c r="AT30" s="27"/>
      <x:c r="AU30" s="27"/>
      <x:c r="AV30" s="27"/>
      <x:c r="AW30" s="27"/>
      <x:c r="AX30" s="27"/>
      <x:c r="AY30" s="27"/>
      <x:c r="AZ30" s="27"/>
    </x:row>
    <x:row r="31">
      <x:c r="A31" s="27"/>
      <x:c r="B31" s="27"/>
      <x:c r="C31" s="27"/>
      <x:c r="D31" s="27"/>
      <x:c r="E31" s="27"/>
      <x:c r="F31" s="27"/>
      <x:c r="G31" s="27"/>
      <x:c r="H31" s="27"/>
      <x:c r="I31" s="27"/>
      <x:c r="J31" s="27"/>
      <x:c r="K31" s="27"/>
      <x:c r="L31" s="27"/>
      <x:c r="M31" s="27"/>
      <x:c r="N31" s="27"/>
      <x:c r="O31" s="27"/>
      <x:c r="P31" s="27"/>
      <x:c r="Q31" s="27"/>
      <x:c r="R31" s="27"/>
      <x:c r="S31" s="27"/>
      <x:c r="T31" s="27"/>
      <x:c r="U31" s="27"/>
      <x:c r="V31" s="27"/>
      <x:c r="W31" s="27"/>
      <x:c r="X31" s="27"/>
      <x:c r="Y31" s="27"/>
      <x:c r="Z31" s="27"/>
      <x:c r="AA31" s="27"/>
      <x:c r="AB31" s="27"/>
      <x:c r="AC31" s="27"/>
      <x:c r="AD31" s="27"/>
      <x:c r="AE31" s="27"/>
      <x:c r="AF31" s="27"/>
      <x:c r="AG31" s="27"/>
      <x:c r="AH31" s="27"/>
      <x:c r="AI31" s="27"/>
      <x:c r="AJ31" s="27"/>
      <x:c r="AK31" s="27"/>
      <x:c r="AL31" s="27"/>
      <x:c r="AM31" s="27"/>
      <x:c r="AN31" s="27"/>
      <x:c r="AO31" s="27"/>
      <x:c r="AP31" s="27"/>
      <x:c r="AQ31" s="27"/>
      <x:c r="AR31" s="27"/>
      <x:c r="AS31" s="27"/>
      <x:c r="AT31" s="27"/>
      <x:c r="AU31" s="27"/>
      <x:c r="AV31" s="27"/>
      <x:c r="AW31" s="27"/>
      <x:c r="AX31" s="27"/>
      <x:c r="AY31" s="27"/>
      <x:c r="AZ31" s="27"/>
    </x:row>
    <x:row r="32">
      <x:c r="A32" s="27"/>
      <x:c r="B32" s="27"/>
      <x:c r="C32" s="27"/>
      <x:c r="D32" s="27"/>
      <x:c r="E32" s="27"/>
      <x:c r="F32" s="27"/>
      <x:c r="G32" s="27"/>
      <x:c r="H32" s="27"/>
      <x:c r="I32" s="27"/>
      <x:c r="J32" s="27"/>
      <x:c r="K32" s="27"/>
      <x:c r="L32" s="27"/>
      <x:c r="M32" s="27"/>
      <x:c r="N32" s="27"/>
      <x:c r="O32" s="27"/>
      <x:c r="P32" s="27"/>
      <x:c r="Q32" s="27"/>
      <x:c r="R32" s="27"/>
      <x:c r="S32" s="27"/>
      <x:c r="T32" s="27"/>
      <x:c r="U32" s="27"/>
      <x:c r="V32" s="27"/>
      <x:c r="W32" s="27"/>
      <x:c r="X32" s="27"/>
      <x:c r="Y32" s="27"/>
      <x:c r="Z32" s="27"/>
      <x:c r="AA32" s="27"/>
      <x:c r="AB32" s="27"/>
      <x:c r="AC32" s="27"/>
      <x:c r="AD32" s="27"/>
      <x:c r="AE32" s="27"/>
      <x:c r="AF32" s="27"/>
      <x:c r="AG32" s="27"/>
      <x:c r="AH32" s="27"/>
      <x:c r="AI32" s="27"/>
      <x:c r="AJ32" s="27"/>
      <x:c r="AK32" s="27"/>
      <x:c r="AL32" s="27"/>
      <x:c r="AM32" s="27"/>
      <x:c r="AN32" s="27"/>
      <x:c r="AO32" s="27"/>
      <x:c r="AP32" s="27"/>
      <x:c r="AQ32" s="27"/>
      <x:c r="AR32" s="27"/>
      <x:c r="AS32" s="27"/>
      <x:c r="AT32" s="27"/>
      <x:c r="AU32" s="27"/>
      <x:c r="AV32" s="27"/>
      <x:c r="AW32" s="27"/>
      <x:c r="AX32" s="27"/>
      <x:c r="AY32" s="27"/>
      <x:c r="AZ32" s="27"/>
    </x:row>
    <x:row r="33">
      <x:c r="A33" s="27"/>
      <x:c r="B33" s="27"/>
      <x:c r="C33" s="27"/>
      <x:c r="D33" s="27"/>
      <x:c r="E33" s="27"/>
      <x:c r="F33" s="27"/>
      <x:c r="G33" s="27"/>
      <x:c r="H33" s="27"/>
      <x:c r="I33" s="27"/>
      <x:c r="J33" s="27"/>
      <x:c r="K33" s="27"/>
      <x:c r="L33" s="27"/>
      <x:c r="M33" s="27"/>
      <x:c r="N33" s="27"/>
      <x:c r="O33" s="27"/>
      <x:c r="P33" s="27"/>
      <x:c r="Q33" s="27"/>
      <x:c r="R33" s="27"/>
      <x:c r="S33" s="27"/>
      <x:c r="T33" s="27"/>
      <x:c r="U33" s="27"/>
      <x:c r="V33" s="27"/>
      <x:c r="W33" s="27"/>
      <x:c r="X33" s="27"/>
      <x:c r="Y33" s="27"/>
      <x:c r="Z33" s="27"/>
      <x:c r="AA33" s="27"/>
      <x:c r="AB33" s="27"/>
      <x:c r="AC33" s="27"/>
      <x:c r="AD33" s="27"/>
      <x:c r="AE33" s="27"/>
      <x:c r="AF33" s="27"/>
      <x:c r="AG33" s="27"/>
      <x:c r="AH33" s="27"/>
      <x:c r="AI33" s="27"/>
      <x:c r="AJ33" s="27"/>
      <x:c r="AK33" s="27"/>
      <x:c r="AL33" s="27"/>
      <x:c r="AM33" s="27"/>
      <x:c r="AN33" s="27"/>
      <x:c r="AO33" s="27"/>
      <x:c r="AP33" s="27"/>
      <x:c r="AQ33" s="27"/>
      <x:c r="AR33" s="27"/>
      <x:c r="AS33" s="27"/>
      <x:c r="AT33" s="27"/>
      <x:c r="AU33" s="27"/>
      <x:c r="AV33" s="27"/>
      <x:c r="AW33" s="27"/>
      <x:c r="AX33" s="27"/>
      <x:c r="AY33" s="27"/>
      <x:c r="AZ33" s="27"/>
    </x:row>
    <x:row r="34">
      <x:c r="A34" s="27"/>
      <x:c r="B34" s="27"/>
      <x:c r="C34" s="27"/>
      <x:c r="D34" s="27"/>
      <x:c r="E34" s="27"/>
      <x:c r="F34" s="27"/>
      <x:c r="G34" s="27"/>
      <x:c r="H34" s="27"/>
      <x:c r="I34" s="27"/>
      <x:c r="J34" s="27"/>
      <x:c r="K34" s="27"/>
      <x:c r="L34" s="27"/>
      <x:c r="M34" s="27"/>
      <x:c r="N34" s="27"/>
      <x:c r="O34" s="27"/>
      <x:c r="P34" s="27"/>
      <x:c r="Q34" s="27"/>
      <x:c r="R34" s="27"/>
      <x:c r="S34" s="27"/>
      <x:c r="T34" s="27"/>
      <x:c r="U34" s="27"/>
      <x:c r="V34" s="27"/>
      <x:c r="W34" s="27"/>
      <x:c r="X34" s="27"/>
      <x:c r="Y34" s="27"/>
      <x:c r="Z34" s="27"/>
      <x:c r="AA34" s="27"/>
      <x:c r="AB34" s="27"/>
      <x:c r="AC34" s="27"/>
      <x:c r="AD34" s="27"/>
      <x:c r="AE34" s="27"/>
      <x:c r="AF34" s="27"/>
      <x:c r="AG34" s="27"/>
      <x:c r="AH34" s="27"/>
      <x:c r="AI34" s="27"/>
      <x:c r="AJ34" s="27"/>
      <x:c r="AK34" s="27"/>
      <x:c r="AL34" s="27"/>
      <x:c r="AM34" s="27"/>
      <x:c r="AN34" s="27"/>
      <x:c r="AO34" s="27"/>
      <x:c r="AP34" s="27"/>
      <x:c r="AQ34" s="27"/>
      <x:c r="AR34" s="27"/>
      <x:c r="AS34" s="27"/>
      <x:c r="AT34" s="27"/>
      <x:c r="AU34" s="27"/>
      <x:c r="AV34" s="27"/>
      <x:c r="AW34" s="27"/>
      <x:c r="AX34" s="27"/>
      <x:c r="AY34" s="27"/>
      <x:c r="AZ34" s="27"/>
    </x:row>
    <x:row r="35">
      <x:c r="A35" s="27"/>
      <x:c r="B35" s="27"/>
      <x:c r="C35" s="27"/>
      <x:c r="D35" s="27"/>
      <x:c r="E35" s="27"/>
      <x:c r="F35" s="27"/>
      <x:c r="G35" s="27"/>
      <x:c r="H35" s="27"/>
      <x:c r="I35" s="27"/>
      <x:c r="J35" s="27"/>
      <x:c r="K35" s="27"/>
      <x:c r="L35" s="27"/>
      <x:c r="M35" s="27"/>
      <x:c r="N35" s="27"/>
      <x:c r="O35" s="27"/>
      <x:c r="P35" s="27"/>
      <x:c r="Q35" s="27"/>
      <x:c r="R35" s="27"/>
      <x:c r="S35" s="27"/>
      <x:c r="T35" s="27"/>
      <x:c r="U35" s="27"/>
      <x:c r="V35" s="27"/>
      <x:c r="W35" s="27"/>
      <x:c r="X35" s="27"/>
      <x:c r="Y35" s="27"/>
      <x:c r="Z35" s="27"/>
      <x:c r="AA35" s="27"/>
      <x:c r="AB35" s="27"/>
      <x:c r="AC35" s="27"/>
      <x:c r="AD35" s="27"/>
      <x:c r="AE35" s="27"/>
      <x:c r="AF35" s="27"/>
      <x:c r="AG35" s="27"/>
      <x:c r="AH35" s="27"/>
      <x:c r="AI35" s="27"/>
      <x:c r="AJ35" s="27"/>
      <x:c r="AK35" s="27"/>
      <x:c r="AL35" s="27"/>
      <x:c r="AM35" s="27"/>
      <x:c r="AN35" s="27"/>
      <x:c r="AO35" s="27"/>
      <x:c r="AP35" s="27"/>
      <x:c r="AQ35" s="27"/>
      <x:c r="AR35" s="27"/>
      <x:c r="AS35" s="27"/>
      <x:c r="AT35" s="27"/>
      <x:c r="AU35" s="27"/>
      <x:c r="AV35" s="27"/>
      <x:c r="AW35" s="27"/>
      <x:c r="AX35" s="27"/>
      <x:c r="AY35" s="27"/>
      <x:c r="AZ35" s="27"/>
    </x:row>
    <x:row r="36">
      <x:c r="A36" s="27"/>
      <x:c r="B36" s="27"/>
      <x:c r="C36" s="27"/>
      <x:c r="D36" s="27"/>
      <x:c r="E36" s="27"/>
      <x:c r="F36" s="27"/>
      <x:c r="G36" s="27"/>
      <x:c r="H36" s="27"/>
      <x:c r="I36" s="27"/>
      <x:c r="J36" s="27"/>
      <x:c r="K36" s="27"/>
      <x:c r="L36" s="27"/>
      <x:c r="M36" s="27"/>
      <x:c r="N36" s="27"/>
      <x:c r="O36" s="27"/>
      <x:c r="P36" s="27"/>
      <x:c r="Q36" s="27"/>
      <x:c r="R36" s="27"/>
      <x:c r="S36" s="27"/>
      <x:c r="T36" s="27"/>
      <x:c r="U36" s="27"/>
      <x:c r="V36" s="27"/>
      <x:c r="W36" s="27"/>
      <x:c r="X36" s="27"/>
      <x:c r="Y36" s="27"/>
      <x:c r="Z36" s="27"/>
      <x:c r="AA36" s="27"/>
      <x:c r="AB36" s="27"/>
      <x:c r="AC36" s="27"/>
      <x:c r="AD36" s="27"/>
      <x:c r="AE36" s="27"/>
      <x:c r="AF36" s="27"/>
      <x:c r="AG36" s="27"/>
      <x:c r="AH36" s="27"/>
      <x:c r="AI36" s="27"/>
      <x:c r="AJ36" s="27"/>
      <x:c r="AK36" s="27"/>
      <x:c r="AL36" s="27"/>
      <x:c r="AM36" s="27"/>
      <x:c r="AN36" s="27"/>
      <x:c r="AO36" s="27"/>
      <x:c r="AP36" s="27"/>
      <x:c r="AQ36" s="27"/>
      <x:c r="AR36" s="27"/>
      <x:c r="AS36" s="27"/>
      <x:c r="AT36" s="27"/>
      <x:c r="AU36" s="27"/>
      <x:c r="AV36" s="27"/>
      <x:c r="AW36" s="27"/>
      <x:c r="AX36" s="27"/>
      <x:c r="AY36" s="27"/>
      <x:c r="AZ36" s="27"/>
    </x:row>
    <x:row r="37">
      <x:c r="A37" s="27"/>
      <x:c r="B37" s="27"/>
      <x:c r="C37" s="27"/>
      <x:c r="D37" s="27"/>
      <x:c r="E37" s="27"/>
      <x:c r="F37" s="27"/>
      <x:c r="G37" s="27"/>
      <x:c r="H37" s="27"/>
      <x:c r="I37" s="27"/>
      <x:c r="J37" s="27"/>
      <x:c r="K37" s="27"/>
      <x:c r="L37" s="27"/>
      <x:c r="M37" s="27"/>
      <x:c r="N37" s="27"/>
      <x:c r="O37" s="27"/>
      <x:c r="P37" s="27"/>
      <x:c r="Q37" s="27"/>
      <x:c r="R37" s="27"/>
      <x:c r="S37" s="27"/>
      <x:c r="T37" s="27"/>
      <x:c r="U37" s="27"/>
      <x:c r="V37" s="27"/>
      <x:c r="W37" s="27"/>
      <x:c r="X37" s="27"/>
      <x:c r="Y37" s="27"/>
      <x:c r="Z37" s="27"/>
      <x:c r="AA37" s="27"/>
      <x:c r="AB37" s="27"/>
      <x:c r="AC37" s="27"/>
      <x:c r="AD37" s="27"/>
      <x:c r="AE37" s="27"/>
      <x:c r="AF37" s="27"/>
      <x:c r="AG37" s="27"/>
      <x:c r="AH37" s="27"/>
      <x:c r="AI37" s="27"/>
      <x:c r="AJ37" s="27"/>
      <x:c r="AK37" s="27"/>
      <x:c r="AL37" s="27"/>
      <x:c r="AM37" s="27"/>
      <x:c r="AN37" s="27"/>
      <x:c r="AO37" s="27"/>
      <x:c r="AP37" s="27"/>
      <x:c r="AQ37" s="27"/>
      <x:c r="AR37" s="27"/>
      <x:c r="AS37" s="27"/>
      <x:c r="AT37" s="27"/>
      <x:c r="AU37" s="27"/>
      <x:c r="AV37" s="27"/>
      <x:c r="AW37" s="27"/>
      <x:c r="AX37" s="27"/>
      <x:c r="AY37" s="27"/>
      <x:c r="AZ37" s="27"/>
    </x:row>
    <x:row r="38">
      <x:c r="A38" s="27"/>
      <x:c r="B38" s="27"/>
      <x:c r="C38" s="27"/>
      <x:c r="D38" s="27"/>
      <x:c r="E38" s="27"/>
      <x:c r="F38" s="27"/>
      <x:c r="G38" s="27"/>
      <x:c r="H38" s="27"/>
      <x:c r="I38" s="27"/>
      <x:c r="J38" s="27"/>
      <x:c r="K38" s="27"/>
      <x:c r="L38" s="27"/>
      <x:c r="M38" s="27"/>
      <x:c r="N38" s="27"/>
      <x:c r="O38" s="27"/>
      <x:c r="P38" s="27"/>
      <x:c r="Q38" s="27"/>
      <x:c r="R38" s="27"/>
      <x:c r="S38" s="27"/>
      <x:c r="T38" s="27"/>
      <x:c r="U38" s="27"/>
      <x:c r="V38" s="27"/>
      <x:c r="W38" s="27"/>
      <x:c r="X38" s="27"/>
      <x:c r="Y38" s="27"/>
      <x:c r="Z38" s="27"/>
      <x:c r="AA38" s="27"/>
      <x:c r="AB38" s="27"/>
      <x:c r="AC38" s="27"/>
      <x:c r="AD38" s="27"/>
      <x:c r="AE38" s="27"/>
      <x:c r="AF38" s="27"/>
      <x:c r="AG38" s="27"/>
      <x:c r="AH38" s="27"/>
      <x:c r="AI38" s="27"/>
      <x:c r="AJ38" s="27"/>
      <x:c r="AK38" s="27"/>
      <x:c r="AL38" s="27"/>
      <x:c r="AM38" s="27"/>
      <x:c r="AN38" s="27"/>
      <x:c r="AO38" s="27"/>
      <x:c r="AP38" s="27"/>
      <x:c r="AQ38" s="27"/>
      <x:c r="AR38" s="27"/>
      <x:c r="AS38" s="27"/>
      <x:c r="AT38" s="27"/>
      <x:c r="AU38" s="27"/>
      <x:c r="AV38" s="27"/>
      <x:c r="AW38" s="27"/>
      <x:c r="AX38" s="27"/>
      <x:c r="AY38" s="27"/>
      <x:c r="AZ38" s="27"/>
    </x:row>
    <x:row r="39">
      <x:c r="A39" s="27"/>
      <x:c r="B39" s="27"/>
      <x:c r="C39" s="27"/>
      <x:c r="D39" s="27"/>
      <x:c r="E39" s="27"/>
      <x:c r="F39" s="27"/>
      <x:c r="G39" s="27"/>
      <x:c r="H39" s="27"/>
      <x:c r="I39" s="27"/>
      <x:c r="J39" s="27"/>
      <x:c r="K39" s="27"/>
      <x:c r="L39" s="27"/>
      <x:c r="M39" s="27"/>
      <x:c r="N39" s="27"/>
      <x:c r="O39" s="27"/>
      <x:c r="P39" s="27"/>
      <x:c r="Q39" s="27"/>
      <x:c r="R39" s="27"/>
      <x:c r="S39" s="27"/>
      <x:c r="T39" s="27"/>
      <x:c r="U39" s="27"/>
      <x:c r="V39" s="27"/>
      <x:c r="W39" s="27"/>
      <x:c r="X39" s="27"/>
      <x:c r="Y39" s="27"/>
      <x:c r="Z39" s="27"/>
      <x:c r="AA39" s="27"/>
      <x:c r="AB39" s="27"/>
      <x:c r="AC39" s="27"/>
      <x:c r="AD39" s="27"/>
      <x:c r="AE39" s="27"/>
      <x:c r="AF39" s="27"/>
      <x:c r="AG39" s="27"/>
      <x:c r="AH39" s="27"/>
      <x:c r="AI39" s="27"/>
      <x:c r="AJ39" s="27"/>
      <x:c r="AK39" s="27"/>
      <x:c r="AL39" s="27"/>
      <x:c r="AM39" s="27"/>
      <x:c r="AN39" s="27"/>
      <x:c r="AO39" s="27"/>
      <x:c r="AP39" s="27"/>
      <x:c r="AQ39" s="27"/>
      <x:c r="AR39" s="27"/>
      <x:c r="AS39" s="27"/>
      <x:c r="AT39" s="27"/>
      <x:c r="AU39" s="27"/>
      <x:c r="AV39" s="27"/>
      <x:c r="AW39" s="27"/>
      <x:c r="AX39" s="27"/>
      <x:c r="AY39" s="27"/>
      <x:c r="AZ39" s="27"/>
    </x:row>
    <x:row r="40">
      <x:c r="A40" s="27"/>
      <x:c r="B40" s="27"/>
      <x:c r="C40" s="27"/>
      <x:c r="D40" s="27"/>
      <x:c r="E40" s="27"/>
      <x:c r="F40" s="27"/>
      <x:c r="G40" s="27"/>
      <x:c r="H40" s="27"/>
      <x:c r="I40" s="27"/>
      <x:c r="J40" s="27"/>
      <x:c r="K40" s="27"/>
      <x:c r="L40" s="27"/>
      <x:c r="M40" s="27"/>
      <x:c r="N40" s="27"/>
      <x:c r="O40" s="27"/>
      <x:c r="P40" s="27"/>
      <x:c r="Q40" s="27"/>
      <x:c r="R40" s="27"/>
      <x:c r="S40" s="27"/>
      <x:c r="T40" s="27"/>
      <x:c r="U40" s="27"/>
      <x:c r="V40" s="27"/>
      <x:c r="W40" s="27"/>
      <x:c r="X40" s="27"/>
      <x:c r="Y40" s="27"/>
      <x:c r="Z40" s="27"/>
      <x:c r="AA40" s="27"/>
      <x:c r="AB40" s="27"/>
      <x:c r="AC40" s="27"/>
      <x:c r="AD40" s="27"/>
      <x:c r="AE40" s="27"/>
      <x:c r="AF40" s="27"/>
      <x:c r="AG40" s="27"/>
      <x:c r="AH40" s="27"/>
      <x:c r="AI40" s="27"/>
      <x:c r="AJ40" s="27"/>
      <x:c r="AK40" s="27"/>
      <x:c r="AL40" s="27"/>
      <x:c r="AM40" s="27"/>
      <x:c r="AN40" s="27"/>
      <x:c r="AO40" s="27"/>
      <x:c r="AP40" s="27"/>
      <x:c r="AQ40" s="27"/>
      <x:c r="AR40" s="27"/>
      <x:c r="AS40" s="27"/>
      <x:c r="AT40" s="27"/>
      <x:c r="AU40" s="27"/>
      <x:c r="AV40" s="27"/>
      <x:c r="AW40" s="27"/>
      <x:c r="AX40" s="27"/>
      <x:c r="AY40" s="27"/>
      <x:c r="AZ40" s="27"/>
    </x:row>
    <x:row r="41">
      <x:c r="A41" s="27"/>
      <x:c r="B41" s="27"/>
      <x:c r="C41" s="27"/>
      <x:c r="D41" s="27"/>
      <x:c r="E41" s="27"/>
      <x:c r="F41" s="27"/>
      <x:c r="G41" s="27"/>
      <x:c r="H41" s="27"/>
      <x:c r="I41" s="27"/>
      <x:c r="J41" s="27"/>
      <x:c r="K41" s="27"/>
      <x:c r="L41" s="27"/>
      <x:c r="M41" s="27"/>
      <x:c r="N41" s="27"/>
      <x:c r="O41" s="27"/>
      <x:c r="P41" s="27"/>
      <x:c r="Q41" s="27"/>
      <x:c r="R41" s="27"/>
      <x:c r="S41" s="27"/>
      <x:c r="T41" s="27"/>
      <x:c r="U41" s="27"/>
      <x:c r="V41" s="27"/>
      <x:c r="W41" s="27"/>
      <x:c r="X41" s="27"/>
      <x:c r="Y41" s="27"/>
      <x:c r="Z41" s="27"/>
      <x:c r="AA41" s="27"/>
      <x:c r="AB41" s="27"/>
      <x:c r="AC41" s="27"/>
      <x:c r="AD41" s="27"/>
      <x:c r="AE41" s="27"/>
      <x:c r="AF41" s="27"/>
      <x:c r="AG41" s="27"/>
      <x:c r="AH41" s="27"/>
      <x:c r="AI41" s="27"/>
      <x:c r="AJ41" s="27"/>
      <x:c r="AK41" s="27"/>
      <x:c r="AL41" s="27"/>
      <x:c r="AM41" s="27"/>
      <x:c r="AN41" s="27"/>
      <x:c r="AO41" s="27"/>
      <x:c r="AP41" s="27"/>
      <x:c r="AQ41" s="27"/>
      <x:c r="AR41" s="27"/>
      <x:c r="AS41" s="27"/>
      <x:c r="AT41" s="27"/>
      <x:c r="AU41" s="27"/>
      <x:c r="AV41" s="27"/>
      <x:c r="AW41" s="27"/>
      <x:c r="AX41" s="27"/>
      <x:c r="AY41" s="27"/>
      <x:c r="AZ41" s="27"/>
    </x:row>
    <x:row r="42">
      <x:c r="A42" s="27"/>
      <x:c r="B42" s="27"/>
      <x:c r="C42" s="27"/>
      <x:c r="D42" s="27"/>
      <x:c r="E42" s="27"/>
      <x:c r="F42" s="27"/>
      <x:c r="G42" s="27"/>
      <x:c r="H42" s="27"/>
      <x:c r="I42" s="27"/>
      <x:c r="J42" s="27"/>
      <x:c r="K42" s="27"/>
      <x:c r="L42" s="27"/>
      <x:c r="M42" s="27"/>
      <x:c r="N42" s="27"/>
      <x:c r="O42" s="27"/>
      <x:c r="P42" s="27"/>
      <x:c r="Q42" s="27"/>
      <x:c r="R42" s="27"/>
      <x:c r="S42" s="27"/>
      <x:c r="T42" s="27"/>
      <x:c r="U42" s="27"/>
      <x:c r="V42" s="27"/>
      <x:c r="W42" s="27"/>
      <x:c r="X42" s="27"/>
      <x:c r="Y42" s="27"/>
      <x:c r="Z42" s="27"/>
      <x:c r="AA42" s="27"/>
      <x:c r="AB42" s="27"/>
      <x:c r="AC42" s="27"/>
      <x:c r="AD42" s="27"/>
      <x:c r="AE42" s="27"/>
      <x:c r="AF42" s="27"/>
      <x:c r="AG42" s="27"/>
      <x:c r="AH42" s="27"/>
      <x:c r="AI42" s="27"/>
      <x:c r="AJ42" s="27"/>
      <x:c r="AK42" s="27"/>
      <x:c r="AL42" s="27"/>
      <x:c r="AM42" s="27"/>
      <x:c r="AN42" s="27"/>
      <x:c r="AO42" s="27"/>
      <x:c r="AP42" s="27"/>
      <x:c r="AQ42" s="27"/>
      <x:c r="AR42" s="27"/>
      <x:c r="AS42" s="27"/>
      <x:c r="AT42" s="27"/>
      <x:c r="AU42" s="27"/>
      <x:c r="AV42" s="27"/>
      <x:c r="AW42" s="27"/>
      <x:c r="AX42" s="27"/>
      <x:c r="AY42" s="27"/>
      <x:c r="AZ42" s="27"/>
    </x:row>
    <x:row r="43">
      <x:c r="A43" s="27"/>
      <x:c r="B43" s="27"/>
      <x:c r="C43" s="27"/>
      <x:c r="D43" s="27"/>
      <x:c r="E43" s="27"/>
      <x:c r="F43" s="27"/>
      <x:c r="G43" s="27"/>
      <x:c r="H43" s="27"/>
      <x:c r="I43" s="27"/>
      <x:c r="J43" s="27"/>
      <x:c r="K43" s="27"/>
      <x:c r="L43" s="27"/>
      <x:c r="M43" s="27"/>
      <x:c r="N43" s="27"/>
      <x:c r="O43" s="27"/>
      <x:c r="P43" s="27"/>
      <x:c r="Q43" s="27"/>
      <x:c r="R43" s="27"/>
      <x:c r="S43" s="27"/>
      <x:c r="T43" s="27"/>
      <x:c r="U43" s="27"/>
      <x:c r="V43" s="27"/>
      <x:c r="W43" s="27"/>
      <x:c r="X43" s="27"/>
      <x:c r="Y43" s="27"/>
      <x:c r="Z43" s="27"/>
      <x:c r="AA43" s="27"/>
      <x:c r="AB43" s="27"/>
      <x:c r="AC43" s="27"/>
      <x:c r="AD43" s="27"/>
      <x:c r="AE43" s="27"/>
      <x:c r="AF43" s="27"/>
      <x:c r="AG43" s="27"/>
      <x:c r="AH43" s="27"/>
      <x:c r="AI43" s="27"/>
      <x:c r="AJ43" s="27"/>
      <x:c r="AK43" s="27"/>
      <x:c r="AL43" s="27"/>
      <x:c r="AM43" s="27"/>
      <x:c r="AN43" s="27"/>
      <x:c r="AO43" s="27"/>
      <x:c r="AP43" s="27"/>
      <x:c r="AQ43" s="27"/>
      <x:c r="AR43" s="27"/>
      <x:c r="AS43" s="27"/>
      <x:c r="AT43" s="27"/>
      <x:c r="AU43" s="27"/>
      <x:c r="AV43" s="27"/>
      <x:c r="AW43" s="27"/>
      <x:c r="AX43" s="27"/>
      <x:c r="AY43" s="27"/>
      <x:c r="AZ43" s="27"/>
    </x:row>
    <x:row r="44">
      <x:c r="A44" s="27"/>
      <x:c r="B44" s="27"/>
      <x:c r="C44" s="27"/>
      <x:c r="D44" s="27"/>
      <x:c r="E44" s="27"/>
      <x:c r="F44" s="27"/>
      <x:c r="G44" s="27"/>
      <x:c r="H44" s="27"/>
      <x:c r="I44" s="27"/>
      <x:c r="J44" s="27"/>
      <x:c r="K44" s="27"/>
      <x:c r="L44" s="27"/>
      <x:c r="M44" s="27"/>
      <x:c r="N44" s="27"/>
      <x:c r="O44" s="27"/>
      <x:c r="P44" s="27"/>
      <x:c r="Q44" s="27"/>
      <x:c r="R44" s="27"/>
      <x:c r="S44" s="27"/>
      <x:c r="T44" s="27"/>
      <x:c r="U44" s="27"/>
      <x:c r="V44" s="27"/>
      <x:c r="W44" s="27"/>
      <x:c r="X44" s="27"/>
      <x:c r="Y44" s="27"/>
      <x:c r="Z44" s="27"/>
      <x:c r="AA44" s="27"/>
      <x:c r="AB44" s="27"/>
      <x:c r="AC44" s="27"/>
      <x:c r="AD44" s="27"/>
      <x:c r="AE44" s="27"/>
      <x:c r="AF44" s="27"/>
      <x:c r="AG44" s="27"/>
      <x:c r="AH44" s="27"/>
      <x:c r="AI44" s="27"/>
      <x:c r="AJ44" s="27"/>
      <x:c r="AK44" s="27"/>
      <x:c r="AL44" s="27"/>
      <x:c r="AM44" s="27"/>
      <x:c r="AN44" s="27"/>
      <x:c r="AO44" s="27"/>
      <x:c r="AP44" s="27"/>
      <x:c r="AQ44" s="27"/>
      <x:c r="AR44" s="27"/>
      <x:c r="AS44" s="27"/>
      <x:c r="AT44" s="27"/>
      <x:c r="AU44" s="27"/>
      <x:c r="AV44" s="27"/>
      <x:c r="AW44" s="27"/>
      <x:c r="AX44" s="27"/>
      <x:c r="AY44" s="27"/>
      <x:c r="AZ44" s="27"/>
    </x:row>
    <x:row r="45">
      <x:c r="A45" s="27"/>
      <x:c r="B45" s="27"/>
      <x:c r="C45" s="27"/>
      <x:c r="D45" s="27"/>
      <x:c r="E45" s="27"/>
      <x:c r="F45" s="27"/>
      <x:c r="G45" s="27"/>
      <x:c r="H45" s="27"/>
      <x:c r="I45" s="27"/>
      <x:c r="J45" s="27"/>
      <x:c r="K45" s="27"/>
      <x:c r="L45" s="27"/>
      <x:c r="M45" s="27"/>
      <x:c r="N45" s="27"/>
      <x:c r="O45" s="27"/>
      <x:c r="P45" s="27"/>
      <x:c r="Q45" s="27"/>
      <x:c r="R45" s="27"/>
      <x:c r="S45" s="27"/>
      <x:c r="T45" s="27"/>
      <x:c r="U45" s="27"/>
      <x:c r="V45" s="27"/>
      <x:c r="W45" s="27"/>
      <x:c r="X45" s="27"/>
      <x:c r="Y45" s="27"/>
      <x:c r="Z45" s="27"/>
      <x:c r="AA45" s="27"/>
      <x:c r="AB45" s="27"/>
      <x:c r="AC45" s="27"/>
      <x:c r="AD45" s="27"/>
      <x:c r="AE45" s="27"/>
      <x:c r="AF45" s="27"/>
      <x:c r="AG45" s="27"/>
      <x:c r="AH45" s="27"/>
      <x:c r="AI45" s="27"/>
      <x:c r="AJ45" s="27"/>
      <x:c r="AK45" s="27"/>
      <x:c r="AL45" s="27"/>
      <x:c r="AM45" s="27"/>
      <x:c r="AN45" s="27"/>
      <x:c r="AO45" s="27"/>
      <x:c r="AP45" s="27"/>
      <x:c r="AQ45" s="27"/>
      <x:c r="AR45" s="27"/>
      <x:c r="AS45" s="27"/>
      <x:c r="AT45" s="27"/>
      <x:c r="AU45" s="27"/>
      <x:c r="AV45" s="27"/>
      <x:c r="AW45" s="27"/>
      <x:c r="AX45" s="27"/>
      <x:c r="AY45" s="27"/>
      <x:c r="AZ45" s="27"/>
    </x:row>
    <x:row r="46">
      <x:c r="A46" s="27"/>
      <x:c r="B46" s="27"/>
      <x:c r="C46" s="27"/>
      <x:c r="D46" s="27"/>
      <x:c r="E46" s="27"/>
      <x:c r="F46" s="27"/>
      <x:c r="G46" s="27"/>
      <x:c r="H46" s="27"/>
      <x:c r="I46" s="27"/>
      <x:c r="J46" s="27"/>
      <x:c r="K46" s="27"/>
      <x:c r="L46" s="27"/>
      <x:c r="M46" s="27"/>
      <x:c r="N46" s="27"/>
      <x:c r="O46" s="27"/>
      <x:c r="P46" s="27"/>
      <x:c r="Q46" s="27"/>
      <x:c r="R46" s="27"/>
      <x:c r="S46" s="27"/>
      <x:c r="T46" s="27"/>
      <x:c r="U46" s="27"/>
      <x:c r="V46" s="27"/>
      <x:c r="W46" s="27"/>
      <x:c r="X46" s="27"/>
      <x:c r="Y46" s="27"/>
      <x:c r="Z46" s="27"/>
      <x:c r="AA46" s="27"/>
      <x:c r="AB46" s="27"/>
      <x:c r="AC46" s="27"/>
      <x:c r="AD46" s="27"/>
      <x:c r="AE46" s="27"/>
      <x:c r="AF46" s="27"/>
      <x:c r="AG46" s="27"/>
      <x:c r="AH46" s="27"/>
      <x:c r="AI46" s="27"/>
      <x:c r="AJ46" s="27"/>
      <x:c r="AK46" s="27"/>
      <x:c r="AL46" s="27"/>
      <x:c r="AM46" s="27"/>
      <x:c r="AN46" s="27"/>
      <x:c r="AO46" s="27"/>
      <x:c r="AP46" s="27"/>
      <x:c r="AQ46" s="27"/>
      <x:c r="AR46" s="27"/>
      <x:c r="AS46" s="27"/>
      <x:c r="AT46" s="27"/>
      <x:c r="AU46" s="27"/>
      <x:c r="AV46" s="27"/>
      <x:c r="AW46" s="27"/>
      <x:c r="AX46" s="27"/>
      <x:c r="AY46" s="27"/>
      <x:c r="AZ46" s="27"/>
    </x:row>
    <x:row r="47">
      <x:c r="A47" s="27"/>
      <x:c r="B47" s="27"/>
      <x:c r="C47" s="27"/>
      <x:c r="D47" s="27"/>
      <x:c r="E47" s="27"/>
      <x:c r="F47" s="27"/>
      <x:c r="G47" s="27"/>
      <x:c r="H47" s="27"/>
      <x:c r="I47" s="27"/>
      <x:c r="J47" s="27"/>
      <x:c r="K47" s="27"/>
      <x:c r="L47" s="27"/>
      <x:c r="M47" s="27"/>
      <x:c r="N47" s="27"/>
      <x:c r="O47" s="27"/>
      <x:c r="P47" s="27"/>
      <x:c r="Q47" s="27"/>
      <x:c r="R47" s="27"/>
      <x:c r="S47" s="27"/>
      <x:c r="T47" s="27"/>
      <x:c r="U47" s="27"/>
      <x:c r="V47" s="27"/>
      <x:c r="W47" s="27"/>
      <x:c r="X47" s="27"/>
      <x:c r="Y47" s="27"/>
      <x:c r="Z47" s="27"/>
      <x:c r="AA47" s="27"/>
      <x:c r="AB47" s="27"/>
      <x:c r="AC47" s="27"/>
      <x:c r="AD47" s="27"/>
      <x:c r="AE47" s="27"/>
      <x:c r="AF47" s="27"/>
      <x:c r="AG47" s="27"/>
      <x:c r="AH47" s="27"/>
      <x:c r="AI47" s="27"/>
      <x:c r="AJ47" s="27"/>
      <x:c r="AK47" s="27"/>
      <x:c r="AL47" s="27"/>
      <x:c r="AM47" s="27"/>
      <x:c r="AN47" s="27"/>
      <x:c r="AO47" s="27"/>
      <x:c r="AP47" s="27"/>
      <x:c r="AQ47" s="27"/>
      <x:c r="AR47" s="27"/>
      <x:c r="AS47" s="27"/>
      <x:c r="AT47" s="27"/>
      <x:c r="AU47" s="27"/>
      <x:c r="AV47" s="27"/>
      <x:c r="AW47" s="27"/>
      <x:c r="AX47" s="27"/>
      <x:c r="AY47" s="27"/>
      <x:c r="AZ47" s="27"/>
    </x:row>
    <x:row r="48">
      <x:c r="A48" s="27"/>
      <x:c r="B48" s="27"/>
      <x:c r="C48" s="27"/>
      <x:c r="D48" s="27"/>
      <x:c r="E48" s="27"/>
      <x:c r="F48" s="27"/>
      <x:c r="G48" s="27"/>
      <x:c r="H48" s="27"/>
      <x:c r="I48" s="27"/>
      <x:c r="J48" s="27"/>
      <x:c r="K48" s="27"/>
      <x:c r="L48" s="27"/>
      <x:c r="M48" s="27"/>
      <x:c r="N48" s="27"/>
      <x:c r="O48" s="27"/>
      <x:c r="P48" s="27"/>
      <x:c r="Q48" s="27"/>
      <x:c r="R48" s="27"/>
      <x:c r="S48" s="27"/>
      <x:c r="T48" s="27"/>
      <x:c r="U48" s="27"/>
      <x:c r="V48" s="27"/>
      <x:c r="W48" s="27"/>
      <x:c r="X48" s="27"/>
      <x:c r="Y48" s="27"/>
      <x:c r="Z48" s="27"/>
      <x:c r="AA48" s="27"/>
      <x:c r="AB48" s="27"/>
      <x:c r="AC48" s="27"/>
      <x:c r="AD48" s="27"/>
      <x:c r="AE48" s="27"/>
      <x:c r="AF48" s="27"/>
      <x:c r="AG48" s="27"/>
      <x:c r="AH48" s="27"/>
      <x:c r="AI48" s="27"/>
      <x:c r="AJ48" s="27"/>
      <x:c r="AK48" s="27"/>
      <x:c r="AL48" s="27"/>
      <x:c r="AM48" s="27"/>
      <x:c r="AN48" s="27"/>
      <x:c r="AO48" s="27"/>
      <x:c r="AP48" s="27"/>
      <x:c r="AQ48" s="27"/>
      <x:c r="AR48" s="27"/>
      <x:c r="AS48" s="27"/>
      <x:c r="AT48" s="27"/>
      <x:c r="AU48" s="27"/>
      <x:c r="AV48" s="27"/>
      <x:c r="AW48" s="27"/>
      <x:c r="AX48" s="27"/>
      <x:c r="AY48" s="27"/>
      <x:c r="AZ48" s="27"/>
    </x:row>
    <x:row r="49">
      <x:c r="A49" s="27"/>
      <x:c r="B49" s="27"/>
      <x:c r="C49" s="27"/>
      <x:c r="D49" s="27"/>
      <x:c r="E49" s="27"/>
      <x:c r="F49" s="27"/>
      <x:c r="G49" s="27"/>
      <x:c r="H49" s="27"/>
      <x:c r="I49" s="27"/>
      <x:c r="J49" s="27"/>
      <x:c r="K49" s="27"/>
      <x:c r="L49" s="27"/>
      <x:c r="M49" s="27"/>
      <x:c r="N49" s="27"/>
      <x:c r="O49" s="27"/>
      <x:c r="P49" s="27"/>
      <x:c r="Q49" s="27"/>
      <x:c r="R49" s="27"/>
      <x:c r="S49" s="27"/>
      <x:c r="T49" s="27"/>
      <x:c r="U49" s="27"/>
      <x:c r="V49" s="27"/>
      <x:c r="W49" s="27"/>
      <x:c r="X49" s="27"/>
      <x:c r="Y49" s="27"/>
      <x:c r="Z49" s="27"/>
      <x:c r="AA49" s="27"/>
      <x:c r="AB49" s="27"/>
      <x:c r="AC49" s="27"/>
      <x:c r="AD49" s="27"/>
      <x:c r="AE49" s="27"/>
      <x:c r="AF49" s="27"/>
      <x:c r="AG49" s="27"/>
      <x:c r="AH49" s="27"/>
      <x:c r="AI49" s="27"/>
      <x:c r="AJ49" s="27"/>
      <x:c r="AK49" s="27"/>
      <x:c r="AL49" s="27"/>
      <x:c r="AM49" s="27"/>
      <x:c r="AN49" s="27"/>
      <x:c r="AO49" s="27"/>
      <x:c r="AP49" s="27"/>
      <x:c r="AQ49" s="27"/>
      <x:c r="AR49" s="27"/>
      <x:c r="AS49" s="27"/>
      <x:c r="AT49" s="27"/>
      <x:c r="AU49" s="27"/>
      <x:c r="AV49" s="27"/>
      <x:c r="AW49" s="27"/>
      <x:c r="AX49" s="27"/>
      <x:c r="AY49" s="27"/>
      <x:c r="AZ49" s="27"/>
    </x:row>
    <x:row r="50">
      <x:c r="A50" s="27"/>
      <x:c r="B50" s="27"/>
      <x:c r="C50" s="27"/>
      <x:c r="D50" s="27"/>
      <x:c r="E50" s="27"/>
      <x:c r="F50" s="27"/>
      <x:c r="G50" s="27"/>
      <x:c r="H50" s="27"/>
      <x:c r="I50" s="27"/>
      <x:c r="J50" s="27"/>
      <x:c r="K50" s="27"/>
      <x:c r="L50" s="27"/>
      <x:c r="M50" s="27"/>
      <x:c r="N50" s="27"/>
      <x:c r="O50" s="27"/>
      <x:c r="P50" s="27"/>
      <x:c r="Q50" s="27"/>
      <x:c r="R50" s="27"/>
      <x:c r="S50" s="27"/>
      <x:c r="T50" s="27"/>
      <x:c r="U50" s="27"/>
      <x:c r="V50" s="27"/>
      <x:c r="W50" s="27"/>
      <x:c r="X50" s="27"/>
      <x:c r="Y50" s="27"/>
      <x:c r="Z50" s="27"/>
      <x:c r="AA50" s="27"/>
      <x:c r="AB50" s="27"/>
      <x:c r="AC50" s="27"/>
      <x:c r="AD50" s="27"/>
      <x:c r="AE50" s="27"/>
      <x:c r="AF50" s="27"/>
      <x:c r="AG50" s="27"/>
      <x:c r="AH50" s="27"/>
      <x:c r="AI50" s="27"/>
      <x:c r="AJ50" s="27"/>
      <x:c r="AK50" s="27"/>
      <x:c r="AL50" s="27"/>
      <x:c r="AM50" s="27"/>
      <x:c r="AN50" s="27"/>
      <x:c r="AO50" s="27"/>
      <x:c r="AP50" s="27"/>
      <x:c r="AQ50" s="27"/>
      <x:c r="AR50" s="27"/>
      <x:c r="AS50" s="27"/>
      <x:c r="AT50" s="27"/>
      <x:c r="AU50" s="27"/>
      <x:c r="AV50" s="27"/>
      <x:c r="AW50" s="27"/>
      <x:c r="AX50" s="27"/>
      <x:c r="AY50" s="27"/>
      <x:c r="AZ50" s="27"/>
    </x:row>
    <x:row r="51">
      <x:c r="A51" s="27"/>
      <x:c r="B51" s="27"/>
      <x:c r="C51" s="27"/>
      <x:c r="D51" s="27"/>
      <x:c r="E51" s="27"/>
      <x:c r="F51" s="27"/>
      <x:c r="G51" s="27"/>
      <x:c r="H51" s="27"/>
      <x:c r="I51" s="27"/>
      <x:c r="J51" s="27"/>
      <x:c r="K51" s="27"/>
      <x:c r="L51" s="27"/>
      <x:c r="M51" s="27"/>
      <x:c r="N51" s="27"/>
      <x:c r="O51" s="27"/>
      <x:c r="P51" s="27"/>
      <x:c r="Q51" s="27"/>
      <x:c r="R51" s="27"/>
      <x:c r="S51" s="27"/>
      <x:c r="T51" s="27"/>
      <x:c r="U51" s="27"/>
      <x:c r="V51" s="27"/>
      <x:c r="W51" s="27"/>
      <x:c r="X51" s="27"/>
      <x:c r="Y51" s="27"/>
      <x:c r="Z51" s="27"/>
      <x:c r="AA51" s="27"/>
      <x:c r="AB51" s="27"/>
      <x:c r="AC51" s="27"/>
      <x:c r="AD51" s="27"/>
      <x:c r="AE51" s="27"/>
      <x:c r="AF51" s="27"/>
      <x:c r="AG51" s="27"/>
      <x:c r="AH51" s="27"/>
      <x:c r="AI51" s="27"/>
      <x:c r="AJ51" s="27"/>
      <x:c r="AK51" s="27"/>
      <x:c r="AL51" s="27"/>
      <x:c r="AM51" s="27"/>
      <x:c r="AN51" s="27"/>
      <x:c r="AO51" s="27"/>
      <x:c r="AP51" s="27"/>
      <x:c r="AQ51" s="27"/>
      <x:c r="AR51" s="27"/>
      <x:c r="AS51" s="27"/>
      <x:c r="AT51" s="27"/>
      <x:c r="AU51" s="27"/>
      <x:c r="AV51" s="27"/>
      <x:c r="AW51" s="27"/>
      <x:c r="AX51" s="27"/>
      <x:c r="AY51" s="27"/>
      <x:c r="AZ51" s="27"/>
    </x:row>
    <x:row r="52">
      <x:c r="A52" s="27"/>
      <x:c r="B52" s="27"/>
      <x:c r="C52" s="27"/>
      <x:c r="D52" s="27"/>
      <x:c r="E52" s="27"/>
      <x:c r="F52" s="27"/>
      <x:c r="G52" s="27"/>
      <x:c r="H52" s="27"/>
      <x:c r="I52" s="27"/>
      <x:c r="J52" s="27"/>
      <x:c r="K52" s="27"/>
      <x:c r="L52" s="27"/>
      <x:c r="M52" s="27"/>
      <x:c r="N52" s="27"/>
      <x:c r="O52" s="27"/>
      <x:c r="P52" s="27"/>
      <x:c r="Q52" s="27"/>
      <x:c r="R52" s="27"/>
      <x:c r="S52" s="27"/>
      <x:c r="T52" s="27"/>
      <x:c r="U52" s="27"/>
      <x:c r="V52" s="27"/>
      <x:c r="W52" s="27"/>
      <x:c r="X52" s="27"/>
      <x:c r="Y52" s="27"/>
      <x:c r="Z52" s="27"/>
      <x:c r="AA52" s="27"/>
      <x:c r="AB52" s="27"/>
      <x:c r="AC52" s="27"/>
      <x:c r="AD52" s="27"/>
      <x:c r="AE52" s="27"/>
      <x:c r="AF52" s="27"/>
      <x:c r="AG52" s="27"/>
      <x:c r="AH52" s="27"/>
      <x:c r="AI52" s="27"/>
      <x:c r="AJ52" s="27"/>
      <x:c r="AK52" s="27"/>
      <x:c r="AL52" s="27"/>
      <x:c r="AM52" s="27"/>
      <x:c r="AN52" s="27"/>
      <x:c r="AO52" s="27"/>
      <x:c r="AP52" s="27"/>
      <x:c r="AQ52" s="27"/>
      <x:c r="AR52" s="27"/>
      <x:c r="AS52" s="27"/>
      <x:c r="AT52" s="27"/>
      <x:c r="AU52" s="27"/>
      <x:c r="AV52" s="27"/>
      <x:c r="AW52" s="27"/>
      <x:c r="AX52" s="27"/>
      <x:c r="AY52" s="27"/>
      <x:c r="AZ52" s="27"/>
    </x:row>
    <x:row r="53">
      <x:c r="A53" s="27"/>
      <x:c r="B53" s="27"/>
      <x:c r="C53" s="27"/>
      <x:c r="D53" s="27"/>
      <x:c r="E53" s="27"/>
      <x:c r="F53" s="27"/>
      <x:c r="G53" s="27"/>
      <x:c r="H53" s="27"/>
      <x:c r="I53" s="27"/>
      <x:c r="J53" s="27"/>
      <x:c r="K53" s="27"/>
      <x:c r="L53" s="27"/>
      <x:c r="M53" s="27"/>
      <x:c r="N53" s="27"/>
      <x:c r="O53" s="27"/>
      <x:c r="P53" s="27"/>
      <x:c r="Q53" s="27"/>
      <x:c r="R53" s="27"/>
      <x:c r="S53" s="27"/>
      <x:c r="T53" s="27"/>
      <x:c r="U53" s="27"/>
      <x:c r="V53" s="27"/>
      <x:c r="W53" s="27"/>
      <x:c r="X53" s="27"/>
      <x:c r="Y53" s="27"/>
      <x:c r="Z53" s="27"/>
      <x:c r="AA53" s="27"/>
      <x:c r="AB53" s="27"/>
      <x:c r="AC53" s="27"/>
      <x:c r="AD53" s="27"/>
      <x:c r="AE53" s="27"/>
      <x:c r="AF53" s="27"/>
      <x:c r="AG53" s="27"/>
      <x:c r="AH53" s="27"/>
      <x:c r="AI53" s="27"/>
      <x:c r="AJ53" s="27"/>
      <x:c r="AK53" s="27"/>
      <x:c r="AL53" s="27"/>
      <x:c r="AM53" s="27"/>
      <x:c r="AN53" s="27"/>
      <x:c r="AO53" s="27"/>
      <x:c r="AP53" s="27"/>
      <x:c r="AQ53" s="27"/>
      <x:c r="AR53" s="27"/>
      <x:c r="AS53" s="27"/>
      <x:c r="AT53" s="27"/>
      <x:c r="AU53" s="27"/>
      <x:c r="AV53" s="27"/>
      <x:c r="AW53" s="27"/>
      <x:c r="AX53" s="27"/>
      <x:c r="AY53" s="27"/>
      <x:c r="AZ53" s="27"/>
    </x:row>
    <x:row r="54">
      <x:c r="A54" s="27"/>
      <x:c r="B54" s="27"/>
      <x:c r="C54" s="27"/>
      <x:c r="D54" s="27"/>
      <x:c r="E54" s="27"/>
      <x:c r="F54" s="27"/>
      <x:c r="G54" s="27"/>
      <x:c r="H54" s="27"/>
      <x:c r="I54" s="27"/>
      <x:c r="J54" s="27"/>
      <x:c r="K54" s="27"/>
      <x:c r="L54" s="27"/>
      <x:c r="M54" s="27"/>
      <x:c r="N54" s="27"/>
      <x:c r="O54" s="27"/>
      <x:c r="P54" s="27"/>
      <x:c r="Q54" s="27"/>
      <x:c r="R54" s="27"/>
      <x:c r="S54" s="27"/>
      <x:c r="T54" s="27"/>
      <x:c r="U54" s="27"/>
      <x:c r="V54" s="27"/>
      <x:c r="W54" s="27"/>
      <x:c r="X54" s="27"/>
      <x:c r="Y54" s="27"/>
      <x:c r="Z54" s="27"/>
      <x:c r="AA54" s="27"/>
      <x:c r="AB54" s="27"/>
      <x:c r="AC54" s="27"/>
      <x:c r="AD54" s="27"/>
      <x:c r="AE54" s="27"/>
      <x:c r="AF54" s="27"/>
      <x:c r="AG54" s="27"/>
      <x:c r="AH54" s="27"/>
      <x:c r="AI54" s="27"/>
      <x:c r="AJ54" s="27"/>
      <x:c r="AK54" s="27"/>
      <x:c r="AL54" s="27"/>
      <x:c r="AM54" s="27"/>
      <x:c r="AN54" s="27"/>
      <x:c r="AO54" s="27"/>
      <x:c r="AP54" s="27"/>
      <x:c r="AQ54" s="27"/>
      <x:c r="AR54" s="27"/>
      <x:c r="AS54" s="27"/>
      <x:c r="AT54" s="27"/>
      <x:c r="AU54" s="27"/>
      <x:c r="AV54" s="27"/>
      <x:c r="AW54" s="27"/>
      <x:c r="AX54" s="27"/>
      <x:c r="AY54" s="27"/>
      <x:c r="AZ54" s="27"/>
    </x:row>
    <x:row r="55">
      <x:c r="A55" s="27"/>
      <x:c r="B55" s="27"/>
      <x:c r="C55" s="27"/>
      <x:c r="D55" s="27"/>
      <x:c r="E55" s="27"/>
      <x:c r="F55" s="27"/>
      <x:c r="G55" s="27"/>
      <x:c r="H55" s="27"/>
      <x:c r="I55" s="27"/>
      <x:c r="J55" s="27"/>
      <x:c r="K55" s="27"/>
      <x:c r="L55" s="27"/>
      <x:c r="M55" s="27"/>
      <x:c r="N55" s="27"/>
      <x:c r="O55" s="27"/>
      <x:c r="P55" s="27"/>
      <x:c r="Q55" s="27"/>
      <x:c r="R55" s="27"/>
      <x:c r="S55" s="27"/>
      <x:c r="T55" s="27"/>
      <x:c r="U55" s="27"/>
      <x:c r="V55" s="27"/>
      <x:c r="W55" s="27"/>
      <x:c r="X55" s="27"/>
      <x:c r="Y55" s="27"/>
      <x:c r="Z55" s="27"/>
      <x:c r="AA55" s="27"/>
      <x:c r="AB55" s="27"/>
      <x:c r="AC55" s="27"/>
      <x:c r="AD55" s="27"/>
      <x:c r="AE55" s="27"/>
      <x:c r="AF55" s="27"/>
      <x:c r="AG55" s="27"/>
      <x:c r="AH55" s="27"/>
      <x:c r="AI55" s="27"/>
      <x:c r="AJ55" s="27"/>
      <x:c r="AK55" s="27"/>
      <x:c r="AL55" s="27"/>
      <x:c r="AM55" s="27"/>
      <x:c r="AN55" s="27"/>
      <x:c r="AO55" s="27"/>
      <x:c r="AP55" s="27"/>
      <x:c r="AQ55" s="27"/>
      <x:c r="AR55" s="27"/>
      <x:c r="AS55" s="27"/>
      <x:c r="AT55" s="27"/>
      <x:c r="AU55" s="27"/>
      <x:c r="AV55" s="27"/>
      <x:c r="AW55" s="27"/>
      <x:c r="AX55" s="27"/>
      <x:c r="AY55" s="27"/>
      <x:c r="AZ55" s="27"/>
    </x:row>
    <x:row r="56">
      <x:c r="A56" s="27"/>
      <x:c r="B56" s="27"/>
      <x:c r="C56" s="27"/>
      <x:c r="D56" s="27"/>
      <x:c r="E56" s="27"/>
      <x:c r="F56" s="27"/>
      <x:c r="G56" s="27"/>
      <x:c r="H56" s="27"/>
      <x:c r="I56" s="27"/>
      <x:c r="J56" s="27"/>
      <x:c r="K56" s="27"/>
      <x:c r="L56" s="27"/>
      <x:c r="M56" s="27"/>
      <x:c r="N56" s="27"/>
      <x:c r="O56" s="27"/>
      <x:c r="P56" s="27"/>
      <x:c r="Q56" s="27"/>
      <x:c r="R56" s="27"/>
      <x:c r="S56" s="27"/>
      <x:c r="T56" s="27"/>
      <x:c r="U56" s="27"/>
      <x:c r="V56" s="27"/>
      <x:c r="W56" s="27"/>
      <x:c r="X56" s="27"/>
      <x:c r="Y56" s="27"/>
      <x:c r="Z56" s="27"/>
      <x:c r="AA56" s="27"/>
      <x:c r="AB56" s="27"/>
      <x:c r="AC56" s="27"/>
      <x:c r="AD56" s="27"/>
      <x:c r="AE56" s="27"/>
      <x:c r="AF56" s="27"/>
      <x:c r="AG56" s="27"/>
      <x:c r="AH56" s="27"/>
      <x:c r="AI56" s="27"/>
      <x:c r="AJ56" s="27"/>
      <x:c r="AK56" s="27"/>
      <x:c r="AL56" s="27"/>
      <x:c r="AM56" s="27"/>
      <x:c r="AN56" s="27"/>
      <x:c r="AO56" s="27"/>
      <x:c r="AP56" s="27"/>
      <x:c r="AQ56" s="27"/>
      <x:c r="AR56" s="27"/>
      <x:c r="AS56" s="27"/>
      <x:c r="AT56" s="27"/>
      <x:c r="AU56" s="27"/>
      <x:c r="AV56" s="27"/>
      <x:c r="AW56" s="27"/>
      <x:c r="AX56" s="27"/>
      <x:c r="AY56" s="27"/>
      <x:c r="AZ56" s="27"/>
    </x:row>
    <x:row r="57">
      <x:c r="A57" s="27"/>
      <x:c r="B57" s="27"/>
      <x:c r="C57" s="27"/>
      <x:c r="D57" s="27"/>
      <x:c r="E57" s="27"/>
      <x:c r="F57" s="27"/>
      <x:c r="G57" s="27"/>
      <x:c r="H57" s="27"/>
      <x:c r="I57" s="27"/>
      <x:c r="J57" s="27"/>
      <x:c r="K57" s="27"/>
      <x:c r="L57" s="27"/>
      <x:c r="M57" s="27"/>
      <x:c r="N57" s="27"/>
      <x:c r="O57" s="27"/>
      <x:c r="P57" s="27"/>
      <x:c r="Q57" s="27"/>
      <x:c r="R57" s="27"/>
      <x:c r="S57" s="27"/>
      <x:c r="T57" s="27"/>
      <x:c r="U57" s="27"/>
      <x:c r="V57" s="27"/>
      <x:c r="W57" s="27"/>
      <x:c r="X57" s="27"/>
      <x:c r="Y57" s="27"/>
      <x:c r="Z57" s="27"/>
      <x:c r="AA57" s="27"/>
      <x:c r="AB57" s="27"/>
      <x:c r="AC57" s="27"/>
      <x:c r="AD57" s="27"/>
      <x:c r="AE57" s="27"/>
      <x:c r="AF57" s="27"/>
      <x:c r="AG57" s="27"/>
      <x:c r="AH57" s="27"/>
      <x:c r="AI57" s="27"/>
      <x:c r="AJ57" s="27"/>
      <x:c r="AK57" s="27"/>
      <x:c r="AL57" s="27"/>
      <x:c r="AM57" s="27"/>
      <x:c r="AN57" s="27"/>
      <x:c r="AO57" s="27"/>
      <x:c r="AP57" s="27"/>
      <x:c r="AQ57" s="27"/>
      <x:c r="AR57" s="27"/>
      <x:c r="AS57" s="27"/>
      <x:c r="AT57" s="27"/>
      <x:c r="AU57" s="27"/>
      <x:c r="AV57" s="27"/>
      <x:c r="AW57" s="27"/>
      <x:c r="AX57" s="27"/>
      <x:c r="AY57" s="27"/>
      <x:c r="AZ57" s="27"/>
    </x:row>
    <x:row r="58">
      <x:c r="A58" s="27"/>
      <x:c r="B58" s="27"/>
      <x:c r="C58" s="27"/>
      <x:c r="D58" s="27"/>
      <x:c r="E58" s="27"/>
      <x:c r="F58" s="27"/>
      <x:c r="G58" s="27"/>
      <x:c r="H58" s="27"/>
      <x:c r="I58" s="27"/>
      <x:c r="J58" s="27"/>
      <x:c r="K58" s="27"/>
      <x:c r="L58" s="27"/>
      <x:c r="M58" s="27"/>
      <x:c r="N58" s="27"/>
      <x:c r="O58" s="27"/>
      <x:c r="P58" s="27"/>
      <x:c r="Q58" s="27"/>
      <x:c r="R58" s="27"/>
      <x:c r="S58" s="27"/>
      <x:c r="T58" s="27"/>
      <x:c r="U58" s="27"/>
      <x:c r="V58" s="27"/>
      <x:c r="W58" s="27"/>
      <x:c r="X58" s="27"/>
      <x:c r="Y58" s="27"/>
      <x:c r="Z58" s="27"/>
      <x:c r="AA58" s="27"/>
      <x:c r="AB58" s="27"/>
      <x:c r="AC58" s="27"/>
      <x:c r="AD58" s="27"/>
      <x:c r="AE58" s="27"/>
      <x:c r="AF58" s="27"/>
      <x:c r="AG58" s="27"/>
      <x:c r="AH58" s="27"/>
      <x:c r="AI58" s="27"/>
      <x:c r="AJ58" s="27"/>
      <x:c r="AK58" s="27"/>
      <x:c r="AL58" s="27"/>
      <x:c r="AM58" s="27"/>
      <x:c r="AN58" s="27"/>
      <x:c r="AO58" s="27"/>
      <x:c r="AP58" s="27"/>
      <x:c r="AQ58" s="27"/>
      <x:c r="AR58" s="27"/>
      <x:c r="AS58" s="27"/>
      <x:c r="AT58" s="27"/>
      <x:c r="AU58" s="27"/>
      <x:c r="AV58" s="27"/>
      <x:c r="AW58" s="27"/>
      <x:c r="AX58" s="27"/>
      <x:c r="AY58" s="27"/>
      <x:c r="AZ58" s="27"/>
    </x:row>
    <x:row r="59">
      <x:c r="A59" s="27"/>
      <x:c r="B59" s="27"/>
      <x:c r="C59" s="27"/>
      <x:c r="D59" s="27"/>
      <x:c r="E59" s="27"/>
      <x:c r="F59" s="27"/>
      <x:c r="G59" s="27"/>
      <x:c r="H59" s="27"/>
      <x:c r="I59" s="27"/>
      <x:c r="J59" s="27"/>
      <x:c r="K59" s="27"/>
      <x:c r="L59" s="27"/>
      <x:c r="M59" s="27"/>
      <x:c r="N59" s="27"/>
      <x:c r="O59" s="27"/>
      <x:c r="P59" s="27"/>
      <x:c r="Q59" s="27"/>
      <x:c r="R59" s="27"/>
      <x:c r="S59" s="27"/>
      <x:c r="T59" s="27"/>
      <x:c r="U59" s="27"/>
      <x:c r="V59" s="27"/>
      <x:c r="W59" s="27"/>
      <x:c r="X59" s="27"/>
      <x:c r="Y59" s="27"/>
      <x:c r="Z59" s="27"/>
      <x:c r="AA59" s="27"/>
      <x:c r="AB59" s="27"/>
      <x:c r="AC59" s="27"/>
      <x:c r="AD59" s="27"/>
      <x:c r="AE59" s="27"/>
      <x:c r="AF59" s="27"/>
      <x:c r="AG59" s="27"/>
      <x:c r="AH59" s="27"/>
      <x:c r="AI59" s="27"/>
      <x:c r="AJ59" s="27"/>
      <x:c r="AK59" s="27"/>
      <x:c r="AL59" s="27"/>
      <x:c r="AM59" s="27"/>
      <x:c r="AN59" s="27"/>
      <x:c r="AO59" s="27"/>
      <x:c r="AP59" s="27"/>
      <x:c r="AQ59" s="27"/>
      <x:c r="AR59" s="27"/>
      <x:c r="AS59" s="27"/>
      <x:c r="AT59" s="27"/>
      <x:c r="AU59" s="27"/>
      <x:c r="AV59" s="27"/>
      <x:c r="AW59" s="27"/>
      <x:c r="AX59" s="27"/>
      <x:c r="AY59" s="27"/>
      <x:c r="AZ59" s="27"/>
    </x:row>
    <x:row r="60">
      <x:c r="A60" s="27"/>
      <x:c r="B60" s="27"/>
      <x:c r="C60" s="27"/>
      <x:c r="D60" s="27"/>
      <x:c r="E60" s="27"/>
      <x:c r="F60" s="27"/>
      <x:c r="G60" s="27"/>
      <x:c r="H60" s="27"/>
      <x:c r="I60" s="27"/>
      <x:c r="J60" s="27"/>
      <x:c r="K60" s="27"/>
      <x:c r="L60" s="27"/>
      <x:c r="M60" s="27"/>
      <x:c r="N60" s="27"/>
      <x:c r="O60" s="27"/>
      <x:c r="P60" s="27"/>
      <x:c r="Q60" s="27"/>
      <x:c r="R60" s="27"/>
      <x:c r="S60" s="27"/>
      <x:c r="T60" s="27"/>
      <x:c r="U60" s="27"/>
      <x:c r="V60" s="27"/>
      <x:c r="W60" s="27"/>
      <x:c r="X60" s="27"/>
      <x:c r="Y60" s="27"/>
      <x:c r="Z60" s="27"/>
      <x:c r="AA60" s="27"/>
      <x:c r="AB60" s="27"/>
      <x:c r="AC60" s="27"/>
      <x:c r="AD60" s="27"/>
      <x:c r="AE60" s="27"/>
      <x:c r="AF60" s="27"/>
      <x:c r="AG60" s="27"/>
      <x:c r="AH60" s="27"/>
      <x:c r="AI60" s="27"/>
      <x:c r="AJ60" s="27"/>
      <x:c r="AK60" s="27"/>
      <x:c r="AL60" s="27"/>
      <x:c r="AM60" s="27"/>
      <x:c r="AN60" s="27"/>
      <x:c r="AO60" s="27"/>
      <x:c r="AP60" s="27"/>
      <x:c r="AQ60" s="27"/>
      <x:c r="AR60" s="27"/>
      <x:c r="AS60" s="27"/>
      <x:c r="AT60" s="27"/>
      <x:c r="AU60" s="27"/>
      <x:c r="AV60" s="27"/>
      <x:c r="AW60" s="27"/>
      <x:c r="AX60" s="27"/>
      <x:c r="AY60" s="27"/>
      <x:c r="AZ60" s="27"/>
    </x:row>
    <x:row r="61">
      <x:c r="A61" s="27"/>
      <x:c r="B61" s="27"/>
      <x:c r="C61" s="27"/>
      <x:c r="D61" s="27"/>
      <x:c r="E61" s="27"/>
      <x:c r="F61" s="27"/>
      <x:c r="G61" s="27"/>
      <x:c r="H61" s="27"/>
      <x:c r="I61" s="27"/>
      <x:c r="J61" s="27"/>
      <x:c r="K61" s="27"/>
      <x:c r="L61" s="27"/>
      <x:c r="M61" s="27"/>
      <x:c r="N61" s="27"/>
      <x:c r="O61" s="27"/>
      <x:c r="P61" s="27"/>
      <x:c r="Q61" s="27"/>
      <x:c r="R61" s="27"/>
      <x:c r="S61" s="27"/>
      <x:c r="T61" s="27"/>
      <x:c r="U61" s="27"/>
      <x:c r="V61" s="27"/>
      <x:c r="W61" s="27"/>
      <x:c r="X61" s="27"/>
      <x:c r="Y61" s="27"/>
      <x:c r="Z61" s="27"/>
      <x:c r="AA61" s="27"/>
      <x:c r="AB61" s="27"/>
      <x:c r="AC61" s="27"/>
      <x:c r="AD61" s="27"/>
      <x:c r="AE61" s="27"/>
      <x:c r="AF61" s="27"/>
      <x:c r="AG61" s="27"/>
      <x:c r="AH61" s="27"/>
      <x:c r="AI61" s="27"/>
      <x:c r="AJ61" s="27"/>
      <x:c r="AK61" s="27"/>
      <x:c r="AL61" s="27"/>
      <x:c r="AM61" s="27"/>
      <x:c r="AN61" s="27"/>
      <x:c r="AO61" s="27"/>
      <x:c r="AP61" s="27"/>
      <x:c r="AQ61" s="27"/>
      <x:c r="AR61" s="27"/>
      <x:c r="AS61" s="27"/>
      <x:c r="AT61" s="27"/>
      <x:c r="AU61" s="27"/>
      <x:c r="AV61" s="27"/>
      <x:c r="AW61" s="27"/>
      <x:c r="AX61" s="27"/>
      <x:c r="AY61" s="27"/>
      <x:c r="AZ61" s="27"/>
    </x:row>
    <x:row r="62">
      <x:c r="A62" s="27"/>
      <x:c r="B62" s="27"/>
      <x:c r="C62" s="27"/>
      <x:c r="D62" s="27"/>
      <x:c r="E62" s="27"/>
      <x:c r="F62" s="27"/>
      <x:c r="G62" s="27"/>
      <x:c r="H62" s="27"/>
      <x:c r="I62" s="27"/>
      <x:c r="J62" s="27"/>
      <x:c r="K62" s="27"/>
      <x:c r="L62" s="27"/>
      <x:c r="M62" s="27"/>
      <x:c r="N62" s="27"/>
      <x:c r="O62" s="27"/>
      <x:c r="P62" s="27"/>
      <x:c r="Q62" s="27"/>
      <x:c r="R62" s="27"/>
      <x:c r="S62" s="27"/>
      <x:c r="T62" s="27"/>
      <x:c r="U62" s="27"/>
      <x:c r="V62" s="27"/>
      <x:c r="W62" s="27"/>
      <x:c r="X62" s="27"/>
      <x:c r="Y62" s="27"/>
      <x:c r="Z62" s="27"/>
      <x:c r="AA62" s="27"/>
      <x:c r="AB62" s="27"/>
      <x:c r="AC62" s="27"/>
      <x:c r="AD62" s="27"/>
      <x:c r="AE62" s="27"/>
      <x:c r="AF62" s="27"/>
      <x:c r="AG62" s="27"/>
      <x:c r="AH62" s="27"/>
      <x:c r="AI62" s="27"/>
      <x:c r="AJ62" s="27"/>
      <x:c r="AK62" s="27"/>
      <x:c r="AL62" s="27"/>
      <x:c r="AM62" s="27"/>
      <x:c r="AN62" s="27"/>
      <x:c r="AO62" s="27"/>
      <x:c r="AP62" s="27"/>
      <x:c r="AQ62" s="27"/>
      <x:c r="AR62" s="27"/>
      <x:c r="AS62" s="27"/>
      <x:c r="AT62" s="27"/>
      <x:c r="AU62" s="27"/>
      <x:c r="AV62" s="27"/>
      <x:c r="AW62" s="27"/>
      <x:c r="AX62" s="27"/>
      <x:c r="AY62" s="27"/>
      <x:c r="AZ62" s="27"/>
    </x:row>
    <x:row r="63">
      <x:c r="A63" s="27"/>
      <x:c r="B63" s="27"/>
      <x:c r="C63" s="27"/>
      <x:c r="D63" s="27"/>
      <x:c r="E63" s="27"/>
      <x:c r="F63" s="27"/>
      <x:c r="G63" s="27"/>
      <x:c r="H63" s="27"/>
      <x:c r="I63" s="27"/>
      <x:c r="J63" s="27"/>
      <x:c r="K63" s="27"/>
      <x:c r="L63" s="27"/>
      <x:c r="M63" s="27"/>
      <x:c r="N63" s="27"/>
      <x:c r="O63" s="27"/>
      <x:c r="P63" s="27"/>
      <x:c r="Q63" s="27"/>
      <x:c r="R63" s="27"/>
      <x:c r="S63" s="27"/>
      <x:c r="T63" s="27"/>
      <x:c r="U63" s="27"/>
      <x:c r="V63" s="27"/>
      <x:c r="W63" s="27"/>
      <x:c r="X63" s="27"/>
      <x:c r="Y63" s="27"/>
      <x:c r="Z63" s="27"/>
      <x:c r="AA63" s="27"/>
      <x:c r="AB63" s="27"/>
      <x:c r="AC63" s="27"/>
      <x:c r="AD63" s="27"/>
      <x:c r="AE63" s="27"/>
      <x:c r="AF63" s="27"/>
      <x:c r="AG63" s="27"/>
      <x:c r="AH63" s="27"/>
      <x:c r="AI63" s="27"/>
      <x:c r="AJ63" s="27"/>
      <x:c r="AK63" s="27"/>
      <x:c r="AL63" s="27"/>
      <x:c r="AM63" s="27"/>
      <x:c r="AN63" s="27"/>
      <x:c r="AO63" s="27"/>
      <x:c r="AP63" s="27"/>
      <x:c r="AQ63" s="27"/>
      <x:c r="AR63" s="27"/>
      <x:c r="AS63" s="27"/>
      <x:c r="AT63" s="27"/>
      <x:c r="AU63" s="27"/>
      <x:c r="AV63" s="27"/>
      <x:c r="AW63" s="27"/>
      <x:c r="AX63" s="27"/>
      <x:c r="AY63" s="27"/>
      <x:c r="AZ63" s="27"/>
    </x:row>
    <x:row r="64">
      <x:c r="A64" s="27"/>
      <x:c r="B64" s="27"/>
      <x:c r="C64" s="27"/>
      <x:c r="D64" s="27"/>
      <x:c r="E64" s="27"/>
      <x:c r="F64" s="27"/>
      <x:c r="G64" s="27"/>
      <x:c r="H64" s="27"/>
      <x:c r="I64" s="27"/>
      <x:c r="J64" s="27"/>
      <x:c r="K64" s="27"/>
      <x:c r="L64" s="27"/>
      <x:c r="M64" s="27"/>
      <x:c r="N64" s="27"/>
      <x:c r="O64" s="27"/>
      <x:c r="P64" s="27"/>
      <x:c r="Q64" s="27"/>
      <x:c r="R64" s="27"/>
      <x:c r="S64" s="27"/>
      <x:c r="T64" s="27"/>
      <x:c r="U64" s="27"/>
      <x:c r="V64" s="27"/>
      <x:c r="W64" s="27"/>
      <x:c r="X64" s="27"/>
      <x:c r="Y64" s="27"/>
      <x:c r="Z64" s="27"/>
      <x:c r="AA64" s="27"/>
      <x:c r="AB64" s="27"/>
      <x:c r="AC64" s="27"/>
      <x:c r="AD64" s="27"/>
      <x:c r="AE64" s="27"/>
      <x:c r="AF64" s="27"/>
      <x:c r="AG64" s="27"/>
      <x:c r="AH64" s="27"/>
      <x:c r="AI64" s="27"/>
      <x:c r="AJ64" s="27"/>
      <x:c r="AK64" s="27"/>
      <x:c r="AL64" s="27"/>
      <x:c r="AM64" s="27"/>
      <x:c r="AN64" s="27"/>
      <x:c r="AO64" s="27"/>
      <x:c r="AP64" s="27"/>
      <x:c r="AQ64" s="27"/>
      <x:c r="AR64" s="27"/>
      <x:c r="AS64" s="27"/>
      <x:c r="AT64" s="27"/>
      <x:c r="AU64" s="27"/>
      <x:c r="AV64" s="27"/>
      <x:c r="AW64" s="27"/>
      <x:c r="AX64" s="27"/>
      <x:c r="AY64" s="27"/>
      <x:c r="AZ64" s="27"/>
    </x:row>
    <x:row r="65">
      <x:c r="A65" s="27"/>
      <x:c r="B65" s="27"/>
      <x:c r="C65" s="27"/>
      <x:c r="D65" s="27"/>
      <x:c r="E65" s="27"/>
      <x:c r="F65" s="27"/>
      <x:c r="G65" s="27"/>
      <x:c r="H65" s="27"/>
      <x:c r="I65" s="27"/>
      <x:c r="J65" s="27"/>
      <x:c r="K65" s="27"/>
      <x:c r="L65" s="27"/>
      <x:c r="M65" s="27"/>
      <x:c r="N65" s="27"/>
      <x:c r="O65" s="27"/>
      <x:c r="P65" s="27"/>
      <x:c r="Q65" s="27"/>
      <x:c r="R65" s="27"/>
      <x:c r="S65" s="27"/>
      <x:c r="T65" s="27"/>
      <x:c r="U65" s="27"/>
      <x:c r="V65" s="27"/>
      <x:c r="W65" s="27"/>
      <x:c r="X65" s="27"/>
      <x:c r="Y65" s="27"/>
      <x:c r="Z65" s="27"/>
      <x:c r="AA65" s="27"/>
      <x:c r="AB65" s="27"/>
      <x:c r="AC65" s="27"/>
      <x:c r="AD65" s="27"/>
      <x:c r="AE65" s="27"/>
      <x:c r="AF65" s="27"/>
      <x:c r="AG65" s="27"/>
      <x:c r="AH65" s="27"/>
      <x:c r="AI65" s="27"/>
      <x:c r="AJ65" s="27"/>
      <x:c r="AK65" s="27"/>
      <x:c r="AL65" s="27"/>
      <x:c r="AM65" s="27"/>
      <x:c r="AN65" s="27"/>
      <x:c r="AO65" s="27"/>
      <x:c r="AP65" s="27"/>
      <x:c r="AQ65" s="27"/>
      <x:c r="AR65" s="27"/>
      <x:c r="AS65" s="27"/>
      <x:c r="AT65" s="27"/>
      <x:c r="AU65" s="27"/>
      <x:c r="AV65" s="27"/>
      <x:c r="AW65" s="27"/>
      <x:c r="AX65" s="27"/>
      <x:c r="AY65" s="27"/>
      <x:c r="AZ65" s="27"/>
    </x:row>
    <x:row r="66">
      <x:c r="A66" s="27"/>
      <x:c r="B66" s="27"/>
      <x:c r="C66" s="27"/>
      <x:c r="D66" s="27"/>
      <x:c r="E66" s="27"/>
      <x:c r="F66" s="27"/>
      <x:c r="G66" s="27"/>
      <x:c r="H66" s="27"/>
      <x:c r="I66" s="27"/>
      <x:c r="J66" s="27"/>
      <x:c r="K66" s="27"/>
      <x:c r="L66" s="27"/>
      <x:c r="M66" s="27"/>
      <x:c r="N66" s="27"/>
      <x:c r="O66" s="27"/>
      <x:c r="P66" s="27"/>
      <x:c r="Q66" s="27"/>
      <x:c r="R66" s="27"/>
      <x:c r="S66" s="27"/>
      <x:c r="T66" s="27"/>
      <x:c r="U66" s="27"/>
      <x:c r="V66" s="27"/>
      <x:c r="W66" s="27"/>
      <x:c r="X66" s="27"/>
      <x:c r="Y66" s="27"/>
      <x:c r="Z66" s="27"/>
      <x:c r="AA66" s="27"/>
      <x:c r="AB66" s="27"/>
      <x:c r="AC66" s="27"/>
      <x:c r="AD66" s="27"/>
      <x:c r="AE66" s="27"/>
      <x:c r="AF66" s="27"/>
      <x:c r="AG66" s="27"/>
      <x:c r="AH66" s="27"/>
      <x:c r="AI66" s="27"/>
      <x:c r="AJ66" s="27"/>
      <x:c r="AK66" s="27"/>
      <x:c r="AL66" s="27"/>
      <x:c r="AM66" s="27"/>
      <x:c r="AN66" s="27"/>
      <x:c r="AO66" s="27"/>
      <x:c r="AP66" s="27"/>
      <x:c r="AQ66" s="27"/>
      <x:c r="AR66" s="27"/>
      <x:c r="AS66" s="27"/>
      <x:c r="AT66" s="27"/>
      <x:c r="AU66" s="27"/>
      <x:c r="AV66" s="27"/>
      <x:c r="AW66" s="27"/>
      <x:c r="AX66" s="27"/>
      <x:c r="AY66" s="27"/>
      <x:c r="AZ66" s="27"/>
    </x:row>
    <x:row r="67">
      <x:c r="A67" s="27"/>
      <x:c r="B67" s="27"/>
      <x:c r="C67" s="27"/>
      <x:c r="D67" s="27"/>
      <x:c r="E67" s="27"/>
      <x:c r="F67" s="27"/>
      <x:c r="G67" s="27"/>
      <x:c r="H67" s="27"/>
      <x:c r="I67" s="27"/>
      <x:c r="J67" s="27"/>
      <x:c r="K67" s="27"/>
      <x:c r="L67" s="27"/>
      <x:c r="M67" s="27"/>
      <x:c r="N67" s="27"/>
      <x:c r="O67" s="27"/>
      <x:c r="P67" s="27"/>
      <x:c r="Q67" s="27"/>
      <x:c r="R67" s="27"/>
      <x:c r="S67" s="27"/>
      <x:c r="T67" s="27"/>
      <x:c r="U67" s="27"/>
      <x:c r="V67" s="27"/>
      <x:c r="W67" s="27"/>
      <x:c r="X67" s="27"/>
      <x:c r="Y67" s="27"/>
      <x:c r="Z67" s="27"/>
      <x:c r="AA67" s="27"/>
      <x:c r="AB67" s="27"/>
      <x:c r="AC67" s="27"/>
      <x:c r="AD67" s="27"/>
      <x:c r="AE67" s="27"/>
      <x:c r="AF67" s="27"/>
      <x:c r="AG67" s="27"/>
      <x:c r="AH67" s="27"/>
      <x:c r="AI67" s="27"/>
      <x:c r="AJ67" s="27"/>
      <x:c r="AK67" s="27"/>
      <x:c r="AL67" s="27"/>
      <x:c r="AM67" s="27"/>
      <x:c r="AN67" s="27"/>
      <x:c r="AO67" s="27"/>
      <x:c r="AP67" s="27"/>
      <x:c r="AQ67" s="27"/>
      <x:c r="AR67" s="27"/>
      <x:c r="AS67" s="27"/>
      <x:c r="AT67" s="27"/>
      <x:c r="AU67" s="27"/>
      <x:c r="AV67" s="27"/>
      <x:c r="AW67" s="27"/>
      <x:c r="AX67" s="27"/>
      <x:c r="AY67" s="27"/>
      <x:c r="AZ67" s="27"/>
    </x:row>
    <x:row r="68">
      <x:c r="A68" s="27"/>
      <x:c r="B68" s="27"/>
      <x:c r="C68" s="27"/>
      <x:c r="D68" s="27"/>
      <x:c r="E68" s="27"/>
      <x:c r="F68" s="27"/>
      <x:c r="G68" s="27"/>
      <x:c r="H68" s="27"/>
      <x:c r="I68" s="27"/>
      <x:c r="J68" s="27"/>
      <x:c r="K68" s="27"/>
      <x:c r="L68" s="27"/>
      <x:c r="M68" s="27"/>
      <x:c r="N68" s="27"/>
      <x:c r="O68" s="27"/>
      <x:c r="P68" s="27"/>
      <x:c r="Q68" s="27"/>
      <x:c r="R68" s="27"/>
      <x:c r="S68" s="27"/>
      <x:c r="T68" s="27"/>
      <x:c r="U68" s="27"/>
      <x:c r="V68" s="27"/>
      <x:c r="W68" s="27"/>
      <x:c r="X68" s="27"/>
      <x:c r="Y68" s="27"/>
      <x:c r="Z68" s="27"/>
      <x:c r="AA68" s="27"/>
      <x:c r="AB68" s="27"/>
      <x:c r="AC68" s="27"/>
      <x:c r="AD68" s="27"/>
      <x:c r="AE68" s="27"/>
      <x:c r="AF68" s="27"/>
      <x:c r="AG68" s="27"/>
      <x:c r="AH68" s="27"/>
      <x:c r="AI68" s="27"/>
      <x:c r="AJ68" s="27"/>
      <x:c r="AK68" s="27"/>
      <x:c r="AL68" s="27"/>
      <x:c r="AM68" s="27"/>
      <x:c r="AN68" s="27"/>
      <x:c r="AO68" s="27"/>
      <x:c r="AP68" s="27"/>
      <x:c r="AQ68" s="27"/>
      <x:c r="AR68" s="27"/>
      <x:c r="AS68" s="27"/>
      <x:c r="AT68" s="27"/>
      <x:c r="AU68" s="27"/>
      <x:c r="AV68" s="27"/>
      <x:c r="AW68" s="27"/>
      <x:c r="AX68" s="27"/>
      <x:c r="AY68" s="27"/>
      <x:c r="AZ68" s="27"/>
    </x:row>
    <x:row r="69">
      <x:c r="A69" s="27"/>
      <x:c r="B69" s="27"/>
      <x:c r="C69" s="27"/>
      <x:c r="D69" s="27"/>
      <x:c r="E69" s="27"/>
      <x:c r="F69" s="27"/>
      <x:c r="G69" s="27"/>
      <x:c r="H69" s="27"/>
      <x:c r="I69" s="27"/>
      <x:c r="J69" s="27"/>
      <x:c r="K69" s="27"/>
      <x:c r="L69" s="27"/>
      <x:c r="M69" s="27"/>
      <x:c r="N69" s="27"/>
      <x:c r="O69" s="27"/>
      <x:c r="P69" s="27"/>
      <x:c r="Q69" s="27"/>
      <x:c r="R69" s="27"/>
      <x:c r="S69" s="27"/>
      <x:c r="T69" s="27"/>
      <x:c r="U69" s="27"/>
      <x:c r="V69" s="27"/>
      <x:c r="W69" s="27"/>
      <x:c r="X69" s="27"/>
      <x:c r="Y69" s="27"/>
      <x:c r="Z69" s="27"/>
      <x:c r="AA69" s="27"/>
      <x:c r="AB69" s="27"/>
      <x:c r="AC69" s="27"/>
      <x:c r="AD69" s="27"/>
      <x:c r="AE69" s="27"/>
      <x:c r="AF69" s="27"/>
      <x:c r="AG69" s="27"/>
      <x:c r="AH69" s="27"/>
      <x:c r="AI69" s="27"/>
      <x:c r="AJ69" s="27"/>
      <x:c r="AK69" s="27"/>
      <x:c r="AL69" s="27"/>
      <x:c r="AM69" s="27"/>
      <x:c r="AN69" s="27"/>
      <x:c r="AO69" s="27"/>
      <x:c r="AP69" s="27"/>
      <x:c r="AQ69" s="27"/>
      <x:c r="AR69" s="27"/>
      <x:c r="AS69" s="27"/>
      <x:c r="AT69" s="27"/>
      <x:c r="AU69" s="27"/>
      <x:c r="AV69" s="27"/>
      <x:c r="AW69" s="27"/>
      <x:c r="AX69" s="27"/>
      <x:c r="AY69" s="27"/>
      <x:c r="AZ69" s="27"/>
    </x:row>
    <x:row r="70">
      <x:c r="A70" s="27"/>
      <x:c r="B70" s="27"/>
      <x:c r="C70" s="27"/>
      <x:c r="D70" s="27"/>
      <x:c r="E70" s="27"/>
      <x:c r="F70" s="27"/>
      <x:c r="G70" s="27"/>
      <x:c r="H70" s="27"/>
      <x:c r="I70" s="27"/>
      <x:c r="J70" s="27"/>
      <x:c r="K70" s="27"/>
      <x:c r="L70" s="27"/>
      <x:c r="M70" s="27"/>
      <x:c r="N70" s="27"/>
      <x:c r="O70" s="27"/>
      <x:c r="P70" s="27"/>
      <x:c r="Q70" s="27"/>
      <x:c r="R70" s="27"/>
      <x:c r="S70" s="27"/>
      <x:c r="T70" s="27"/>
      <x:c r="U70" s="27"/>
      <x:c r="V70" s="27"/>
      <x:c r="W70" s="27"/>
      <x:c r="X70" s="27"/>
      <x:c r="Y70" s="27"/>
      <x:c r="Z70" s="27"/>
      <x:c r="AA70" s="27"/>
      <x:c r="AB70" s="27"/>
      <x:c r="AC70" s="27"/>
      <x:c r="AD70" s="27"/>
      <x:c r="AE70" s="27"/>
      <x:c r="AF70" s="27"/>
      <x:c r="AG70" s="27"/>
      <x:c r="AH70" s="27"/>
      <x:c r="AI70" s="27"/>
      <x:c r="AJ70" s="27"/>
      <x:c r="AK70" s="27"/>
      <x:c r="AL70" s="27"/>
      <x:c r="AM70" s="27"/>
      <x:c r="AN70" s="27"/>
      <x:c r="AO70" s="27"/>
      <x:c r="AP70" s="27"/>
      <x:c r="AQ70" s="27"/>
      <x:c r="AR70" s="27"/>
      <x:c r="AS70" s="27"/>
      <x:c r="AT70" s="27"/>
      <x:c r="AU70" s="27"/>
      <x:c r="AV70" s="27"/>
      <x:c r="AW70" s="27"/>
      <x:c r="AX70" s="27"/>
      <x:c r="AY70" s="27"/>
      <x:c r="AZ70" s="27"/>
    </x:row>
    <x:row r="71">
      <x:c r="A71" s="27"/>
      <x:c r="B71" s="27"/>
      <x:c r="C71" s="27"/>
      <x:c r="D71" s="27"/>
      <x:c r="E71" s="27"/>
      <x:c r="F71" s="27"/>
      <x:c r="G71" s="27"/>
      <x:c r="H71" s="27"/>
      <x:c r="I71" s="27"/>
      <x:c r="J71" s="27"/>
      <x:c r="K71" s="27"/>
      <x:c r="L71" s="27"/>
      <x:c r="M71" s="27"/>
      <x:c r="N71" s="27"/>
      <x:c r="O71" s="27"/>
      <x:c r="P71" s="27"/>
      <x:c r="Q71" s="27"/>
      <x:c r="R71" s="27"/>
      <x:c r="S71" s="27"/>
      <x:c r="T71" s="27"/>
      <x:c r="U71" s="27"/>
      <x:c r="V71" s="27"/>
      <x:c r="W71" s="27"/>
      <x:c r="X71" s="27"/>
      <x:c r="Y71" s="27"/>
      <x:c r="Z71" s="27"/>
      <x:c r="AA71" s="27"/>
      <x:c r="AB71" s="27"/>
      <x:c r="AC71" s="27"/>
      <x:c r="AD71" s="27"/>
      <x:c r="AE71" s="27"/>
      <x:c r="AF71" s="27"/>
      <x:c r="AG71" s="27"/>
      <x:c r="AH71" s="27"/>
      <x:c r="AI71" s="27"/>
      <x:c r="AJ71" s="27"/>
      <x:c r="AK71" s="27"/>
      <x:c r="AL71" s="27"/>
      <x:c r="AM71" s="27"/>
      <x:c r="AN71" s="27"/>
      <x:c r="AO71" s="27"/>
      <x:c r="AP71" s="27"/>
      <x:c r="AQ71" s="27"/>
      <x:c r="AR71" s="27"/>
      <x:c r="AS71" s="27"/>
      <x:c r="AT71" s="27"/>
      <x:c r="AU71" s="27"/>
      <x:c r="AV71" s="27"/>
      <x:c r="AW71" s="27"/>
      <x:c r="AX71" s="27"/>
      <x:c r="AY71" s="27"/>
      <x:c r="AZ71" s="27"/>
    </x:row>
    <x:row r="72">
      <x:c r="A72" s="27"/>
      <x:c r="B72" s="27"/>
      <x:c r="C72" s="27"/>
      <x:c r="D72" s="27"/>
      <x:c r="E72" s="27"/>
      <x:c r="F72" s="27"/>
      <x:c r="G72" s="27"/>
      <x:c r="H72" s="27"/>
      <x:c r="I72" s="27"/>
      <x:c r="J72" s="27"/>
      <x:c r="K72" s="27"/>
      <x:c r="L72" s="27"/>
      <x:c r="M72" s="27"/>
      <x:c r="N72" s="27"/>
      <x:c r="O72" s="27"/>
      <x:c r="P72" s="27"/>
      <x:c r="Q72" s="27"/>
      <x:c r="R72" s="27"/>
      <x:c r="S72" s="27"/>
      <x:c r="T72" s="27"/>
      <x:c r="U72" s="27"/>
      <x:c r="V72" s="27"/>
      <x:c r="W72" s="27"/>
      <x:c r="X72" s="27"/>
      <x:c r="Y72" s="27"/>
      <x:c r="Z72" s="27"/>
      <x:c r="AA72" s="27"/>
      <x:c r="AB72" s="27"/>
      <x:c r="AC72" s="27"/>
      <x:c r="AD72" s="27"/>
      <x:c r="AE72" s="27"/>
      <x:c r="AF72" s="27"/>
      <x:c r="AG72" s="27"/>
      <x:c r="AH72" s="27"/>
      <x:c r="AI72" s="27"/>
      <x:c r="AJ72" s="27"/>
      <x:c r="AK72" s="27"/>
      <x:c r="AL72" s="27"/>
      <x:c r="AM72" s="27"/>
      <x:c r="AN72" s="27"/>
      <x:c r="AO72" s="27"/>
      <x:c r="AP72" s="27"/>
      <x:c r="AQ72" s="27"/>
      <x:c r="AR72" s="27"/>
      <x:c r="AS72" s="27"/>
      <x:c r="AT72" s="27"/>
      <x:c r="AU72" s="27"/>
      <x:c r="AV72" s="27"/>
      <x:c r="AW72" s="27"/>
      <x:c r="AX72" s="27"/>
      <x:c r="AY72" s="27"/>
      <x:c r="AZ72" s="27"/>
    </x:row>
    <x:row r="73">
      <x:c r="A73" s="27"/>
      <x:c r="B73" s="27"/>
      <x:c r="C73" s="27"/>
      <x:c r="D73" s="27"/>
      <x:c r="E73" s="27"/>
      <x:c r="F73" s="27"/>
      <x:c r="G73" s="27"/>
      <x:c r="H73" s="27"/>
      <x:c r="I73" s="27"/>
      <x:c r="J73" s="27"/>
      <x:c r="K73" s="27"/>
      <x:c r="L73" s="27"/>
      <x:c r="M73" s="27"/>
      <x:c r="N73" s="27"/>
      <x:c r="O73" s="27"/>
      <x:c r="P73" s="27"/>
      <x:c r="Q73" s="27"/>
      <x:c r="R73" s="27"/>
      <x:c r="S73" s="27"/>
      <x:c r="T73" s="27"/>
      <x:c r="U73" s="27"/>
      <x:c r="V73" s="27"/>
      <x:c r="W73" s="27"/>
      <x:c r="X73" s="27"/>
      <x:c r="Y73" s="27"/>
      <x:c r="Z73" s="27"/>
      <x:c r="AA73" s="27"/>
      <x:c r="AB73" s="27"/>
      <x:c r="AC73" s="27"/>
      <x:c r="AD73" s="27"/>
      <x:c r="AE73" s="27"/>
      <x:c r="AF73" s="27"/>
      <x:c r="AG73" s="27"/>
      <x:c r="AH73" s="27"/>
      <x:c r="AI73" s="27"/>
      <x:c r="AJ73" s="27"/>
      <x:c r="AK73" s="27"/>
      <x:c r="AL73" s="27"/>
      <x:c r="AM73" s="27"/>
      <x:c r="AN73" s="27"/>
      <x:c r="AO73" s="27"/>
      <x:c r="AP73" s="27"/>
      <x:c r="AQ73" s="27"/>
      <x:c r="AR73" s="27"/>
      <x:c r="AS73" s="27"/>
      <x:c r="AT73" s="27"/>
      <x:c r="AU73" s="27"/>
      <x:c r="AV73" s="27"/>
      <x:c r="AW73" s="27"/>
      <x:c r="AX73" s="27"/>
      <x:c r="AY73" s="27"/>
      <x:c r="AZ73" s="27"/>
    </x:row>
    <x:row r="74">
      <x:c r="A74" s="27"/>
      <x:c r="B74" s="27"/>
      <x:c r="C74" s="27"/>
      <x:c r="D74" s="27"/>
      <x:c r="E74" s="27"/>
      <x:c r="F74" s="27"/>
      <x:c r="G74" s="27"/>
      <x:c r="H74" s="27"/>
      <x:c r="I74" s="27"/>
      <x:c r="J74" s="27"/>
      <x:c r="K74" s="27"/>
      <x:c r="L74" s="27"/>
      <x:c r="M74" s="27"/>
      <x:c r="N74" s="27"/>
      <x:c r="O74" s="27"/>
      <x:c r="P74" s="27"/>
      <x:c r="Q74" s="27"/>
      <x:c r="R74" s="27"/>
      <x:c r="S74" s="27"/>
      <x:c r="T74" s="27"/>
      <x:c r="U74" s="27"/>
      <x:c r="V74" s="27"/>
      <x:c r="W74" s="27"/>
      <x:c r="X74" s="27"/>
      <x:c r="Y74" s="27"/>
      <x:c r="Z74" s="27"/>
      <x:c r="AA74" s="27"/>
      <x:c r="AB74" s="27"/>
      <x:c r="AC74" s="27"/>
      <x:c r="AD74" s="27"/>
      <x:c r="AE74" s="27"/>
      <x:c r="AF74" s="27"/>
      <x:c r="AG74" s="27"/>
      <x:c r="AH74" s="27"/>
      <x:c r="AI74" s="27"/>
      <x:c r="AJ74" s="27"/>
      <x:c r="AK74" s="27"/>
      <x:c r="AL74" s="27"/>
      <x:c r="AM74" s="27"/>
      <x:c r="AN74" s="27"/>
      <x:c r="AO74" s="27"/>
      <x:c r="AP74" s="27"/>
      <x:c r="AQ74" s="27"/>
      <x:c r="AR74" s="27"/>
      <x:c r="AS74" s="27"/>
      <x:c r="AT74" s="27"/>
      <x:c r="AU74" s="27"/>
      <x:c r="AV74" s="27"/>
      <x:c r="AW74" s="27"/>
      <x:c r="AX74" s="27"/>
      <x:c r="AY74" s="27"/>
      <x:c r="AZ74" s="27"/>
    </x:row>
    <x:row r="75">
      <x:c r="A75" s="27"/>
      <x:c r="B75" s="27"/>
      <x:c r="C75" s="27"/>
      <x:c r="D75" s="27"/>
      <x:c r="E75" s="27"/>
      <x:c r="F75" s="27"/>
      <x:c r="G75" s="27"/>
      <x:c r="H75" s="27"/>
      <x:c r="I75" s="27"/>
      <x:c r="J75" s="27"/>
      <x:c r="K75" s="27"/>
      <x:c r="L75" s="27"/>
      <x:c r="M75" s="27"/>
      <x:c r="N75" s="27"/>
      <x:c r="O75" s="27"/>
      <x:c r="P75" s="27"/>
      <x:c r="Q75" s="27"/>
      <x:c r="R75" s="27"/>
      <x:c r="S75" s="27"/>
      <x:c r="T75" s="27"/>
      <x:c r="U75" s="27"/>
      <x:c r="V75" s="27"/>
      <x:c r="W75" s="27"/>
      <x:c r="X75" s="27"/>
      <x:c r="Y75" s="27"/>
      <x:c r="Z75" s="27"/>
      <x:c r="AA75" s="27"/>
      <x:c r="AB75" s="27"/>
      <x:c r="AC75" s="27"/>
      <x:c r="AD75" s="27"/>
      <x:c r="AE75" s="27"/>
      <x:c r="AF75" s="27"/>
      <x:c r="AG75" s="27"/>
      <x:c r="AH75" s="27"/>
      <x:c r="AI75" s="27"/>
      <x:c r="AJ75" s="27"/>
      <x:c r="AK75" s="27"/>
      <x:c r="AL75" s="27"/>
      <x:c r="AM75" s="27"/>
      <x:c r="AN75" s="27"/>
      <x:c r="AO75" s="27"/>
      <x:c r="AP75" s="27"/>
      <x:c r="AQ75" s="27"/>
      <x:c r="AR75" s="27"/>
      <x:c r="AS75" s="27"/>
      <x:c r="AT75" s="27"/>
      <x:c r="AU75" s="27"/>
      <x:c r="AV75" s="27"/>
      <x:c r="AW75" s="27"/>
      <x:c r="AX75" s="27"/>
      <x:c r="AY75" s="27"/>
      <x:c r="AZ75" s="27"/>
    </x:row>
    <x:row r="76">
      <x:c r="A76" s="27"/>
      <x:c r="B76" s="27"/>
      <x:c r="C76" s="27"/>
      <x:c r="D76" s="27"/>
      <x:c r="E76" s="27"/>
      <x:c r="F76" s="27"/>
      <x:c r="G76" s="27"/>
      <x:c r="H76" s="27"/>
      <x:c r="I76" s="27"/>
      <x:c r="J76" s="27"/>
      <x:c r="K76" s="27"/>
      <x:c r="L76" s="27"/>
      <x:c r="M76" s="27"/>
      <x:c r="N76" s="27"/>
      <x:c r="O76" s="27"/>
      <x:c r="P76" s="27"/>
      <x:c r="Q76" s="27"/>
      <x:c r="R76" s="27"/>
      <x:c r="S76" s="27"/>
      <x:c r="T76" s="27"/>
      <x:c r="U76" s="27"/>
      <x:c r="V76" s="27"/>
      <x:c r="W76" s="27"/>
      <x:c r="X76" s="27"/>
      <x:c r="Y76" s="27"/>
      <x:c r="Z76" s="27"/>
      <x:c r="AA76" s="27"/>
      <x:c r="AB76" s="27"/>
      <x:c r="AC76" s="27"/>
      <x:c r="AD76" s="27"/>
      <x:c r="AE76" s="27"/>
      <x:c r="AF76" s="27"/>
      <x:c r="AG76" s="27"/>
      <x:c r="AH76" s="27"/>
      <x:c r="AI76" s="27"/>
      <x:c r="AJ76" s="27"/>
      <x:c r="AK76" s="27"/>
      <x:c r="AL76" s="27"/>
      <x:c r="AM76" s="27"/>
      <x:c r="AN76" s="27"/>
      <x:c r="AO76" s="27"/>
      <x:c r="AP76" s="27"/>
      <x:c r="AQ76" s="27"/>
      <x:c r="AR76" s="27"/>
      <x:c r="AS76" s="27"/>
      <x:c r="AT76" s="27"/>
      <x:c r="AU76" s="27"/>
      <x:c r="AV76" s="27"/>
      <x:c r="AW76" s="27"/>
      <x:c r="AX76" s="27"/>
      <x:c r="AY76" s="27"/>
      <x:c r="AZ76" s="27"/>
    </x:row>
    <x:row r="77">
      <x:c r="A77" s="27"/>
      <x:c r="B77" s="27"/>
      <x:c r="C77" s="27"/>
      <x:c r="D77" s="27"/>
      <x:c r="E77" s="27"/>
      <x:c r="F77" s="27"/>
      <x:c r="G77" s="27"/>
      <x:c r="H77" s="27"/>
      <x:c r="I77" s="27"/>
      <x:c r="J77" s="27"/>
      <x:c r="K77" s="27"/>
      <x:c r="L77" s="27"/>
      <x:c r="M77" s="27"/>
      <x:c r="N77" s="27"/>
      <x:c r="O77" s="27"/>
      <x:c r="P77" s="27"/>
      <x:c r="Q77" s="27"/>
      <x:c r="R77" s="27"/>
      <x:c r="S77" s="27"/>
      <x:c r="T77" s="27"/>
      <x:c r="U77" s="27"/>
      <x:c r="V77" s="27"/>
      <x:c r="W77" s="27"/>
      <x:c r="X77" s="27"/>
      <x:c r="Y77" s="27"/>
      <x:c r="Z77" s="27"/>
      <x:c r="AA77" s="27"/>
      <x:c r="AB77" s="27"/>
      <x:c r="AC77" s="27"/>
      <x:c r="AD77" s="27"/>
      <x:c r="AE77" s="27"/>
      <x:c r="AF77" s="27"/>
      <x:c r="AG77" s="27"/>
      <x:c r="AH77" s="27"/>
      <x:c r="AI77" s="27"/>
      <x:c r="AJ77" s="27"/>
      <x:c r="AK77" s="27"/>
      <x:c r="AL77" s="27"/>
      <x:c r="AM77" s="27"/>
      <x:c r="AN77" s="27"/>
      <x:c r="AO77" s="27"/>
      <x:c r="AP77" s="27"/>
      <x:c r="AQ77" s="27"/>
      <x:c r="AR77" s="27"/>
      <x:c r="AS77" s="27"/>
      <x:c r="AT77" s="27"/>
      <x:c r="AU77" s="27"/>
      <x:c r="AV77" s="27"/>
      <x:c r="AW77" s="27"/>
      <x:c r="AX77" s="27"/>
      <x:c r="AY77" s="27"/>
      <x:c r="AZ77" s="27"/>
    </x:row>
    <x:row r="78">
      <x:c r="A78" s="27"/>
      <x:c r="B78" s="27"/>
      <x:c r="C78" s="27"/>
      <x:c r="D78" s="27"/>
      <x:c r="E78" s="27"/>
      <x:c r="F78" s="27"/>
      <x:c r="G78" s="27"/>
      <x:c r="H78" s="27"/>
      <x:c r="I78" s="27"/>
      <x:c r="J78" s="27"/>
      <x:c r="K78" s="27"/>
      <x:c r="L78" s="27"/>
      <x:c r="M78" s="27"/>
      <x:c r="N78" s="27"/>
      <x:c r="O78" s="27"/>
      <x:c r="P78" s="27"/>
      <x:c r="Q78" s="27"/>
      <x:c r="R78" s="27"/>
      <x:c r="S78" s="27"/>
      <x:c r="T78" s="27"/>
      <x:c r="U78" s="27"/>
      <x:c r="V78" s="27"/>
      <x:c r="W78" s="27"/>
      <x:c r="X78" s="27"/>
      <x:c r="Y78" s="27"/>
      <x:c r="Z78" s="27"/>
      <x:c r="AA78" s="27"/>
      <x:c r="AB78" s="27"/>
      <x:c r="AC78" s="27"/>
      <x:c r="AD78" s="27"/>
      <x:c r="AE78" s="27"/>
      <x:c r="AF78" s="27"/>
      <x:c r="AG78" s="27"/>
      <x:c r="AH78" s="27"/>
      <x:c r="AI78" s="27"/>
      <x:c r="AJ78" s="27"/>
      <x:c r="AK78" s="27"/>
      <x:c r="AL78" s="27"/>
      <x:c r="AM78" s="27"/>
      <x:c r="AN78" s="27"/>
      <x:c r="AO78" s="27"/>
      <x:c r="AP78" s="27"/>
      <x:c r="AQ78" s="27"/>
      <x:c r="AR78" s="27"/>
      <x:c r="AS78" s="27"/>
      <x:c r="AT78" s="27"/>
      <x:c r="AU78" s="27"/>
      <x:c r="AV78" s="27"/>
      <x:c r="AW78" s="27"/>
      <x:c r="AX78" s="27"/>
      <x:c r="AY78" s="27"/>
      <x:c r="AZ78" s="27"/>
    </x:row>
    <x:row r="79">
      <x:c r="A79" s="27"/>
      <x:c r="B79" s="27"/>
      <x:c r="C79" s="27"/>
      <x:c r="D79" s="27"/>
      <x:c r="E79" s="27"/>
      <x:c r="F79" s="27"/>
      <x:c r="G79" s="27"/>
      <x:c r="H79" s="27"/>
      <x:c r="I79" s="27"/>
      <x:c r="J79" s="27"/>
      <x:c r="K79" s="27"/>
      <x:c r="L79" s="27"/>
      <x:c r="M79" s="27"/>
      <x:c r="N79" s="27"/>
      <x:c r="O79" s="27"/>
      <x:c r="P79" s="27"/>
      <x:c r="Q79" s="27"/>
      <x:c r="R79" s="27"/>
      <x:c r="S79" s="27"/>
      <x:c r="T79" s="27"/>
      <x:c r="U79" s="27"/>
      <x:c r="V79" s="27"/>
      <x:c r="W79" s="27"/>
      <x:c r="X79" s="27"/>
      <x:c r="Y79" s="27"/>
      <x:c r="Z79" s="27"/>
      <x:c r="AA79" s="27"/>
      <x:c r="AB79" s="27"/>
      <x:c r="AC79" s="27"/>
      <x:c r="AD79" s="27"/>
      <x:c r="AE79" s="27"/>
      <x:c r="AF79" s="27"/>
      <x:c r="AG79" s="27"/>
      <x:c r="AH79" s="27"/>
      <x:c r="AI79" s="27"/>
      <x:c r="AJ79" s="27"/>
      <x:c r="AK79" s="27"/>
      <x:c r="AL79" s="27"/>
      <x:c r="AM79" s="27"/>
      <x:c r="AN79" s="27"/>
      <x:c r="AO79" s="27"/>
      <x:c r="AP79" s="27"/>
      <x:c r="AQ79" s="27"/>
      <x:c r="AR79" s="27"/>
      <x:c r="AS79" s="27"/>
      <x:c r="AT79" s="27"/>
      <x:c r="AU79" s="27"/>
      <x:c r="AV79" s="27"/>
      <x:c r="AW79" s="27"/>
      <x:c r="AX79" s="27"/>
      <x:c r="AY79" s="27"/>
      <x:c r="AZ79" s="27"/>
    </x:row>
    <x:row r="80">
      <x:c r="A80" s="27"/>
      <x:c r="B80" s="27"/>
      <x:c r="C80" s="27"/>
      <x:c r="D80" s="27"/>
      <x:c r="E80" s="27"/>
      <x:c r="F80" s="27"/>
      <x:c r="G80" s="27"/>
      <x:c r="H80" s="27"/>
      <x:c r="I80" s="27"/>
      <x:c r="J80" s="27"/>
      <x:c r="K80" s="27"/>
      <x:c r="L80" s="27"/>
      <x:c r="M80" s="27"/>
      <x:c r="N80" s="27"/>
      <x:c r="O80" s="27"/>
      <x:c r="P80" s="27"/>
      <x:c r="Q80" s="27"/>
      <x:c r="R80" s="27"/>
      <x:c r="S80" s="27"/>
      <x:c r="T80" s="27"/>
      <x:c r="U80" s="27"/>
      <x:c r="V80" s="27"/>
      <x:c r="W80" s="27"/>
      <x:c r="X80" s="27"/>
      <x:c r="Y80" s="27"/>
      <x:c r="Z80" s="27"/>
      <x:c r="AA80" s="27"/>
      <x:c r="AB80" s="27"/>
      <x:c r="AC80" s="27"/>
      <x:c r="AD80" s="27"/>
      <x:c r="AE80" s="27"/>
      <x:c r="AF80" s="27"/>
      <x:c r="AG80" s="27"/>
      <x:c r="AH80" s="27"/>
      <x:c r="AI80" s="27"/>
      <x:c r="AJ80" s="27"/>
      <x:c r="AK80" s="27"/>
      <x:c r="AL80" s="27"/>
      <x:c r="AM80" s="27"/>
      <x:c r="AN80" s="27"/>
      <x:c r="AO80" s="27"/>
      <x:c r="AP80" s="27"/>
      <x:c r="AQ80" s="27"/>
      <x:c r="AR80" s="27"/>
      <x:c r="AS80" s="27"/>
      <x:c r="AT80" s="27"/>
      <x:c r="AU80" s="27"/>
      <x:c r="AV80" s="27"/>
      <x:c r="AW80" s="27"/>
      <x:c r="AX80" s="27"/>
      <x:c r="AY80" s="27"/>
      <x:c r="AZ80" s="27"/>
    </x:row>
    <x:row r="81">
      <x:c r="A81" s="27"/>
      <x:c r="B81" s="27"/>
      <x:c r="C81" s="27"/>
      <x:c r="D81" s="27"/>
      <x:c r="E81" s="27"/>
      <x:c r="F81" s="27"/>
      <x:c r="G81" s="27"/>
      <x:c r="H81" s="27"/>
      <x:c r="I81" s="27"/>
      <x:c r="J81" s="27"/>
      <x:c r="K81" s="27"/>
      <x:c r="L81" s="27"/>
      <x:c r="M81" s="27"/>
      <x:c r="N81" s="27"/>
      <x:c r="O81" s="27"/>
      <x:c r="P81" s="27"/>
      <x:c r="Q81" s="27"/>
      <x:c r="R81" s="27"/>
      <x:c r="S81" s="27"/>
      <x:c r="T81" s="27"/>
      <x:c r="U81" s="27"/>
      <x:c r="V81" s="27"/>
      <x:c r="W81" s="27"/>
      <x:c r="X81" s="27"/>
      <x:c r="Y81" s="27"/>
      <x:c r="Z81" s="27"/>
      <x:c r="AA81" s="27"/>
      <x:c r="AB81" s="27"/>
      <x:c r="AC81" s="27"/>
      <x:c r="AD81" s="27"/>
      <x:c r="AE81" s="27"/>
      <x:c r="AF81" s="27"/>
      <x:c r="AG81" s="27"/>
      <x:c r="AH81" s="27"/>
      <x:c r="AI81" s="27"/>
      <x:c r="AJ81" s="27"/>
      <x:c r="AK81" s="27"/>
      <x:c r="AL81" s="27"/>
      <x:c r="AM81" s="27"/>
      <x:c r="AN81" s="27"/>
      <x:c r="AO81" s="27"/>
      <x:c r="AP81" s="27"/>
      <x:c r="AQ81" s="27"/>
      <x:c r="AR81" s="27"/>
      <x:c r="AS81" s="27"/>
      <x:c r="AT81" s="27"/>
      <x:c r="AU81" s="27"/>
      <x:c r="AV81" s="27"/>
      <x:c r="AW81" s="27"/>
      <x:c r="AX81" s="27"/>
      <x:c r="AY81" s="27"/>
      <x:c r="AZ81" s="27"/>
    </x:row>
    <x:row r="82">
      <x:c r="A82" s="27"/>
      <x:c r="B82" s="27"/>
      <x:c r="C82" s="27"/>
      <x:c r="D82" s="27"/>
      <x:c r="E82" s="27"/>
      <x:c r="F82" s="27"/>
      <x:c r="G82" s="27"/>
      <x:c r="H82" s="27"/>
      <x:c r="I82" s="27"/>
      <x:c r="J82" s="27"/>
      <x:c r="K82" s="27"/>
      <x:c r="L82" s="27"/>
      <x:c r="M82" s="27"/>
      <x:c r="N82" s="27"/>
      <x:c r="O82" s="27"/>
      <x:c r="P82" s="27"/>
      <x:c r="Q82" s="27"/>
      <x:c r="R82" s="27"/>
      <x:c r="S82" s="27"/>
      <x:c r="T82" s="27"/>
      <x:c r="U82" s="27"/>
      <x:c r="V82" s="27"/>
      <x:c r="W82" s="27"/>
      <x:c r="X82" s="27"/>
      <x:c r="Y82" s="27"/>
      <x:c r="Z82" s="27"/>
      <x:c r="AA82" s="27"/>
      <x:c r="AB82" s="27"/>
      <x:c r="AC82" s="27"/>
      <x:c r="AD82" s="27"/>
      <x:c r="AE82" s="27"/>
      <x:c r="AF82" s="27"/>
      <x:c r="AG82" s="27"/>
      <x:c r="AH82" s="27"/>
      <x:c r="AI82" s="27"/>
      <x:c r="AJ82" s="27"/>
      <x:c r="AK82" s="27"/>
      <x:c r="AL82" s="27"/>
      <x:c r="AM82" s="27"/>
      <x:c r="AN82" s="27"/>
      <x:c r="AO82" s="27"/>
      <x:c r="AP82" s="27"/>
      <x:c r="AQ82" s="27"/>
      <x:c r="AR82" s="27"/>
      <x:c r="AS82" s="27"/>
      <x:c r="AT82" s="27"/>
      <x:c r="AU82" s="27"/>
      <x:c r="AV82" s="27"/>
      <x:c r="AW82" s="27"/>
      <x:c r="AX82" s="27"/>
      <x:c r="AY82" s="27"/>
      <x:c r="AZ82" s="27"/>
    </x:row>
    <x:row r="83">
      <x:c r="A83" s="27"/>
      <x:c r="B83" s="27"/>
      <x:c r="C83" s="27"/>
      <x:c r="D83" s="27"/>
      <x:c r="E83" s="27"/>
      <x:c r="F83" s="27"/>
      <x:c r="G83" s="27"/>
      <x:c r="H83" s="27"/>
      <x:c r="I83" s="27"/>
      <x:c r="J83" s="27"/>
      <x:c r="K83" s="27"/>
      <x:c r="L83" s="27"/>
      <x:c r="M83" s="27"/>
      <x:c r="N83" s="27"/>
      <x:c r="O83" s="27"/>
      <x:c r="P83" s="27"/>
      <x:c r="Q83" s="27"/>
      <x:c r="R83" s="27"/>
      <x:c r="S83" s="27"/>
      <x:c r="T83" s="27"/>
      <x:c r="U83" s="27"/>
      <x:c r="V83" s="27"/>
      <x:c r="W83" s="27"/>
      <x:c r="X83" s="27"/>
      <x:c r="Y83" s="27"/>
      <x:c r="Z83" s="27"/>
      <x:c r="AA83" s="27"/>
      <x:c r="AB83" s="27"/>
      <x:c r="AC83" s="27"/>
      <x:c r="AD83" s="27"/>
      <x:c r="AE83" s="27"/>
      <x:c r="AF83" s="27"/>
      <x:c r="AG83" s="27"/>
      <x:c r="AH83" s="27"/>
      <x:c r="AI83" s="27"/>
      <x:c r="AJ83" s="27"/>
      <x:c r="AK83" s="27"/>
      <x:c r="AL83" s="27"/>
      <x:c r="AM83" s="27"/>
      <x:c r="AN83" s="27"/>
      <x:c r="AO83" s="27"/>
      <x:c r="AP83" s="27"/>
      <x:c r="AQ83" s="27"/>
      <x:c r="AR83" s="27"/>
      <x:c r="AS83" s="27"/>
      <x:c r="AT83" s="27"/>
      <x:c r="AU83" s="27"/>
      <x:c r="AV83" s="27"/>
      <x:c r="AW83" s="27"/>
      <x:c r="AX83" s="27"/>
      <x:c r="AY83" s="27"/>
      <x:c r="AZ83" s="27"/>
    </x:row>
    <x:row r="84">
      <x:c r="A84" s="27"/>
      <x:c r="B84" s="27"/>
      <x:c r="C84" s="27"/>
      <x:c r="D84" s="27"/>
      <x:c r="E84" s="27"/>
      <x:c r="F84" s="27"/>
      <x:c r="G84" s="27"/>
      <x:c r="H84" s="27"/>
      <x:c r="I84" s="27"/>
      <x:c r="J84" s="27"/>
      <x:c r="K84" s="27"/>
      <x:c r="L84" s="27"/>
      <x:c r="M84" s="27"/>
      <x:c r="N84" s="27"/>
      <x:c r="O84" s="27"/>
      <x:c r="P84" s="27"/>
      <x:c r="Q84" s="27"/>
      <x:c r="R84" s="27"/>
      <x:c r="S84" s="27"/>
      <x:c r="T84" s="27"/>
      <x:c r="U84" s="27"/>
      <x:c r="V84" s="27"/>
      <x:c r="W84" s="27"/>
      <x:c r="X84" s="27"/>
      <x:c r="Y84" s="27"/>
      <x:c r="Z84" s="27"/>
      <x:c r="AA84" s="27"/>
      <x:c r="AB84" s="27"/>
      <x:c r="AC84" s="27"/>
      <x:c r="AD84" s="27"/>
      <x:c r="AE84" s="27"/>
      <x:c r="AF84" s="27"/>
      <x:c r="AG84" s="27"/>
      <x:c r="AH84" s="27"/>
      <x:c r="AI84" s="27"/>
      <x:c r="AJ84" s="27"/>
      <x:c r="AK84" s="27"/>
      <x:c r="AL84" s="27"/>
      <x:c r="AM84" s="27"/>
      <x:c r="AN84" s="27"/>
      <x:c r="AO84" s="27"/>
      <x:c r="AP84" s="27"/>
      <x:c r="AQ84" s="27"/>
      <x:c r="AR84" s="27"/>
      <x:c r="AS84" s="27"/>
      <x:c r="AT84" s="27"/>
      <x:c r="AU84" s="27"/>
      <x:c r="AV84" s="27"/>
      <x:c r="AW84" s="27"/>
      <x:c r="AX84" s="27"/>
      <x:c r="AY84" s="27"/>
      <x:c r="AZ84" s="27"/>
    </x:row>
    <x:row r="85">
      <x:c r="A85" s="27"/>
      <x:c r="B85" s="27"/>
      <x:c r="C85" s="27"/>
      <x:c r="D85" s="27"/>
      <x:c r="E85" s="27"/>
      <x:c r="F85" s="27"/>
      <x:c r="G85" s="27"/>
      <x:c r="H85" s="27"/>
      <x:c r="I85" s="27"/>
      <x:c r="J85" s="27"/>
      <x:c r="K85" s="27"/>
      <x:c r="L85" s="27"/>
      <x:c r="M85" s="27"/>
      <x:c r="N85" s="27"/>
      <x:c r="O85" s="27"/>
      <x:c r="P85" s="27"/>
      <x:c r="Q85" s="27"/>
      <x:c r="R85" s="27"/>
      <x:c r="S85" s="27"/>
      <x:c r="T85" s="27"/>
      <x:c r="U85" s="27"/>
      <x:c r="V85" s="27"/>
      <x:c r="W85" s="27"/>
      <x:c r="X85" s="27"/>
      <x:c r="Y85" s="27"/>
      <x:c r="Z85" s="27"/>
      <x:c r="AA85" s="27"/>
      <x:c r="AB85" s="27"/>
      <x:c r="AC85" s="27"/>
      <x:c r="AD85" s="27"/>
      <x:c r="AE85" s="27"/>
      <x:c r="AF85" s="27"/>
      <x:c r="AG85" s="27"/>
      <x:c r="AH85" s="27"/>
      <x:c r="AI85" s="27"/>
      <x:c r="AJ85" s="27"/>
      <x:c r="AK85" s="27"/>
      <x:c r="AL85" s="27"/>
      <x:c r="AM85" s="27"/>
      <x:c r="AN85" s="27"/>
      <x:c r="AO85" s="27"/>
      <x:c r="AP85" s="27"/>
      <x:c r="AQ85" s="27"/>
      <x:c r="AR85" s="27"/>
      <x:c r="AS85" s="27"/>
      <x:c r="AT85" s="27"/>
      <x:c r="AU85" s="27"/>
      <x:c r="AV85" s="27"/>
      <x:c r="AW85" s="27"/>
      <x:c r="AX85" s="27"/>
      <x:c r="AY85" s="27"/>
      <x:c r="AZ85" s="27"/>
    </x:row>
    <x:row r="86">
      <x:c r="A86" s="27"/>
      <x:c r="B86" s="27"/>
      <x:c r="C86" s="27"/>
      <x:c r="D86" s="27"/>
      <x:c r="E86" s="27"/>
      <x:c r="F86" s="27"/>
      <x:c r="G86" s="27"/>
      <x:c r="H86" s="27"/>
      <x:c r="I86" s="27"/>
      <x:c r="J86" s="27"/>
      <x:c r="K86" s="27"/>
      <x:c r="L86" s="27"/>
      <x:c r="M86" s="27"/>
      <x:c r="N86" s="27"/>
      <x:c r="O86" s="27"/>
      <x:c r="P86" s="27"/>
      <x:c r="Q86" s="27"/>
      <x:c r="R86" s="27"/>
      <x:c r="S86" s="27"/>
      <x:c r="T86" s="27"/>
      <x:c r="U86" s="27"/>
      <x:c r="V86" s="27"/>
      <x:c r="W86" s="27"/>
      <x:c r="X86" s="27"/>
      <x:c r="Y86" s="27"/>
      <x:c r="Z86" s="27"/>
      <x:c r="AA86" s="27"/>
      <x:c r="AB86" s="27"/>
      <x:c r="AC86" s="27"/>
      <x:c r="AD86" s="27"/>
      <x:c r="AE86" s="27"/>
      <x:c r="AF86" s="27"/>
      <x:c r="AG86" s="27"/>
      <x:c r="AH86" s="27"/>
      <x:c r="AI86" s="27"/>
      <x:c r="AJ86" s="27"/>
      <x:c r="AK86" s="27"/>
      <x:c r="AL86" s="27"/>
      <x:c r="AM86" s="27"/>
      <x:c r="AN86" s="27"/>
      <x:c r="AO86" s="27"/>
      <x:c r="AP86" s="27"/>
      <x:c r="AQ86" s="27"/>
      <x:c r="AR86" s="27"/>
      <x:c r="AS86" s="27"/>
      <x:c r="AT86" s="27"/>
      <x:c r="AU86" s="27"/>
      <x:c r="AV86" s="27"/>
      <x:c r="AW86" s="27"/>
      <x:c r="AX86" s="27"/>
      <x:c r="AY86" s="27"/>
      <x:c r="AZ86" s="27"/>
    </x:row>
    <x:row r="87">
      <x:c r="A87" s="27"/>
      <x:c r="B87" s="27"/>
      <x:c r="C87" s="27"/>
      <x:c r="D87" s="27"/>
      <x:c r="E87" s="27"/>
      <x:c r="F87" s="27"/>
      <x:c r="G87" s="27"/>
      <x:c r="H87" s="27"/>
      <x:c r="I87" s="27"/>
      <x:c r="J87" s="27"/>
      <x:c r="K87" s="27"/>
      <x:c r="L87" s="27"/>
      <x:c r="M87" s="27"/>
      <x:c r="N87" s="27"/>
      <x:c r="O87" s="27"/>
      <x:c r="P87" s="27"/>
      <x:c r="Q87" s="27"/>
      <x:c r="R87" s="27"/>
      <x:c r="S87" s="27"/>
      <x:c r="T87" s="27"/>
      <x:c r="U87" s="27"/>
      <x:c r="V87" s="27"/>
      <x:c r="W87" s="27"/>
      <x:c r="X87" s="27"/>
      <x:c r="Y87" s="27"/>
      <x:c r="Z87" s="27"/>
      <x:c r="AA87" s="27"/>
      <x:c r="AB87" s="27"/>
      <x:c r="AC87" s="27"/>
      <x:c r="AD87" s="27"/>
      <x:c r="AE87" s="27"/>
      <x:c r="AF87" s="27"/>
      <x:c r="AG87" s="27"/>
      <x:c r="AH87" s="27"/>
      <x:c r="AI87" s="27"/>
      <x:c r="AJ87" s="27"/>
      <x:c r="AK87" s="27"/>
      <x:c r="AL87" s="27"/>
      <x:c r="AM87" s="27"/>
      <x:c r="AN87" s="27"/>
      <x:c r="AO87" s="27"/>
      <x:c r="AP87" s="27"/>
      <x:c r="AQ87" s="27"/>
      <x:c r="AR87" s="27"/>
      <x:c r="AS87" s="27"/>
      <x:c r="AT87" s="27"/>
      <x:c r="AU87" s="27"/>
      <x:c r="AV87" s="27"/>
      <x:c r="AW87" s="27"/>
      <x:c r="AX87" s="27"/>
      <x:c r="AY87" s="27"/>
      <x:c r="AZ87" s="27"/>
    </x:row>
    <x:row r="88">
      <x:c r="A88" s="27"/>
      <x:c r="B88" s="27"/>
      <x:c r="C88" s="27"/>
      <x:c r="D88" s="27"/>
      <x:c r="E88" s="27"/>
      <x:c r="F88" s="27"/>
      <x:c r="G88" s="27"/>
      <x:c r="H88" s="27"/>
      <x:c r="I88" s="27"/>
      <x:c r="J88" s="27"/>
      <x:c r="K88" s="27"/>
      <x:c r="L88" s="27"/>
      <x:c r="M88" s="27"/>
      <x:c r="N88" s="27"/>
      <x:c r="O88" s="27"/>
      <x:c r="P88" s="27"/>
      <x:c r="Q88" s="27"/>
      <x:c r="R88" s="27"/>
      <x:c r="S88" s="27"/>
      <x:c r="T88" s="27"/>
      <x:c r="U88" s="27"/>
      <x:c r="V88" s="27"/>
      <x:c r="W88" s="27"/>
      <x:c r="X88" s="27"/>
      <x:c r="Y88" s="27"/>
      <x:c r="Z88" s="27"/>
      <x:c r="AA88" s="27"/>
      <x:c r="AB88" s="27"/>
      <x:c r="AC88" s="27"/>
      <x:c r="AD88" s="27"/>
      <x:c r="AE88" s="27"/>
      <x:c r="AF88" s="27"/>
      <x:c r="AG88" s="27"/>
      <x:c r="AH88" s="27"/>
      <x:c r="AI88" s="27"/>
      <x:c r="AJ88" s="27"/>
      <x:c r="AK88" s="27"/>
      <x:c r="AL88" s="27"/>
      <x:c r="AM88" s="27"/>
      <x:c r="AN88" s="27"/>
      <x:c r="AO88" s="27"/>
      <x:c r="AP88" s="27"/>
      <x:c r="AQ88" s="27"/>
      <x:c r="AR88" s="27"/>
      <x:c r="AS88" s="27"/>
      <x:c r="AT88" s="27"/>
      <x:c r="AU88" s="27"/>
      <x:c r="AV88" s="27"/>
      <x:c r="AW88" s="27"/>
      <x:c r="AX88" s="27"/>
      <x:c r="AY88" s="27"/>
      <x:c r="AZ88" s="27"/>
    </x:row>
    <x:row r="89">
      <x:c r="A89" s="27"/>
      <x:c r="B89" s="27"/>
      <x:c r="C89" s="27"/>
      <x:c r="D89" s="27"/>
      <x:c r="E89" s="27"/>
      <x:c r="F89" s="27"/>
      <x:c r="G89" s="27"/>
      <x:c r="H89" s="27"/>
      <x:c r="I89" s="27"/>
      <x:c r="J89" s="27"/>
      <x:c r="K89" s="27"/>
      <x:c r="L89" s="27"/>
      <x:c r="M89" s="27"/>
      <x:c r="N89" s="27"/>
      <x:c r="O89" s="27"/>
      <x:c r="P89" s="27"/>
      <x:c r="Q89" s="27"/>
      <x:c r="R89" s="27"/>
      <x:c r="S89" s="27"/>
      <x:c r="T89" s="27"/>
      <x:c r="U89" s="27"/>
      <x:c r="V89" s="27"/>
      <x:c r="W89" s="27"/>
      <x:c r="X89" s="27"/>
      <x:c r="Y89" s="27"/>
      <x:c r="Z89" s="27"/>
      <x:c r="AA89" s="27"/>
      <x:c r="AB89" s="27"/>
      <x:c r="AC89" s="27"/>
      <x:c r="AD89" s="27"/>
      <x:c r="AE89" s="27"/>
      <x:c r="AF89" s="27"/>
      <x:c r="AG89" s="27"/>
      <x:c r="AH89" s="27"/>
      <x:c r="AI89" s="27"/>
      <x:c r="AJ89" s="27"/>
      <x:c r="AK89" s="27"/>
      <x:c r="AL89" s="27"/>
      <x:c r="AM89" s="27"/>
      <x:c r="AN89" s="27"/>
      <x:c r="AO89" s="27"/>
      <x:c r="AP89" s="27"/>
      <x:c r="AQ89" s="27"/>
      <x:c r="AR89" s="27"/>
      <x:c r="AS89" s="27"/>
      <x:c r="AT89" s="27"/>
      <x:c r="AU89" s="27"/>
      <x:c r="AV89" s="27"/>
      <x:c r="AW89" s="27"/>
      <x:c r="AX89" s="27"/>
      <x:c r="AY89" s="27"/>
      <x:c r="AZ89" s="27"/>
    </x:row>
    <x:row r="90">
      <x:c r="A90" s="27"/>
      <x:c r="B90" s="27"/>
      <x:c r="C90" s="27"/>
      <x:c r="D90" s="27"/>
      <x:c r="E90" s="27"/>
      <x:c r="F90" s="27"/>
      <x:c r="G90" s="27"/>
      <x:c r="H90" s="27"/>
      <x:c r="I90" s="27"/>
      <x:c r="J90" s="27"/>
      <x:c r="K90" s="27"/>
      <x:c r="L90" s="27"/>
      <x:c r="M90" s="27"/>
      <x:c r="N90" s="27"/>
      <x:c r="O90" s="27"/>
      <x:c r="P90" s="27"/>
      <x:c r="Q90" s="27"/>
      <x:c r="R90" s="27"/>
      <x:c r="S90" s="27"/>
      <x:c r="T90" s="27"/>
      <x:c r="U90" s="27"/>
      <x:c r="V90" s="27"/>
      <x:c r="W90" s="27"/>
      <x:c r="X90" s="27"/>
      <x:c r="Y90" s="27"/>
      <x:c r="Z90" s="27"/>
      <x:c r="AA90" s="27"/>
      <x:c r="AB90" s="27"/>
      <x:c r="AC90" s="27"/>
      <x:c r="AD90" s="27"/>
      <x:c r="AE90" s="27"/>
      <x:c r="AF90" s="27"/>
      <x:c r="AG90" s="27"/>
      <x:c r="AH90" s="27"/>
      <x:c r="AI90" s="27"/>
      <x:c r="AJ90" s="27"/>
      <x:c r="AK90" s="27"/>
      <x:c r="AL90" s="27"/>
      <x:c r="AM90" s="27"/>
      <x:c r="AN90" s="27"/>
      <x:c r="AO90" s="27"/>
      <x:c r="AP90" s="27"/>
      <x:c r="AQ90" s="27"/>
      <x:c r="AR90" s="27"/>
      <x:c r="AS90" s="27"/>
      <x:c r="AT90" s="27"/>
      <x:c r="AU90" s="27"/>
      <x:c r="AV90" s="27"/>
      <x:c r="AW90" s="27"/>
      <x:c r="AX90" s="27"/>
      <x:c r="AY90" s="27"/>
      <x:c r="AZ90" s="27"/>
    </x:row>
    <x:row r="91">
      <x:c r="A91" s="27"/>
      <x:c r="B91" s="27"/>
      <x:c r="C91" s="27"/>
      <x:c r="D91" s="27"/>
      <x:c r="E91" s="27"/>
      <x:c r="F91" s="27"/>
      <x:c r="G91" s="27"/>
      <x:c r="H91" s="27"/>
      <x:c r="I91" s="27"/>
      <x:c r="J91" s="27"/>
      <x:c r="K91" s="27"/>
      <x:c r="L91" s="27"/>
      <x:c r="M91" s="27"/>
      <x:c r="N91" s="27"/>
      <x:c r="O91" s="27"/>
      <x:c r="P91" s="27"/>
      <x:c r="Q91" s="27"/>
      <x:c r="R91" s="27"/>
      <x:c r="S91" s="27"/>
      <x:c r="T91" s="27"/>
      <x:c r="U91" s="27"/>
      <x:c r="V91" s="27"/>
      <x:c r="W91" s="27"/>
      <x:c r="X91" s="27"/>
      <x:c r="Y91" s="27"/>
      <x:c r="Z91" s="27"/>
      <x:c r="AA91" s="27"/>
      <x:c r="AB91" s="27"/>
      <x:c r="AC91" s="27"/>
      <x:c r="AD91" s="27"/>
      <x:c r="AE91" s="27"/>
      <x:c r="AF91" s="27"/>
      <x:c r="AG91" s="27"/>
      <x:c r="AH91" s="27"/>
      <x:c r="AI91" s="27"/>
      <x:c r="AJ91" s="27"/>
      <x:c r="AK91" s="27"/>
      <x:c r="AL91" s="27"/>
      <x:c r="AM91" s="27"/>
      <x:c r="AN91" s="27"/>
      <x:c r="AO91" s="27"/>
      <x:c r="AP91" s="27"/>
      <x:c r="AQ91" s="27"/>
      <x:c r="AR91" s="27"/>
      <x:c r="AS91" s="27"/>
      <x:c r="AT91" s="27"/>
      <x:c r="AU91" s="27"/>
      <x:c r="AV91" s="27"/>
      <x:c r="AW91" s="27"/>
      <x:c r="AX91" s="27"/>
      <x:c r="AY91" s="27"/>
      <x:c r="AZ91" s="27"/>
    </x:row>
    <x:row r="92">
      <x:c r="A92" s="27"/>
      <x:c r="B92" s="27"/>
      <x:c r="C92" s="27"/>
      <x:c r="D92" s="27"/>
      <x:c r="E92" s="27"/>
      <x:c r="F92" s="27"/>
      <x:c r="G92" s="27"/>
      <x:c r="H92" s="27"/>
      <x:c r="I92" s="27"/>
      <x:c r="J92" s="27"/>
      <x:c r="K92" s="27"/>
      <x:c r="L92" s="27"/>
      <x:c r="M92" s="27"/>
      <x:c r="N92" s="27"/>
      <x:c r="O92" s="27"/>
      <x:c r="P92" s="27"/>
      <x:c r="Q92" s="27"/>
      <x:c r="R92" s="27"/>
      <x:c r="S92" s="27"/>
      <x:c r="T92" s="27"/>
      <x:c r="U92" s="27"/>
      <x:c r="V92" s="27"/>
      <x:c r="W92" s="27"/>
      <x:c r="X92" s="27"/>
      <x:c r="Y92" s="27"/>
      <x:c r="Z92" s="27"/>
      <x:c r="AA92" s="27"/>
      <x:c r="AB92" s="27"/>
      <x:c r="AC92" s="27"/>
      <x:c r="AD92" s="27"/>
      <x:c r="AE92" s="27"/>
      <x:c r="AF92" s="27"/>
      <x:c r="AG92" s="27"/>
      <x:c r="AH92" s="27"/>
      <x:c r="AI92" s="27"/>
      <x:c r="AJ92" s="27"/>
      <x:c r="AK92" s="27"/>
      <x:c r="AL92" s="27"/>
      <x:c r="AM92" s="27"/>
      <x:c r="AN92" s="27"/>
      <x:c r="AO92" s="27"/>
      <x:c r="AP92" s="27"/>
      <x:c r="AQ92" s="27"/>
      <x:c r="AR92" s="27"/>
      <x:c r="AS92" s="27"/>
      <x:c r="AT92" s="27"/>
      <x:c r="AU92" s="27"/>
      <x:c r="AV92" s="27"/>
      <x:c r="AW92" s="27"/>
      <x:c r="AX92" s="27"/>
      <x:c r="AY92" s="27"/>
      <x:c r="AZ92" s="27"/>
    </x:row>
    <x:row r="93">
      <x:c r="A93" s="27"/>
      <x:c r="B93" s="27"/>
      <x:c r="C93" s="27"/>
      <x:c r="D93" s="27"/>
      <x:c r="E93" s="27"/>
      <x:c r="F93" s="27"/>
      <x:c r="G93" s="27"/>
      <x:c r="H93" s="27"/>
      <x:c r="I93" s="27"/>
      <x:c r="J93" s="27"/>
      <x:c r="K93" s="27"/>
      <x:c r="L93" s="27"/>
      <x:c r="M93" s="27"/>
      <x:c r="N93" s="27"/>
      <x:c r="O93" s="27"/>
      <x:c r="P93" s="27"/>
      <x:c r="Q93" s="27"/>
      <x:c r="R93" s="27"/>
      <x:c r="S93" s="27"/>
      <x:c r="T93" s="27"/>
      <x:c r="U93" s="27"/>
      <x:c r="V93" s="27"/>
      <x:c r="W93" s="27"/>
      <x:c r="X93" s="27"/>
      <x:c r="Y93" s="27"/>
      <x:c r="Z93" s="27"/>
      <x:c r="AA93" s="27"/>
      <x:c r="AB93" s="27"/>
      <x:c r="AC93" s="27"/>
      <x:c r="AD93" s="27"/>
      <x:c r="AE93" s="27"/>
      <x:c r="AF93" s="27"/>
      <x:c r="AG93" s="27"/>
      <x:c r="AH93" s="27"/>
      <x:c r="AI93" s="27"/>
      <x:c r="AJ93" s="27"/>
      <x:c r="AK93" s="27"/>
      <x:c r="AL93" s="27"/>
      <x:c r="AM93" s="27"/>
      <x:c r="AN93" s="27"/>
      <x:c r="AO93" s="27"/>
      <x:c r="AP93" s="27"/>
      <x:c r="AQ93" s="27"/>
      <x:c r="AR93" s="27"/>
      <x:c r="AS93" s="27"/>
      <x:c r="AT93" s="27"/>
      <x:c r="AU93" s="27"/>
      <x:c r="AV93" s="27"/>
      <x:c r="AW93" s="27"/>
      <x:c r="AX93" s="27"/>
      <x:c r="AY93" s="27"/>
      <x:c r="AZ93" s="27"/>
    </x:row>
    <x:row r="94">
      <x:c r="A94" s="27"/>
      <x:c r="B94" s="27"/>
      <x:c r="C94" s="27"/>
      <x:c r="D94" s="27"/>
      <x:c r="E94" s="27"/>
      <x:c r="F94" s="27"/>
      <x:c r="G94" s="27"/>
      <x:c r="H94" s="27"/>
      <x:c r="I94" s="27"/>
      <x:c r="J94" s="27"/>
      <x:c r="K94" s="27"/>
      <x:c r="L94" s="27"/>
      <x:c r="M94" s="27"/>
      <x:c r="N94" s="27"/>
      <x:c r="O94" s="27"/>
      <x:c r="P94" s="27"/>
      <x:c r="Q94" s="27"/>
      <x:c r="R94" s="27"/>
      <x:c r="S94" s="27"/>
      <x:c r="T94" s="27"/>
      <x:c r="U94" s="27"/>
      <x:c r="V94" s="27"/>
      <x:c r="W94" s="27"/>
      <x:c r="X94" s="27"/>
      <x:c r="Y94" s="27"/>
      <x:c r="Z94" s="27"/>
      <x:c r="AA94" s="27"/>
      <x:c r="AB94" s="27"/>
      <x:c r="AC94" s="27"/>
      <x:c r="AD94" s="27"/>
      <x:c r="AE94" s="27"/>
      <x:c r="AF94" s="27"/>
      <x:c r="AG94" s="27"/>
      <x:c r="AH94" s="27"/>
      <x:c r="AI94" s="27"/>
      <x:c r="AJ94" s="27"/>
      <x:c r="AK94" s="27"/>
      <x:c r="AL94" s="27"/>
      <x:c r="AM94" s="27"/>
      <x:c r="AN94" s="27"/>
      <x:c r="AO94" s="27"/>
      <x:c r="AP94" s="27"/>
      <x:c r="AQ94" s="27"/>
      <x:c r="AR94" s="27"/>
      <x:c r="AS94" s="27"/>
      <x:c r="AT94" s="27"/>
      <x:c r="AU94" s="27"/>
      <x:c r="AV94" s="27"/>
      <x:c r="AW94" s="27"/>
      <x:c r="AX94" s="27"/>
      <x:c r="AY94" s="27"/>
      <x:c r="AZ94" s="27"/>
    </x:row>
    <x:row r="95">
      <x:c r="A95" s="27"/>
      <x:c r="B95" s="27"/>
      <x:c r="C95" s="27"/>
      <x:c r="D95" s="27"/>
      <x:c r="E95" s="27"/>
      <x:c r="F95" s="27"/>
      <x:c r="G95" s="27"/>
      <x:c r="H95" s="27"/>
      <x:c r="I95" s="27"/>
      <x:c r="J95" s="27"/>
      <x:c r="K95" s="27"/>
      <x:c r="L95" s="27"/>
      <x:c r="M95" s="27"/>
      <x:c r="N95" s="27"/>
      <x:c r="O95" s="27"/>
      <x:c r="P95" s="27"/>
      <x:c r="Q95" s="27"/>
      <x:c r="R95" s="27"/>
      <x:c r="S95" s="27"/>
      <x:c r="T95" s="27"/>
      <x:c r="U95" s="27"/>
      <x:c r="V95" s="27"/>
      <x:c r="W95" s="27"/>
      <x:c r="X95" s="27"/>
      <x:c r="Y95" s="27"/>
      <x:c r="Z95" s="27"/>
      <x:c r="AA95" s="27"/>
      <x:c r="AB95" s="27"/>
      <x:c r="AC95" s="27"/>
      <x:c r="AD95" s="27"/>
      <x:c r="AE95" s="27"/>
      <x:c r="AF95" s="27"/>
      <x:c r="AG95" s="27"/>
      <x:c r="AH95" s="27"/>
      <x:c r="AI95" s="27"/>
      <x:c r="AJ95" s="27"/>
      <x:c r="AK95" s="27"/>
      <x:c r="AL95" s="27"/>
      <x:c r="AM95" s="27"/>
      <x:c r="AN95" s="27"/>
      <x:c r="AO95" s="27"/>
      <x:c r="AP95" s="27"/>
      <x:c r="AQ95" s="27"/>
      <x:c r="AR95" s="27"/>
      <x:c r="AS95" s="27"/>
      <x:c r="AT95" s="27"/>
      <x:c r="AU95" s="27"/>
      <x:c r="AV95" s="27"/>
      <x:c r="AW95" s="27"/>
      <x:c r="AX95" s="27"/>
      <x:c r="AY95" s="27"/>
      <x:c r="AZ95" s="27"/>
    </x:row>
    <x:row r="96">
      <x:c r="A96" s="27"/>
      <x:c r="B96" s="27"/>
      <x:c r="C96" s="27"/>
      <x:c r="D96" s="27"/>
      <x:c r="E96" s="27"/>
      <x:c r="F96" s="27"/>
      <x:c r="G96" s="27"/>
      <x:c r="H96" s="27"/>
      <x:c r="I96" s="27"/>
      <x:c r="J96" s="27"/>
      <x:c r="K96" s="27"/>
      <x:c r="L96" s="27"/>
      <x:c r="M96" s="27"/>
      <x:c r="N96" s="27"/>
      <x:c r="O96" s="27"/>
      <x:c r="P96" s="27"/>
      <x:c r="Q96" s="27"/>
      <x:c r="R96" s="27"/>
      <x:c r="S96" s="27"/>
      <x:c r="T96" s="27"/>
      <x:c r="U96" s="27"/>
      <x:c r="V96" s="27"/>
      <x:c r="W96" s="27"/>
      <x:c r="X96" s="27"/>
      <x:c r="Y96" s="27"/>
      <x:c r="Z96" s="27"/>
      <x:c r="AA96" s="27"/>
      <x:c r="AB96" s="27"/>
      <x:c r="AC96" s="27"/>
      <x:c r="AD96" s="27"/>
      <x:c r="AE96" s="27"/>
      <x:c r="AF96" s="27"/>
      <x:c r="AG96" s="27"/>
      <x:c r="AH96" s="27"/>
      <x:c r="AI96" s="27"/>
      <x:c r="AJ96" s="27"/>
      <x:c r="AK96" s="27"/>
      <x:c r="AL96" s="27"/>
      <x:c r="AM96" s="27"/>
      <x:c r="AN96" s="27"/>
      <x:c r="AO96" s="27"/>
      <x:c r="AP96" s="27"/>
      <x:c r="AQ96" s="27"/>
      <x:c r="AR96" s="27"/>
      <x:c r="AS96" s="27"/>
      <x:c r="AT96" s="27"/>
      <x:c r="AU96" s="27"/>
      <x:c r="AV96" s="27"/>
      <x:c r="AW96" s="27"/>
      <x:c r="AX96" s="27"/>
      <x:c r="AY96" s="27"/>
      <x:c r="AZ96" s="27"/>
    </x:row>
    <x:row r="97">
      <x:c r="A97" s="27"/>
      <x:c r="B97" s="27"/>
      <x:c r="C97" s="27"/>
      <x:c r="D97" s="27"/>
      <x:c r="E97" s="27"/>
      <x:c r="F97" s="27"/>
      <x:c r="G97" s="27"/>
      <x:c r="H97" s="27"/>
      <x:c r="I97" s="27"/>
      <x:c r="J97" s="27"/>
      <x:c r="K97" s="27"/>
      <x:c r="L97" s="27"/>
      <x:c r="M97" s="27"/>
      <x:c r="N97" s="27"/>
      <x:c r="O97" s="27"/>
      <x:c r="P97" s="27"/>
      <x:c r="Q97" s="27"/>
      <x:c r="R97" s="27"/>
      <x:c r="S97" s="27"/>
      <x:c r="T97" s="27"/>
      <x:c r="U97" s="27"/>
      <x:c r="V97" s="27"/>
      <x:c r="W97" s="27"/>
      <x:c r="X97" s="27"/>
      <x:c r="Y97" s="27"/>
      <x:c r="Z97" s="27"/>
      <x:c r="AA97" s="27"/>
      <x:c r="AB97" s="27"/>
      <x:c r="AC97" s="27"/>
      <x:c r="AD97" s="27"/>
      <x:c r="AE97" s="27"/>
      <x:c r="AF97" s="27"/>
      <x:c r="AG97" s="27"/>
      <x:c r="AH97" s="27"/>
      <x:c r="AI97" s="27"/>
      <x:c r="AJ97" s="27"/>
      <x:c r="AK97" s="27"/>
      <x:c r="AL97" s="27"/>
      <x:c r="AM97" s="27"/>
      <x:c r="AN97" s="27"/>
      <x:c r="AO97" s="27"/>
      <x:c r="AP97" s="27"/>
      <x:c r="AQ97" s="27"/>
      <x:c r="AR97" s="27"/>
      <x:c r="AS97" s="27"/>
      <x:c r="AT97" s="27"/>
      <x:c r="AU97" s="27"/>
      <x:c r="AV97" s="27"/>
      <x:c r="AW97" s="27"/>
      <x:c r="AX97" s="27"/>
      <x:c r="AY97" s="27"/>
      <x:c r="AZ97" s="27"/>
    </x:row>
    <x:row r="98">
      <x:c r="A98" s="27"/>
      <x:c r="B98" s="27"/>
      <x:c r="C98" s="27"/>
      <x:c r="D98" s="27"/>
      <x:c r="E98" s="27"/>
      <x:c r="F98" s="27"/>
      <x:c r="G98" s="27"/>
      <x:c r="H98" s="27"/>
      <x:c r="I98" s="27"/>
      <x:c r="J98" s="27"/>
      <x:c r="K98" s="27"/>
      <x:c r="L98" s="27"/>
      <x:c r="M98" s="27"/>
      <x:c r="N98" s="27"/>
      <x:c r="O98" s="27"/>
      <x:c r="P98" s="27"/>
      <x:c r="Q98" s="27"/>
      <x:c r="R98" s="27"/>
      <x:c r="S98" s="27"/>
      <x:c r="T98" s="27"/>
      <x:c r="U98" s="27"/>
      <x:c r="V98" s="27"/>
      <x:c r="W98" s="27"/>
      <x:c r="X98" s="27"/>
      <x:c r="Y98" s="27"/>
      <x:c r="Z98" s="27"/>
      <x:c r="AA98" s="27"/>
      <x:c r="AB98" s="27"/>
      <x:c r="AC98" s="27"/>
      <x:c r="AD98" s="27"/>
      <x:c r="AE98" s="27"/>
      <x:c r="AF98" s="27"/>
      <x:c r="AG98" s="27"/>
      <x:c r="AH98" s="27"/>
      <x:c r="AI98" s="27"/>
      <x:c r="AJ98" s="27"/>
      <x:c r="AK98" s="27"/>
      <x:c r="AL98" s="27"/>
      <x:c r="AM98" s="27"/>
      <x:c r="AN98" s="27"/>
      <x:c r="AO98" s="27"/>
      <x:c r="AP98" s="27"/>
      <x:c r="AQ98" s="27"/>
      <x:c r="AR98" s="27"/>
      <x:c r="AS98" s="27"/>
      <x:c r="AT98" s="27"/>
      <x:c r="AU98" s="27"/>
      <x:c r="AV98" s="27"/>
      <x:c r="AW98" s="27"/>
      <x:c r="AX98" s="27"/>
      <x:c r="AY98" s="27"/>
      <x:c r="AZ98" s="27"/>
    </x:row>
    <x:row r="99">
      <x:c r="A99" s="27"/>
      <x:c r="B99" s="27"/>
      <x:c r="C99" s="27"/>
      <x:c r="D99" s="27"/>
      <x:c r="E99" s="27"/>
      <x:c r="F99" s="27"/>
      <x:c r="G99" s="27"/>
      <x:c r="H99" s="27"/>
      <x:c r="I99" s="27"/>
      <x:c r="J99" s="27"/>
      <x:c r="K99" s="27"/>
      <x:c r="L99" s="27"/>
      <x:c r="M99" s="27"/>
      <x:c r="N99" s="27"/>
      <x:c r="O99" s="27"/>
      <x:c r="P99" s="27"/>
      <x:c r="Q99" s="27"/>
      <x:c r="R99" s="27"/>
      <x:c r="S99" s="27"/>
      <x:c r="T99" s="27"/>
      <x:c r="U99" s="27"/>
      <x:c r="V99" s="27"/>
      <x:c r="W99" s="27"/>
      <x:c r="X99" s="27"/>
      <x:c r="Y99" s="27"/>
      <x:c r="Z99" s="27"/>
      <x:c r="AA99" s="27"/>
      <x:c r="AB99" s="27"/>
      <x:c r="AC99" s="27"/>
      <x:c r="AD99" s="27"/>
      <x:c r="AE99" s="27"/>
      <x:c r="AF99" s="27"/>
      <x:c r="AG99" s="27"/>
      <x:c r="AH99" s="27"/>
      <x:c r="AI99" s="27"/>
      <x:c r="AJ99" s="27"/>
      <x:c r="AK99" s="27"/>
      <x:c r="AL99" s="27"/>
      <x:c r="AM99" s="27"/>
      <x:c r="AN99" s="27"/>
      <x:c r="AO99" s="27"/>
      <x:c r="AP99" s="27"/>
      <x:c r="AQ99" s="27"/>
      <x:c r="AR99" s="27"/>
      <x:c r="AS99" s="27"/>
      <x:c r="AT99" s="27"/>
      <x:c r="AU99" s="27"/>
      <x:c r="AV99" s="27"/>
      <x:c r="AW99" s="27"/>
      <x:c r="AX99" s="27"/>
      <x:c r="AY99" s="27"/>
      <x:c r="AZ99" s="27"/>
    </x:row>
    <x:row r="100">
      <x:c r="A100" s="27"/>
      <x:c r="B100" s="27"/>
      <x:c r="C100" s="27"/>
      <x:c r="D100" s="27"/>
      <x:c r="E100" s="27"/>
      <x:c r="F100" s="27"/>
      <x:c r="G100" s="27"/>
      <x:c r="H100" s="27"/>
      <x:c r="I100" s="27"/>
      <x:c r="J100" s="27"/>
      <x:c r="K100" s="27"/>
      <x:c r="L100" s="27"/>
      <x:c r="M100" s="27"/>
      <x:c r="N100" s="27"/>
      <x:c r="O100" s="27"/>
      <x:c r="P100" s="27"/>
      <x:c r="Q100" s="27"/>
      <x:c r="R100" s="27"/>
      <x:c r="S100" s="27"/>
      <x:c r="T100" s="27"/>
      <x:c r="U100" s="27"/>
      <x:c r="V100" s="27"/>
      <x:c r="W100" s="27"/>
      <x:c r="X100" s="27"/>
      <x:c r="Y100" s="27"/>
      <x:c r="Z100" s="27"/>
      <x:c r="AA100" s="27"/>
      <x:c r="AB100" s="27"/>
      <x:c r="AC100" s="27"/>
      <x:c r="AD100" s="27"/>
      <x:c r="AE100" s="27"/>
      <x:c r="AF100" s="27"/>
      <x:c r="AG100" s="27"/>
      <x:c r="AH100" s="27"/>
      <x:c r="AI100" s="27"/>
      <x:c r="AJ100" s="27"/>
      <x:c r="AK100" s="27"/>
      <x:c r="AL100" s="27"/>
      <x:c r="AM100" s="27"/>
      <x:c r="AN100" s="27"/>
      <x:c r="AO100" s="27"/>
      <x:c r="AP100" s="27"/>
      <x:c r="AQ100" s="27"/>
      <x:c r="AR100" s="27"/>
      <x:c r="AS100" s="27"/>
      <x:c r="AT100" s="27"/>
      <x:c r="AU100" s="27"/>
      <x:c r="AV100" s="27"/>
      <x:c r="AW100" s="27"/>
      <x:c r="AX100" s="27"/>
      <x:c r="AY100" s="27"/>
      <x:c r="AZ100" s="27"/>
    </x:row>
    <x:row r="101">
      <x:c r="A101" s="27"/>
      <x:c r="B101" s="27"/>
      <x:c r="C101" s="27"/>
      <x:c r="D101" s="27"/>
      <x:c r="E101" s="27"/>
      <x:c r="F101" s="27"/>
      <x:c r="G101" s="27"/>
      <x:c r="H101" s="27"/>
      <x:c r="I101" s="27"/>
      <x:c r="J101" s="27"/>
      <x:c r="K101" s="27"/>
      <x:c r="L101" s="27"/>
      <x:c r="M101" s="27"/>
      <x:c r="N101" s="27"/>
      <x:c r="O101" s="27"/>
      <x:c r="P101" s="27"/>
      <x:c r="Q101" s="27"/>
      <x:c r="R101" s="27"/>
      <x:c r="S101" s="27"/>
      <x:c r="T101" s="27"/>
      <x:c r="U101" s="27"/>
      <x:c r="V101" s="27"/>
      <x:c r="W101" s="27"/>
      <x:c r="X101" s="27"/>
      <x:c r="Y101" s="27"/>
      <x:c r="Z101" s="27"/>
      <x:c r="AA101" s="27"/>
      <x:c r="AB101" s="27"/>
      <x:c r="AC101" s="27"/>
      <x:c r="AD101" s="27"/>
      <x:c r="AE101" s="27"/>
      <x:c r="AF101" s="27"/>
      <x:c r="AG101" s="27"/>
      <x:c r="AH101" s="27"/>
      <x:c r="AI101" s="27"/>
      <x:c r="AJ101" s="27"/>
      <x:c r="AK101" s="27"/>
      <x:c r="AL101" s="27"/>
      <x:c r="AM101" s="27"/>
      <x:c r="AN101" s="27"/>
      <x:c r="AO101" s="27"/>
      <x:c r="AP101" s="27"/>
      <x:c r="AQ101" s="27"/>
      <x:c r="AR101" s="27"/>
      <x:c r="AS101" s="27"/>
      <x:c r="AT101" s="27"/>
      <x:c r="AU101" s="27"/>
      <x:c r="AV101" s="27"/>
      <x:c r="AW101" s="27"/>
      <x:c r="AX101" s="27"/>
      <x:c r="AY101" s="27"/>
      <x:c r="AZ101" s="27"/>
    </x:row>
    <x:row r="102">
      <x:c r="A102" s="27"/>
      <x:c r="B102" s="27"/>
      <x:c r="C102" s="27"/>
      <x:c r="D102" s="27"/>
      <x:c r="E102" s="27"/>
      <x:c r="F102" s="27"/>
      <x:c r="G102" s="27"/>
      <x:c r="H102" s="27"/>
      <x:c r="I102" s="27"/>
      <x:c r="J102" s="27"/>
      <x:c r="K102" s="27"/>
      <x:c r="L102" s="27"/>
      <x:c r="M102" s="27"/>
      <x:c r="N102" s="27"/>
      <x:c r="O102" s="27"/>
      <x:c r="P102" s="27"/>
      <x:c r="Q102" s="27"/>
      <x:c r="R102" s="27"/>
      <x:c r="S102" s="27"/>
      <x:c r="T102" s="27"/>
      <x:c r="U102" s="27"/>
      <x:c r="V102" s="27"/>
      <x:c r="W102" s="27"/>
      <x:c r="X102" s="27"/>
      <x:c r="Y102" s="27"/>
      <x:c r="Z102" s="27"/>
      <x:c r="AA102" s="27"/>
      <x:c r="AB102" s="27"/>
      <x:c r="AC102" s="27"/>
      <x:c r="AD102" s="27"/>
      <x:c r="AE102" s="27"/>
      <x:c r="AF102" s="27"/>
      <x:c r="AG102" s="27"/>
      <x:c r="AH102" s="27"/>
      <x:c r="AI102" s="27"/>
      <x:c r="AJ102" s="27"/>
      <x:c r="AK102" s="27"/>
      <x:c r="AL102" s="27"/>
      <x:c r="AM102" s="27"/>
      <x:c r="AN102" s="27"/>
      <x:c r="AO102" s="27"/>
      <x:c r="AP102" s="27"/>
      <x:c r="AQ102" s="27"/>
      <x:c r="AR102" s="27"/>
      <x:c r="AS102" s="27"/>
      <x:c r="AT102" s="27"/>
      <x:c r="AU102" s="27"/>
      <x:c r="AV102" s="27"/>
      <x:c r="AW102" s="27"/>
      <x:c r="AX102" s="27"/>
      <x:c r="AY102" s="27"/>
      <x:c r="AZ102" s="27"/>
    </x:row>
    <x:row r="103">
      <x:c r="A103" s="27"/>
      <x:c r="B103" s="27"/>
      <x:c r="C103" s="27"/>
      <x:c r="D103" s="27"/>
      <x:c r="E103" s="27"/>
      <x:c r="F103" s="27"/>
      <x:c r="G103" s="27"/>
      <x:c r="H103" s="27"/>
      <x:c r="I103" s="27"/>
      <x:c r="J103" s="27"/>
      <x:c r="K103" s="27"/>
      <x:c r="L103" s="27"/>
      <x:c r="M103" s="27"/>
      <x:c r="N103" s="27"/>
      <x:c r="O103" s="27"/>
      <x:c r="P103" s="27"/>
      <x:c r="Q103" s="27"/>
      <x:c r="R103" s="27"/>
      <x:c r="S103" s="27"/>
      <x:c r="T103" s="27"/>
      <x:c r="U103" s="27"/>
      <x:c r="V103" s="27"/>
      <x:c r="W103" s="27"/>
      <x:c r="X103" s="27"/>
      <x:c r="Y103" s="27"/>
      <x:c r="Z103" s="27"/>
      <x:c r="AA103" s="27"/>
      <x:c r="AB103" s="27"/>
      <x:c r="AC103" s="27"/>
      <x:c r="AD103" s="27"/>
      <x:c r="AE103" s="27"/>
      <x:c r="AF103" s="27"/>
      <x:c r="AG103" s="27"/>
      <x:c r="AH103" s="27"/>
      <x:c r="AI103" s="27"/>
      <x:c r="AJ103" s="27"/>
      <x:c r="AK103" s="27"/>
      <x:c r="AL103" s="27"/>
      <x:c r="AM103" s="27"/>
      <x:c r="AN103" s="27"/>
      <x:c r="AO103" s="27"/>
      <x:c r="AP103" s="27"/>
      <x:c r="AQ103" s="27"/>
      <x:c r="AR103" s="27"/>
      <x:c r="AS103" s="27"/>
      <x:c r="AT103" s="27"/>
      <x:c r="AU103" s="27"/>
      <x:c r="AV103" s="27"/>
      <x:c r="AW103" s="27"/>
      <x:c r="AX103" s="27"/>
      <x:c r="AY103" s="27"/>
      <x:c r="AZ103" s="27"/>
    </x:row>
    <x:row r="104">
      <x:c r="A104" s="27"/>
      <x:c r="B104" s="27"/>
      <x:c r="C104" s="27"/>
      <x:c r="D104" s="27"/>
      <x:c r="E104" s="27"/>
      <x:c r="F104" s="27"/>
      <x:c r="G104" s="27"/>
      <x:c r="H104" s="27"/>
      <x:c r="I104" s="27"/>
      <x:c r="J104" s="27"/>
      <x:c r="K104" s="27"/>
      <x:c r="L104" s="27"/>
      <x:c r="M104" s="27"/>
      <x:c r="N104" s="27"/>
      <x:c r="O104" s="27"/>
      <x:c r="P104" s="27"/>
      <x:c r="Q104" s="27"/>
      <x:c r="R104" s="27"/>
      <x:c r="S104" s="27"/>
      <x:c r="T104" s="27"/>
      <x:c r="U104" s="27"/>
      <x:c r="V104" s="27"/>
      <x:c r="W104" s="27"/>
      <x:c r="X104" s="27"/>
      <x:c r="Y104" s="27"/>
      <x:c r="Z104" s="27"/>
      <x:c r="AA104" s="27"/>
      <x:c r="AB104" s="27"/>
      <x:c r="AC104" s="27"/>
      <x:c r="AD104" s="27"/>
      <x:c r="AE104" s="27"/>
      <x:c r="AF104" s="27"/>
      <x:c r="AG104" s="27"/>
      <x:c r="AH104" s="27"/>
      <x:c r="AI104" s="27"/>
      <x:c r="AJ104" s="27"/>
      <x:c r="AK104" s="27"/>
      <x:c r="AL104" s="27"/>
      <x:c r="AM104" s="27"/>
      <x:c r="AN104" s="27"/>
      <x:c r="AO104" s="27"/>
      <x:c r="AP104" s="27"/>
      <x:c r="AQ104" s="27"/>
      <x:c r="AR104" s="27"/>
      <x:c r="AS104" s="27"/>
      <x:c r="AT104" s="27"/>
      <x:c r="AU104" s="27"/>
      <x:c r="AV104" s="27"/>
      <x:c r="AW104" s="27"/>
      <x:c r="AX104" s="27"/>
      <x:c r="AY104" s="27"/>
      <x:c r="AZ104" s="27"/>
    </x:row>
    <x:row r="105">
      <x:c r="A105" s="27"/>
      <x:c r="B105" s="27"/>
      <x:c r="C105" s="27"/>
      <x:c r="D105" s="27"/>
      <x:c r="E105" s="27"/>
      <x:c r="F105" s="27"/>
      <x:c r="G105" s="27"/>
      <x:c r="H105" s="27"/>
      <x:c r="I105" s="27"/>
      <x:c r="J105" s="27"/>
      <x:c r="K105" s="27"/>
      <x:c r="L105" s="27"/>
      <x:c r="M105" s="27"/>
      <x:c r="N105" s="27"/>
      <x:c r="O105" s="27"/>
      <x:c r="P105" s="27"/>
      <x:c r="Q105" s="27"/>
      <x:c r="R105" s="27"/>
      <x:c r="S105" s="27"/>
      <x:c r="T105" s="27"/>
      <x:c r="U105" s="27"/>
      <x:c r="V105" s="27"/>
      <x:c r="W105" s="27"/>
      <x:c r="X105" s="27"/>
      <x:c r="Y105" s="27"/>
      <x:c r="Z105" s="27"/>
      <x:c r="AA105" s="27"/>
      <x:c r="AB105" s="27"/>
      <x:c r="AC105" s="27"/>
      <x:c r="AD105" s="27"/>
      <x:c r="AE105" s="27"/>
      <x:c r="AF105" s="27"/>
      <x:c r="AG105" s="27"/>
      <x:c r="AH105" s="27"/>
      <x:c r="AI105" s="27"/>
      <x:c r="AJ105" s="27"/>
      <x:c r="AK105" s="27"/>
      <x:c r="AL105" s="27"/>
      <x:c r="AM105" s="27"/>
      <x:c r="AN105" s="27"/>
      <x:c r="AO105" s="27"/>
      <x:c r="AP105" s="27"/>
      <x:c r="AQ105" s="27"/>
      <x:c r="AR105" s="27"/>
      <x:c r="AS105" s="27"/>
      <x:c r="AT105" s="27"/>
      <x:c r="AU105" s="27"/>
      <x:c r="AV105" s="27"/>
      <x:c r="AW105" s="27"/>
      <x:c r="AX105" s="27"/>
      <x:c r="AY105" s="27"/>
      <x:c r="AZ105" s="27"/>
    </x:row>
    <x:row r="106">
      <x:c r="A106" s="27"/>
      <x:c r="B106" s="27"/>
      <x:c r="C106" s="27"/>
      <x:c r="D106" s="27"/>
      <x:c r="E106" s="27"/>
      <x:c r="F106" s="27"/>
      <x:c r="G106" s="27"/>
      <x:c r="H106" s="27"/>
      <x:c r="I106" s="27"/>
      <x:c r="J106" s="27"/>
      <x:c r="K106" s="27"/>
      <x:c r="L106" s="27"/>
      <x:c r="M106" s="27"/>
      <x:c r="N106" s="27"/>
      <x:c r="O106" s="27"/>
      <x:c r="P106" s="27"/>
      <x:c r="Q106" s="27"/>
      <x:c r="R106" s="27"/>
      <x:c r="S106" s="27"/>
      <x:c r="T106" s="27"/>
      <x:c r="U106" s="27"/>
      <x:c r="V106" s="27"/>
      <x:c r="W106" s="27"/>
      <x:c r="X106" s="27"/>
      <x:c r="Y106" s="27"/>
      <x:c r="Z106" s="27"/>
      <x:c r="AA106" s="27"/>
      <x:c r="AB106" s="27"/>
      <x:c r="AC106" s="27"/>
      <x:c r="AD106" s="27"/>
      <x:c r="AE106" s="27"/>
      <x:c r="AF106" s="27"/>
      <x:c r="AG106" s="27"/>
      <x:c r="AH106" s="27"/>
      <x:c r="AI106" s="27"/>
      <x:c r="AJ106" s="27"/>
      <x:c r="AK106" s="27"/>
      <x:c r="AL106" s="27"/>
      <x:c r="AM106" s="27"/>
      <x:c r="AN106" s="27"/>
      <x:c r="AO106" s="27"/>
      <x:c r="AP106" s="27"/>
      <x:c r="AQ106" s="27"/>
      <x:c r="AR106" s="27"/>
      <x:c r="AS106" s="27"/>
      <x:c r="AT106" s="27"/>
      <x:c r="AU106" s="27"/>
      <x:c r="AV106" s="27"/>
      <x:c r="AW106" s="27"/>
      <x:c r="AX106" s="27"/>
      <x:c r="AY106" s="27"/>
      <x:c r="AZ106" s="27"/>
    </x:row>
    <x:row r="107">
      <x:c r="A107" s="27"/>
      <x:c r="B107" s="27"/>
      <x:c r="C107" s="27"/>
      <x:c r="D107" s="27"/>
      <x:c r="E107" s="27"/>
      <x:c r="F107" s="27"/>
      <x:c r="G107" s="27"/>
      <x:c r="H107" s="27"/>
      <x:c r="I107" s="27"/>
      <x:c r="J107" s="27"/>
      <x:c r="K107" s="27"/>
      <x:c r="L107" s="27"/>
      <x:c r="M107" s="27"/>
      <x:c r="N107" s="27"/>
      <x:c r="O107" s="27"/>
      <x:c r="P107" s="27"/>
      <x:c r="Q107" s="27"/>
      <x:c r="R107" s="27"/>
      <x:c r="S107" s="27"/>
      <x:c r="T107" s="27"/>
      <x:c r="U107" s="27"/>
      <x:c r="V107" s="27"/>
      <x:c r="W107" s="27"/>
      <x:c r="X107" s="27"/>
      <x:c r="Y107" s="27"/>
      <x:c r="Z107" s="27"/>
      <x:c r="AA107" s="27"/>
      <x:c r="AB107" s="27"/>
      <x:c r="AC107" s="27"/>
      <x:c r="AD107" s="27"/>
      <x:c r="AE107" s="27"/>
      <x:c r="AF107" s="27"/>
      <x:c r="AG107" s="27"/>
      <x:c r="AH107" s="27"/>
      <x:c r="AI107" s="27"/>
      <x:c r="AJ107" s="27"/>
      <x:c r="AK107" s="27"/>
      <x:c r="AL107" s="27"/>
      <x:c r="AM107" s="27"/>
      <x:c r="AN107" s="27"/>
      <x:c r="AO107" s="27"/>
      <x:c r="AP107" s="27"/>
      <x:c r="AQ107" s="27"/>
      <x:c r="AR107" s="27"/>
      <x:c r="AS107" s="27"/>
      <x:c r="AT107" s="27"/>
      <x:c r="AU107" s="27"/>
      <x:c r="AV107" s="27"/>
      <x:c r="AW107" s="27"/>
      <x:c r="AX107" s="27"/>
      <x:c r="AY107" s="27"/>
      <x:c r="AZ107" s="27"/>
    </x:row>
    <x:row r="108">
      <x:c r="A108" s="27"/>
      <x:c r="B108" s="27"/>
      <x:c r="C108" s="27"/>
      <x:c r="D108" s="27"/>
      <x:c r="E108" s="27"/>
      <x:c r="F108" s="27"/>
      <x:c r="G108" s="27"/>
      <x:c r="H108" s="27"/>
      <x:c r="I108" s="27"/>
      <x:c r="J108" s="27"/>
      <x:c r="K108" s="27"/>
      <x:c r="L108" s="27"/>
      <x:c r="M108" s="27"/>
      <x:c r="N108" s="27"/>
      <x:c r="O108" s="27"/>
      <x:c r="P108" s="27"/>
      <x:c r="Q108" s="27"/>
      <x:c r="R108" s="27"/>
      <x:c r="S108" s="27"/>
      <x:c r="T108" s="27"/>
      <x:c r="U108" s="27"/>
      <x:c r="V108" s="27"/>
      <x:c r="W108" s="27"/>
      <x:c r="X108" s="27"/>
      <x:c r="Y108" s="27"/>
      <x:c r="Z108" s="27"/>
      <x:c r="AA108" s="27"/>
      <x:c r="AB108" s="27"/>
      <x:c r="AC108" s="27"/>
      <x:c r="AD108" s="27"/>
      <x:c r="AE108" s="27"/>
      <x:c r="AF108" s="27"/>
      <x:c r="AG108" s="27"/>
      <x:c r="AH108" s="27"/>
      <x:c r="AI108" s="27"/>
      <x:c r="AJ108" s="27"/>
      <x:c r="AK108" s="27"/>
      <x:c r="AL108" s="27"/>
      <x:c r="AM108" s="27"/>
      <x:c r="AN108" s="27"/>
      <x:c r="AO108" s="27"/>
      <x:c r="AP108" s="27"/>
      <x:c r="AQ108" s="27"/>
      <x:c r="AR108" s="27"/>
      <x:c r="AS108" s="27"/>
      <x:c r="AT108" s="27"/>
      <x:c r="AU108" s="27"/>
      <x:c r="AV108" s="27"/>
      <x:c r="AW108" s="27"/>
      <x:c r="AX108" s="27"/>
      <x:c r="AY108" s="27"/>
      <x:c r="AZ108" s="27"/>
    </x:row>
    <x:row r="109">
      <x:c r="A109" s="27"/>
      <x:c r="B109" s="27"/>
      <x:c r="C109" s="27"/>
      <x:c r="D109" s="27"/>
      <x:c r="E109" s="27"/>
      <x:c r="F109" s="27"/>
      <x:c r="G109" s="27"/>
      <x:c r="H109" s="27"/>
      <x:c r="I109" s="27"/>
      <x:c r="J109" s="27"/>
      <x:c r="K109" s="27"/>
      <x:c r="L109" s="27"/>
      <x:c r="M109" s="27"/>
      <x:c r="N109" s="27"/>
      <x:c r="O109" s="27"/>
      <x:c r="P109" s="27"/>
      <x:c r="Q109" s="27"/>
      <x:c r="R109" s="27"/>
      <x:c r="S109" s="27"/>
      <x:c r="T109" s="27"/>
      <x:c r="U109" s="27"/>
      <x:c r="V109" s="27"/>
      <x:c r="W109" s="27"/>
      <x:c r="X109" s="27"/>
      <x:c r="Y109" s="27"/>
      <x:c r="Z109" s="27"/>
      <x:c r="AA109" s="27"/>
      <x:c r="AB109" s="27"/>
      <x:c r="AC109" s="27"/>
      <x:c r="AD109" s="27"/>
      <x:c r="AE109" s="27"/>
      <x:c r="AF109" s="27"/>
      <x:c r="AG109" s="27"/>
      <x:c r="AH109" s="27"/>
      <x:c r="AI109" s="27"/>
      <x:c r="AJ109" s="27"/>
      <x:c r="AK109" s="27"/>
      <x:c r="AL109" s="27"/>
      <x:c r="AM109" s="27"/>
      <x:c r="AN109" s="27"/>
      <x:c r="AO109" s="27"/>
      <x:c r="AP109" s="27"/>
      <x:c r="AQ109" s="27"/>
      <x:c r="AR109" s="27"/>
      <x:c r="AS109" s="27"/>
      <x:c r="AT109" s="27"/>
      <x:c r="AU109" s="27"/>
      <x:c r="AV109" s="27"/>
      <x:c r="AW109" s="27"/>
      <x:c r="AX109" s="27"/>
      <x:c r="AY109" s="27"/>
      <x:c r="AZ109" s="27"/>
    </x:row>
    <x:row r="110">
      <x:c r="A110" s="27"/>
      <x:c r="B110" s="27"/>
      <x:c r="C110" s="27"/>
      <x:c r="D110" s="27"/>
      <x:c r="E110" s="27"/>
      <x:c r="F110" s="27"/>
      <x:c r="G110" s="27"/>
      <x:c r="H110" s="27"/>
      <x:c r="I110" s="27"/>
      <x:c r="J110" s="27"/>
      <x:c r="K110" s="27"/>
      <x:c r="L110" s="27"/>
      <x:c r="M110" s="27"/>
      <x:c r="N110" s="27"/>
      <x:c r="O110" s="27"/>
      <x:c r="P110" s="27"/>
      <x:c r="Q110" s="27"/>
      <x:c r="R110" s="27"/>
      <x:c r="S110" s="27"/>
      <x:c r="T110" s="27"/>
      <x:c r="U110" s="27"/>
      <x:c r="V110" s="27"/>
      <x:c r="W110" s="27"/>
      <x:c r="X110" s="27"/>
      <x:c r="Y110" s="27"/>
      <x:c r="Z110" s="27"/>
      <x:c r="AA110" s="27"/>
      <x:c r="AB110" s="27"/>
      <x:c r="AC110" s="27"/>
      <x:c r="AD110" s="27"/>
      <x:c r="AE110" s="27"/>
      <x:c r="AF110" s="27"/>
      <x:c r="AG110" s="27"/>
      <x:c r="AH110" s="27"/>
      <x:c r="AI110" s="27"/>
      <x:c r="AJ110" s="27"/>
      <x:c r="AK110" s="27"/>
      <x:c r="AL110" s="27"/>
      <x:c r="AM110" s="27"/>
      <x:c r="AN110" s="27"/>
      <x:c r="AO110" s="27"/>
      <x:c r="AP110" s="27"/>
      <x:c r="AQ110" s="27"/>
      <x:c r="AR110" s="27"/>
      <x:c r="AS110" s="27"/>
      <x:c r="AT110" s="27"/>
      <x:c r="AU110" s="27"/>
      <x:c r="AV110" s="27"/>
      <x:c r="AW110" s="27"/>
      <x:c r="AX110" s="27"/>
      <x:c r="AY110" s="27"/>
      <x:c r="AZ110" s="27"/>
    </x:row>
    <x:row r="111">
      <x:c r="A111" s="27"/>
      <x:c r="B111" s="27"/>
      <x:c r="C111" s="27"/>
      <x:c r="D111" s="27"/>
      <x:c r="E111" s="27"/>
      <x:c r="F111" s="27"/>
      <x:c r="G111" s="27"/>
      <x:c r="H111" s="27"/>
      <x:c r="I111" s="27"/>
      <x:c r="J111" s="27"/>
      <x:c r="K111" s="27"/>
      <x:c r="L111" s="27"/>
      <x:c r="M111" s="27"/>
      <x:c r="N111" s="27"/>
      <x:c r="O111" s="27"/>
      <x:c r="P111" s="27"/>
      <x:c r="Q111" s="27"/>
      <x:c r="R111" s="27"/>
      <x:c r="S111" s="27"/>
      <x:c r="T111" s="27"/>
      <x:c r="U111" s="27"/>
      <x:c r="V111" s="27"/>
      <x:c r="W111" s="27"/>
      <x:c r="X111" s="27"/>
      <x:c r="Y111" s="27"/>
      <x:c r="Z111" s="27"/>
      <x:c r="AA111" s="27"/>
      <x:c r="AB111" s="27"/>
      <x:c r="AC111" s="27"/>
      <x:c r="AD111" s="27"/>
      <x:c r="AE111" s="27"/>
      <x:c r="AF111" s="27"/>
      <x:c r="AG111" s="27"/>
      <x:c r="AH111" s="27"/>
      <x:c r="AI111" s="27"/>
      <x:c r="AJ111" s="27"/>
      <x:c r="AK111" s="27"/>
      <x:c r="AL111" s="27"/>
      <x:c r="AM111" s="27"/>
      <x:c r="AN111" s="27"/>
      <x:c r="AO111" s="27"/>
      <x:c r="AP111" s="27"/>
      <x:c r="AQ111" s="27"/>
      <x:c r="AR111" s="27"/>
      <x:c r="AS111" s="27"/>
      <x:c r="AT111" s="27"/>
      <x:c r="AU111" s="27"/>
      <x:c r="AV111" s="27"/>
      <x:c r="AW111" s="27"/>
      <x:c r="AX111" s="27"/>
      <x:c r="AY111" s="27"/>
      <x:c r="AZ111" s="27"/>
    </x:row>
    <x:row r="112">
      <x:c r="A112" s="27"/>
      <x:c r="B112" s="27"/>
      <x:c r="C112" s="27"/>
      <x:c r="D112" s="27"/>
      <x:c r="E112" s="27"/>
      <x:c r="F112" s="27"/>
      <x:c r="G112" s="27"/>
      <x:c r="H112" s="27"/>
      <x:c r="I112" s="27"/>
      <x:c r="J112" s="27"/>
      <x:c r="K112" s="27"/>
      <x:c r="L112" s="27"/>
      <x:c r="M112" s="27"/>
      <x:c r="N112" s="27"/>
      <x:c r="O112" s="27"/>
      <x:c r="P112" s="27"/>
      <x:c r="Q112" s="27"/>
      <x:c r="R112" s="27"/>
      <x:c r="S112" s="27"/>
      <x:c r="T112" s="27"/>
      <x:c r="U112" s="27"/>
      <x:c r="V112" s="27"/>
      <x:c r="W112" s="27"/>
      <x:c r="X112" s="27"/>
      <x:c r="Y112" s="27"/>
      <x:c r="Z112" s="27"/>
      <x:c r="AA112" s="27"/>
      <x:c r="AB112" s="27"/>
      <x:c r="AC112" s="27"/>
      <x:c r="AD112" s="27"/>
      <x:c r="AE112" s="27"/>
      <x:c r="AF112" s="27"/>
      <x:c r="AG112" s="27"/>
      <x:c r="AH112" s="27"/>
      <x:c r="AI112" s="27"/>
      <x:c r="AJ112" s="27"/>
      <x:c r="AK112" s="27"/>
      <x:c r="AL112" s="27"/>
      <x:c r="AM112" s="27"/>
      <x:c r="AN112" s="27"/>
      <x:c r="AO112" s="27"/>
      <x:c r="AP112" s="27"/>
      <x:c r="AQ112" s="27"/>
      <x:c r="AR112" s="27"/>
      <x:c r="AS112" s="27"/>
      <x:c r="AT112" s="27"/>
      <x:c r="AU112" s="27"/>
      <x:c r="AV112" s="27"/>
      <x:c r="AW112" s="27"/>
      <x:c r="AX112" s="27"/>
      <x:c r="AY112" s="27"/>
      <x:c r="AZ112" s="27"/>
    </x:row>
    <x:row r="113">
      <x:c r="A113" s="27"/>
      <x:c r="B113" s="27"/>
      <x:c r="C113" s="27"/>
      <x:c r="D113" s="27"/>
      <x:c r="E113" s="27"/>
      <x:c r="F113" s="27"/>
      <x:c r="G113" s="27"/>
      <x:c r="H113" s="27"/>
      <x:c r="I113" s="27"/>
      <x:c r="J113" s="27"/>
      <x:c r="K113" s="27"/>
      <x:c r="L113" s="27"/>
      <x:c r="M113" s="27"/>
      <x:c r="N113" s="27"/>
      <x:c r="O113" s="27"/>
      <x:c r="P113" s="27"/>
      <x:c r="Q113" s="27"/>
      <x:c r="R113" s="27"/>
      <x:c r="S113" s="27"/>
      <x:c r="T113" s="27"/>
      <x:c r="U113" s="27"/>
      <x:c r="V113" s="27"/>
      <x:c r="W113" s="27"/>
      <x:c r="X113" s="27"/>
      <x:c r="Y113" s="27"/>
      <x:c r="Z113" s="27"/>
      <x:c r="AA113" s="27"/>
      <x:c r="AB113" s="27"/>
      <x:c r="AC113" s="27"/>
      <x:c r="AD113" s="27"/>
      <x:c r="AE113" s="27"/>
      <x:c r="AF113" s="27"/>
      <x:c r="AG113" s="27"/>
      <x:c r="AH113" s="27"/>
      <x:c r="AI113" s="27"/>
      <x:c r="AJ113" s="27"/>
      <x:c r="AK113" s="27"/>
      <x:c r="AL113" s="27"/>
      <x:c r="AM113" s="27"/>
      <x:c r="AN113" s="27"/>
      <x:c r="AO113" s="27"/>
      <x:c r="AP113" s="27"/>
      <x:c r="AQ113" s="27"/>
      <x:c r="AR113" s="27"/>
      <x:c r="AS113" s="27"/>
      <x:c r="AT113" s="27"/>
      <x:c r="AU113" s="27"/>
      <x:c r="AV113" s="27"/>
      <x:c r="AW113" s="27"/>
      <x:c r="AX113" s="27"/>
      <x:c r="AY113" s="27"/>
      <x:c r="AZ113" s="27"/>
    </x:row>
    <x:row r="114">
      <x:c r="A114" s="27"/>
      <x:c r="B114" s="27"/>
      <x:c r="C114" s="27"/>
      <x:c r="D114" s="27"/>
      <x:c r="E114" s="27"/>
      <x:c r="F114" s="27"/>
      <x:c r="G114" s="27"/>
      <x:c r="H114" s="27"/>
      <x:c r="I114" s="27"/>
      <x:c r="J114" s="27"/>
      <x:c r="K114" s="27"/>
      <x:c r="L114" s="27"/>
      <x:c r="M114" s="27"/>
      <x:c r="N114" s="27"/>
      <x:c r="O114" s="27"/>
      <x:c r="P114" s="27"/>
      <x:c r="Q114" s="27"/>
      <x:c r="R114" s="27"/>
      <x:c r="S114" s="27"/>
      <x:c r="T114" s="27"/>
      <x:c r="U114" s="27"/>
      <x:c r="V114" s="27"/>
      <x:c r="W114" s="27"/>
      <x:c r="X114" s="27"/>
      <x:c r="Y114" s="27"/>
      <x:c r="Z114" s="27"/>
      <x:c r="AA114" s="27"/>
      <x:c r="AB114" s="27"/>
      <x:c r="AC114" s="27"/>
      <x:c r="AD114" s="27"/>
      <x:c r="AE114" s="27"/>
      <x:c r="AF114" s="27"/>
      <x:c r="AG114" s="27"/>
      <x:c r="AH114" s="27"/>
      <x:c r="AI114" s="27"/>
      <x:c r="AJ114" s="27"/>
      <x:c r="AK114" s="27"/>
      <x:c r="AL114" s="27"/>
      <x:c r="AM114" s="27"/>
      <x:c r="AN114" s="27"/>
      <x:c r="AO114" s="27"/>
      <x:c r="AP114" s="27"/>
      <x:c r="AQ114" s="27"/>
      <x:c r="AR114" s="27"/>
      <x:c r="AS114" s="27"/>
      <x:c r="AT114" s="27"/>
      <x:c r="AU114" s="27"/>
      <x:c r="AV114" s="27"/>
      <x:c r="AW114" s="27"/>
      <x:c r="AX114" s="27"/>
      <x:c r="AY114" s="27"/>
      <x:c r="AZ114" s="27"/>
    </x:row>
    <x:row r="115">
      <x:c r="A115" s="27"/>
      <x:c r="B115" s="27"/>
      <x:c r="C115" s="27"/>
      <x:c r="D115" s="27"/>
      <x:c r="E115" s="27"/>
      <x:c r="F115" s="27"/>
      <x:c r="G115" s="27"/>
      <x:c r="H115" s="27"/>
      <x:c r="I115" s="27"/>
      <x:c r="J115" s="27"/>
      <x:c r="K115" s="27"/>
      <x:c r="L115" s="27"/>
      <x:c r="M115" s="27"/>
      <x:c r="N115" s="27"/>
      <x:c r="O115" s="27"/>
      <x:c r="P115" s="27"/>
      <x:c r="Q115" s="27"/>
      <x:c r="R115" s="27"/>
      <x:c r="S115" s="27"/>
      <x:c r="T115" s="27"/>
      <x:c r="U115" s="27"/>
      <x:c r="V115" s="27"/>
      <x:c r="W115" s="27"/>
      <x:c r="X115" s="27"/>
      <x:c r="Y115" s="27"/>
      <x:c r="Z115" s="27"/>
      <x:c r="AA115" s="27"/>
      <x:c r="AB115" s="27"/>
      <x:c r="AC115" s="27"/>
      <x:c r="AD115" s="27"/>
      <x:c r="AE115" s="27"/>
      <x:c r="AF115" s="27"/>
      <x:c r="AG115" s="27"/>
      <x:c r="AH115" s="27"/>
      <x:c r="AI115" s="27"/>
      <x:c r="AJ115" s="27"/>
      <x:c r="AK115" s="27"/>
      <x:c r="AL115" s="27"/>
      <x:c r="AM115" s="27"/>
      <x:c r="AN115" s="27"/>
      <x:c r="AO115" s="27"/>
      <x:c r="AP115" s="27"/>
      <x:c r="AQ115" s="27"/>
      <x:c r="AR115" s="27"/>
      <x:c r="AS115" s="27"/>
      <x:c r="AT115" s="27"/>
      <x:c r="AU115" s="27"/>
      <x:c r="AV115" s="27"/>
      <x:c r="AW115" s="27"/>
      <x:c r="AX115" s="27"/>
      <x:c r="AY115" s="27"/>
      <x:c r="AZ115" s="27"/>
    </x:row>
    <x:row r="116">
      <x:c r="A116" s="27"/>
      <x:c r="B116" s="27"/>
      <x:c r="C116" s="27"/>
      <x:c r="D116" s="27"/>
      <x:c r="E116" s="27"/>
      <x:c r="F116" s="27"/>
      <x:c r="G116" s="27"/>
      <x:c r="H116" s="27"/>
      <x:c r="I116" s="27"/>
      <x:c r="J116" s="27"/>
      <x:c r="K116" s="27"/>
      <x:c r="L116" s="27"/>
      <x:c r="M116" s="27"/>
      <x:c r="N116" s="27"/>
      <x:c r="O116" s="27"/>
      <x:c r="P116" s="27"/>
      <x:c r="Q116" s="27"/>
      <x:c r="R116" s="27"/>
      <x:c r="S116" s="27"/>
      <x:c r="T116" s="27"/>
      <x:c r="U116" s="27"/>
      <x:c r="V116" s="27"/>
      <x:c r="W116" s="27"/>
      <x:c r="X116" s="27"/>
      <x:c r="Y116" s="27"/>
      <x:c r="Z116" s="27"/>
      <x:c r="AA116" s="27"/>
      <x:c r="AB116" s="27"/>
      <x:c r="AC116" s="27"/>
      <x:c r="AD116" s="27"/>
      <x:c r="AE116" s="27"/>
      <x:c r="AF116" s="27"/>
      <x:c r="AG116" s="27"/>
      <x:c r="AH116" s="27"/>
      <x:c r="AI116" s="27"/>
      <x:c r="AJ116" s="27"/>
      <x:c r="AK116" s="27"/>
      <x:c r="AL116" s="27"/>
      <x:c r="AM116" s="27"/>
      <x:c r="AN116" s="27"/>
      <x:c r="AO116" s="27"/>
      <x:c r="AP116" s="27"/>
      <x:c r="AQ116" s="27"/>
      <x:c r="AR116" s="27"/>
      <x:c r="AS116" s="27"/>
      <x:c r="AT116" s="27"/>
      <x:c r="AU116" s="27"/>
      <x:c r="AV116" s="27"/>
      <x:c r="AW116" s="27"/>
      <x:c r="AX116" s="27"/>
      <x:c r="AY116" s="27"/>
      <x:c r="AZ116" s="27"/>
    </x:row>
    <x:row r="117">
      <x:c r="A117" s="27"/>
      <x:c r="B117" s="27"/>
      <x:c r="C117" s="27"/>
      <x:c r="D117" s="27"/>
      <x:c r="E117" s="27"/>
      <x:c r="F117" s="27"/>
      <x:c r="G117" s="27"/>
      <x:c r="H117" s="27"/>
      <x:c r="I117" s="27"/>
      <x:c r="J117" s="27"/>
      <x:c r="K117" s="27"/>
      <x:c r="L117" s="27"/>
      <x:c r="M117" s="27"/>
      <x:c r="N117" s="27"/>
      <x:c r="O117" s="27"/>
      <x:c r="P117" s="27"/>
      <x:c r="Q117" s="27"/>
      <x:c r="R117" s="27"/>
      <x:c r="S117" s="27"/>
      <x:c r="T117" s="27"/>
      <x:c r="U117" s="27"/>
      <x:c r="V117" s="27"/>
      <x:c r="W117" s="27"/>
      <x:c r="X117" s="27"/>
      <x:c r="Y117" s="27"/>
      <x:c r="Z117" s="27"/>
      <x:c r="AA117" s="27"/>
      <x:c r="AB117" s="27"/>
      <x:c r="AC117" s="27"/>
      <x:c r="AD117" s="27"/>
      <x:c r="AE117" s="27"/>
      <x:c r="AF117" s="27"/>
      <x:c r="AG117" s="27"/>
      <x:c r="AH117" s="27"/>
      <x:c r="AI117" s="27"/>
      <x:c r="AJ117" s="27"/>
      <x:c r="AK117" s="27"/>
      <x:c r="AL117" s="27"/>
      <x:c r="AM117" s="27"/>
      <x:c r="AN117" s="27"/>
      <x:c r="AO117" s="27"/>
      <x:c r="AP117" s="27"/>
      <x:c r="AQ117" s="27"/>
      <x:c r="AR117" s="27"/>
      <x:c r="AS117" s="27"/>
      <x:c r="AT117" s="27"/>
      <x:c r="AU117" s="27"/>
      <x:c r="AV117" s="27"/>
      <x:c r="AW117" s="27"/>
      <x:c r="AX117" s="27"/>
      <x:c r="AY117" s="27"/>
      <x:c r="AZ117" s="27"/>
    </x:row>
    <x:row r="118">
      <x:c r="A118" s="27"/>
      <x:c r="B118" s="27"/>
      <x:c r="C118" s="27"/>
      <x:c r="D118" s="27"/>
      <x:c r="E118" s="27"/>
      <x:c r="F118" s="27"/>
      <x:c r="G118" s="27"/>
      <x:c r="H118" s="27"/>
      <x:c r="I118" s="27"/>
      <x:c r="J118" s="27"/>
      <x:c r="K118" s="27"/>
      <x:c r="L118" s="27"/>
      <x:c r="M118" s="27"/>
      <x:c r="N118" s="27"/>
      <x:c r="O118" s="27"/>
      <x:c r="P118" s="27"/>
      <x:c r="Q118" s="27"/>
      <x:c r="R118" s="27"/>
      <x:c r="S118" s="27"/>
      <x:c r="T118" s="27"/>
      <x:c r="U118" s="27"/>
      <x:c r="V118" s="27"/>
      <x:c r="W118" s="27"/>
      <x:c r="X118" s="27"/>
      <x:c r="Y118" s="27"/>
      <x:c r="Z118" s="27"/>
      <x:c r="AA118" s="27"/>
      <x:c r="AB118" s="27"/>
      <x:c r="AC118" s="27"/>
      <x:c r="AD118" s="27"/>
      <x:c r="AE118" s="27"/>
      <x:c r="AF118" s="27"/>
      <x:c r="AG118" s="27"/>
      <x:c r="AH118" s="27"/>
      <x:c r="AI118" s="27"/>
      <x:c r="AJ118" s="27"/>
      <x:c r="AK118" s="27"/>
      <x:c r="AL118" s="27"/>
      <x:c r="AM118" s="27"/>
      <x:c r="AN118" s="27"/>
      <x:c r="AO118" s="27"/>
      <x:c r="AP118" s="27"/>
      <x:c r="AQ118" s="27"/>
      <x:c r="AR118" s="27"/>
      <x:c r="AS118" s="27"/>
      <x:c r="AT118" s="27"/>
      <x:c r="AU118" s="27"/>
      <x:c r="AV118" s="27"/>
      <x:c r="AW118" s="27"/>
      <x:c r="AX118" s="27"/>
      <x:c r="AY118" s="27"/>
      <x:c r="AZ118" s="27"/>
    </x:row>
    <x:row r="119">
      <x:c r="A119" s="27"/>
      <x:c r="B119" s="27"/>
      <x:c r="C119" s="27"/>
      <x:c r="D119" s="27"/>
      <x:c r="E119" s="27"/>
      <x:c r="F119" s="27"/>
      <x:c r="G119" s="27"/>
      <x:c r="H119" s="27"/>
      <x:c r="I119" s="27"/>
      <x:c r="J119" s="27"/>
      <x:c r="K119" s="27"/>
      <x:c r="L119" s="27"/>
      <x:c r="M119" s="27"/>
      <x:c r="N119" s="27"/>
      <x:c r="O119" s="27"/>
      <x:c r="P119" s="27"/>
      <x:c r="Q119" s="27"/>
      <x:c r="R119" s="27"/>
      <x:c r="S119" s="27"/>
      <x:c r="T119" s="27"/>
      <x:c r="U119" s="27"/>
      <x:c r="V119" s="27"/>
      <x:c r="W119" s="27"/>
      <x:c r="X119" s="27"/>
      <x:c r="Y119" s="27"/>
      <x:c r="Z119" s="27"/>
      <x:c r="AA119" s="27"/>
      <x:c r="AB119" s="27"/>
      <x:c r="AC119" s="27"/>
      <x:c r="AD119" s="27"/>
      <x:c r="AE119" s="27"/>
      <x:c r="AF119" s="27"/>
      <x:c r="AG119" s="27"/>
      <x:c r="AH119" s="27"/>
      <x:c r="AI119" s="27"/>
      <x:c r="AJ119" s="27"/>
      <x:c r="AK119" s="27"/>
      <x:c r="AL119" s="27"/>
      <x:c r="AM119" s="27"/>
      <x:c r="AN119" s="27"/>
      <x:c r="AO119" s="27"/>
      <x:c r="AP119" s="27"/>
      <x:c r="AQ119" s="27"/>
      <x:c r="AR119" s="27"/>
      <x:c r="AS119" s="27"/>
      <x:c r="AT119" s="27"/>
      <x:c r="AU119" s="27"/>
      <x:c r="AV119" s="27"/>
      <x:c r="AW119" s="27"/>
      <x:c r="AX119" s="27"/>
      <x:c r="AY119" s="27"/>
      <x:c r="AZ119" s="27"/>
    </x:row>
    <x:row r="120">
      <x:c r="A120" s="27"/>
      <x:c r="B120" s="27"/>
      <x:c r="C120" s="27"/>
      <x:c r="D120" s="27"/>
      <x:c r="E120" s="27"/>
      <x:c r="F120" s="27"/>
      <x:c r="G120" s="27"/>
      <x:c r="H120" s="27"/>
      <x:c r="I120" s="27"/>
      <x:c r="J120" s="27"/>
      <x:c r="K120" s="27"/>
      <x:c r="L120" s="27"/>
      <x:c r="M120" s="27"/>
      <x:c r="N120" s="27"/>
      <x:c r="O120" s="27"/>
      <x:c r="P120" s="27"/>
      <x:c r="Q120" s="27"/>
      <x:c r="R120" s="27"/>
      <x:c r="S120" s="27"/>
      <x:c r="T120" s="27"/>
      <x:c r="U120" s="27"/>
      <x:c r="V120" s="27"/>
      <x:c r="W120" s="27"/>
      <x:c r="X120" s="27"/>
      <x:c r="Y120" s="27"/>
      <x:c r="Z120" s="27"/>
      <x:c r="AA120" s="27"/>
      <x:c r="AB120" s="27"/>
      <x:c r="AC120" s="27"/>
      <x:c r="AD120" s="27"/>
      <x:c r="AE120" s="27"/>
      <x:c r="AF120" s="27"/>
      <x:c r="AG120" s="27"/>
      <x:c r="AH120" s="27"/>
      <x:c r="AI120" s="27"/>
      <x:c r="AJ120" s="27"/>
      <x:c r="AK120" s="27"/>
      <x:c r="AL120" s="27"/>
      <x:c r="AM120" s="27"/>
      <x:c r="AN120" s="27"/>
      <x:c r="AO120" s="27"/>
      <x:c r="AP120" s="27"/>
      <x:c r="AQ120" s="27"/>
      <x:c r="AR120" s="27"/>
      <x:c r="AS120" s="27"/>
      <x:c r="AT120" s="27"/>
      <x:c r="AU120" s="27"/>
      <x:c r="AV120" s="27"/>
      <x:c r="AW120" s="27"/>
      <x:c r="AX120" s="27"/>
      <x:c r="AY120" s="27"/>
      <x:c r="AZ120" s="27"/>
    </x:row>
    <x:row r="121">
      <x:c r="A121" s="27"/>
      <x:c r="B121" s="27"/>
      <x:c r="C121" s="27"/>
      <x:c r="D121" s="27"/>
      <x:c r="E121" s="27"/>
      <x:c r="F121" s="27"/>
      <x:c r="G121" s="27"/>
      <x:c r="H121" s="27"/>
      <x:c r="I121" s="27"/>
      <x:c r="J121" s="27"/>
      <x:c r="K121" s="27"/>
      <x:c r="L121" s="27"/>
      <x:c r="M121" s="27"/>
      <x:c r="N121" s="27"/>
      <x:c r="O121" s="27"/>
      <x:c r="P121" s="27"/>
      <x:c r="Q121" s="27"/>
      <x:c r="R121" s="27"/>
      <x:c r="S121" s="27"/>
      <x:c r="T121" s="27"/>
      <x:c r="U121" s="27"/>
      <x:c r="V121" s="27"/>
      <x:c r="W121" s="27"/>
      <x:c r="X121" s="27"/>
      <x:c r="Y121" s="27"/>
      <x:c r="Z121" s="27"/>
      <x:c r="AA121" s="27"/>
      <x:c r="AB121" s="27"/>
      <x:c r="AC121" s="27"/>
      <x:c r="AD121" s="27"/>
      <x:c r="AE121" s="27"/>
      <x:c r="AF121" s="27"/>
      <x:c r="AG121" s="27"/>
      <x:c r="AH121" s="27"/>
      <x:c r="AI121" s="27"/>
      <x:c r="AJ121" s="27"/>
      <x:c r="AK121" s="27"/>
      <x:c r="AL121" s="27"/>
      <x:c r="AM121" s="27"/>
      <x:c r="AN121" s="27"/>
      <x:c r="AO121" s="27"/>
      <x:c r="AP121" s="27"/>
      <x:c r="AQ121" s="27"/>
      <x:c r="AR121" s="27"/>
      <x:c r="AS121" s="27"/>
      <x:c r="AT121" s="27"/>
      <x:c r="AU121" s="27"/>
      <x:c r="AV121" s="27"/>
      <x:c r="AW121" s="27"/>
      <x:c r="AX121" s="27"/>
      <x:c r="AY121" s="27"/>
      <x:c r="AZ121" s="27"/>
    </x:row>
    <x:row r="122">
      <x:c r="A122" s="27"/>
      <x:c r="B122" s="27"/>
      <x:c r="C122" s="27"/>
      <x:c r="D122" s="27"/>
      <x:c r="E122" s="27"/>
      <x:c r="F122" s="27"/>
      <x:c r="G122" s="27"/>
      <x:c r="H122" s="27"/>
      <x:c r="I122" s="27"/>
      <x:c r="J122" s="27"/>
      <x:c r="K122" s="27"/>
      <x:c r="L122" s="27"/>
      <x:c r="M122" s="27"/>
      <x:c r="N122" s="27"/>
      <x:c r="O122" s="27"/>
      <x:c r="P122" s="27"/>
      <x:c r="Q122" s="27"/>
      <x:c r="R122" s="27"/>
      <x:c r="S122" s="27"/>
      <x:c r="T122" s="27"/>
      <x:c r="U122" s="27"/>
      <x:c r="V122" s="27"/>
      <x:c r="W122" s="27"/>
      <x:c r="X122" s="27"/>
      <x:c r="Y122" s="27"/>
      <x:c r="Z122" s="27"/>
      <x:c r="AA122" s="27"/>
      <x:c r="AB122" s="27"/>
      <x:c r="AC122" s="27"/>
      <x:c r="AD122" s="27"/>
      <x:c r="AE122" s="27"/>
      <x:c r="AF122" s="27"/>
      <x:c r="AG122" s="27"/>
      <x:c r="AH122" s="27"/>
      <x:c r="AI122" s="27"/>
      <x:c r="AJ122" s="27"/>
      <x:c r="AK122" s="27"/>
      <x:c r="AL122" s="27"/>
      <x:c r="AM122" s="27"/>
      <x:c r="AN122" s="27"/>
      <x:c r="AO122" s="27"/>
      <x:c r="AP122" s="27"/>
      <x:c r="AQ122" s="27"/>
      <x:c r="AR122" s="27"/>
      <x:c r="AS122" s="27"/>
      <x:c r="AT122" s="27"/>
      <x:c r="AU122" s="27"/>
      <x:c r="AV122" s="27"/>
      <x:c r="AW122" s="27"/>
      <x:c r="AX122" s="27"/>
      <x:c r="AY122" s="27"/>
      <x:c r="AZ122" s="27"/>
    </x:row>
    <x:row r="123">
      <x:c r="A123" s="27"/>
      <x:c r="B123" s="27"/>
      <x:c r="C123" s="27"/>
      <x:c r="D123" s="27"/>
      <x:c r="E123" s="27"/>
      <x:c r="F123" s="27"/>
      <x:c r="G123" s="27"/>
      <x:c r="H123" s="27"/>
      <x:c r="I123" s="27"/>
      <x:c r="J123" s="27"/>
      <x:c r="K123" s="27"/>
      <x:c r="L123" s="27"/>
      <x:c r="M123" s="27"/>
      <x:c r="N123" s="27"/>
      <x:c r="O123" s="27"/>
      <x:c r="P123" s="27"/>
      <x:c r="Q123" s="27"/>
      <x:c r="R123" s="27"/>
      <x:c r="S123" s="27"/>
      <x:c r="T123" s="27"/>
      <x:c r="U123" s="27"/>
      <x:c r="V123" s="27"/>
      <x:c r="W123" s="27"/>
      <x:c r="X123" s="27"/>
      <x:c r="Y123" s="27"/>
      <x:c r="Z123" s="27"/>
      <x:c r="AA123" s="27"/>
      <x:c r="AB123" s="27"/>
      <x:c r="AC123" s="27"/>
      <x:c r="AD123" s="27"/>
      <x:c r="AE123" s="27"/>
      <x:c r="AF123" s="27"/>
      <x:c r="AG123" s="27"/>
      <x:c r="AH123" s="27"/>
      <x:c r="AI123" s="27"/>
      <x:c r="AJ123" s="27"/>
      <x:c r="AK123" s="27"/>
      <x:c r="AL123" s="27"/>
      <x:c r="AM123" s="27"/>
      <x:c r="AN123" s="27"/>
      <x:c r="AO123" s="27"/>
      <x:c r="AP123" s="27"/>
      <x:c r="AQ123" s="27"/>
      <x:c r="AR123" s="27"/>
      <x:c r="AS123" s="27"/>
      <x:c r="AT123" s="27"/>
      <x:c r="AU123" s="27"/>
      <x:c r="AV123" s="27"/>
      <x:c r="AW123" s="27"/>
      <x:c r="AX123" s="27"/>
      <x:c r="AY123" s="27"/>
      <x:c r="AZ123" s="27"/>
    </x:row>
    <x:row r="124">
      <x:c r="A124" s="27"/>
      <x:c r="B124" s="27"/>
      <x:c r="C124" s="27"/>
      <x:c r="D124" s="27"/>
      <x:c r="E124" s="27"/>
      <x:c r="F124" s="27"/>
      <x:c r="G124" s="27"/>
      <x:c r="H124" s="27"/>
      <x:c r="I124" s="27"/>
      <x:c r="J124" s="27"/>
      <x:c r="K124" s="27"/>
      <x:c r="L124" s="27"/>
      <x:c r="M124" s="27"/>
      <x:c r="N124" s="27"/>
      <x:c r="O124" s="27"/>
      <x:c r="P124" s="27"/>
      <x:c r="Q124" s="27"/>
      <x:c r="R124" s="27"/>
      <x:c r="S124" s="27"/>
      <x:c r="T124" s="27"/>
      <x:c r="U124" s="27"/>
      <x:c r="V124" s="27"/>
      <x:c r="W124" s="27"/>
      <x:c r="X124" s="27"/>
      <x:c r="Y124" s="27"/>
      <x:c r="Z124" s="27"/>
      <x:c r="AA124" s="27"/>
      <x:c r="AB124" s="27"/>
      <x:c r="AC124" s="27"/>
      <x:c r="AD124" s="27"/>
      <x:c r="AE124" s="27"/>
      <x:c r="AF124" s="27"/>
      <x:c r="AG124" s="27"/>
      <x:c r="AH124" s="27"/>
      <x:c r="AI124" s="27"/>
      <x:c r="AJ124" s="27"/>
      <x:c r="AK124" s="27"/>
      <x:c r="AL124" s="27"/>
      <x:c r="AM124" s="27"/>
      <x:c r="AN124" s="27"/>
      <x:c r="AO124" s="27"/>
      <x:c r="AP124" s="27"/>
      <x:c r="AQ124" s="27"/>
      <x:c r="AR124" s="27"/>
      <x:c r="AS124" s="27"/>
      <x:c r="AT124" s="27"/>
      <x:c r="AU124" s="27"/>
      <x:c r="AV124" s="27"/>
      <x:c r="AW124" s="27"/>
      <x:c r="AX124" s="27"/>
      <x:c r="AY124" s="27"/>
      <x:c r="AZ124" s="27"/>
    </x:row>
    <x:row r="125">
      <x:c r="A125" s="27"/>
      <x:c r="B125" s="27"/>
      <x:c r="C125" s="27"/>
      <x:c r="D125" s="27"/>
      <x:c r="E125" s="27"/>
      <x:c r="F125" s="27"/>
      <x:c r="G125" s="27"/>
      <x:c r="H125" s="27"/>
      <x:c r="I125" s="27"/>
      <x:c r="J125" s="27"/>
      <x:c r="K125" s="27"/>
      <x:c r="L125" s="27"/>
      <x:c r="M125" s="27"/>
      <x:c r="N125" s="27"/>
      <x:c r="O125" s="27"/>
      <x:c r="P125" s="27"/>
      <x:c r="Q125" s="27"/>
      <x:c r="R125" s="27"/>
      <x:c r="S125" s="27"/>
      <x:c r="T125" s="27"/>
      <x:c r="U125" s="27"/>
      <x:c r="V125" s="27"/>
      <x:c r="W125" s="27"/>
      <x:c r="X125" s="27"/>
      <x:c r="Y125" s="27"/>
      <x:c r="Z125" s="27"/>
      <x:c r="AA125" s="27"/>
      <x:c r="AB125" s="27"/>
      <x:c r="AC125" s="27"/>
      <x:c r="AD125" s="27"/>
      <x:c r="AE125" s="27"/>
      <x:c r="AF125" s="27"/>
      <x:c r="AG125" s="27"/>
      <x:c r="AH125" s="27"/>
      <x:c r="AI125" s="27"/>
      <x:c r="AJ125" s="27"/>
      <x:c r="AK125" s="27"/>
      <x:c r="AL125" s="27"/>
      <x:c r="AM125" s="27"/>
      <x:c r="AN125" s="27"/>
      <x:c r="AO125" s="27"/>
      <x:c r="AP125" s="27"/>
      <x:c r="AQ125" s="27"/>
      <x:c r="AR125" s="27"/>
      <x:c r="AS125" s="27"/>
      <x:c r="AT125" s="27"/>
      <x:c r="AU125" s="27"/>
      <x:c r="AV125" s="27"/>
      <x:c r="AW125" s="27"/>
      <x:c r="AX125" s="27"/>
      <x:c r="AY125" s="27"/>
      <x:c r="AZ125" s="27"/>
    </x:row>
    <x:row r="126">
      <x:c r="A126" s="27"/>
      <x:c r="B126" s="27"/>
      <x:c r="C126" s="27"/>
      <x:c r="D126" s="27"/>
      <x:c r="E126" s="27"/>
      <x:c r="F126" s="27"/>
      <x:c r="G126" s="27"/>
      <x:c r="H126" s="27"/>
      <x:c r="I126" s="27"/>
      <x:c r="J126" s="27"/>
      <x:c r="K126" s="27"/>
      <x:c r="L126" s="27"/>
      <x:c r="M126" s="27"/>
      <x:c r="N126" s="27"/>
      <x:c r="O126" s="27"/>
      <x:c r="P126" s="27"/>
      <x:c r="Q126" s="27"/>
      <x:c r="R126" s="27"/>
      <x:c r="S126" s="27"/>
      <x:c r="T126" s="27"/>
      <x:c r="U126" s="27"/>
      <x:c r="V126" s="27"/>
      <x:c r="W126" s="27"/>
      <x:c r="X126" s="27"/>
      <x:c r="Y126" s="27"/>
      <x:c r="Z126" s="27"/>
      <x:c r="AA126" s="27"/>
      <x:c r="AB126" s="27"/>
      <x:c r="AC126" s="27"/>
      <x:c r="AD126" s="27"/>
      <x:c r="AE126" s="27"/>
      <x:c r="AF126" s="27"/>
      <x:c r="AG126" s="27"/>
      <x:c r="AH126" s="27"/>
      <x:c r="AI126" s="27"/>
      <x:c r="AJ126" s="27"/>
      <x:c r="AK126" s="27"/>
      <x:c r="AL126" s="27"/>
      <x:c r="AM126" s="27"/>
      <x:c r="AN126" s="27"/>
      <x:c r="AO126" s="27"/>
      <x:c r="AP126" s="27"/>
      <x:c r="AQ126" s="27"/>
      <x:c r="AR126" s="27"/>
      <x:c r="AS126" s="27"/>
      <x:c r="AT126" s="27"/>
      <x:c r="AU126" s="27"/>
      <x:c r="AV126" s="27"/>
      <x:c r="AW126" s="27"/>
      <x:c r="AX126" s="27"/>
      <x:c r="AY126" s="27"/>
      <x:c r="AZ126" s="27"/>
    </x:row>
    <x:row r="127">
      <x:c r="A127" s="27"/>
      <x:c r="B127" s="27"/>
      <x:c r="C127" s="27"/>
      <x:c r="D127" s="27"/>
      <x:c r="E127" s="27"/>
      <x:c r="F127" s="27"/>
      <x:c r="G127" s="27"/>
      <x:c r="H127" s="27"/>
      <x:c r="I127" s="27"/>
      <x:c r="J127" s="27"/>
      <x:c r="K127" s="27"/>
      <x:c r="L127" s="27"/>
      <x:c r="M127" s="27"/>
      <x:c r="N127" s="27"/>
      <x:c r="O127" s="27"/>
      <x:c r="P127" s="27"/>
      <x:c r="Q127" s="27"/>
      <x:c r="R127" s="27"/>
      <x:c r="S127" s="27"/>
      <x:c r="T127" s="27"/>
      <x:c r="U127" s="27"/>
      <x:c r="V127" s="27"/>
      <x:c r="W127" s="27"/>
      <x:c r="X127" s="27"/>
      <x:c r="Y127" s="27"/>
      <x:c r="Z127" s="27"/>
      <x:c r="AA127" s="27"/>
      <x:c r="AB127" s="27"/>
      <x:c r="AC127" s="27"/>
      <x:c r="AD127" s="27"/>
      <x:c r="AE127" s="27"/>
      <x:c r="AF127" s="27"/>
      <x:c r="AG127" s="27"/>
      <x:c r="AH127" s="27"/>
      <x:c r="AI127" s="27"/>
      <x:c r="AJ127" s="27"/>
      <x:c r="AK127" s="27"/>
      <x:c r="AL127" s="27"/>
      <x:c r="AM127" s="27"/>
      <x:c r="AN127" s="27"/>
      <x:c r="AO127" s="27"/>
      <x:c r="AP127" s="27"/>
      <x:c r="AQ127" s="27"/>
      <x:c r="AR127" s="27"/>
      <x:c r="AS127" s="27"/>
      <x:c r="AT127" s="27"/>
      <x:c r="AU127" s="27"/>
      <x:c r="AV127" s="27"/>
      <x:c r="AW127" s="27"/>
      <x:c r="AX127" s="27"/>
      <x:c r="AY127" s="27"/>
      <x:c r="AZ127" s="27"/>
    </x:row>
    <x:row r="128">
      <x:c r="A128" s="27"/>
      <x:c r="B128" s="27"/>
      <x:c r="C128" s="27"/>
      <x:c r="D128" s="27"/>
      <x:c r="E128" s="27"/>
      <x:c r="F128" s="27"/>
      <x:c r="G128" s="27"/>
      <x:c r="H128" s="27"/>
      <x:c r="I128" s="27"/>
      <x:c r="J128" s="27"/>
      <x:c r="K128" s="27"/>
      <x:c r="L128" s="27"/>
      <x:c r="M128" s="27"/>
      <x:c r="N128" s="27"/>
      <x:c r="O128" s="27"/>
      <x:c r="P128" s="27"/>
      <x:c r="Q128" s="27"/>
      <x:c r="R128" s="27"/>
      <x:c r="S128" s="27"/>
      <x:c r="T128" s="27"/>
      <x:c r="U128" s="27"/>
      <x:c r="V128" s="27"/>
      <x:c r="W128" s="27"/>
      <x:c r="X128" s="27"/>
      <x:c r="Y128" s="27"/>
      <x:c r="Z128" s="27"/>
      <x:c r="AA128" s="27"/>
      <x:c r="AB128" s="27"/>
      <x:c r="AC128" s="27"/>
      <x:c r="AD128" s="27"/>
      <x:c r="AE128" s="27"/>
      <x:c r="AF128" s="27"/>
      <x:c r="AG128" s="27"/>
      <x:c r="AH128" s="27"/>
      <x:c r="AI128" s="27"/>
      <x:c r="AJ128" s="27"/>
      <x:c r="AK128" s="27"/>
      <x:c r="AL128" s="27"/>
      <x:c r="AM128" s="27"/>
      <x:c r="AN128" s="27"/>
      <x:c r="AO128" s="27"/>
      <x:c r="AP128" s="27"/>
      <x:c r="AQ128" s="27"/>
      <x:c r="AR128" s="27"/>
      <x:c r="AS128" s="27"/>
      <x:c r="AT128" s="27"/>
      <x:c r="AU128" s="27"/>
      <x:c r="AV128" s="27"/>
      <x:c r="AW128" s="27"/>
      <x:c r="AX128" s="27"/>
      <x:c r="AY128" s="27"/>
      <x:c r="AZ128" s="27"/>
    </x:row>
    <x:row r="129">
      <x:c r="A129" s="27"/>
      <x:c r="B129" s="27"/>
      <x:c r="C129" s="27"/>
      <x:c r="D129" s="27"/>
      <x:c r="E129" s="27"/>
      <x:c r="F129" s="27"/>
      <x:c r="G129" s="27"/>
      <x:c r="H129" s="27"/>
      <x:c r="I129" s="27"/>
      <x:c r="J129" s="27"/>
      <x:c r="K129" s="27"/>
      <x:c r="L129" s="27"/>
      <x:c r="M129" s="27"/>
      <x:c r="N129" s="27"/>
      <x:c r="O129" s="27"/>
      <x:c r="P129" s="27"/>
      <x:c r="Q129" s="27"/>
      <x:c r="R129" s="27"/>
      <x:c r="S129" s="27"/>
      <x:c r="T129" s="27"/>
      <x:c r="U129" s="27"/>
      <x:c r="V129" s="27"/>
      <x:c r="W129" s="27"/>
      <x:c r="X129" s="27"/>
      <x:c r="Y129" s="27"/>
      <x:c r="Z129" s="27"/>
      <x:c r="AA129" s="27"/>
      <x:c r="AB129" s="27"/>
      <x:c r="AC129" s="27"/>
      <x:c r="AD129" s="27"/>
      <x:c r="AE129" s="27"/>
      <x:c r="AF129" s="27"/>
      <x:c r="AG129" s="27"/>
      <x:c r="AH129" s="27"/>
      <x:c r="AI129" s="27"/>
      <x:c r="AJ129" s="27"/>
      <x:c r="AK129" s="27"/>
      <x:c r="AL129" s="27"/>
      <x:c r="AM129" s="27"/>
      <x:c r="AN129" s="27"/>
      <x:c r="AO129" s="27"/>
      <x:c r="AP129" s="27"/>
      <x:c r="AQ129" s="27"/>
      <x:c r="AR129" s="27"/>
      <x:c r="AS129" s="27"/>
      <x:c r="AT129" s="27"/>
      <x:c r="AU129" s="27"/>
      <x:c r="AV129" s="27"/>
      <x:c r="AW129" s="27"/>
      <x:c r="AX129" s="27"/>
      <x:c r="AY129" s="27"/>
      <x:c r="AZ129" s="27"/>
    </x:row>
    <x:row r="130">
      <x:c r="A130" s="27"/>
      <x:c r="B130" s="27"/>
      <x:c r="C130" s="27"/>
      <x:c r="D130" s="27"/>
      <x:c r="E130" s="27"/>
      <x:c r="F130" s="27"/>
      <x:c r="G130" s="27"/>
      <x:c r="H130" s="27"/>
      <x:c r="I130" s="27"/>
      <x:c r="J130" s="27"/>
      <x:c r="K130" s="27"/>
      <x:c r="L130" s="27"/>
      <x:c r="M130" s="27"/>
      <x:c r="N130" s="27"/>
      <x:c r="O130" s="27"/>
      <x:c r="P130" s="27"/>
      <x:c r="Q130" s="27"/>
      <x:c r="R130" s="27"/>
      <x:c r="S130" s="27"/>
      <x:c r="T130" s="27"/>
      <x:c r="U130" s="27"/>
      <x:c r="V130" s="27"/>
      <x:c r="W130" s="27"/>
      <x:c r="X130" s="27"/>
      <x:c r="Y130" s="27"/>
      <x:c r="Z130" s="27"/>
      <x:c r="AA130" s="27"/>
      <x:c r="AB130" s="27"/>
      <x:c r="AC130" s="27"/>
      <x:c r="AD130" s="27"/>
      <x:c r="AE130" s="27"/>
      <x:c r="AF130" s="27"/>
      <x:c r="AG130" s="27"/>
      <x:c r="AH130" s="27"/>
      <x:c r="AI130" s="27"/>
      <x:c r="AJ130" s="27"/>
      <x:c r="AK130" s="27"/>
      <x:c r="AL130" s="27"/>
      <x:c r="AM130" s="27"/>
      <x:c r="AN130" s="27"/>
      <x:c r="AO130" s="27"/>
      <x:c r="AP130" s="27"/>
      <x:c r="AQ130" s="27"/>
      <x:c r="AR130" s="27"/>
      <x:c r="AS130" s="27"/>
      <x:c r="AT130" s="27"/>
      <x:c r="AU130" s="27"/>
      <x:c r="AV130" s="27"/>
      <x:c r="AW130" s="27"/>
      <x:c r="AX130" s="27"/>
      <x:c r="AY130" s="27"/>
      <x:c r="AZ130" s="27"/>
    </x:row>
    <x:row r="131">
      <x:c r="A131" s="27"/>
      <x:c r="B131" s="27"/>
      <x:c r="C131" s="27"/>
      <x:c r="D131" s="27"/>
      <x:c r="E131" s="27"/>
      <x:c r="F131" s="27"/>
      <x:c r="G131" s="27"/>
      <x:c r="H131" s="27"/>
      <x:c r="I131" s="27"/>
      <x:c r="J131" s="27"/>
      <x:c r="K131" s="27"/>
      <x:c r="L131" s="27"/>
      <x:c r="M131" s="27"/>
      <x:c r="N131" s="27"/>
      <x:c r="O131" s="27"/>
      <x:c r="P131" s="27"/>
      <x:c r="Q131" s="27"/>
      <x:c r="R131" s="27"/>
      <x:c r="S131" s="27"/>
      <x:c r="T131" s="27"/>
      <x:c r="U131" s="27"/>
      <x:c r="V131" s="27"/>
      <x:c r="W131" s="27"/>
      <x:c r="X131" s="27"/>
      <x:c r="Y131" s="27"/>
      <x:c r="Z131" s="27"/>
      <x:c r="AA131" s="27"/>
      <x:c r="AB131" s="27"/>
      <x:c r="AC131" s="27"/>
      <x:c r="AD131" s="27"/>
      <x:c r="AE131" s="27"/>
      <x:c r="AF131" s="27"/>
      <x:c r="AG131" s="27"/>
      <x:c r="AH131" s="27"/>
      <x:c r="AI131" s="27"/>
      <x:c r="AJ131" s="27"/>
      <x:c r="AK131" s="27"/>
      <x:c r="AL131" s="27"/>
      <x:c r="AM131" s="27"/>
      <x:c r="AN131" s="27"/>
      <x:c r="AO131" s="27"/>
      <x:c r="AP131" s="27"/>
      <x:c r="AQ131" s="27"/>
      <x:c r="AR131" s="27"/>
      <x:c r="AS131" s="27"/>
      <x:c r="AT131" s="27"/>
      <x:c r="AU131" s="27"/>
      <x:c r="AV131" s="27"/>
      <x:c r="AW131" s="27"/>
      <x:c r="AX131" s="27"/>
      <x:c r="AY131" s="27"/>
      <x:c r="AZ131" s="27"/>
    </x:row>
    <x:row r="132">
      <x:c r="A132" s="27"/>
      <x:c r="B132" s="27"/>
      <x:c r="C132" s="27"/>
      <x:c r="D132" s="27"/>
      <x:c r="E132" s="27"/>
      <x:c r="F132" s="27"/>
      <x:c r="G132" s="27"/>
      <x:c r="H132" s="27"/>
      <x:c r="I132" s="27"/>
      <x:c r="J132" s="27"/>
      <x:c r="K132" s="27"/>
      <x:c r="L132" s="27"/>
      <x:c r="M132" s="27"/>
      <x:c r="N132" s="27"/>
      <x:c r="O132" s="27"/>
      <x:c r="P132" s="27"/>
      <x:c r="Q132" s="27"/>
      <x:c r="R132" s="27"/>
      <x:c r="S132" s="27"/>
      <x:c r="T132" s="27"/>
      <x:c r="U132" s="27"/>
      <x:c r="V132" s="27"/>
      <x:c r="W132" s="27"/>
      <x:c r="X132" s="27"/>
      <x:c r="Y132" s="27"/>
      <x:c r="Z132" s="27"/>
      <x:c r="AA132" s="27"/>
      <x:c r="AB132" s="27"/>
      <x:c r="AC132" s="27"/>
      <x:c r="AD132" s="27"/>
      <x:c r="AE132" s="27"/>
      <x:c r="AF132" s="27"/>
      <x:c r="AG132" s="27"/>
      <x:c r="AH132" s="27"/>
      <x:c r="AI132" s="27"/>
      <x:c r="AJ132" s="27"/>
      <x:c r="AK132" s="27"/>
      <x:c r="AL132" s="27"/>
      <x:c r="AM132" s="27"/>
      <x:c r="AN132" s="27"/>
      <x:c r="AO132" s="27"/>
      <x:c r="AP132" s="27"/>
      <x:c r="AQ132" s="27"/>
      <x:c r="AR132" s="27"/>
      <x:c r="AS132" s="27"/>
      <x:c r="AT132" s="27"/>
      <x:c r="AU132" s="27"/>
      <x:c r="AV132" s="27"/>
      <x:c r="AW132" s="27"/>
      <x:c r="AX132" s="27"/>
      <x:c r="AY132" s="27"/>
      <x:c r="AZ132" s="27"/>
    </x:row>
    <x:row r="133">
      <x:c r="A133" s="27"/>
      <x:c r="B133" s="27"/>
      <x:c r="C133" s="27"/>
      <x:c r="D133" s="27"/>
      <x:c r="E133" s="27"/>
      <x:c r="F133" s="27"/>
      <x:c r="G133" s="27"/>
      <x:c r="H133" s="27"/>
      <x:c r="I133" s="27"/>
      <x:c r="J133" s="27"/>
      <x:c r="K133" s="27"/>
      <x:c r="L133" s="27"/>
      <x:c r="M133" s="27"/>
      <x:c r="N133" s="27"/>
      <x:c r="O133" s="27"/>
      <x:c r="P133" s="27"/>
      <x:c r="Q133" s="27"/>
      <x:c r="R133" s="27"/>
      <x:c r="S133" s="27"/>
      <x:c r="T133" s="27"/>
      <x:c r="U133" s="27"/>
      <x:c r="V133" s="27"/>
      <x:c r="W133" s="27"/>
      <x:c r="X133" s="27"/>
      <x:c r="Y133" s="27"/>
      <x:c r="Z133" s="27"/>
      <x:c r="AA133" s="27"/>
      <x:c r="AB133" s="27"/>
      <x:c r="AC133" s="27"/>
      <x:c r="AD133" s="27"/>
      <x:c r="AE133" s="27"/>
      <x:c r="AF133" s="27"/>
      <x:c r="AG133" s="27"/>
      <x:c r="AH133" s="27"/>
      <x:c r="AI133" s="27"/>
      <x:c r="AJ133" s="27"/>
      <x:c r="AK133" s="27"/>
      <x:c r="AL133" s="27"/>
      <x:c r="AM133" s="27"/>
      <x:c r="AN133" s="27"/>
      <x:c r="AO133" s="27"/>
      <x:c r="AP133" s="27"/>
      <x:c r="AQ133" s="27"/>
      <x:c r="AR133" s="27"/>
      <x:c r="AS133" s="27"/>
      <x:c r="AT133" s="27"/>
      <x:c r="AU133" s="27"/>
      <x:c r="AV133" s="27"/>
      <x:c r="AW133" s="27"/>
      <x:c r="AX133" s="27"/>
      <x:c r="AY133" s="27"/>
      <x:c r="AZ133" s="27"/>
    </x:row>
    <x:row r="134">
      <x:c r="A134" s="27"/>
      <x:c r="B134" s="27"/>
      <x:c r="C134" s="27"/>
      <x:c r="D134" s="27"/>
      <x:c r="E134" s="27"/>
      <x:c r="F134" s="27"/>
      <x:c r="G134" s="27"/>
      <x:c r="H134" s="27"/>
      <x:c r="I134" s="27"/>
      <x:c r="J134" s="27"/>
      <x:c r="K134" s="27"/>
      <x:c r="L134" s="27"/>
      <x:c r="M134" s="27"/>
      <x:c r="N134" s="27"/>
      <x:c r="O134" s="27"/>
      <x:c r="P134" s="27"/>
      <x:c r="Q134" s="27"/>
      <x:c r="R134" s="27"/>
      <x:c r="S134" s="27"/>
      <x:c r="T134" s="27"/>
      <x:c r="U134" s="27"/>
      <x:c r="V134" s="27"/>
      <x:c r="W134" s="27"/>
      <x:c r="X134" s="27"/>
      <x:c r="Y134" s="27"/>
      <x:c r="Z134" s="27"/>
      <x:c r="AA134" s="27"/>
      <x:c r="AB134" s="27"/>
      <x:c r="AC134" s="27"/>
      <x:c r="AD134" s="27"/>
      <x:c r="AE134" s="27"/>
      <x:c r="AF134" s="27"/>
      <x:c r="AG134" s="27"/>
      <x:c r="AH134" s="27"/>
      <x:c r="AI134" s="27"/>
      <x:c r="AJ134" s="27"/>
      <x:c r="AK134" s="27"/>
      <x:c r="AL134" s="27"/>
      <x:c r="AM134" s="27"/>
      <x:c r="AN134" s="27"/>
      <x:c r="AO134" s="27"/>
      <x:c r="AP134" s="27"/>
      <x:c r="AQ134" s="27"/>
      <x:c r="AR134" s="27"/>
      <x:c r="AS134" s="27"/>
      <x:c r="AT134" s="27"/>
      <x:c r="AU134" s="27"/>
      <x:c r="AV134" s="27"/>
      <x:c r="AW134" s="27"/>
      <x:c r="AX134" s="27"/>
      <x:c r="AY134" s="27"/>
      <x:c r="AZ134" s="27"/>
    </x:row>
    <x:row r="135">
      <x:c r="A135" s="27"/>
      <x:c r="B135" s="27"/>
      <x:c r="C135" s="27"/>
      <x:c r="D135" s="27"/>
      <x:c r="E135" s="27"/>
      <x:c r="F135" s="27"/>
      <x:c r="G135" s="27"/>
      <x:c r="H135" s="27"/>
      <x:c r="I135" s="27"/>
      <x:c r="J135" s="27"/>
      <x:c r="K135" s="27"/>
      <x:c r="L135" s="27"/>
      <x:c r="M135" s="27"/>
      <x:c r="N135" s="27"/>
      <x:c r="O135" s="27"/>
      <x:c r="P135" s="27"/>
      <x:c r="Q135" s="27"/>
      <x:c r="R135" s="27"/>
      <x:c r="S135" s="27"/>
      <x:c r="T135" s="27"/>
      <x:c r="U135" s="27"/>
      <x:c r="V135" s="27"/>
      <x:c r="W135" s="27"/>
      <x:c r="X135" s="27"/>
      <x:c r="Y135" s="27"/>
      <x:c r="Z135" s="27"/>
      <x:c r="AA135" s="27"/>
      <x:c r="AB135" s="27"/>
      <x:c r="AC135" s="27"/>
      <x:c r="AD135" s="27"/>
      <x:c r="AE135" s="27"/>
      <x:c r="AF135" s="27"/>
      <x:c r="AG135" s="27"/>
      <x:c r="AH135" s="27"/>
      <x:c r="AI135" s="27"/>
      <x:c r="AJ135" s="27"/>
      <x:c r="AK135" s="27"/>
      <x:c r="AL135" s="27"/>
      <x:c r="AM135" s="27"/>
      <x:c r="AN135" s="27"/>
      <x:c r="AO135" s="27"/>
      <x:c r="AP135" s="27"/>
      <x:c r="AQ135" s="27"/>
      <x:c r="AR135" s="27"/>
      <x:c r="AS135" s="27"/>
      <x:c r="AT135" s="27"/>
      <x:c r="AU135" s="27"/>
      <x:c r="AV135" s="27"/>
      <x:c r="AW135" s="27"/>
      <x:c r="AX135" s="27"/>
      <x:c r="AY135" s="27"/>
      <x:c r="AZ135" s="27"/>
    </x:row>
    <x:row r="136">
      <x:c r="A136" s="27"/>
      <x:c r="B136" s="27"/>
      <x:c r="C136" s="27"/>
      <x:c r="D136" s="27"/>
      <x:c r="E136" s="27"/>
      <x:c r="F136" s="27"/>
      <x:c r="G136" s="27"/>
      <x:c r="H136" s="27"/>
      <x:c r="I136" s="27"/>
      <x:c r="J136" s="27"/>
      <x:c r="K136" s="27"/>
      <x:c r="L136" s="27"/>
      <x:c r="M136" s="27"/>
      <x:c r="N136" s="27"/>
      <x:c r="O136" s="27"/>
      <x:c r="P136" s="27"/>
      <x:c r="Q136" s="27"/>
      <x:c r="R136" s="27"/>
      <x:c r="S136" s="27"/>
      <x:c r="T136" s="27"/>
      <x:c r="U136" s="27"/>
      <x:c r="V136" s="27"/>
      <x:c r="W136" s="27"/>
      <x:c r="X136" s="27"/>
      <x:c r="Y136" s="27"/>
      <x:c r="Z136" s="27"/>
      <x:c r="AA136" s="27"/>
      <x:c r="AB136" s="27"/>
      <x:c r="AC136" s="27"/>
      <x:c r="AD136" s="27"/>
      <x:c r="AE136" s="27"/>
      <x:c r="AF136" s="27"/>
      <x:c r="AG136" s="27"/>
      <x:c r="AH136" s="27"/>
      <x:c r="AI136" s="27"/>
      <x:c r="AJ136" s="27"/>
      <x:c r="AK136" s="27"/>
      <x:c r="AL136" s="27"/>
      <x:c r="AM136" s="27"/>
      <x:c r="AN136" s="27"/>
      <x:c r="AO136" s="27"/>
      <x:c r="AP136" s="27"/>
      <x:c r="AQ136" s="27"/>
      <x:c r="AR136" s="27"/>
      <x:c r="AS136" s="27"/>
      <x:c r="AT136" s="27"/>
      <x:c r="AU136" s="27"/>
      <x:c r="AV136" s="27"/>
      <x:c r="AW136" s="27"/>
      <x:c r="AX136" s="27"/>
      <x:c r="AY136" s="27"/>
      <x:c r="AZ136" s="27"/>
    </x:row>
    <x:row r="137">
      <x:c r="A137" s="27"/>
      <x:c r="B137" s="27"/>
      <x:c r="C137" s="27"/>
      <x:c r="D137" s="27"/>
      <x:c r="E137" s="27"/>
      <x:c r="F137" s="27"/>
      <x:c r="G137" s="27"/>
      <x:c r="H137" s="27"/>
      <x:c r="I137" s="27"/>
      <x:c r="J137" s="27"/>
      <x:c r="K137" s="27"/>
      <x:c r="L137" s="27"/>
      <x:c r="M137" s="27"/>
      <x:c r="N137" s="27"/>
      <x:c r="O137" s="27"/>
      <x:c r="P137" s="27"/>
      <x:c r="Q137" s="27"/>
      <x:c r="R137" s="27"/>
      <x:c r="S137" s="27"/>
      <x:c r="T137" s="27"/>
      <x:c r="U137" s="27"/>
      <x:c r="V137" s="27"/>
      <x:c r="W137" s="27"/>
      <x:c r="X137" s="27"/>
      <x:c r="Y137" s="27"/>
      <x:c r="Z137" s="27"/>
      <x:c r="AA137" s="27"/>
      <x:c r="AB137" s="27"/>
      <x:c r="AC137" s="27"/>
      <x:c r="AD137" s="27"/>
      <x:c r="AE137" s="27"/>
      <x:c r="AF137" s="27"/>
      <x:c r="AG137" s="27"/>
      <x:c r="AH137" s="27"/>
      <x:c r="AI137" s="27"/>
      <x:c r="AJ137" s="27"/>
      <x:c r="AK137" s="27"/>
      <x:c r="AL137" s="27"/>
      <x:c r="AM137" s="27"/>
      <x:c r="AN137" s="27"/>
      <x:c r="AO137" s="27"/>
      <x:c r="AP137" s="27"/>
      <x:c r="AQ137" s="27"/>
      <x:c r="AR137" s="27"/>
      <x:c r="AS137" s="27"/>
      <x:c r="AT137" s="27"/>
      <x:c r="AU137" s="27"/>
      <x:c r="AV137" s="27"/>
      <x:c r="AW137" s="27"/>
      <x:c r="AX137" s="27"/>
      <x:c r="AY137" s="27"/>
      <x:c r="AZ137" s="27"/>
    </x:row>
    <x:row r="138">
      <x:c r="A138" s="27"/>
      <x:c r="B138" s="27"/>
      <x:c r="C138" s="27"/>
      <x:c r="D138" s="27"/>
      <x:c r="E138" s="27"/>
      <x:c r="F138" s="27"/>
      <x:c r="G138" s="27"/>
      <x:c r="H138" s="27"/>
      <x:c r="I138" s="27"/>
      <x:c r="J138" s="27"/>
      <x:c r="K138" s="27"/>
      <x:c r="L138" s="27"/>
      <x:c r="M138" s="27"/>
      <x:c r="N138" s="27"/>
      <x:c r="O138" s="27"/>
      <x:c r="P138" s="27"/>
      <x:c r="Q138" s="27"/>
      <x:c r="R138" s="27"/>
      <x:c r="S138" s="27"/>
      <x:c r="T138" s="27"/>
      <x:c r="U138" s="27"/>
      <x:c r="V138" s="27"/>
      <x:c r="W138" s="27"/>
      <x:c r="X138" s="27"/>
      <x:c r="Y138" s="27"/>
      <x:c r="Z138" s="27"/>
      <x:c r="AA138" s="27"/>
      <x:c r="AB138" s="27"/>
      <x:c r="AC138" s="27"/>
      <x:c r="AD138" s="27"/>
      <x:c r="AE138" s="27"/>
      <x:c r="AF138" s="27"/>
      <x:c r="AG138" s="27"/>
      <x:c r="AH138" s="27"/>
      <x:c r="AI138" s="27"/>
      <x:c r="AJ138" s="27"/>
      <x:c r="AK138" s="27"/>
      <x:c r="AL138" s="27"/>
      <x:c r="AM138" s="27"/>
      <x:c r="AN138" s="27"/>
      <x:c r="AO138" s="27"/>
      <x:c r="AP138" s="27"/>
      <x:c r="AQ138" s="27"/>
      <x:c r="AR138" s="27"/>
      <x:c r="AS138" s="27"/>
      <x:c r="AT138" s="27"/>
      <x:c r="AU138" s="27"/>
      <x:c r="AV138" s="27"/>
      <x:c r="AW138" s="27"/>
      <x:c r="AX138" s="27"/>
      <x:c r="AY138" s="27"/>
      <x:c r="AZ138" s="27"/>
    </x:row>
    <x:row r="139">
      <x:c r="A139" s="27"/>
      <x:c r="B139" s="27"/>
      <x:c r="C139" s="27"/>
      <x:c r="D139" s="27"/>
      <x:c r="E139" s="27"/>
      <x:c r="F139" s="27"/>
      <x:c r="G139" s="27"/>
      <x:c r="H139" s="27"/>
      <x:c r="I139" s="27"/>
      <x:c r="J139" s="27"/>
      <x:c r="K139" s="27"/>
      <x:c r="L139" s="27"/>
      <x:c r="M139" s="27"/>
      <x:c r="N139" s="27"/>
      <x:c r="O139" s="27"/>
      <x:c r="P139" s="27"/>
      <x:c r="Q139" s="27"/>
      <x:c r="R139" s="27"/>
      <x:c r="S139" s="27"/>
      <x:c r="T139" s="27"/>
      <x:c r="U139" s="27"/>
      <x:c r="V139" s="27"/>
      <x:c r="W139" s="27"/>
      <x:c r="X139" s="27"/>
      <x:c r="Y139" s="27"/>
      <x:c r="Z139" s="27"/>
      <x:c r="AA139" s="27"/>
      <x:c r="AB139" s="27"/>
      <x:c r="AC139" s="27"/>
      <x:c r="AD139" s="27"/>
      <x:c r="AE139" s="27"/>
      <x:c r="AF139" s="27"/>
      <x:c r="AG139" s="27"/>
      <x:c r="AH139" s="27"/>
      <x:c r="AI139" s="27"/>
      <x:c r="AJ139" s="27"/>
      <x:c r="AK139" s="27"/>
      <x:c r="AL139" s="27"/>
      <x:c r="AM139" s="27"/>
      <x:c r="AN139" s="27"/>
      <x:c r="AO139" s="27"/>
      <x:c r="AP139" s="27"/>
      <x:c r="AQ139" s="27"/>
      <x:c r="AR139" s="27"/>
      <x:c r="AS139" s="27"/>
      <x:c r="AT139" s="27"/>
      <x:c r="AU139" s="27"/>
      <x:c r="AV139" s="27"/>
      <x:c r="AW139" s="27"/>
      <x:c r="AX139" s="27"/>
      <x:c r="AY139" s="27"/>
      <x:c r="AZ139" s="27"/>
    </x:row>
    <x:row r="140">
      <x:c r="A140" s="27"/>
      <x:c r="B140" s="27"/>
      <x:c r="C140" s="27"/>
      <x:c r="D140" s="27"/>
      <x:c r="E140" s="27"/>
      <x:c r="F140" s="27"/>
      <x:c r="G140" s="27"/>
      <x:c r="H140" s="27"/>
      <x:c r="I140" s="27"/>
      <x:c r="J140" s="27"/>
      <x:c r="K140" s="27"/>
      <x:c r="L140" s="27"/>
      <x:c r="M140" s="27"/>
      <x:c r="N140" s="27"/>
      <x:c r="O140" s="27"/>
      <x:c r="P140" s="27"/>
      <x:c r="Q140" s="27"/>
      <x:c r="R140" s="27"/>
      <x:c r="S140" s="27"/>
      <x:c r="T140" s="27"/>
      <x:c r="U140" s="27"/>
      <x:c r="V140" s="27"/>
      <x:c r="W140" s="27"/>
      <x:c r="X140" s="27"/>
      <x:c r="Y140" s="27"/>
      <x:c r="Z140" s="27"/>
      <x:c r="AA140" s="27"/>
      <x:c r="AB140" s="27"/>
      <x:c r="AC140" s="27"/>
      <x:c r="AD140" s="27"/>
      <x:c r="AE140" s="27"/>
      <x:c r="AF140" s="27"/>
      <x:c r="AG140" s="27"/>
      <x:c r="AH140" s="27"/>
      <x:c r="AI140" s="27"/>
      <x:c r="AJ140" s="27"/>
      <x:c r="AK140" s="27"/>
      <x:c r="AL140" s="27"/>
      <x:c r="AM140" s="27"/>
      <x:c r="AN140" s="27"/>
      <x:c r="AO140" s="27"/>
      <x:c r="AP140" s="27"/>
      <x:c r="AQ140" s="27"/>
      <x:c r="AR140" s="27"/>
      <x:c r="AS140" s="27"/>
      <x:c r="AT140" s="27"/>
      <x:c r="AU140" s="27"/>
      <x:c r="AV140" s="27"/>
      <x:c r="AW140" s="27"/>
      <x:c r="AX140" s="27"/>
      <x:c r="AY140" s="27"/>
      <x:c r="AZ140" s="27"/>
    </x:row>
    <x:row r="141">
      <x:c r="A141" s="27"/>
      <x:c r="B141" s="27"/>
      <x:c r="C141" s="27"/>
      <x:c r="D141" s="27"/>
      <x:c r="E141" s="27"/>
      <x:c r="F141" s="27"/>
      <x:c r="G141" s="27"/>
      <x:c r="H141" s="27"/>
      <x:c r="I141" s="27"/>
      <x:c r="J141" s="27"/>
      <x:c r="K141" s="27"/>
      <x:c r="L141" s="27"/>
      <x:c r="M141" s="27"/>
      <x:c r="N141" s="27"/>
      <x:c r="O141" s="27"/>
      <x:c r="P141" s="27"/>
      <x:c r="Q141" s="27"/>
      <x:c r="R141" s="27"/>
      <x:c r="S141" s="27"/>
      <x:c r="T141" s="27"/>
      <x:c r="U141" s="27"/>
      <x:c r="V141" s="27"/>
      <x:c r="W141" s="27"/>
      <x:c r="X141" s="27"/>
      <x:c r="Y141" s="27"/>
      <x:c r="Z141" s="27"/>
      <x:c r="AA141" s="27"/>
      <x:c r="AB141" s="27"/>
      <x:c r="AC141" s="27"/>
      <x:c r="AD141" s="27"/>
      <x:c r="AE141" s="27"/>
      <x:c r="AF141" s="27"/>
      <x:c r="AG141" s="27"/>
      <x:c r="AH141" s="27"/>
      <x:c r="AI141" s="27"/>
      <x:c r="AJ141" s="27"/>
      <x:c r="AK141" s="27"/>
      <x:c r="AL141" s="27"/>
      <x:c r="AM141" s="27"/>
      <x:c r="AN141" s="27"/>
      <x:c r="AO141" s="27"/>
      <x:c r="AP141" s="27"/>
      <x:c r="AQ141" s="27"/>
      <x:c r="AR141" s="27"/>
      <x:c r="AS141" s="27"/>
      <x:c r="AT141" s="27"/>
      <x:c r="AU141" s="27"/>
      <x:c r="AV141" s="27"/>
      <x:c r="AW141" s="27"/>
      <x:c r="AX141" s="27"/>
      <x:c r="AY141" s="27"/>
      <x:c r="AZ141" s="27"/>
    </x:row>
    <x:row r="142">
      <x:c r="A142" s="27"/>
      <x:c r="B142" s="27"/>
      <x:c r="C142" s="27"/>
      <x:c r="D142" s="27"/>
      <x:c r="E142" s="27"/>
      <x:c r="F142" s="27"/>
      <x:c r="G142" s="27"/>
      <x:c r="H142" s="27"/>
      <x:c r="I142" s="27"/>
      <x:c r="J142" s="27"/>
      <x:c r="K142" s="27"/>
      <x:c r="L142" s="27"/>
      <x:c r="M142" s="27"/>
      <x:c r="N142" s="27"/>
      <x:c r="O142" s="27"/>
      <x:c r="P142" s="27"/>
      <x:c r="Q142" s="27"/>
      <x:c r="R142" s="27"/>
      <x:c r="S142" s="27"/>
      <x:c r="T142" s="27"/>
      <x:c r="U142" s="27"/>
      <x:c r="V142" s="27"/>
      <x:c r="W142" s="27"/>
      <x:c r="X142" s="27"/>
      <x:c r="Y142" s="27"/>
      <x:c r="Z142" s="27"/>
      <x:c r="AA142" s="27"/>
      <x:c r="AB142" s="27"/>
      <x:c r="AC142" s="27"/>
      <x:c r="AD142" s="27"/>
      <x:c r="AE142" s="27"/>
      <x:c r="AF142" s="27"/>
      <x:c r="AG142" s="27"/>
      <x:c r="AH142" s="27"/>
      <x:c r="AI142" s="27"/>
      <x:c r="AJ142" s="27"/>
      <x:c r="AK142" s="27"/>
      <x:c r="AL142" s="27"/>
      <x:c r="AM142" s="27"/>
      <x:c r="AN142" s="27"/>
      <x:c r="AO142" s="27"/>
      <x:c r="AP142" s="27"/>
      <x:c r="AQ142" s="27"/>
      <x:c r="AR142" s="27"/>
      <x:c r="AS142" s="27"/>
      <x:c r="AT142" s="27"/>
      <x:c r="AU142" s="27"/>
      <x:c r="AV142" s="27"/>
      <x:c r="AW142" s="27"/>
      <x:c r="AX142" s="27"/>
      <x:c r="AY142" s="27"/>
      <x:c r="AZ142" s="27"/>
    </x:row>
    <x:row r="143">
      <x:c r="A143" s="27"/>
      <x:c r="B143" s="27"/>
      <x:c r="C143" s="27"/>
      <x:c r="D143" s="27"/>
      <x:c r="E143" s="27"/>
      <x:c r="F143" s="27"/>
      <x:c r="G143" s="27"/>
      <x:c r="H143" s="27"/>
      <x:c r="I143" s="27"/>
      <x:c r="J143" s="27"/>
      <x:c r="K143" s="27"/>
      <x:c r="L143" s="27"/>
      <x:c r="M143" s="27"/>
      <x:c r="N143" s="27"/>
      <x:c r="O143" s="27"/>
      <x:c r="P143" s="27"/>
      <x:c r="Q143" s="27"/>
      <x:c r="R143" s="27"/>
      <x:c r="S143" s="27"/>
      <x:c r="T143" s="27"/>
      <x:c r="U143" s="27"/>
      <x:c r="V143" s="27"/>
      <x:c r="W143" s="27"/>
      <x:c r="X143" s="27"/>
      <x:c r="Y143" s="27"/>
      <x:c r="Z143" s="27"/>
      <x:c r="AA143" s="27"/>
      <x:c r="AB143" s="27"/>
      <x:c r="AC143" s="27"/>
      <x:c r="AD143" s="27"/>
      <x:c r="AE143" s="27"/>
      <x:c r="AF143" s="27"/>
      <x:c r="AG143" s="27"/>
      <x:c r="AH143" s="27"/>
      <x:c r="AI143" s="27"/>
      <x:c r="AJ143" s="27"/>
      <x:c r="AK143" s="27"/>
      <x:c r="AL143" s="27"/>
      <x:c r="AM143" s="27"/>
      <x:c r="AN143" s="27"/>
      <x:c r="AO143" s="27"/>
      <x:c r="AP143" s="27"/>
      <x:c r="AQ143" s="27"/>
      <x:c r="AR143" s="27"/>
      <x:c r="AS143" s="27"/>
      <x:c r="AT143" s="27"/>
      <x:c r="AU143" s="27"/>
      <x:c r="AV143" s="27"/>
      <x:c r="AW143" s="27"/>
      <x:c r="AX143" s="27"/>
      <x:c r="AY143" s="27"/>
      <x:c r="AZ143" s="27"/>
    </x:row>
    <x:row r="144">
      <x:c r="A144" s="27"/>
      <x:c r="B144" s="27"/>
      <x:c r="C144" s="27"/>
      <x:c r="D144" s="27"/>
      <x:c r="E144" s="27"/>
      <x:c r="F144" s="27"/>
      <x:c r="G144" s="27"/>
      <x:c r="H144" s="27"/>
      <x:c r="I144" s="27"/>
      <x:c r="J144" s="27"/>
      <x:c r="K144" s="27"/>
      <x:c r="L144" s="27"/>
      <x:c r="M144" s="27"/>
      <x:c r="N144" s="27"/>
      <x:c r="O144" s="27"/>
      <x:c r="P144" s="27"/>
      <x:c r="Q144" s="27"/>
      <x:c r="R144" s="27"/>
      <x:c r="S144" s="27"/>
      <x:c r="T144" s="27"/>
      <x:c r="U144" s="27"/>
      <x:c r="V144" s="27"/>
      <x:c r="W144" s="27"/>
      <x:c r="X144" s="27"/>
      <x:c r="Y144" s="27"/>
      <x:c r="Z144" s="27"/>
      <x:c r="AA144" s="27"/>
      <x:c r="AB144" s="27"/>
      <x:c r="AC144" s="27"/>
      <x:c r="AD144" s="27"/>
      <x:c r="AE144" s="27"/>
      <x:c r="AF144" s="27"/>
      <x:c r="AG144" s="27"/>
      <x:c r="AH144" s="27"/>
      <x:c r="AI144" s="27"/>
      <x:c r="AJ144" s="27"/>
      <x:c r="AK144" s="27"/>
      <x:c r="AL144" s="27"/>
      <x:c r="AM144" s="27"/>
      <x:c r="AN144" s="27"/>
      <x:c r="AO144" s="27"/>
      <x:c r="AP144" s="27"/>
      <x:c r="AQ144" s="27"/>
      <x:c r="AR144" s="27"/>
      <x:c r="AS144" s="27"/>
      <x:c r="AT144" s="27"/>
      <x:c r="AU144" s="27"/>
      <x:c r="AV144" s="27"/>
      <x:c r="AW144" s="27"/>
      <x:c r="AX144" s="27"/>
      <x:c r="AY144" s="27"/>
      <x:c r="AZ144" s="27"/>
    </x:row>
    <x:row r="145">
      <x:c r="A145" s="27"/>
      <x:c r="B145" s="27"/>
      <x:c r="C145" s="27"/>
      <x:c r="D145" s="27"/>
      <x:c r="E145" s="27"/>
      <x:c r="F145" s="27"/>
      <x:c r="G145" s="27"/>
      <x:c r="H145" s="27"/>
      <x:c r="I145" s="27"/>
      <x:c r="J145" s="27"/>
      <x:c r="K145" s="27"/>
      <x:c r="L145" s="27"/>
      <x:c r="M145" s="27"/>
      <x:c r="N145" s="27"/>
      <x:c r="O145" s="27"/>
      <x:c r="P145" s="27"/>
      <x:c r="Q145" s="27"/>
      <x:c r="R145" s="27"/>
      <x:c r="S145" s="27"/>
      <x:c r="T145" s="27"/>
      <x:c r="U145" s="27"/>
      <x:c r="V145" s="27"/>
      <x:c r="W145" s="27"/>
      <x:c r="X145" s="27"/>
      <x:c r="Y145" s="27"/>
      <x:c r="Z145" s="27"/>
      <x:c r="AA145" s="27"/>
      <x:c r="AB145" s="27"/>
      <x:c r="AC145" s="27"/>
      <x:c r="AD145" s="27"/>
      <x:c r="AE145" s="27"/>
      <x:c r="AF145" s="27"/>
      <x:c r="AG145" s="27"/>
      <x:c r="AH145" s="27"/>
      <x:c r="AI145" s="27"/>
      <x:c r="AJ145" s="27"/>
      <x:c r="AK145" s="27"/>
      <x:c r="AL145" s="27"/>
      <x:c r="AM145" s="27"/>
      <x:c r="AN145" s="27"/>
      <x:c r="AO145" s="27"/>
      <x:c r="AP145" s="27"/>
      <x:c r="AQ145" s="27"/>
      <x:c r="AR145" s="27"/>
      <x:c r="AS145" s="27"/>
      <x:c r="AT145" s="27"/>
      <x:c r="AU145" s="27"/>
      <x:c r="AV145" s="27"/>
      <x:c r="AW145" s="27"/>
      <x:c r="AX145" s="27"/>
      <x:c r="AY145" s="27"/>
      <x:c r="AZ145" s="27"/>
    </x:row>
    <x:row r="146">
      <x:c r="A146" s="27"/>
      <x:c r="B146" s="27"/>
      <x:c r="C146" s="27"/>
      <x:c r="D146" s="27"/>
      <x:c r="E146" s="27"/>
      <x:c r="F146" s="27"/>
      <x:c r="G146" s="27"/>
      <x:c r="H146" s="27"/>
      <x:c r="I146" s="27"/>
      <x:c r="J146" s="27"/>
      <x:c r="K146" s="27"/>
      <x:c r="L146" s="27"/>
      <x:c r="M146" s="27"/>
      <x:c r="N146" s="27"/>
      <x:c r="O146" s="27"/>
      <x:c r="P146" s="27"/>
      <x:c r="Q146" s="27"/>
      <x:c r="R146" s="27"/>
      <x:c r="S146" s="27"/>
      <x:c r="T146" s="27"/>
      <x:c r="U146" s="27"/>
      <x:c r="V146" s="27"/>
      <x:c r="W146" s="27"/>
      <x:c r="X146" s="27"/>
      <x:c r="Y146" s="27"/>
      <x:c r="Z146" s="27"/>
      <x:c r="AA146" s="27"/>
      <x:c r="AB146" s="27"/>
      <x:c r="AC146" s="27"/>
      <x:c r="AD146" s="27"/>
      <x:c r="AE146" s="27"/>
      <x:c r="AF146" s="27"/>
      <x:c r="AG146" s="27"/>
      <x:c r="AH146" s="27"/>
      <x:c r="AI146" s="27"/>
      <x:c r="AJ146" s="27"/>
      <x:c r="AK146" s="27"/>
      <x:c r="AL146" s="27"/>
      <x:c r="AM146" s="27"/>
      <x:c r="AN146" s="27"/>
      <x:c r="AO146" s="27"/>
      <x:c r="AP146" s="27"/>
      <x:c r="AQ146" s="27"/>
      <x:c r="AR146" s="27"/>
      <x:c r="AS146" s="27"/>
      <x:c r="AT146" s="27"/>
      <x:c r="AU146" s="27"/>
      <x:c r="AV146" s="27"/>
      <x:c r="AW146" s="27"/>
      <x:c r="AX146" s="27"/>
      <x:c r="AY146" s="27"/>
      <x:c r="AZ146" s="27"/>
    </x:row>
    <x:row r="147">
      <x:c r="A147" s="27"/>
      <x:c r="B147" s="27"/>
      <x:c r="C147" s="27"/>
      <x:c r="D147" s="27"/>
      <x:c r="E147" s="27"/>
      <x:c r="F147" s="27"/>
      <x:c r="G147" s="27"/>
      <x:c r="H147" s="27"/>
      <x:c r="I147" s="27"/>
      <x:c r="J147" s="27"/>
      <x:c r="K147" s="27"/>
      <x:c r="L147" s="27"/>
      <x:c r="M147" s="27"/>
      <x:c r="N147" s="27"/>
      <x:c r="O147" s="27"/>
      <x:c r="P147" s="27"/>
      <x:c r="Q147" s="27"/>
      <x:c r="R147" s="27"/>
      <x:c r="S147" s="27"/>
      <x:c r="T147" s="27"/>
      <x:c r="U147" s="27"/>
      <x:c r="V147" s="27"/>
      <x:c r="W147" s="27"/>
      <x:c r="X147" s="27"/>
      <x:c r="Y147" s="27"/>
      <x:c r="Z147" s="27"/>
      <x:c r="AA147" s="27"/>
      <x:c r="AB147" s="27"/>
      <x:c r="AC147" s="27"/>
      <x:c r="AD147" s="27"/>
      <x:c r="AE147" s="27"/>
      <x:c r="AF147" s="27"/>
      <x:c r="AG147" s="27"/>
      <x:c r="AH147" s="27"/>
      <x:c r="AI147" s="27"/>
      <x:c r="AJ147" s="27"/>
      <x:c r="AK147" s="27"/>
      <x:c r="AL147" s="27"/>
      <x:c r="AM147" s="27"/>
      <x:c r="AN147" s="27"/>
      <x:c r="AO147" s="27"/>
      <x:c r="AP147" s="27"/>
      <x:c r="AQ147" s="27"/>
      <x:c r="AR147" s="27"/>
      <x:c r="AS147" s="27"/>
      <x:c r="AT147" s="27"/>
      <x:c r="AU147" s="27"/>
      <x:c r="AV147" s="27"/>
      <x:c r="AW147" s="27"/>
      <x:c r="AX147" s="27"/>
      <x:c r="AY147" s="27"/>
      <x:c r="AZ147" s="27"/>
    </x:row>
    <x:row r="148">
      <x:c r="A148" s="27"/>
      <x:c r="B148" s="27"/>
      <x:c r="C148" s="27"/>
      <x:c r="D148" s="27"/>
      <x:c r="E148" s="27"/>
      <x:c r="F148" s="27"/>
      <x:c r="G148" s="27"/>
      <x:c r="H148" s="27"/>
      <x:c r="I148" s="27"/>
      <x:c r="J148" s="27"/>
      <x:c r="K148" s="27"/>
      <x:c r="L148" s="27"/>
      <x:c r="M148" s="27"/>
      <x:c r="N148" s="27"/>
      <x:c r="O148" s="27"/>
      <x:c r="P148" s="27"/>
      <x:c r="Q148" s="27"/>
      <x:c r="R148" s="27"/>
      <x:c r="S148" s="27"/>
      <x:c r="T148" s="27"/>
      <x:c r="U148" s="27"/>
      <x:c r="V148" s="27"/>
      <x:c r="W148" s="27"/>
      <x:c r="X148" s="27"/>
      <x:c r="Y148" s="27"/>
      <x:c r="Z148" s="27"/>
      <x:c r="AA148" s="27"/>
      <x:c r="AB148" s="27"/>
      <x:c r="AC148" s="27"/>
      <x:c r="AD148" s="27"/>
      <x:c r="AE148" s="27"/>
      <x:c r="AF148" s="27"/>
      <x:c r="AG148" s="27"/>
      <x:c r="AH148" s="27"/>
      <x:c r="AI148" s="27"/>
      <x:c r="AJ148" s="27"/>
      <x:c r="AK148" s="27"/>
      <x:c r="AL148" s="27"/>
      <x:c r="AM148" s="27"/>
      <x:c r="AN148" s="27"/>
      <x:c r="AO148" s="27"/>
      <x:c r="AP148" s="27"/>
      <x:c r="AQ148" s="27"/>
      <x:c r="AR148" s="27"/>
      <x:c r="AS148" s="27"/>
      <x:c r="AT148" s="27"/>
      <x:c r="AU148" s="27"/>
      <x:c r="AV148" s="27"/>
      <x:c r="AW148" s="27"/>
      <x:c r="AX148" s="27"/>
      <x:c r="AY148" s="27"/>
      <x:c r="AZ148" s="27"/>
    </x:row>
    <x:row r="149">
      <x:c r="A149" s="27"/>
      <x:c r="B149" s="27"/>
      <x:c r="C149" s="27"/>
      <x:c r="D149" s="27"/>
      <x:c r="E149" s="27"/>
      <x:c r="F149" s="27"/>
      <x:c r="G149" s="27"/>
      <x:c r="H149" s="27"/>
      <x:c r="I149" s="27"/>
      <x:c r="J149" s="27"/>
      <x:c r="K149" s="27"/>
      <x:c r="L149" s="27"/>
      <x:c r="M149" s="27"/>
      <x:c r="N149" s="27"/>
      <x:c r="O149" s="27"/>
      <x:c r="P149" s="27"/>
      <x:c r="Q149" s="27"/>
      <x:c r="R149" s="27"/>
      <x:c r="S149" s="27"/>
      <x:c r="T149" s="27"/>
      <x:c r="U149" s="27"/>
      <x:c r="V149" s="27"/>
      <x:c r="W149" s="27"/>
      <x:c r="X149" s="27"/>
      <x:c r="Y149" s="27"/>
      <x:c r="Z149" s="27"/>
      <x:c r="AA149" s="27"/>
      <x:c r="AB149" s="27"/>
      <x:c r="AC149" s="27"/>
      <x:c r="AD149" s="27"/>
      <x:c r="AE149" s="27"/>
      <x:c r="AF149" s="27"/>
      <x:c r="AG149" s="27"/>
      <x:c r="AH149" s="27"/>
      <x:c r="AI149" s="27"/>
      <x:c r="AJ149" s="27"/>
      <x:c r="AK149" s="27"/>
      <x:c r="AL149" s="27"/>
      <x:c r="AM149" s="27"/>
      <x:c r="AN149" s="27"/>
      <x:c r="AO149" s="27"/>
      <x:c r="AP149" s="27"/>
      <x:c r="AQ149" s="27"/>
      <x:c r="AR149" s="27"/>
      <x:c r="AS149" s="27"/>
      <x:c r="AT149" s="27"/>
      <x:c r="AU149" s="27"/>
      <x:c r="AV149" s="27"/>
      <x:c r="AW149" s="27"/>
      <x:c r="AX149" s="27"/>
      <x:c r="AY149" s="27"/>
      <x:c r="AZ149" s="27"/>
    </x:row>
    <x:row r="150">
      <x:c r="A150" s="27"/>
      <x:c r="B150" s="27"/>
      <x:c r="C150" s="27"/>
      <x:c r="D150" s="27"/>
      <x:c r="E150" s="27"/>
      <x:c r="F150" s="27"/>
      <x:c r="G150" s="27"/>
      <x:c r="H150" s="27"/>
      <x:c r="I150" s="27"/>
      <x:c r="J150" s="27"/>
      <x:c r="K150" s="27"/>
      <x:c r="L150" s="27"/>
      <x:c r="M150" s="27"/>
      <x:c r="N150" s="27"/>
      <x:c r="O150" s="27"/>
      <x:c r="P150" s="27"/>
      <x:c r="Q150" s="27"/>
      <x:c r="R150" s="27"/>
      <x:c r="S150" s="27"/>
      <x:c r="T150" s="27"/>
      <x:c r="U150" s="27"/>
      <x:c r="V150" s="27"/>
      <x:c r="W150" s="27"/>
      <x:c r="X150" s="27"/>
      <x:c r="Y150" s="27"/>
      <x:c r="Z150" s="27"/>
      <x:c r="AA150" s="27"/>
      <x:c r="AB150" s="27"/>
      <x:c r="AC150" s="27"/>
      <x:c r="AD150" s="27"/>
      <x:c r="AE150" s="27"/>
      <x:c r="AF150" s="27"/>
      <x:c r="AG150" s="27"/>
      <x:c r="AH150" s="27"/>
      <x:c r="AI150" s="27"/>
      <x:c r="AJ150" s="27"/>
      <x:c r="AK150" s="27"/>
      <x:c r="AL150" s="27"/>
      <x:c r="AM150" s="27"/>
      <x:c r="AN150" s="27"/>
      <x:c r="AO150" s="27"/>
      <x:c r="AP150" s="27"/>
      <x:c r="AQ150" s="27"/>
      <x:c r="AR150" s="27"/>
      <x:c r="AS150" s="27"/>
      <x:c r="AT150" s="27"/>
      <x:c r="AU150" s="27"/>
      <x:c r="AV150" s="27"/>
      <x:c r="AW150" s="27"/>
      <x:c r="AX150" s="27"/>
      <x:c r="AY150" s="27"/>
      <x:c r="AZ150" s="27"/>
    </x:row>
    <x:row r="151">
      <x:c r="A151" s="27"/>
      <x:c r="B151" s="27"/>
      <x:c r="C151" s="27"/>
      <x:c r="D151" s="27"/>
      <x:c r="E151" s="27"/>
      <x:c r="F151" s="27"/>
      <x:c r="G151" s="27"/>
      <x:c r="H151" s="27"/>
      <x:c r="I151" s="27"/>
      <x:c r="J151" s="27"/>
      <x:c r="K151" s="27"/>
      <x:c r="L151" s="27"/>
      <x:c r="M151" s="27"/>
      <x:c r="N151" s="27"/>
      <x:c r="O151" s="27"/>
      <x:c r="P151" s="27"/>
      <x:c r="Q151" s="27"/>
      <x:c r="R151" s="27"/>
      <x:c r="S151" s="27"/>
      <x:c r="T151" s="27"/>
      <x:c r="U151" s="27"/>
      <x:c r="V151" s="27"/>
      <x:c r="W151" s="27"/>
      <x:c r="X151" s="27"/>
      <x:c r="Y151" s="27"/>
      <x:c r="Z151" s="27"/>
      <x:c r="AA151" s="27"/>
      <x:c r="AB151" s="27"/>
      <x:c r="AC151" s="27"/>
      <x:c r="AD151" s="27"/>
      <x:c r="AE151" s="27"/>
      <x:c r="AF151" s="27"/>
      <x:c r="AG151" s="27"/>
      <x:c r="AH151" s="27"/>
      <x:c r="AI151" s="27"/>
      <x:c r="AJ151" s="27"/>
      <x:c r="AK151" s="27"/>
      <x:c r="AL151" s="27"/>
      <x:c r="AM151" s="27"/>
      <x:c r="AN151" s="27"/>
      <x:c r="AO151" s="27"/>
      <x:c r="AP151" s="27"/>
      <x:c r="AQ151" s="27"/>
      <x:c r="AR151" s="27"/>
      <x:c r="AS151" s="27"/>
      <x:c r="AT151" s="27"/>
      <x:c r="AU151" s="27"/>
      <x:c r="AV151" s="27"/>
      <x:c r="AW151" s="27"/>
      <x:c r="AX151" s="27"/>
      <x:c r="AY151" s="27"/>
      <x:c r="AZ151" s="27"/>
    </x:row>
    <x:row r="152">
      <x:c r="A152" s="27"/>
      <x:c r="B152" s="27"/>
      <x:c r="C152" s="27"/>
      <x:c r="D152" s="27"/>
      <x:c r="E152" s="27"/>
      <x:c r="F152" s="27"/>
      <x:c r="G152" s="27"/>
      <x:c r="H152" s="27"/>
      <x:c r="I152" s="27"/>
      <x:c r="J152" s="27"/>
      <x:c r="K152" s="27"/>
      <x:c r="L152" s="27"/>
      <x:c r="M152" s="27"/>
      <x:c r="N152" s="27"/>
      <x:c r="O152" s="27"/>
      <x:c r="P152" s="27"/>
      <x:c r="Q152" s="27"/>
      <x:c r="R152" s="27"/>
      <x:c r="S152" s="27"/>
      <x:c r="T152" s="27"/>
      <x:c r="U152" s="27"/>
      <x:c r="V152" s="27"/>
      <x:c r="W152" s="27"/>
      <x:c r="X152" s="27"/>
      <x:c r="Y152" s="27"/>
      <x:c r="Z152" s="27"/>
      <x:c r="AA152" s="27"/>
      <x:c r="AB152" s="27"/>
      <x:c r="AC152" s="27"/>
      <x:c r="AD152" s="27"/>
      <x:c r="AE152" s="27"/>
      <x:c r="AF152" s="27"/>
      <x:c r="AG152" s="27"/>
      <x:c r="AH152" s="27"/>
      <x:c r="AI152" s="27"/>
      <x:c r="AJ152" s="27"/>
      <x:c r="AK152" s="27"/>
      <x:c r="AL152" s="27"/>
      <x:c r="AM152" s="27"/>
      <x:c r="AN152" s="27"/>
      <x:c r="AO152" s="27"/>
      <x:c r="AP152" s="27"/>
      <x:c r="AQ152" s="27"/>
      <x:c r="AR152" s="27"/>
      <x:c r="AS152" s="27"/>
      <x:c r="AT152" s="27"/>
      <x:c r="AU152" s="27"/>
      <x:c r="AV152" s="27"/>
      <x:c r="AW152" s="27"/>
      <x:c r="AX152" s="27"/>
      <x:c r="AY152" s="27"/>
      <x:c r="AZ152" s="27"/>
    </x:row>
    <x:row r="153">
      <x:c r="A153" s="27"/>
      <x:c r="B153" s="27"/>
      <x:c r="C153" s="27"/>
      <x:c r="D153" s="27"/>
      <x:c r="E153" s="27"/>
      <x:c r="F153" s="27"/>
      <x:c r="G153" s="27"/>
      <x:c r="H153" s="27"/>
      <x:c r="I153" s="27"/>
      <x:c r="J153" s="27"/>
      <x:c r="K153" s="27"/>
      <x:c r="L153" s="27"/>
      <x:c r="M153" s="27"/>
      <x:c r="N153" s="27"/>
      <x:c r="O153" s="27"/>
      <x:c r="P153" s="27"/>
      <x:c r="Q153" s="27"/>
      <x:c r="R153" s="27"/>
      <x:c r="S153" s="27"/>
      <x:c r="T153" s="27"/>
      <x:c r="U153" s="27"/>
      <x:c r="V153" s="27"/>
      <x:c r="W153" s="27"/>
      <x:c r="X153" s="27"/>
      <x:c r="Y153" s="27"/>
      <x:c r="Z153" s="27"/>
      <x:c r="AA153" s="27"/>
      <x:c r="AB153" s="27"/>
      <x:c r="AC153" s="27"/>
      <x:c r="AD153" s="27"/>
      <x:c r="AE153" s="27"/>
      <x:c r="AF153" s="27"/>
      <x:c r="AG153" s="27"/>
      <x:c r="AH153" s="27"/>
      <x:c r="AI153" s="27"/>
      <x:c r="AJ153" s="27"/>
      <x:c r="AK153" s="27"/>
      <x:c r="AL153" s="27"/>
      <x:c r="AM153" s="27"/>
      <x:c r="AN153" s="27"/>
      <x:c r="AO153" s="27"/>
      <x:c r="AP153" s="27"/>
      <x:c r="AQ153" s="27"/>
      <x:c r="AR153" s="27"/>
      <x:c r="AS153" s="27"/>
      <x:c r="AT153" s="27"/>
      <x:c r="AU153" s="27"/>
      <x:c r="AV153" s="27"/>
      <x:c r="AW153" s="27"/>
      <x:c r="AX153" s="27"/>
      <x:c r="AY153" s="27"/>
      <x:c r="AZ153" s="27"/>
    </x:row>
    <x:row r="154">
      <x:c r="A154" s="27"/>
      <x:c r="B154" s="27"/>
      <x:c r="C154" s="27"/>
      <x:c r="D154" s="27"/>
      <x:c r="E154" s="27"/>
      <x:c r="F154" s="27"/>
      <x:c r="G154" s="27"/>
      <x:c r="H154" s="27"/>
      <x:c r="I154" s="27"/>
      <x:c r="J154" s="27"/>
      <x:c r="K154" s="27"/>
      <x:c r="L154" s="27"/>
      <x:c r="M154" s="27"/>
      <x:c r="N154" s="27"/>
      <x:c r="O154" s="27"/>
      <x:c r="P154" s="27"/>
      <x:c r="Q154" s="27"/>
      <x:c r="R154" s="27"/>
      <x:c r="S154" s="27"/>
      <x:c r="T154" s="27"/>
      <x:c r="U154" s="27"/>
      <x:c r="V154" s="27"/>
      <x:c r="W154" s="27"/>
      <x:c r="X154" s="27"/>
      <x:c r="Y154" s="27"/>
      <x:c r="Z154" s="27"/>
      <x:c r="AA154" s="27"/>
      <x:c r="AB154" s="27"/>
      <x:c r="AC154" s="27"/>
      <x:c r="AD154" s="27"/>
      <x:c r="AE154" s="27"/>
      <x:c r="AF154" s="27"/>
      <x:c r="AG154" s="27"/>
      <x:c r="AH154" s="27"/>
      <x:c r="AI154" s="27"/>
      <x:c r="AJ154" s="27"/>
      <x:c r="AK154" s="27"/>
      <x:c r="AL154" s="27"/>
      <x:c r="AM154" s="27"/>
      <x:c r="AN154" s="27"/>
      <x:c r="AO154" s="27"/>
      <x:c r="AP154" s="27"/>
      <x:c r="AQ154" s="27"/>
      <x:c r="AR154" s="27"/>
      <x:c r="AS154" s="27"/>
      <x:c r="AT154" s="27"/>
      <x:c r="AU154" s="27"/>
      <x:c r="AV154" s="27"/>
      <x:c r="AW154" s="27"/>
      <x:c r="AX154" s="27"/>
      <x:c r="AY154" s="27"/>
      <x:c r="AZ154" s="27"/>
    </x:row>
    <x:row r="155">
      <x:c r="A155" s="27"/>
      <x:c r="B155" s="27"/>
      <x:c r="C155" s="27"/>
      <x:c r="D155" s="27"/>
      <x:c r="E155" s="27"/>
      <x:c r="F155" s="27"/>
      <x:c r="G155" s="27"/>
      <x:c r="H155" s="27"/>
      <x:c r="I155" s="27"/>
      <x:c r="J155" s="27"/>
      <x:c r="K155" s="27"/>
      <x:c r="L155" s="27"/>
      <x:c r="M155" s="27"/>
      <x:c r="N155" s="27"/>
      <x:c r="O155" s="27"/>
      <x:c r="P155" s="27"/>
      <x:c r="Q155" s="27"/>
      <x:c r="R155" s="27"/>
      <x:c r="S155" s="27"/>
      <x:c r="T155" s="27"/>
      <x:c r="U155" s="27"/>
      <x:c r="V155" s="27"/>
      <x:c r="W155" s="27"/>
      <x:c r="X155" s="27"/>
      <x:c r="Y155" s="27"/>
      <x:c r="Z155" s="27"/>
      <x:c r="AA155" s="27"/>
      <x:c r="AB155" s="27"/>
      <x:c r="AC155" s="27"/>
      <x:c r="AD155" s="27"/>
      <x:c r="AE155" s="27"/>
      <x:c r="AF155" s="27"/>
      <x:c r="AG155" s="27"/>
      <x:c r="AH155" s="27"/>
      <x:c r="AI155" s="27"/>
      <x:c r="AJ155" s="27"/>
      <x:c r="AK155" s="27"/>
      <x:c r="AL155" s="27"/>
      <x:c r="AM155" s="27"/>
      <x:c r="AN155" s="27"/>
      <x:c r="AO155" s="27"/>
      <x:c r="AP155" s="27"/>
      <x:c r="AQ155" s="27"/>
      <x:c r="AR155" s="27"/>
      <x:c r="AS155" s="27"/>
      <x:c r="AT155" s="27"/>
      <x:c r="AU155" s="27"/>
      <x:c r="AV155" s="27"/>
      <x:c r="AW155" s="27"/>
      <x:c r="AX155" s="27"/>
      <x:c r="AY155" s="27"/>
      <x:c r="AZ155" s="27"/>
    </x:row>
    <x:row r="156">
      <x:c r="A156" s="27"/>
      <x:c r="B156" s="27"/>
      <x:c r="C156" s="27"/>
      <x:c r="D156" s="27"/>
      <x:c r="E156" s="27"/>
      <x:c r="F156" s="27"/>
      <x:c r="G156" s="27"/>
      <x:c r="H156" s="27"/>
      <x:c r="I156" s="27"/>
      <x:c r="J156" s="27"/>
      <x:c r="K156" s="27"/>
      <x:c r="L156" s="27"/>
      <x:c r="M156" s="27"/>
      <x:c r="N156" s="27"/>
      <x:c r="O156" s="27"/>
      <x:c r="P156" s="27"/>
      <x:c r="Q156" s="27"/>
      <x:c r="R156" s="27"/>
      <x:c r="S156" s="27"/>
      <x:c r="T156" s="27"/>
      <x:c r="U156" s="27"/>
      <x:c r="V156" s="27"/>
      <x:c r="W156" s="27"/>
      <x:c r="X156" s="27"/>
      <x:c r="Y156" s="27"/>
      <x:c r="Z156" s="27"/>
      <x:c r="AA156" s="27"/>
      <x:c r="AB156" s="27"/>
      <x:c r="AC156" s="27"/>
      <x:c r="AD156" s="27"/>
      <x:c r="AE156" s="27"/>
      <x:c r="AF156" s="27"/>
      <x:c r="AG156" s="27"/>
      <x:c r="AH156" s="27"/>
      <x:c r="AI156" s="27"/>
      <x:c r="AJ156" s="27"/>
      <x:c r="AK156" s="27"/>
      <x:c r="AL156" s="27"/>
      <x:c r="AM156" s="27"/>
      <x:c r="AN156" s="27"/>
      <x:c r="AO156" s="27"/>
      <x:c r="AP156" s="27"/>
      <x:c r="AQ156" s="27"/>
      <x:c r="AR156" s="27"/>
      <x:c r="AS156" s="27"/>
      <x:c r="AT156" s="27"/>
      <x:c r="AU156" s="27"/>
      <x:c r="AV156" s="27"/>
      <x:c r="AW156" s="27"/>
      <x:c r="AX156" s="27"/>
      <x:c r="AY156" s="27"/>
      <x:c r="AZ156" s="27"/>
    </x:row>
    <x:row r="157">
      <x:c r="A157" s="27"/>
      <x:c r="B157" s="27"/>
      <x:c r="C157" s="27"/>
      <x:c r="D157" s="27"/>
      <x:c r="E157" s="27"/>
      <x:c r="F157" s="27"/>
      <x:c r="G157" s="27"/>
      <x:c r="H157" s="27"/>
      <x:c r="I157" s="27"/>
      <x:c r="J157" s="27"/>
      <x:c r="K157" s="27"/>
      <x:c r="L157" s="27"/>
      <x:c r="M157" s="27"/>
      <x:c r="N157" s="27"/>
      <x:c r="O157" s="27"/>
      <x:c r="P157" s="27"/>
      <x:c r="Q157" s="27"/>
      <x:c r="R157" s="27"/>
      <x:c r="S157" s="27"/>
      <x:c r="T157" s="27"/>
      <x:c r="U157" s="27"/>
      <x:c r="V157" s="27"/>
      <x:c r="W157" s="27"/>
      <x:c r="X157" s="27"/>
      <x:c r="Y157" s="27"/>
      <x:c r="Z157" s="27"/>
      <x:c r="AA157" s="27"/>
      <x:c r="AB157" s="27"/>
      <x:c r="AC157" s="27"/>
      <x:c r="AD157" s="27"/>
      <x:c r="AE157" s="27"/>
      <x:c r="AF157" s="27"/>
      <x:c r="AG157" s="27"/>
      <x:c r="AH157" s="27"/>
      <x:c r="AI157" s="27"/>
      <x:c r="AJ157" s="27"/>
      <x:c r="AK157" s="27"/>
      <x:c r="AL157" s="27"/>
      <x:c r="AM157" s="27"/>
      <x:c r="AN157" s="27"/>
      <x:c r="AO157" s="27"/>
      <x:c r="AP157" s="27"/>
      <x:c r="AQ157" s="27"/>
      <x:c r="AR157" s="27"/>
      <x:c r="AS157" s="27"/>
      <x:c r="AT157" s="27"/>
      <x:c r="AU157" s="27"/>
      <x:c r="AV157" s="27"/>
      <x:c r="AW157" s="27"/>
      <x:c r="AX157" s="27"/>
      <x:c r="AY157" s="27"/>
      <x:c r="AZ157" s="27"/>
    </x:row>
    <x:row r="158">
      <x:c r="A158" s="27"/>
      <x:c r="B158" s="27"/>
      <x:c r="C158" s="27"/>
      <x:c r="D158" s="27"/>
      <x:c r="E158" s="27"/>
      <x:c r="F158" s="27"/>
      <x:c r="G158" s="27"/>
      <x:c r="H158" s="27"/>
      <x:c r="I158" s="27"/>
      <x:c r="J158" s="27"/>
      <x:c r="K158" s="27"/>
      <x:c r="L158" s="27"/>
      <x:c r="M158" s="27"/>
      <x:c r="N158" s="27"/>
      <x:c r="O158" s="27"/>
      <x:c r="P158" s="27"/>
      <x:c r="Q158" s="27"/>
      <x:c r="R158" s="27"/>
      <x:c r="S158" s="27"/>
      <x:c r="T158" s="27"/>
      <x:c r="U158" s="27"/>
      <x:c r="V158" s="27"/>
      <x:c r="W158" s="27"/>
      <x:c r="X158" s="27"/>
      <x:c r="Y158" s="27"/>
      <x:c r="Z158" s="27"/>
      <x:c r="AA158" s="27"/>
      <x:c r="AB158" s="27"/>
      <x:c r="AC158" s="27"/>
      <x:c r="AD158" s="27"/>
      <x:c r="AE158" s="27"/>
      <x:c r="AF158" s="27"/>
      <x:c r="AG158" s="27"/>
      <x:c r="AH158" s="27"/>
      <x:c r="AI158" s="27"/>
      <x:c r="AJ158" s="27"/>
      <x:c r="AK158" s="27"/>
      <x:c r="AL158" s="27"/>
      <x:c r="AM158" s="27"/>
      <x:c r="AN158" s="27"/>
      <x:c r="AO158" s="27"/>
      <x:c r="AP158" s="27"/>
      <x:c r="AQ158" s="27"/>
      <x:c r="AR158" s="27"/>
      <x:c r="AS158" s="27"/>
      <x:c r="AT158" s="27"/>
      <x:c r="AU158" s="27"/>
      <x:c r="AV158" s="27"/>
      <x:c r="AW158" s="27"/>
      <x:c r="AX158" s="27"/>
      <x:c r="AY158" s="27"/>
      <x:c r="AZ158" s="27"/>
    </x:row>
    <x:row r="159">
      <x:c r="A159" s="27"/>
      <x:c r="B159" s="27"/>
      <x:c r="C159" s="27"/>
      <x:c r="D159" s="27"/>
      <x:c r="E159" s="27"/>
      <x:c r="F159" s="27"/>
      <x:c r="G159" s="27"/>
      <x:c r="H159" s="27"/>
      <x:c r="I159" s="27"/>
      <x:c r="J159" s="27"/>
      <x:c r="K159" s="27"/>
      <x:c r="L159" s="27"/>
      <x:c r="M159" s="27"/>
      <x:c r="N159" s="27"/>
      <x:c r="O159" s="27"/>
      <x:c r="P159" s="27"/>
      <x:c r="Q159" s="27"/>
      <x:c r="R159" s="27"/>
      <x:c r="S159" s="27"/>
      <x:c r="T159" s="27"/>
      <x:c r="U159" s="27"/>
      <x:c r="V159" s="27"/>
      <x:c r="W159" s="27"/>
      <x:c r="X159" s="27"/>
      <x:c r="Y159" s="27"/>
      <x:c r="Z159" s="27"/>
      <x:c r="AA159" s="27"/>
      <x:c r="AB159" s="27"/>
      <x:c r="AC159" s="27"/>
      <x:c r="AD159" s="27"/>
      <x:c r="AE159" s="27"/>
      <x:c r="AF159" s="27"/>
      <x:c r="AG159" s="27"/>
      <x:c r="AH159" s="27"/>
      <x:c r="AI159" s="27"/>
      <x:c r="AJ159" s="27"/>
      <x:c r="AK159" s="27"/>
      <x:c r="AL159" s="27"/>
      <x:c r="AM159" s="27"/>
      <x:c r="AN159" s="27"/>
      <x:c r="AO159" s="27"/>
      <x:c r="AP159" s="27"/>
      <x:c r="AQ159" s="27"/>
      <x:c r="AR159" s="27"/>
      <x:c r="AS159" s="27"/>
      <x:c r="AT159" s="27"/>
      <x:c r="AU159" s="27"/>
      <x:c r="AV159" s="27"/>
      <x:c r="AW159" s="27"/>
      <x:c r="AX159" s="27"/>
      <x:c r="AY159" s="27"/>
      <x:c r="AZ159" s="27"/>
    </x:row>
    <x:row r="160">
      <x:c r="A160" s="27"/>
      <x:c r="B160" s="27"/>
      <x:c r="C160" s="27"/>
      <x:c r="D160" s="27"/>
      <x:c r="E160" s="27"/>
      <x:c r="F160" s="27"/>
      <x:c r="G160" s="27"/>
      <x:c r="H160" s="27"/>
      <x:c r="I160" s="27"/>
      <x:c r="J160" s="27"/>
      <x:c r="K160" s="27"/>
      <x:c r="L160" s="27"/>
      <x:c r="M160" s="27"/>
      <x:c r="N160" s="27"/>
      <x:c r="O160" s="27"/>
      <x:c r="P160" s="27"/>
      <x:c r="Q160" s="27"/>
      <x:c r="R160" s="27"/>
      <x:c r="S160" s="27"/>
      <x:c r="T160" s="27"/>
      <x:c r="U160" s="27"/>
      <x:c r="V160" s="27"/>
      <x:c r="W160" s="27"/>
      <x:c r="X160" s="27"/>
      <x:c r="Y160" s="27"/>
      <x:c r="Z160" s="27"/>
      <x:c r="AA160" s="27"/>
      <x:c r="AB160" s="27"/>
      <x:c r="AC160" s="27"/>
      <x:c r="AD160" s="27"/>
      <x:c r="AE160" s="27"/>
      <x:c r="AF160" s="27"/>
      <x:c r="AG160" s="27"/>
      <x:c r="AH160" s="27"/>
      <x:c r="AI160" s="27"/>
      <x:c r="AJ160" s="27"/>
      <x:c r="AK160" s="27"/>
      <x:c r="AL160" s="27"/>
      <x:c r="AM160" s="27"/>
      <x:c r="AN160" s="27"/>
      <x:c r="AO160" s="27"/>
      <x:c r="AP160" s="27"/>
      <x:c r="AQ160" s="27"/>
      <x:c r="AR160" s="27"/>
      <x:c r="AS160" s="27"/>
      <x:c r="AT160" s="27"/>
      <x:c r="AU160" s="27"/>
      <x:c r="AV160" s="27"/>
      <x:c r="AW160" s="27"/>
      <x:c r="AX160" s="27"/>
      <x:c r="AY160" s="27"/>
      <x:c r="AZ160" s="27"/>
    </x:row>
    <x:row r="161">
      <x:c r="A161" s="27"/>
      <x:c r="B161" s="27"/>
      <x:c r="C161" s="27"/>
      <x:c r="D161" s="27"/>
      <x:c r="E161" s="27"/>
      <x:c r="F161" s="27"/>
      <x:c r="G161" s="27"/>
      <x:c r="H161" s="27"/>
      <x:c r="I161" s="27"/>
      <x:c r="J161" s="27"/>
      <x:c r="K161" s="27"/>
      <x:c r="L161" s="27"/>
      <x:c r="M161" s="27"/>
      <x:c r="N161" s="27"/>
      <x:c r="O161" s="27"/>
      <x:c r="P161" s="27"/>
      <x:c r="Q161" s="27"/>
      <x:c r="R161" s="27"/>
      <x:c r="S161" s="27"/>
      <x:c r="T161" s="27"/>
      <x:c r="U161" s="27"/>
      <x:c r="V161" s="27"/>
      <x:c r="W161" s="27"/>
      <x:c r="X161" s="27"/>
      <x:c r="Y161" s="27"/>
      <x:c r="Z161" s="27"/>
      <x:c r="AA161" s="27"/>
      <x:c r="AB161" s="27"/>
      <x:c r="AC161" s="27"/>
      <x:c r="AD161" s="27"/>
      <x:c r="AE161" s="27"/>
      <x:c r="AF161" s="27"/>
      <x:c r="AG161" s="27"/>
      <x:c r="AH161" s="27"/>
      <x:c r="AI161" s="27"/>
      <x:c r="AJ161" s="27"/>
      <x:c r="AK161" s="27"/>
      <x:c r="AL161" s="27"/>
      <x:c r="AM161" s="27"/>
      <x:c r="AN161" s="27"/>
      <x:c r="AO161" s="27"/>
      <x:c r="AP161" s="27"/>
      <x:c r="AQ161" s="27"/>
      <x:c r="AR161" s="27"/>
      <x:c r="AS161" s="27"/>
      <x:c r="AT161" s="27"/>
      <x:c r="AU161" s="27"/>
      <x:c r="AV161" s="27"/>
      <x:c r="AW161" s="27"/>
      <x:c r="AX161" s="27"/>
      <x:c r="AY161" s="27"/>
      <x:c r="AZ161" s="27"/>
    </x:row>
    <x:row r="162">
      <x:c r="A162" s="27"/>
      <x:c r="B162" s="27"/>
      <x:c r="C162" s="27"/>
      <x:c r="D162" s="27"/>
      <x:c r="E162" s="27"/>
      <x:c r="F162" s="27"/>
      <x:c r="G162" s="27"/>
      <x:c r="H162" s="27"/>
      <x:c r="I162" s="27"/>
      <x:c r="J162" s="27"/>
      <x:c r="K162" s="27"/>
      <x:c r="L162" s="27"/>
      <x:c r="M162" s="27"/>
      <x:c r="N162" s="27"/>
      <x:c r="O162" s="27"/>
      <x:c r="P162" s="27"/>
      <x:c r="Q162" s="27"/>
      <x:c r="R162" s="27"/>
      <x:c r="S162" s="27"/>
      <x:c r="T162" s="27"/>
      <x:c r="U162" s="27"/>
      <x:c r="V162" s="27"/>
      <x:c r="W162" s="27"/>
      <x:c r="X162" s="27"/>
      <x:c r="Y162" s="27"/>
      <x:c r="Z162" s="27"/>
      <x:c r="AA162" s="27"/>
      <x:c r="AB162" s="27"/>
      <x:c r="AC162" s="27"/>
      <x:c r="AD162" s="27"/>
      <x:c r="AE162" s="27"/>
      <x:c r="AF162" s="27"/>
      <x:c r="AG162" s="27"/>
      <x:c r="AH162" s="27"/>
      <x:c r="AI162" s="27"/>
      <x:c r="AJ162" s="27"/>
      <x:c r="AK162" s="27"/>
      <x:c r="AL162" s="27"/>
      <x:c r="AM162" s="27"/>
      <x:c r="AN162" s="27"/>
      <x:c r="AO162" s="27"/>
      <x:c r="AP162" s="27"/>
      <x:c r="AQ162" s="27"/>
      <x:c r="AR162" s="27"/>
      <x:c r="AS162" s="27"/>
      <x:c r="AT162" s="27"/>
      <x:c r="AU162" s="27"/>
      <x:c r="AV162" s="27"/>
      <x:c r="AW162" s="27"/>
      <x:c r="AX162" s="27"/>
      <x:c r="AY162" s="27"/>
      <x:c r="AZ162" s="27"/>
    </x:row>
    <x:row r="163">
      <x:c r="A163" s="27"/>
      <x:c r="B163" s="27"/>
      <x:c r="C163" s="27"/>
      <x:c r="D163" s="27"/>
      <x:c r="E163" s="27"/>
      <x:c r="F163" s="27"/>
      <x:c r="G163" s="27"/>
      <x:c r="H163" s="27"/>
      <x:c r="I163" s="27"/>
      <x:c r="J163" s="27"/>
      <x:c r="K163" s="27"/>
      <x:c r="L163" s="27"/>
      <x:c r="M163" s="27"/>
      <x:c r="N163" s="27"/>
      <x:c r="O163" s="27"/>
      <x:c r="P163" s="27"/>
      <x:c r="Q163" s="27"/>
      <x:c r="R163" s="27"/>
      <x:c r="S163" s="27"/>
      <x:c r="T163" s="27"/>
      <x:c r="U163" s="27"/>
      <x:c r="V163" s="27"/>
      <x:c r="W163" s="27"/>
      <x:c r="X163" s="27"/>
      <x:c r="Y163" s="27"/>
      <x:c r="Z163" s="27"/>
      <x:c r="AA163" s="27"/>
      <x:c r="AB163" s="27"/>
      <x:c r="AC163" s="27"/>
      <x:c r="AD163" s="27"/>
      <x:c r="AE163" s="27"/>
      <x:c r="AF163" s="27"/>
      <x:c r="AG163" s="27"/>
      <x:c r="AH163" s="27"/>
      <x:c r="AI163" s="27"/>
      <x:c r="AJ163" s="27"/>
      <x:c r="AK163" s="27"/>
      <x:c r="AL163" s="27"/>
      <x:c r="AM163" s="27"/>
      <x:c r="AN163" s="27"/>
      <x:c r="AO163" s="27"/>
      <x:c r="AP163" s="27"/>
      <x:c r="AQ163" s="27"/>
      <x:c r="AR163" s="27"/>
      <x:c r="AS163" s="27"/>
      <x:c r="AT163" s="27"/>
      <x:c r="AU163" s="27"/>
      <x:c r="AV163" s="27"/>
      <x:c r="AW163" s="27"/>
      <x:c r="AX163" s="27"/>
      <x:c r="AY163" s="27"/>
      <x:c r="AZ163" s="27"/>
    </x:row>
    <x:row r="164">
      <x:c r="A164" s="27"/>
      <x:c r="B164" s="27"/>
      <x:c r="C164" s="27"/>
      <x:c r="D164" s="27"/>
      <x:c r="E164" s="27"/>
      <x:c r="F164" s="27"/>
      <x:c r="G164" s="27"/>
      <x:c r="H164" s="27"/>
      <x:c r="I164" s="27"/>
      <x:c r="J164" s="27"/>
      <x:c r="K164" s="27"/>
      <x:c r="L164" s="27"/>
      <x:c r="M164" s="27"/>
      <x:c r="N164" s="27"/>
      <x:c r="O164" s="27"/>
      <x:c r="P164" s="27"/>
      <x:c r="Q164" s="27"/>
      <x:c r="R164" s="27"/>
      <x:c r="S164" s="27"/>
      <x:c r="T164" s="27"/>
      <x:c r="U164" s="27"/>
      <x:c r="V164" s="27"/>
      <x:c r="W164" s="27"/>
      <x:c r="X164" s="27"/>
      <x:c r="Y164" s="27"/>
      <x:c r="Z164" s="27"/>
      <x:c r="AA164" s="27"/>
      <x:c r="AB164" s="27"/>
      <x:c r="AC164" s="27"/>
      <x:c r="AD164" s="27"/>
      <x:c r="AE164" s="27"/>
      <x:c r="AF164" s="27"/>
      <x:c r="AG164" s="27"/>
      <x:c r="AH164" s="27"/>
      <x:c r="AI164" s="27"/>
      <x:c r="AJ164" s="27"/>
      <x:c r="AK164" s="27"/>
      <x:c r="AL164" s="27"/>
      <x:c r="AM164" s="27"/>
      <x:c r="AN164" s="27"/>
      <x:c r="AO164" s="27"/>
      <x:c r="AP164" s="27"/>
      <x:c r="AQ164" s="27"/>
      <x:c r="AR164" s="27"/>
      <x:c r="AS164" s="27"/>
      <x:c r="AT164" s="27"/>
      <x:c r="AU164" s="27"/>
      <x:c r="AV164" s="27"/>
      <x:c r="AW164" s="27"/>
      <x:c r="AX164" s="27"/>
      <x:c r="AY164" s="27"/>
      <x:c r="AZ164" s="27"/>
    </x:row>
    <x:row r="165">
      <x:c r="A165" s="27"/>
      <x:c r="B165" s="27"/>
      <x:c r="C165" s="27"/>
      <x:c r="D165" s="27"/>
      <x:c r="E165" s="27"/>
      <x:c r="F165" s="27"/>
      <x:c r="G165" s="27"/>
      <x:c r="H165" s="27"/>
      <x:c r="I165" s="27"/>
      <x:c r="J165" s="27"/>
      <x:c r="K165" s="27"/>
      <x:c r="L165" s="27"/>
      <x:c r="M165" s="27"/>
      <x:c r="N165" s="27"/>
      <x:c r="O165" s="27"/>
      <x:c r="P165" s="27"/>
      <x:c r="Q165" s="27"/>
      <x:c r="R165" s="27"/>
      <x:c r="S165" s="27"/>
      <x:c r="T165" s="27"/>
      <x:c r="U165" s="27"/>
      <x:c r="V165" s="27"/>
      <x:c r="W165" s="27"/>
      <x:c r="X165" s="27"/>
      <x:c r="Y165" s="27"/>
      <x:c r="Z165" s="27"/>
      <x:c r="AA165" s="27"/>
      <x:c r="AB165" s="27"/>
      <x:c r="AC165" s="27"/>
      <x:c r="AD165" s="27"/>
      <x:c r="AE165" s="27"/>
      <x:c r="AF165" s="27"/>
      <x:c r="AG165" s="27"/>
      <x:c r="AH165" s="27"/>
      <x:c r="AI165" s="27"/>
      <x:c r="AJ165" s="27"/>
      <x:c r="AK165" s="27"/>
      <x:c r="AL165" s="27"/>
      <x:c r="AM165" s="27"/>
      <x:c r="AN165" s="27"/>
      <x:c r="AO165" s="27"/>
      <x:c r="AP165" s="27"/>
      <x:c r="AQ165" s="27"/>
      <x:c r="AR165" s="27"/>
      <x:c r="AS165" s="27"/>
      <x:c r="AT165" s="27"/>
      <x:c r="AU165" s="27"/>
      <x:c r="AV165" s="27"/>
      <x:c r="AW165" s="27"/>
      <x:c r="AX165" s="27"/>
      <x:c r="AY165" s="27"/>
      <x:c r="AZ165" s="27"/>
    </x:row>
    <x:row r="166">
      <x:c r="A166" s="27"/>
      <x:c r="B166" s="27"/>
      <x:c r="C166" s="27"/>
      <x:c r="D166" s="27"/>
      <x:c r="E166" s="27"/>
      <x:c r="F166" s="27"/>
      <x:c r="G166" s="27"/>
      <x:c r="H166" s="27"/>
      <x:c r="I166" s="27"/>
      <x:c r="J166" s="27"/>
      <x:c r="K166" s="27"/>
      <x:c r="L166" s="27"/>
      <x:c r="M166" s="27"/>
      <x:c r="N166" s="27"/>
      <x:c r="O166" s="27"/>
      <x:c r="P166" s="27"/>
      <x:c r="Q166" s="27"/>
      <x:c r="R166" s="27"/>
      <x:c r="S166" s="27"/>
      <x:c r="T166" s="27"/>
      <x:c r="U166" s="27"/>
      <x:c r="V166" s="27"/>
      <x:c r="W166" s="27"/>
      <x:c r="X166" s="27"/>
      <x:c r="Y166" s="27"/>
      <x:c r="Z166" s="27"/>
      <x:c r="AA166" s="27"/>
      <x:c r="AB166" s="27"/>
      <x:c r="AC166" s="27"/>
      <x:c r="AD166" s="27"/>
      <x:c r="AE166" s="27"/>
      <x:c r="AF166" s="27"/>
      <x:c r="AG166" s="27"/>
      <x:c r="AH166" s="27"/>
      <x:c r="AI166" s="27"/>
      <x:c r="AJ166" s="27"/>
      <x:c r="AK166" s="27"/>
      <x:c r="AL166" s="27"/>
      <x:c r="AM166" s="27"/>
      <x:c r="AN166" s="27"/>
      <x:c r="AO166" s="27"/>
      <x:c r="AP166" s="27"/>
      <x:c r="AQ166" s="27"/>
      <x:c r="AR166" s="27"/>
      <x:c r="AS166" s="27"/>
      <x:c r="AT166" s="27"/>
      <x:c r="AU166" s="27"/>
      <x:c r="AV166" s="27"/>
      <x:c r="AW166" s="27"/>
      <x:c r="AX166" s="27"/>
      <x:c r="AY166" s="27"/>
      <x:c r="AZ166" s="27"/>
    </x:row>
    <x:row r="167">
      <x:c r="A167" s="27"/>
      <x:c r="B167" s="27"/>
      <x:c r="C167" s="27"/>
      <x:c r="D167" s="27"/>
      <x:c r="E167" s="27"/>
      <x:c r="F167" s="27"/>
      <x:c r="G167" s="27"/>
      <x:c r="H167" s="27"/>
      <x:c r="I167" s="27"/>
      <x:c r="J167" s="27"/>
      <x:c r="K167" s="27"/>
      <x:c r="L167" s="27"/>
      <x:c r="M167" s="27"/>
      <x:c r="N167" s="27"/>
      <x:c r="O167" s="27"/>
      <x:c r="P167" s="27"/>
      <x:c r="Q167" s="27"/>
      <x:c r="R167" s="27"/>
      <x:c r="S167" s="27"/>
      <x:c r="T167" s="27"/>
      <x:c r="U167" s="27"/>
      <x:c r="V167" s="27"/>
      <x:c r="W167" s="27"/>
      <x:c r="X167" s="27"/>
      <x:c r="Y167" s="27"/>
      <x:c r="Z167" s="27"/>
      <x:c r="AA167" s="27"/>
      <x:c r="AB167" s="27"/>
      <x:c r="AC167" s="27"/>
      <x:c r="AD167" s="27"/>
      <x:c r="AE167" s="27"/>
      <x:c r="AF167" s="27"/>
      <x:c r="AG167" s="27"/>
      <x:c r="AH167" s="27"/>
      <x:c r="AI167" s="27"/>
      <x:c r="AJ167" s="27"/>
      <x:c r="AK167" s="27"/>
      <x:c r="AL167" s="27"/>
      <x:c r="AM167" s="27"/>
      <x:c r="AN167" s="27"/>
      <x:c r="AO167" s="27"/>
      <x:c r="AP167" s="27"/>
      <x:c r="AQ167" s="27"/>
      <x:c r="AR167" s="27"/>
      <x:c r="AS167" s="27"/>
      <x:c r="AT167" s="27"/>
      <x:c r="AU167" s="27"/>
      <x:c r="AV167" s="27"/>
      <x:c r="AW167" s="27"/>
      <x:c r="AX167" s="27"/>
      <x:c r="AY167" s="27"/>
      <x:c r="AZ167" s="27"/>
    </x:row>
    <x:row r="168">
      <x:c r="A168" s="27"/>
      <x:c r="B168" s="27"/>
      <x:c r="C168" s="27"/>
      <x:c r="D168" s="27"/>
      <x:c r="E168" s="27"/>
      <x:c r="F168" s="27"/>
      <x:c r="G168" s="27"/>
      <x:c r="H168" s="27"/>
      <x:c r="I168" s="27"/>
      <x:c r="J168" s="27"/>
      <x:c r="K168" s="27"/>
      <x:c r="L168" s="27"/>
      <x:c r="M168" s="27"/>
      <x:c r="N168" s="27"/>
      <x:c r="O168" s="27"/>
      <x:c r="P168" s="27"/>
      <x:c r="Q168" s="27"/>
      <x:c r="R168" s="27"/>
      <x:c r="S168" s="27"/>
      <x:c r="T168" s="27"/>
      <x:c r="U168" s="27"/>
      <x:c r="V168" s="27"/>
      <x:c r="W168" s="27"/>
      <x:c r="X168" s="27"/>
      <x:c r="Y168" s="27"/>
      <x:c r="Z168" s="27"/>
      <x:c r="AA168" s="27"/>
      <x:c r="AB168" s="27"/>
      <x:c r="AC168" s="27"/>
      <x:c r="AD168" s="27"/>
      <x:c r="AE168" s="27"/>
      <x:c r="AF168" s="27"/>
      <x:c r="AG168" s="27"/>
      <x:c r="AH168" s="27"/>
      <x:c r="AI168" s="27"/>
      <x:c r="AJ168" s="27"/>
      <x:c r="AK168" s="27"/>
      <x:c r="AL168" s="27"/>
      <x:c r="AM168" s="27"/>
      <x:c r="AN168" s="27"/>
      <x:c r="AO168" s="27"/>
      <x:c r="AP168" s="27"/>
      <x:c r="AQ168" s="27"/>
      <x:c r="AR168" s="27"/>
      <x:c r="AS168" s="27"/>
      <x:c r="AT168" s="27"/>
      <x:c r="AU168" s="27"/>
      <x:c r="AV168" s="27"/>
      <x:c r="AW168" s="27"/>
      <x:c r="AX168" s="27"/>
      <x:c r="AY168" s="27"/>
      <x:c r="AZ168" s="27"/>
    </x:row>
    <x:row r="169">
      <x:c r="A169" s="27"/>
      <x:c r="B169" s="27"/>
      <x:c r="C169" s="27"/>
      <x:c r="D169" s="27"/>
      <x:c r="E169" s="27"/>
      <x:c r="F169" s="27"/>
      <x:c r="G169" s="27"/>
      <x:c r="H169" s="27"/>
      <x:c r="I169" s="27"/>
      <x:c r="J169" s="27"/>
      <x:c r="K169" s="27"/>
      <x:c r="L169" s="27"/>
      <x:c r="M169" s="27"/>
      <x:c r="N169" s="27"/>
      <x:c r="O169" s="27"/>
      <x:c r="P169" s="27"/>
      <x:c r="Q169" s="27"/>
      <x:c r="R169" s="27"/>
      <x:c r="S169" s="27"/>
      <x:c r="T169" s="27"/>
      <x:c r="U169" s="27"/>
      <x:c r="V169" s="27"/>
      <x:c r="W169" s="27"/>
      <x:c r="X169" s="27"/>
      <x:c r="Y169" s="27"/>
      <x:c r="Z169" s="27"/>
      <x:c r="AA169" s="27"/>
      <x:c r="AB169" s="27"/>
      <x:c r="AC169" s="27"/>
      <x:c r="AD169" s="27"/>
      <x:c r="AE169" s="27"/>
      <x:c r="AF169" s="27"/>
      <x:c r="AG169" s="27"/>
      <x:c r="AH169" s="27"/>
      <x:c r="AI169" s="27"/>
      <x:c r="AJ169" s="27"/>
      <x:c r="AK169" s="27"/>
      <x:c r="AL169" s="27"/>
      <x:c r="AM169" s="27"/>
      <x:c r="AN169" s="27"/>
      <x:c r="AO169" s="27"/>
      <x:c r="AP169" s="27"/>
      <x:c r="AQ169" s="27"/>
      <x:c r="AR169" s="27"/>
      <x:c r="AS169" s="27"/>
      <x:c r="AT169" s="27"/>
      <x:c r="AU169" s="27"/>
      <x:c r="AV169" s="27"/>
      <x:c r="AW169" s="27"/>
      <x:c r="AX169" s="27"/>
      <x:c r="AY169" s="27"/>
      <x:c r="AZ169" s="27"/>
    </x:row>
    <x:row r="170">
      <x:c r="A170" s="27"/>
      <x:c r="B170" s="27"/>
      <x:c r="C170" s="27"/>
      <x:c r="D170" s="27"/>
      <x:c r="E170" s="27"/>
      <x:c r="F170" s="27"/>
      <x:c r="G170" s="27"/>
      <x:c r="H170" s="27"/>
      <x:c r="I170" s="27"/>
      <x:c r="J170" s="27"/>
      <x:c r="K170" s="27"/>
      <x:c r="L170" s="27"/>
      <x:c r="M170" s="27"/>
      <x:c r="N170" s="27"/>
      <x:c r="O170" s="27"/>
      <x:c r="P170" s="27"/>
      <x:c r="Q170" s="27"/>
      <x:c r="R170" s="27"/>
      <x:c r="S170" s="27"/>
      <x:c r="T170" s="27"/>
      <x:c r="U170" s="27"/>
      <x:c r="V170" s="27"/>
      <x:c r="W170" s="27"/>
      <x:c r="X170" s="27"/>
      <x:c r="Y170" s="27"/>
      <x:c r="Z170" s="27"/>
      <x:c r="AA170" s="27"/>
      <x:c r="AB170" s="27"/>
      <x:c r="AC170" s="27"/>
      <x:c r="AD170" s="27"/>
      <x:c r="AE170" s="27"/>
      <x:c r="AF170" s="27"/>
      <x:c r="AG170" s="27"/>
      <x:c r="AH170" s="27"/>
      <x:c r="AI170" s="27"/>
      <x:c r="AJ170" s="27"/>
      <x:c r="AK170" s="27"/>
      <x:c r="AL170" s="27"/>
      <x:c r="AM170" s="27"/>
      <x:c r="AN170" s="27"/>
      <x:c r="AO170" s="27"/>
      <x:c r="AP170" s="27"/>
      <x:c r="AQ170" s="27"/>
      <x:c r="AR170" s="27"/>
      <x:c r="AS170" s="27"/>
      <x:c r="AT170" s="27"/>
      <x:c r="AU170" s="27"/>
      <x:c r="AV170" s="27"/>
      <x:c r="AW170" s="27"/>
      <x:c r="AX170" s="27"/>
      <x:c r="AY170" s="27"/>
      <x:c r="AZ170" s="27"/>
    </x:row>
    <x:row r="171">
      <x:c r="A171" s="27"/>
      <x:c r="B171" s="27"/>
      <x:c r="C171" s="27"/>
      <x:c r="D171" s="27"/>
      <x:c r="E171" s="27"/>
      <x:c r="F171" s="27"/>
      <x:c r="G171" s="27"/>
      <x:c r="H171" s="27"/>
      <x:c r="I171" s="27"/>
      <x:c r="J171" s="27"/>
      <x:c r="K171" s="27"/>
      <x:c r="L171" s="27"/>
      <x:c r="M171" s="27"/>
      <x:c r="N171" s="27"/>
      <x:c r="O171" s="27"/>
      <x:c r="P171" s="27"/>
      <x:c r="Q171" s="27"/>
      <x:c r="R171" s="27"/>
      <x:c r="S171" s="27"/>
      <x:c r="T171" s="27"/>
      <x:c r="U171" s="27"/>
      <x:c r="V171" s="27"/>
      <x:c r="W171" s="27"/>
      <x:c r="X171" s="27"/>
      <x:c r="Y171" s="27"/>
      <x:c r="Z171" s="27"/>
      <x:c r="AA171" s="27"/>
      <x:c r="AB171" s="27"/>
      <x:c r="AC171" s="27"/>
      <x:c r="AD171" s="27"/>
      <x:c r="AE171" s="27"/>
      <x:c r="AF171" s="27"/>
      <x:c r="AG171" s="27"/>
      <x:c r="AH171" s="27"/>
      <x:c r="AI171" s="27"/>
      <x:c r="AJ171" s="27"/>
      <x:c r="AK171" s="27"/>
      <x:c r="AL171" s="27"/>
      <x:c r="AM171" s="27"/>
      <x:c r="AN171" s="27"/>
      <x:c r="AO171" s="27"/>
      <x:c r="AP171" s="27"/>
      <x:c r="AQ171" s="27"/>
      <x:c r="AR171" s="27"/>
      <x:c r="AS171" s="27"/>
      <x:c r="AT171" s="27"/>
      <x:c r="AU171" s="27"/>
      <x:c r="AV171" s="27"/>
      <x:c r="AW171" s="27"/>
      <x:c r="AX171" s="27"/>
      <x:c r="AY171" s="27"/>
      <x:c r="AZ171" s="27"/>
    </x:row>
    <x:row r="172">
      <x:c r="A172" s="27"/>
      <x:c r="B172" s="27"/>
      <x:c r="C172" s="27"/>
      <x:c r="D172" s="27"/>
      <x:c r="E172" s="27"/>
      <x:c r="F172" s="27"/>
      <x:c r="G172" s="27"/>
      <x:c r="H172" s="27"/>
      <x:c r="I172" s="27"/>
      <x:c r="J172" s="27"/>
      <x:c r="K172" s="27"/>
      <x:c r="L172" s="27"/>
      <x:c r="M172" s="27"/>
      <x:c r="N172" s="27"/>
      <x:c r="O172" s="27"/>
      <x:c r="P172" s="27"/>
      <x:c r="Q172" s="27"/>
      <x:c r="R172" s="27"/>
      <x:c r="S172" s="27"/>
      <x:c r="T172" s="27"/>
      <x:c r="U172" s="27"/>
      <x:c r="V172" s="27"/>
      <x:c r="W172" s="27"/>
      <x:c r="X172" s="27"/>
      <x:c r="Y172" s="27"/>
      <x:c r="Z172" s="27"/>
      <x:c r="AA172" s="27"/>
      <x:c r="AB172" s="27"/>
      <x:c r="AC172" s="27"/>
      <x:c r="AD172" s="27"/>
      <x:c r="AE172" s="27"/>
      <x:c r="AF172" s="27"/>
      <x:c r="AG172" s="27"/>
      <x:c r="AH172" s="27"/>
      <x:c r="AI172" s="27"/>
      <x:c r="AJ172" s="27"/>
      <x:c r="AK172" s="27"/>
      <x:c r="AL172" s="27"/>
      <x:c r="AM172" s="27"/>
      <x:c r="AN172" s="27"/>
      <x:c r="AO172" s="27"/>
      <x:c r="AP172" s="27"/>
      <x:c r="AQ172" s="27"/>
      <x:c r="AR172" s="27"/>
      <x:c r="AS172" s="27"/>
      <x:c r="AT172" s="27"/>
      <x:c r="AU172" s="27"/>
      <x:c r="AV172" s="27"/>
      <x:c r="AW172" s="27"/>
      <x:c r="AX172" s="27"/>
      <x:c r="AY172" s="27"/>
      <x:c r="AZ172" s="27"/>
    </x:row>
    <x:row r="173">
      <x:c r="A173" s="27"/>
      <x:c r="B173" s="27"/>
      <x:c r="C173" s="27"/>
      <x:c r="D173" s="27"/>
      <x:c r="E173" s="27"/>
      <x:c r="F173" s="27"/>
      <x:c r="G173" s="27"/>
      <x:c r="H173" s="27"/>
      <x:c r="I173" s="27"/>
      <x:c r="J173" s="27"/>
      <x:c r="K173" s="27"/>
      <x:c r="L173" s="27"/>
      <x:c r="M173" s="27"/>
      <x:c r="N173" s="27"/>
      <x:c r="O173" s="27"/>
      <x:c r="P173" s="27"/>
      <x:c r="Q173" s="27"/>
      <x:c r="R173" s="27"/>
      <x:c r="S173" s="27"/>
      <x:c r="T173" s="27"/>
      <x:c r="U173" s="27"/>
      <x:c r="V173" s="27"/>
      <x:c r="W173" s="27"/>
      <x:c r="X173" s="27"/>
      <x:c r="Y173" s="27"/>
      <x:c r="Z173" s="27"/>
      <x:c r="AA173" s="27"/>
      <x:c r="AB173" s="27"/>
      <x:c r="AC173" s="27"/>
      <x:c r="AD173" s="27"/>
      <x:c r="AE173" s="27"/>
      <x:c r="AF173" s="27"/>
      <x:c r="AG173" s="27"/>
      <x:c r="AH173" s="27"/>
      <x:c r="AI173" s="27"/>
      <x:c r="AJ173" s="27"/>
      <x:c r="AK173" s="27"/>
      <x:c r="AL173" s="27"/>
      <x:c r="AM173" s="27"/>
      <x:c r="AN173" s="27"/>
      <x:c r="AO173" s="27"/>
      <x:c r="AP173" s="27"/>
      <x:c r="AQ173" s="27"/>
      <x:c r="AR173" s="27"/>
      <x:c r="AS173" s="27"/>
      <x:c r="AT173" s="27"/>
      <x:c r="AU173" s="27"/>
      <x:c r="AV173" s="27"/>
      <x:c r="AW173" s="27"/>
      <x:c r="AX173" s="27"/>
      <x:c r="AY173" s="27"/>
      <x:c r="AZ173" s="27"/>
    </x:row>
    <x:row r="174">
      <x:c r="A174" s="27"/>
      <x:c r="B174" s="27"/>
      <x:c r="C174" s="27"/>
      <x:c r="D174" s="27"/>
      <x:c r="E174" s="27"/>
      <x:c r="F174" s="27"/>
      <x:c r="G174" s="27"/>
      <x:c r="H174" s="27"/>
      <x:c r="I174" s="27"/>
      <x:c r="J174" s="27"/>
      <x:c r="K174" s="27"/>
      <x:c r="L174" s="27"/>
      <x:c r="M174" s="27"/>
      <x:c r="N174" s="27"/>
      <x:c r="O174" s="27"/>
      <x:c r="P174" s="27"/>
      <x:c r="Q174" s="27"/>
      <x:c r="R174" s="27"/>
      <x:c r="S174" s="27"/>
      <x:c r="T174" s="27"/>
      <x:c r="U174" s="27"/>
      <x:c r="V174" s="27"/>
      <x:c r="W174" s="27"/>
      <x:c r="X174" s="27"/>
      <x:c r="Y174" s="27"/>
      <x:c r="Z174" s="27"/>
      <x:c r="AA174" s="27"/>
      <x:c r="AB174" s="27"/>
      <x:c r="AC174" s="27"/>
      <x:c r="AD174" s="27"/>
      <x:c r="AE174" s="27"/>
      <x:c r="AF174" s="27"/>
      <x:c r="AG174" s="27"/>
      <x:c r="AH174" s="27"/>
      <x:c r="AI174" s="27"/>
      <x:c r="AJ174" s="27"/>
      <x:c r="AK174" s="27"/>
      <x:c r="AL174" s="27"/>
      <x:c r="AM174" s="27"/>
      <x:c r="AN174" s="27"/>
      <x:c r="AO174" s="27"/>
      <x:c r="AP174" s="27"/>
      <x:c r="AQ174" s="27"/>
      <x:c r="AR174" s="27"/>
      <x:c r="AS174" s="27"/>
      <x:c r="AT174" s="27"/>
      <x:c r="AU174" s="27"/>
      <x:c r="AV174" s="27"/>
      <x:c r="AW174" s="27"/>
      <x:c r="AX174" s="27"/>
      <x:c r="AY174" s="27"/>
      <x:c r="AZ174" s="27"/>
    </x:row>
    <x:row r="175">
      <x:c r="A175" s="27"/>
      <x:c r="B175" s="27"/>
      <x:c r="C175" s="27"/>
      <x:c r="D175" s="27"/>
      <x:c r="E175" s="27"/>
      <x:c r="F175" s="27"/>
      <x:c r="G175" s="27"/>
      <x:c r="H175" s="27"/>
      <x:c r="I175" s="27"/>
      <x:c r="J175" s="27"/>
      <x:c r="K175" s="27"/>
      <x:c r="L175" s="27"/>
      <x:c r="M175" s="27"/>
      <x:c r="N175" s="27"/>
      <x:c r="O175" s="27"/>
      <x:c r="P175" s="27"/>
      <x:c r="Q175" s="27"/>
      <x:c r="R175" s="27"/>
      <x:c r="S175" s="27"/>
      <x:c r="T175" s="27"/>
      <x:c r="U175" s="27"/>
      <x:c r="V175" s="27"/>
      <x:c r="W175" s="27"/>
      <x:c r="X175" s="27"/>
      <x:c r="Y175" s="27"/>
      <x:c r="Z175" s="27"/>
      <x:c r="AA175" s="27"/>
      <x:c r="AB175" s="27"/>
      <x:c r="AC175" s="27"/>
      <x:c r="AD175" s="27"/>
      <x:c r="AE175" s="27"/>
      <x:c r="AF175" s="27"/>
      <x:c r="AG175" s="27"/>
      <x:c r="AH175" s="27"/>
      <x:c r="AI175" s="27"/>
      <x:c r="AJ175" s="27"/>
      <x:c r="AK175" s="27"/>
      <x:c r="AL175" s="27"/>
      <x:c r="AM175" s="27"/>
      <x:c r="AN175" s="27"/>
      <x:c r="AO175" s="27"/>
      <x:c r="AP175" s="27"/>
      <x:c r="AQ175" s="27"/>
      <x:c r="AR175" s="27"/>
      <x:c r="AS175" s="27"/>
      <x:c r="AT175" s="27"/>
      <x:c r="AU175" s="27"/>
      <x:c r="AV175" s="27"/>
      <x:c r="AW175" s="27"/>
      <x:c r="AX175" s="27"/>
      <x:c r="AY175" s="27"/>
      <x:c r="AZ175" s="27"/>
    </x:row>
    <x:row r="176">
      <x:c r="A176" s="27"/>
      <x:c r="B176" s="27"/>
      <x:c r="C176" s="27"/>
      <x:c r="D176" s="27"/>
      <x:c r="E176" s="27"/>
      <x:c r="F176" s="27"/>
      <x:c r="G176" s="27"/>
      <x:c r="H176" s="27"/>
      <x:c r="I176" s="27"/>
      <x:c r="J176" s="27"/>
      <x:c r="K176" s="27"/>
      <x:c r="L176" s="27"/>
      <x:c r="M176" s="27"/>
      <x:c r="N176" s="27"/>
      <x:c r="O176" s="27"/>
      <x:c r="P176" s="27"/>
      <x:c r="Q176" s="27"/>
      <x:c r="R176" s="27"/>
      <x:c r="S176" s="27"/>
      <x:c r="T176" s="27"/>
      <x:c r="U176" s="27"/>
      <x:c r="V176" s="27"/>
      <x:c r="W176" s="27"/>
      <x:c r="X176" s="27"/>
      <x:c r="Y176" s="27"/>
      <x:c r="Z176" s="27"/>
      <x:c r="AA176" s="27"/>
      <x:c r="AB176" s="27"/>
      <x:c r="AC176" s="27"/>
      <x:c r="AD176" s="27"/>
      <x:c r="AE176" s="27"/>
      <x:c r="AF176" s="27"/>
      <x:c r="AG176" s="27"/>
      <x:c r="AH176" s="27"/>
      <x:c r="AI176" s="27"/>
      <x:c r="AJ176" s="27"/>
      <x:c r="AK176" s="27"/>
      <x:c r="AL176" s="27"/>
      <x:c r="AM176" s="27"/>
      <x:c r="AN176" s="27"/>
      <x:c r="AO176" s="27"/>
      <x:c r="AP176" s="27"/>
      <x:c r="AQ176" s="27"/>
      <x:c r="AR176" s="27"/>
      <x:c r="AS176" s="27"/>
      <x:c r="AT176" s="27"/>
      <x:c r="AU176" s="27"/>
      <x:c r="AV176" s="27"/>
      <x:c r="AW176" s="27"/>
      <x:c r="AX176" s="27"/>
      <x:c r="AY176" s="27"/>
      <x:c r="AZ176" s="27"/>
    </x:row>
    <x:row r="177">
      <x:c r="A177" s="27"/>
      <x:c r="B177" s="27"/>
      <x:c r="C177" s="27"/>
      <x:c r="D177" s="27"/>
      <x:c r="E177" s="27"/>
      <x:c r="F177" s="27"/>
      <x:c r="G177" s="27"/>
      <x:c r="H177" s="27"/>
      <x:c r="I177" s="27"/>
      <x:c r="J177" s="27"/>
      <x:c r="K177" s="27"/>
      <x:c r="L177" s="27"/>
      <x:c r="M177" s="27"/>
      <x:c r="N177" s="27"/>
      <x:c r="O177" s="27"/>
      <x:c r="P177" s="27"/>
      <x:c r="Q177" s="27"/>
      <x:c r="R177" s="27"/>
      <x:c r="S177" s="27"/>
      <x:c r="T177" s="27"/>
      <x:c r="U177" s="27"/>
      <x:c r="V177" s="27"/>
      <x:c r="W177" s="27"/>
      <x:c r="X177" s="27"/>
      <x:c r="Y177" s="27"/>
      <x:c r="Z177" s="27"/>
      <x:c r="AA177" s="27"/>
      <x:c r="AB177" s="27"/>
      <x:c r="AC177" s="27"/>
      <x:c r="AD177" s="27"/>
      <x:c r="AE177" s="27"/>
      <x:c r="AF177" s="27"/>
      <x:c r="AG177" s="27"/>
      <x:c r="AH177" s="27"/>
      <x:c r="AI177" s="27"/>
      <x:c r="AJ177" s="27"/>
      <x:c r="AK177" s="27"/>
      <x:c r="AL177" s="27"/>
      <x:c r="AM177" s="27"/>
      <x:c r="AN177" s="27"/>
      <x:c r="AO177" s="27"/>
      <x:c r="AP177" s="27"/>
      <x:c r="AQ177" s="27"/>
      <x:c r="AR177" s="27"/>
      <x:c r="AS177" s="27"/>
      <x:c r="AT177" s="27"/>
      <x:c r="AU177" s="27"/>
      <x:c r="AV177" s="27"/>
      <x:c r="AW177" s="27"/>
      <x:c r="AX177" s="27"/>
      <x:c r="AY177" s="27"/>
      <x:c r="AZ177" s="27"/>
    </x:row>
    <x:row r="178">
      <x:c r="A178" s="27"/>
      <x:c r="B178" s="27"/>
      <x:c r="C178" s="27"/>
      <x:c r="D178" s="27"/>
      <x:c r="E178" s="27"/>
      <x:c r="F178" s="27"/>
      <x:c r="G178" s="27"/>
      <x:c r="H178" s="27"/>
      <x:c r="I178" s="27"/>
      <x:c r="J178" s="27"/>
      <x:c r="K178" s="27"/>
      <x:c r="L178" s="27"/>
      <x:c r="M178" s="27"/>
      <x:c r="N178" s="27"/>
      <x:c r="O178" s="27"/>
      <x:c r="P178" s="27"/>
      <x:c r="Q178" s="27"/>
      <x:c r="R178" s="27"/>
      <x:c r="S178" s="27"/>
      <x:c r="T178" s="27"/>
      <x:c r="U178" s="27"/>
      <x:c r="V178" s="27"/>
      <x:c r="W178" s="27"/>
      <x:c r="X178" s="27"/>
      <x:c r="Y178" s="27"/>
      <x:c r="Z178" s="27"/>
      <x:c r="AA178" s="27"/>
      <x:c r="AB178" s="27"/>
      <x:c r="AC178" s="27"/>
      <x:c r="AD178" s="27"/>
      <x:c r="AE178" s="27"/>
      <x:c r="AF178" s="27"/>
      <x:c r="AG178" s="27"/>
      <x:c r="AH178" s="27"/>
      <x:c r="AI178" s="27"/>
      <x:c r="AJ178" s="27"/>
      <x:c r="AK178" s="27"/>
      <x:c r="AL178" s="27"/>
      <x:c r="AM178" s="27"/>
      <x:c r="AN178" s="27"/>
      <x:c r="AO178" s="27"/>
      <x:c r="AP178" s="27"/>
      <x:c r="AQ178" s="27"/>
      <x:c r="AR178" s="27"/>
      <x:c r="AS178" s="27"/>
      <x:c r="AT178" s="27"/>
      <x:c r="AU178" s="27"/>
      <x:c r="AV178" s="27"/>
      <x:c r="AW178" s="27"/>
      <x:c r="AX178" s="27"/>
      <x:c r="AY178" s="27"/>
      <x:c r="AZ178" s="27"/>
    </x:row>
    <x:row r="179">
      <x:c r="A179" s="27"/>
      <x:c r="B179" s="27"/>
      <x:c r="C179" s="27"/>
      <x:c r="D179" s="27"/>
      <x:c r="E179" s="27"/>
      <x:c r="F179" s="27"/>
      <x:c r="G179" s="27"/>
      <x:c r="H179" s="27"/>
      <x:c r="I179" s="27"/>
      <x:c r="J179" s="27"/>
      <x:c r="K179" s="27"/>
      <x:c r="L179" s="27"/>
      <x:c r="M179" s="27"/>
      <x:c r="N179" s="27"/>
      <x:c r="O179" s="27"/>
      <x:c r="P179" s="27"/>
      <x:c r="Q179" s="27"/>
      <x:c r="R179" s="27"/>
      <x:c r="S179" s="27"/>
      <x:c r="T179" s="27"/>
      <x:c r="U179" s="27"/>
      <x:c r="V179" s="27"/>
      <x:c r="W179" s="27"/>
      <x:c r="X179" s="27"/>
      <x:c r="Y179" s="27"/>
      <x:c r="Z179" s="27"/>
      <x:c r="AA179" s="27"/>
      <x:c r="AB179" s="27"/>
      <x:c r="AC179" s="27"/>
      <x:c r="AD179" s="27"/>
      <x:c r="AE179" s="27"/>
      <x:c r="AF179" s="27"/>
      <x:c r="AG179" s="27"/>
      <x:c r="AH179" s="27"/>
      <x:c r="AI179" s="27"/>
      <x:c r="AJ179" s="27"/>
      <x:c r="AK179" s="27"/>
      <x:c r="AL179" s="27"/>
      <x:c r="AM179" s="27"/>
      <x:c r="AN179" s="27"/>
      <x:c r="AO179" s="27"/>
      <x:c r="AP179" s="27"/>
      <x:c r="AQ179" s="27"/>
      <x:c r="AR179" s="27"/>
      <x:c r="AS179" s="27"/>
      <x:c r="AT179" s="27"/>
      <x:c r="AU179" s="27"/>
      <x:c r="AV179" s="27"/>
      <x:c r="AW179" s="27"/>
      <x:c r="AX179" s="27"/>
      <x:c r="AY179" s="27"/>
      <x:c r="AZ179" s="27"/>
    </x:row>
    <x:row r="180">
      <x:c r="A180" s="27"/>
      <x:c r="B180" s="27"/>
      <x:c r="C180" s="27"/>
      <x:c r="D180" s="27"/>
      <x:c r="E180" s="27"/>
      <x:c r="F180" s="27"/>
      <x:c r="G180" s="27"/>
      <x:c r="H180" s="27"/>
      <x:c r="I180" s="27"/>
      <x:c r="J180" s="27"/>
      <x:c r="K180" s="27"/>
      <x:c r="L180" s="27"/>
      <x:c r="M180" s="27"/>
      <x:c r="N180" s="27"/>
      <x:c r="O180" s="27"/>
      <x:c r="P180" s="27"/>
      <x:c r="Q180" s="27"/>
      <x:c r="R180" s="27"/>
      <x:c r="S180" s="27"/>
      <x:c r="T180" s="27"/>
      <x:c r="U180" s="27"/>
      <x:c r="V180" s="27"/>
      <x:c r="W180" s="27"/>
      <x:c r="X180" s="27"/>
      <x:c r="Y180" s="27"/>
      <x:c r="Z180" s="27"/>
      <x:c r="AA180" s="27"/>
      <x:c r="AB180" s="27"/>
      <x:c r="AC180" s="27"/>
      <x:c r="AD180" s="27"/>
      <x:c r="AE180" s="27"/>
      <x:c r="AF180" s="27"/>
      <x:c r="AG180" s="27"/>
      <x:c r="AH180" s="27"/>
      <x:c r="AI180" s="27"/>
      <x:c r="AJ180" s="27"/>
      <x:c r="AK180" s="27"/>
      <x:c r="AL180" s="27"/>
      <x:c r="AM180" s="27"/>
      <x:c r="AN180" s="27"/>
      <x:c r="AO180" s="27"/>
      <x:c r="AP180" s="27"/>
      <x:c r="AQ180" s="27"/>
      <x:c r="AR180" s="27"/>
      <x:c r="AS180" s="27"/>
      <x:c r="AT180" s="27"/>
      <x:c r="AU180" s="27"/>
      <x:c r="AV180" s="27"/>
      <x:c r="AW180" s="27"/>
      <x:c r="AX180" s="27"/>
      <x:c r="AY180" s="27"/>
      <x:c r="AZ180" s="27"/>
    </x:row>
    <x:row r="181">
      <x:c r="A181" s="27"/>
      <x:c r="B181" s="27"/>
      <x:c r="C181" s="27"/>
      <x:c r="D181" s="27"/>
      <x:c r="E181" s="27"/>
      <x:c r="F181" s="27"/>
      <x:c r="G181" s="27"/>
      <x:c r="H181" s="27"/>
      <x:c r="I181" s="27"/>
      <x:c r="J181" s="27"/>
      <x:c r="K181" s="27"/>
      <x:c r="L181" s="27"/>
      <x:c r="M181" s="27"/>
      <x:c r="N181" s="27"/>
      <x:c r="O181" s="27"/>
      <x:c r="P181" s="27"/>
      <x:c r="Q181" s="27"/>
      <x:c r="R181" s="27"/>
      <x:c r="S181" s="27"/>
      <x:c r="T181" s="27"/>
      <x:c r="U181" s="27"/>
      <x:c r="V181" s="27"/>
      <x:c r="W181" s="27"/>
      <x:c r="X181" s="27"/>
      <x:c r="Y181" s="27"/>
      <x:c r="Z181" s="27"/>
      <x:c r="AA181" s="27"/>
      <x:c r="AB181" s="27"/>
      <x:c r="AC181" s="27"/>
      <x:c r="AD181" s="27"/>
      <x:c r="AE181" s="27"/>
      <x:c r="AF181" s="27"/>
      <x:c r="AG181" s="27"/>
      <x:c r="AH181" s="27"/>
      <x:c r="AI181" s="27"/>
      <x:c r="AJ181" s="27"/>
      <x:c r="AK181" s="27"/>
      <x:c r="AL181" s="27"/>
      <x:c r="AM181" s="27"/>
      <x:c r="AN181" s="27"/>
      <x:c r="AO181" s="27"/>
      <x:c r="AP181" s="27"/>
      <x:c r="AQ181" s="27"/>
      <x:c r="AR181" s="27"/>
      <x:c r="AS181" s="27"/>
      <x:c r="AT181" s="27"/>
      <x:c r="AU181" s="27"/>
      <x:c r="AV181" s="27"/>
      <x:c r="AW181" s="27"/>
      <x:c r="AX181" s="27"/>
      <x:c r="AY181" s="27"/>
      <x:c r="AZ181" s="27"/>
    </x:row>
    <x:row r="182">
      <x:c r="A182" s="27"/>
      <x:c r="B182" s="27"/>
      <x:c r="C182" s="27"/>
      <x:c r="D182" s="27"/>
      <x:c r="E182" s="27"/>
      <x:c r="F182" s="27"/>
      <x:c r="G182" s="27"/>
      <x:c r="H182" s="27"/>
      <x:c r="I182" s="27"/>
      <x:c r="J182" s="27"/>
      <x:c r="K182" s="27"/>
      <x:c r="L182" s="27"/>
      <x:c r="M182" s="27"/>
      <x:c r="N182" s="27"/>
      <x:c r="O182" s="27"/>
      <x:c r="P182" s="27"/>
      <x:c r="Q182" s="27"/>
      <x:c r="R182" s="27"/>
      <x:c r="S182" s="27"/>
      <x:c r="T182" s="27"/>
      <x:c r="U182" s="27"/>
      <x:c r="V182" s="27"/>
      <x:c r="W182" s="27"/>
      <x:c r="X182" s="27"/>
      <x:c r="Y182" s="27"/>
      <x:c r="Z182" s="27"/>
      <x:c r="AA182" s="27"/>
      <x:c r="AB182" s="27"/>
      <x:c r="AC182" s="27"/>
      <x:c r="AD182" s="27"/>
      <x:c r="AE182" s="27"/>
      <x:c r="AF182" s="27"/>
      <x:c r="AG182" s="27"/>
      <x:c r="AH182" s="27"/>
      <x:c r="AI182" s="27"/>
      <x:c r="AJ182" s="27"/>
      <x:c r="AK182" s="27"/>
      <x:c r="AL182" s="27"/>
      <x:c r="AM182" s="27"/>
      <x:c r="AN182" s="27"/>
      <x:c r="AO182" s="27"/>
      <x:c r="AP182" s="27"/>
      <x:c r="AQ182" s="27"/>
      <x:c r="AR182" s="27"/>
      <x:c r="AS182" s="27"/>
      <x:c r="AT182" s="27"/>
      <x:c r="AU182" s="27"/>
      <x:c r="AV182" s="27"/>
      <x:c r="AW182" s="27"/>
      <x:c r="AX182" s="27"/>
      <x:c r="AY182" s="27"/>
      <x:c r="AZ182" s="27"/>
    </x:row>
    <x:row r="183">
      <x:c r="A183" s="27"/>
      <x:c r="B183" s="27"/>
      <x:c r="C183" s="27"/>
      <x:c r="D183" s="27"/>
      <x:c r="E183" s="27"/>
      <x:c r="F183" s="27"/>
      <x:c r="G183" s="27"/>
      <x:c r="H183" s="27"/>
      <x:c r="I183" s="27"/>
      <x:c r="J183" s="27"/>
      <x:c r="K183" s="27"/>
      <x:c r="L183" s="27"/>
      <x:c r="M183" s="27"/>
      <x:c r="N183" s="27"/>
      <x:c r="O183" s="27"/>
      <x:c r="P183" s="27"/>
      <x:c r="Q183" s="27"/>
      <x:c r="R183" s="27"/>
      <x:c r="S183" s="27"/>
      <x:c r="T183" s="27"/>
      <x:c r="U183" s="27"/>
      <x:c r="V183" s="27"/>
      <x:c r="W183" s="27"/>
      <x:c r="X183" s="27"/>
      <x:c r="Y183" s="27"/>
      <x:c r="Z183" s="27"/>
      <x:c r="AA183" s="27"/>
      <x:c r="AB183" s="27"/>
      <x:c r="AC183" s="27"/>
      <x:c r="AD183" s="27"/>
      <x:c r="AE183" s="27"/>
      <x:c r="AF183" s="27"/>
      <x:c r="AG183" s="27"/>
      <x:c r="AH183" s="27"/>
      <x:c r="AI183" s="27"/>
      <x:c r="AJ183" s="27"/>
      <x:c r="AK183" s="27"/>
      <x:c r="AL183" s="27"/>
      <x:c r="AM183" s="27"/>
      <x:c r="AN183" s="27"/>
      <x:c r="AO183" s="27"/>
      <x:c r="AP183" s="27"/>
      <x:c r="AQ183" s="27"/>
      <x:c r="AR183" s="27"/>
      <x:c r="AS183" s="27"/>
      <x:c r="AT183" s="27"/>
      <x:c r="AU183" s="27"/>
      <x:c r="AV183" s="27"/>
      <x:c r="AW183" s="27"/>
      <x:c r="AX183" s="27"/>
      <x:c r="AY183" s="27"/>
      <x:c r="AZ183" s="27"/>
    </x:row>
    <x:row r="184">
      <x:c r="A184" s="27"/>
      <x:c r="B184" s="27"/>
      <x:c r="C184" s="27"/>
      <x:c r="D184" s="27"/>
      <x:c r="E184" s="27"/>
      <x:c r="F184" s="27"/>
      <x:c r="G184" s="27"/>
      <x:c r="H184" s="27"/>
      <x:c r="I184" s="27"/>
      <x:c r="J184" s="27"/>
      <x:c r="K184" s="27"/>
      <x:c r="L184" s="27"/>
      <x:c r="M184" s="27"/>
      <x:c r="N184" s="27"/>
      <x:c r="O184" s="27"/>
      <x:c r="P184" s="27"/>
      <x:c r="Q184" s="27"/>
      <x:c r="R184" s="27"/>
      <x:c r="S184" s="27"/>
      <x:c r="T184" s="27"/>
      <x:c r="U184" s="27"/>
      <x:c r="V184" s="27"/>
      <x:c r="W184" s="27"/>
      <x:c r="X184" s="27"/>
      <x:c r="Y184" s="27"/>
      <x:c r="Z184" s="27"/>
      <x:c r="AA184" s="27"/>
      <x:c r="AB184" s="27"/>
      <x:c r="AC184" s="27"/>
      <x:c r="AD184" s="27"/>
      <x:c r="AE184" s="27"/>
      <x:c r="AF184" s="27"/>
      <x:c r="AG184" s="27"/>
      <x:c r="AH184" s="27"/>
      <x:c r="AI184" s="27"/>
      <x:c r="AJ184" s="27"/>
      <x:c r="AK184" s="27"/>
      <x:c r="AL184" s="27"/>
      <x:c r="AM184" s="27"/>
      <x:c r="AN184" s="27"/>
      <x:c r="AO184" s="27"/>
      <x:c r="AP184" s="27"/>
      <x:c r="AQ184" s="27"/>
      <x:c r="AR184" s="27"/>
      <x:c r="AS184" s="27"/>
      <x:c r="AT184" s="27"/>
      <x:c r="AU184" s="27"/>
      <x:c r="AV184" s="27"/>
      <x:c r="AW184" s="27"/>
      <x:c r="AX184" s="27"/>
      <x:c r="AY184" s="27"/>
      <x:c r="AZ184" s="27"/>
    </x:row>
    <x:row r="185">
      <x:c r="A185" s="27"/>
      <x:c r="B185" s="27"/>
      <x:c r="C185" s="27"/>
      <x:c r="D185" s="27"/>
      <x:c r="E185" s="27"/>
      <x:c r="F185" s="27"/>
      <x:c r="G185" s="27"/>
      <x:c r="H185" s="27"/>
      <x:c r="I185" s="27"/>
      <x:c r="J185" s="27"/>
      <x:c r="K185" s="27"/>
      <x:c r="L185" s="27"/>
      <x:c r="M185" s="27"/>
      <x:c r="N185" s="27"/>
      <x:c r="O185" s="27"/>
      <x:c r="P185" s="27"/>
      <x:c r="Q185" s="27"/>
      <x:c r="R185" s="27"/>
      <x:c r="S185" s="27"/>
      <x:c r="T185" s="27"/>
      <x:c r="U185" s="27"/>
      <x:c r="V185" s="27"/>
      <x:c r="W185" s="27"/>
      <x:c r="X185" s="27"/>
      <x:c r="Y185" s="27"/>
      <x:c r="Z185" s="27"/>
      <x:c r="AA185" s="27"/>
      <x:c r="AB185" s="27"/>
      <x:c r="AC185" s="27"/>
      <x:c r="AD185" s="27"/>
      <x:c r="AE185" s="27"/>
      <x:c r="AF185" s="27"/>
      <x:c r="AG185" s="27"/>
      <x:c r="AH185" s="27"/>
      <x:c r="AI185" s="27"/>
      <x:c r="AJ185" s="27"/>
      <x:c r="AK185" s="27"/>
      <x:c r="AL185" s="27"/>
      <x:c r="AM185" s="27"/>
      <x:c r="AN185" s="27"/>
      <x:c r="AO185" s="27"/>
      <x:c r="AP185" s="27"/>
      <x:c r="AQ185" s="27"/>
      <x:c r="AR185" s="27"/>
      <x:c r="AS185" s="27"/>
      <x:c r="AT185" s="27"/>
      <x:c r="AU185" s="27"/>
      <x:c r="AV185" s="27"/>
      <x:c r="AW185" s="27"/>
      <x:c r="AX185" s="27"/>
      <x:c r="AY185" s="27"/>
      <x:c r="AZ185" s="27"/>
    </x:row>
    <x:row r="186">
      <x:c r="A186" s="27"/>
      <x:c r="B186" s="27"/>
      <x:c r="C186" s="27"/>
      <x:c r="D186" s="27"/>
      <x:c r="E186" s="27"/>
      <x:c r="F186" s="27"/>
      <x:c r="G186" s="27"/>
      <x:c r="H186" s="27"/>
      <x:c r="I186" s="27"/>
      <x:c r="J186" s="27"/>
      <x:c r="K186" s="27"/>
      <x:c r="L186" s="27"/>
      <x:c r="M186" s="27"/>
      <x:c r="N186" s="27"/>
      <x:c r="O186" s="27"/>
      <x:c r="P186" s="27"/>
      <x:c r="Q186" s="27"/>
      <x:c r="R186" s="27"/>
      <x:c r="S186" s="27"/>
      <x:c r="T186" s="27"/>
      <x:c r="U186" s="27"/>
      <x:c r="V186" s="27"/>
      <x:c r="W186" s="27"/>
      <x:c r="X186" s="27"/>
      <x:c r="Y186" s="27"/>
      <x:c r="Z186" s="27"/>
      <x:c r="AA186" s="27"/>
      <x:c r="AB186" s="27"/>
      <x:c r="AC186" s="27"/>
      <x:c r="AD186" s="27"/>
      <x:c r="AE186" s="27"/>
      <x:c r="AF186" s="27"/>
      <x:c r="AG186" s="27"/>
      <x:c r="AH186" s="27"/>
      <x:c r="AI186" s="27"/>
      <x:c r="AJ186" s="27"/>
      <x:c r="AK186" s="27"/>
      <x:c r="AL186" s="27"/>
      <x:c r="AM186" s="27"/>
      <x:c r="AN186" s="27"/>
      <x:c r="AO186" s="27"/>
      <x:c r="AP186" s="27"/>
      <x:c r="AQ186" s="27"/>
      <x:c r="AR186" s="27"/>
      <x:c r="AS186" s="27"/>
      <x:c r="AT186" s="27"/>
      <x:c r="AU186" s="27"/>
      <x:c r="AV186" s="27"/>
      <x:c r="AW186" s="27"/>
      <x:c r="AX186" s="27"/>
      <x:c r="AY186" s="27"/>
      <x:c r="AZ186" s="27"/>
    </x:row>
    <x:row r="187">
      <x:c r="A187" s="27"/>
      <x:c r="B187" s="27"/>
      <x:c r="C187" s="27"/>
      <x:c r="D187" s="27"/>
      <x:c r="E187" s="27"/>
      <x:c r="F187" s="27"/>
      <x:c r="G187" s="27"/>
      <x:c r="H187" s="27"/>
      <x:c r="I187" s="27"/>
      <x:c r="J187" s="27"/>
      <x:c r="K187" s="27"/>
      <x:c r="L187" s="27"/>
      <x:c r="M187" s="27"/>
      <x:c r="N187" s="27"/>
      <x:c r="O187" s="27"/>
      <x:c r="P187" s="27"/>
      <x:c r="Q187" s="27"/>
      <x:c r="R187" s="27"/>
      <x:c r="S187" s="27"/>
      <x:c r="T187" s="27"/>
      <x:c r="U187" s="27"/>
      <x:c r="V187" s="27"/>
      <x:c r="W187" s="27"/>
      <x:c r="X187" s="27"/>
      <x:c r="Y187" s="27"/>
      <x:c r="Z187" s="27"/>
      <x:c r="AA187" s="27"/>
      <x:c r="AB187" s="27"/>
      <x:c r="AC187" s="27"/>
      <x:c r="AD187" s="27"/>
      <x:c r="AE187" s="27"/>
      <x:c r="AF187" s="27"/>
      <x:c r="AG187" s="27"/>
      <x:c r="AH187" s="27"/>
      <x:c r="AI187" s="27"/>
      <x:c r="AJ187" s="27"/>
      <x:c r="AK187" s="27"/>
      <x:c r="AL187" s="27"/>
      <x:c r="AM187" s="27"/>
      <x:c r="AN187" s="27"/>
      <x:c r="AO187" s="27"/>
      <x:c r="AP187" s="27"/>
      <x:c r="AQ187" s="27"/>
      <x:c r="AR187" s="27"/>
      <x:c r="AS187" s="27"/>
      <x:c r="AT187" s="27"/>
      <x:c r="AU187" s="27"/>
      <x:c r="AV187" s="27"/>
      <x:c r="AW187" s="27"/>
      <x:c r="AX187" s="27"/>
      <x:c r="AY187" s="27"/>
      <x:c r="AZ187" s="27"/>
    </x:row>
    <x:row r="188">
      <x:c r="A188" s="27"/>
      <x:c r="B188" s="27"/>
      <x:c r="C188" s="27"/>
      <x:c r="D188" s="27"/>
      <x:c r="E188" s="27"/>
      <x:c r="F188" s="27"/>
      <x:c r="G188" s="27"/>
      <x:c r="H188" s="27"/>
      <x:c r="I188" s="27"/>
      <x:c r="J188" s="27"/>
      <x:c r="K188" s="27"/>
      <x:c r="L188" s="27"/>
      <x:c r="M188" s="27"/>
      <x:c r="N188" s="27"/>
      <x:c r="O188" s="27"/>
      <x:c r="P188" s="27"/>
      <x:c r="Q188" s="27"/>
      <x:c r="R188" s="27"/>
      <x:c r="S188" s="27"/>
      <x:c r="T188" s="27"/>
      <x:c r="U188" s="27"/>
      <x:c r="V188" s="27"/>
      <x:c r="W188" s="27"/>
      <x:c r="X188" s="27"/>
      <x:c r="Y188" s="27"/>
      <x:c r="Z188" s="27"/>
      <x:c r="AA188" s="27"/>
      <x:c r="AB188" s="27"/>
      <x:c r="AC188" s="27"/>
      <x:c r="AD188" s="27"/>
      <x:c r="AE188" s="27"/>
      <x:c r="AF188" s="27"/>
      <x:c r="AG188" s="27"/>
      <x:c r="AH188" s="27"/>
      <x:c r="AI188" s="27"/>
      <x:c r="AJ188" s="27"/>
      <x:c r="AK188" s="27"/>
      <x:c r="AL188" s="27"/>
      <x:c r="AM188" s="27"/>
      <x:c r="AN188" s="27"/>
      <x:c r="AO188" s="27"/>
      <x:c r="AP188" s="27"/>
      <x:c r="AQ188" s="27"/>
      <x:c r="AR188" s="27"/>
      <x:c r="AS188" s="27"/>
      <x:c r="AT188" s="27"/>
      <x:c r="AU188" s="27"/>
      <x:c r="AV188" s="27"/>
      <x:c r="AW188" s="27"/>
      <x:c r="AX188" s="27"/>
      <x:c r="AY188" s="27"/>
      <x:c r="AZ188" s="27"/>
    </x:row>
    <x:row r="189">
      <x:c r="A189" s="27"/>
      <x:c r="B189" s="27"/>
      <x:c r="C189" s="27"/>
      <x:c r="D189" s="27"/>
      <x:c r="E189" s="27"/>
      <x:c r="F189" s="27"/>
      <x:c r="G189" s="27"/>
      <x:c r="H189" s="27"/>
      <x:c r="I189" s="27"/>
      <x:c r="J189" s="27"/>
      <x:c r="K189" s="27"/>
      <x:c r="L189" s="27"/>
      <x:c r="M189" s="27"/>
      <x:c r="N189" s="27"/>
      <x:c r="O189" s="27"/>
      <x:c r="P189" s="27"/>
      <x:c r="Q189" s="27"/>
      <x:c r="R189" s="27"/>
      <x:c r="S189" s="27"/>
      <x:c r="T189" s="27"/>
      <x:c r="U189" s="27"/>
      <x:c r="V189" s="27"/>
      <x:c r="W189" s="27"/>
      <x:c r="X189" s="27"/>
      <x:c r="Y189" s="27"/>
      <x:c r="Z189" s="27"/>
      <x:c r="AA189" s="27"/>
      <x:c r="AB189" s="27"/>
      <x:c r="AC189" s="27"/>
      <x:c r="AD189" s="27"/>
      <x:c r="AE189" s="27"/>
      <x:c r="AF189" s="27"/>
      <x:c r="AG189" s="27"/>
      <x:c r="AH189" s="27"/>
      <x:c r="AI189" s="27"/>
      <x:c r="AJ189" s="27"/>
      <x:c r="AK189" s="27"/>
      <x:c r="AL189" s="27"/>
      <x:c r="AM189" s="27"/>
      <x:c r="AN189" s="27"/>
      <x:c r="AO189" s="27"/>
      <x:c r="AP189" s="27"/>
      <x:c r="AQ189" s="27"/>
      <x:c r="AR189" s="27"/>
      <x:c r="AS189" s="27"/>
      <x:c r="AT189" s="27"/>
      <x:c r="AU189" s="27"/>
      <x:c r="AV189" s="27"/>
      <x:c r="AW189" s="27"/>
      <x:c r="AX189" s="27"/>
      <x:c r="AY189" s="27"/>
      <x:c r="AZ189" s="27"/>
    </x:row>
    <x:row r="190">
      <x:c r="A190" s="27"/>
      <x:c r="B190" s="27"/>
      <x:c r="C190" s="27"/>
      <x:c r="D190" s="27"/>
      <x:c r="E190" s="27"/>
      <x:c r="F190" s="27"/>
      <x:c r="G190" s="27"/>
      <x:c r="H190" s="27"/>
      <x:c r="I190" s="27"/>
      <x:c r="J190" s="27"/>
      <x:c r="K190" s="27"/>
      <x:c r="L190" s="27"/>
      <x:c r="M190" s="27"/>
      <x:c r="N190" s="27"/>
      <x:c r="O190" s="27"/>
      <x:c r="P190" s="27"/>
      <x:c r="Q190" s="27"/>
      <x:c r="R190" s="27"/>
      <x:c r="S190" s="27"/>
      <x:c r="T190" s="27"/>
      <x:c r="U190" s="27"/>
      <x:c r="V190" s="27"/>
      <x:c r="W190" s="27"/>
      <x:c r="X190" s="27"/>
      <x:c r="Y190" s="27"/>
      <x:c r="Z190" s="27"/>
      <x:c r="AA190" s="27"/>
      <x:c r="AB190" s="27"/>
      <x:c r="AC190" s="27"/>
      <x:c r="AD190" s="27"/>
      <x:c r="AE190" s="27"/>
      <x:c r="AF190" s="27"/>
      <x:c r="AG190" s="27"/>
      <x:c r="AH190" s="27"/>
      <x:c r="AI190" s="27"/>
      <x:c r="AJ190" s="27"/>
      <x:c r="AK190" s="27"/>
      <x:c r="AL190" s="27"/>
      <x:c r="AM190" s="27"/>
      <x:c r="AN190" s="27"/>
      <x:c r="AO190" s="27"/>
      <x:c r="AP190" s="27"/>
      <x:c r="AQ190" s="27"/>
      <x:c r="AR190" s="27"/>
      <x:c r="AS190" s="27"/>
      <x:c r="AT190" s="27"/>
      <x:c r="AU190" s="27"/>
      <x:c r="AV190" s="27"/>
      <x:c r="AW190" s="27"/>
      <x:c r="AX190" s="27"/>
      <x:c r="AY190" s="27"/>
      <x:c r="AZ190" s="27"/>
    </x:row>
    <x:row r="191">
      <x:c r="A191" s="27"/>
      <x:c r="B191" s="27"/>
      <x:c r="C191" s="27"/>
      <x:c r="D191" s="27"/>
      <x:c r="E191" s="27"/>
      <x:c r="F191" s="27"/>
      <x:c r="G191" s="27"/>
      <x:c r="H191" s="27"/>
      <x:c r="I191" s="27"/>
      <x:c r="J191" s="27"/>
      <x:c r="K191" s="27"/>
      <x:c r="L191" s="27"/>
      <x:c r="M191" s="27"/>
      <x:c r="N191" s="27"/>
      <x:c r="O191" s="27"/>
      <x:c r="P191" s="27"/>
      <x:c r="Q191" s="27"/>
      <x:c r="R191" s="27"/>
      <x:c r="S191" s="27"/>
      <x:c r="T191" s="27"/>
      <x:c r="U191" s="27"/>
      <x:c r="V191" s="27"/>
      <x:c r="W191" s="27"/>
      <x:c r="X191" s="27"/>
      <x:c r="Y191" s="27"/>
      <x:c r="Z191" s="27"/>
      <x:c r="AA191" s="27"/>
      <x:c r="AB191" s="27"/>
      <x:c r="AC191" s="27"/>
      <x:c r="AD191" s="27"/>
      <x:c r="AE191" s="27"/>
      <x:c r="AF191" s="27"/>
      <x:c r="AG191" s="27"/>
      <x:c r="AH191" s="27"/>
      <x:c r="AI191" s="27"/>
      <x:c r="AJ191" s="27"/>
      <x:c r="AK191" s="27"/>
      <x:c r="AL191" s="27"/>
      <x:c r="AM191" s="27"/>
      <x:c r="AN191" s="27"/>
      <x:c r="AO191" s="27"/>
      <x:c r="AP191" s="27"/>
      <x:c r="AQ191" s="27"/>
      <x:c r="AR191" s="27"/>
      <x:c r="AS191" s="27"/>
      <x:c r="AT191" s="27"/>
      <x:c r="AU191" s="27"/>
      <x:c r="AV191" s="27"/>
      <x:c r="AW191" s="27"/>
      <x:c r="AX191" s="27"/>
      <x:c r="AY191" s="27"/>
      <x:c r="AZ191" s="27"/>
    </x:row>
    <x:row r="192">
      <x:c r="A192" s="27"/>
      <x:c r="B192" s="27"/>
      <x:c r="C192" s="27"/>
      <x:c r="D192" s="27"/>
      <x:c r="E192" s="27"/>
      <x:c r="F192" s="27"/>
      <x:c r="G192" s="27"/>
      <x:c r="H192" s="27"/>
      <x:c r="I192" s="27"/>
      <x:c r="J192" s="27"/>
      <x:c r="K192" s="27"/>
      <x:c r="L192" s="27"/>
      <x:c r="M192" s="27"/>
      <x:c r="N192" s="27"/>
      <x:c r="O192" s="27"/>
      <x:c r="P192" s="27"/>
      <x:c r="Q192" s="27"/>
      <x:c r="R192" s="27"/>
      <x:c r="S192" s="27"/>
      <x:c r="T192" s="27"/>
      <x:c r="U192" s="27"/>
      <x:c r="V192" s="27"/>
      <x:c r="W192" s="27"/>
      <x:c r="X192" s="27"/>
      <x:c r="Y192" s="27"/>
      <x:c r="Z192" s="27"/>
      <x:c r="AA192" s="27"/>
      <x:c r="AB192" s="27"/>
      <x:c r="AC192" s="27"/>
      <x:c r="AD192" s="27"/>
      <x:c r="AE192" s="27"/>
      <x:c r="AF192" s="27"/>
      <x:c r="AG192" s="27"/>
      <x:c r="AH192" s="27"/>
      <x:c r="AI192" s="27"/>
      <x:c r="AJ192" s="27"/>
      <x:c r="AK192" s="27"/>
      <x:c r="AL192" s="27"/>
      <x:c r="AM192" s="27"/>
      <x:c r="AN192" s="27"/>
      <x:c r="AO192" s="27"/>
      <x:c r="AP192" s="27"/>
      <x:c r="AQ192" s="27"/>
      <x:c r="AR192" s="27"/>
      <x:c r="AS192" s="27"/>
      <x:c r="AT192" s="27"/>
      <x:c r="AU192" s="27"/>
      <x:c r="AV192" s="27"/>
      <x:c r="AW192" s="27"/>
      <x:c r="AX192" s="27"/>
      <x:c r="AY192" s="27"/>
      <x:c r="AZ192" s="27"/>
    </x:row>
    <x:row r="193">
      <x:c r="A193" s="27"/>
      <x:c r="B193" s="27"/>
      <x:c r="C193" s="27"/>
      <x:c r="D193" s="27"/>
      <x:c r="E193" s="27"/>
      <x:c r="F193" s="27"/>
      <x:c r="G193" s="27"/>
      <x:c r="H193" s="27"/>
      <x:c r="I193" s="27"/>
      <x:c r="J193" s="27"/>
      <x:c r="K193" s="27"/>
      <x:c r="L193" s="27"/>
      <x:c r="M193" s="27"/>
      <x:c r="N193" s="27"/>
      <x:c r="O193" s="27"/>
      <x:c r="P193" s="27"/>
      <x:c r="Q193" s="27"/>
      <x:c r="R193" s="27"/>
      <x:c r="S193" s="27"/>
      <x:c r="T193" s="27"/>
      <x:c r="U193" s="27"/>
      <x:c r="V193" s="27"/>
      <x:c r="W193" s="27"/>
      <x:c r="X193" s="27"/>
      <x:c r="Y193" s="27"/>
      <x:c r="Z193" s="27"/>
      <x:c r="AA193" s="27"/>
      <x:c r="AB193" s="27"/>
      <x:c r="AC193" s="27"/>
      <x:c r="AD193" s="27"/>
      <x:c r="AE193" s="27"/>
      <x:c r="AF193" s="27"/>
      <x:c r="AG193" s="27"/>
      <x:c r="AH193" s="27"/>
      <x:c r="AI193" s="27"/>
      <x:c r="AJ193" s="27"/>
      <x:c r="AK193" s="27"/>
      <x:c r="AL193" s="27"/>
      <x:c r="AM193" s="27"/>
      <x:c r="AN193" s="27"/>
      <x:c r="AO193" s="27"/>
      <x:c r="AP193" s="27"/>
      <x:c r="AQ193" s="27"/>
      <x:c r="AR193" s="27"/>
      <x:c r="AS193" s="27"/>
      <x:c r="AT193" s="27"/>
      <x:c r="AU193" s="27"/>
      <x:c r="AV193" s="27"/>
      <x:c r="AW193" s="27"/>
      <x:c r="AX193" s="27"/>
      <x:c r="AY193" s="27"/>
      <x:c r="AZ193" s="27"/>
    </x:row>
    <x:row r="194">
      <x:c r="A194" s="27"/>
      <x:c r="B194" s="27"/>
      <x:c r="C194" s="27"/>
      <x:c r="D194" s="27"/>
      <x:c r="E194" s="27"/>
      <x:c r="F194" s="27"/>
      <x:c r="G194" s="27"/>
      <x:c r="H194" s="27"/>
      <x:c r="I194" s="27"/>
      <x:c r="J194" s="27"/>
      <x:c r="K194" s="27"/>
      <x:c r="L194" s="27"/>
      <x:c r="M194" s="27"/>
      <x:c r="N194" s="27"/>
      <x:c r="O194" s="27"/>
      <x:c r="P194" s="27"/>
      <x:c r="Q194" s="27"/>
      <x:c r="R194" s="27"/>
      <x:c r="S194" s="27"/>
      <x:c r="T194" s="27"/>
      <x:c r="U194" s="27"/>
      <x:c r="V194" s="27"/>
      <x:c r="W194" s="27"/>
      <x:c r="X194" s="27"/>
      <x:c r="Y194" s="27"/>
      <x:c r="Z194" s="27"/>
      <x:c r="AA194" s="27"/>
      <x:c r="AB194" s="27"/>
      <x:c r="AC194" s="27"/>
      <x:c r="AD194" s="27"/>
      <x:c r="AE194" s="27"/>
      <x:c r="AF194" s="27"/>
      <x:c r="AG194" s="27"/>
      <x:c r="AH194" s="27"/>
      <x:c r="AI194" s="27"/>
      <x:c r="AJ194" s="27"/>
      <x:c r="AK194" s="27"/>
      <x:c r="AL194" s="27"/>
      <x:c r="AM194" s="27"/>
      <x:c r="AN194" s="27"/>
      <x:c r="AO194" s="27"/>
      <x:c r="AP194" s="27"/>
      <x:c r="AQ194" s="27"/>
      <x:c r="AR194" s="27"/>
      <x:c r="AS194" s="27"/>
      <x:c r="AT194" s="27"/>
      <x:c r="AU194" s="27"/>
      <x:c r="AV194" s="27"/>
      <x:c r="AW194" s="27"/>
      <x:c r="AX194" s="27"/>
      <x:c r="AY194" s="27"/>
      <x:c r="AZ194" s="27"/>
    </x:row>
    <x:row r="195">
      <x:c r="A195" s="27"/>
      <x:c r="B195" s="27"/>
      <x:c r="C195" s="27"/>
      <x:c r="D195" s="27"/>
      <x:c r="E195" s="27"/>
      <x:c r="F195" s="27"/>
      <x:c r="G195" s="27"/>
      <x:c r="H195" s="27"/>
      <x:c r="I195" s="27"/>
      <x:c r="J195" s="27"/>
      <x:c r="K195" s="27"/>
      <x:c r="L195" s="27"/>
      <x:c r="M195" s="27"/>
      <x:c r="N195" s="27"/>
      <x:c r="O195" s="27"/>
      <x:c r="P195" s="27"/>
      <x:c r="Q195" s="27"/>
      <x:c r="R195" s="27"/>
      <x:c r="S195" s="27"/>
      <x:c r="T195" s="27"/>
      <x:c r="U195" s="27"/>
      <x:c r="V195" s="27"/>
      <x:c r="W195" s="27"/>
      <x:c r="X195" s="27"/>
      <x:c r="Y195" s="27"/>
      <x:c r="Z195" s="27"/>
      <x:c r="AA195" s="27"/>
      <x:c r="AB195" s="27"/>
      <x:c r="AC195" s="27"/>
      <x:c r="AD195" s="27"/>
      <x:c r="AE195" s="27"/>
      <x:c r="AF195" s="27"/>
      <x:c r="AG195" s="27"/>
      <x:c r="AH195" s="27"/>
      <x:c r="AI195" s="27"/>
      <x:c r="AJ195" s="27"/>
      <x:c r="AK195" s="27"/>
      <x:c r="AL195" s="27"/>
      <x:c r="AM195" s="27"/>
      <x:c r="AN195" s="27"/>
      <x:c r="AO195" s="27"/>
      <x:c r="AP195" s="27"/>
      <x:c r="AQ195" s="27"/>
      <x:c r="AR195" s="27"/>
      <x:c r="AS195" s="27"/>
      <x:c r="AT195" s="27"/>
      <x:c r="AU195" s="27"/>
      <x:c r="AV195" s="27"/>
      <x:c r="AW195" s="27"/>
      <x:c r="AX195" s="27"/>
      <x:c r="AY195" s="27"/>
      <x:c r="AZ195" s="27"/>
    </x:row>
    <x:row r="196">
      <x:c r="A196" s="27"/>
      <x:c r="B196" s="27"/>
      <x:c r="C196" s="27"/>
      <x:c r="D196" s="27"/>
      <x:c r="E196" s="27"/>
      <x:c r="F196" s="27"/>
      <x:c r="G196" s="27"/>
      <x:c r="H196" s="27"/>
      <x:c r="I196" s="27"/>
      <x:c r="J196" s="27"/>
      <x:c r="K196" s="27"/>
      <x:c r="L196" s="27"/>
      <x:c r="M196" s="27"/>
      <x:c r="N196" s="27"/>
      <x:c r="O196" s="27"/>
      <x:c r="P196" s="27"/>
      <x:c r="Q196" s="27"/>
      <x:c r="R196" s="27"/>
      <x:c r="S196" s="27"/>
      <x:c r="T196" s="27"/>
      <x:c r="U196" s="27"/>
      <x:c r="V196" s="27"/>
      <x:c r="W196" s="27"/>
      <x:c r="X196" s="27"/>
      <x:c r="Y196" s="27"/>
      <x:c r="Z196" s="27"/>
      <x:c r="AA196" s="27"/>
      <x:c r="AB196" s="27"/>
      <x:c r="AC196" s="27"/>
      <x:c r="AD196" s="27"/>
      <x:c r="AE196" s="27"/>
      <x:c r="AF196" s="27"/>
      <x:c r="AG196" s="27"/>
      <x:c r="AH196" s="27"/>
      <x:c r="AI196" s="27"/>
      <x:c r="AJ196" s="27"/>
      <x:c r="AK196" s="27"/>
      <x:c r="AL196" s="27"/>
      <x:c r="AM196" s="27"/>
      <x:c r="AN196" s="27"/>
      <x:c r="AO196" s="27"/>
      <x:c r="AP196" s="27"/>
      <x:c r="AQ196" s="27"/>
      <x:c r="AR196" s="27"/>
      <x:c r="AS196" s="27"/>
      <x:c r="AT196" s="27"/>
      <x:c r="AU196" s="27"/>
      <x:c r="AV196" s="27"/>
      <x:c r="AW196" s="27"/>
      <x:c r="AX196" s="27"/>
      <x:c r="AY196" s="27"/>
      <x:c r="AZ196" s="27"/>
    </x:row>
    <x:row r="197">
      <x:c r="A197" s="27"/>
      <x:c r="B197" s="27"/>
      <x:c r="C197" s="27"/>
      <x:c r="D197" s="27"/>
      <x:c r="E197" s="27"/>
      <x:c r="F197" s="27"/>
      <x:c r="G197" s="27"/>
      <x:c r="H197" s="27"/>
      <x:c r="I197" s="27"/>
      <x:c r="J197" s="27"/>
      <x:c r="K197" s="27"/>
      <x:c r="L197" s="27"/>
      <x:c r="M197" s="27"/>
      <x:c r="N197" s="27"/>
      <x:c r="O197" s="27"/>
      <x:c r="P197" s="27"/>
      <x:c r="Q197" s="27"/>
      <x:c r="R197" s="27"/>
      <x:c r="S197" s="27"/>
      <x:c r="T197" s="27"/>
      <x:c r="U197" s="27"/>
      <x:c r="V197" s="27"/>
      <x:c r="W197" s="27"/>
      <x:c r="X197" s="27"/>
      <x:c r="Y197" s="27"/>
      <x:c r="Z197" s="27"/>
      <x:c r="AA197" s="27"/>
      <x:c r="AB197" s="27"/>
      <x:c r="AC197" s="27"/>
      <x:c r="AD197" s="27"/>
      <x:c r="AE197" s="27"/>
      <x:c r="AF197" s="27"/>
      <x:c r="AG197" s="27"/>
      <x:c r="AH197" s="27"/>
      <x:c r="AI197" s="27"/>
      <x:c r="AJ197" s="27"/>
      <x:c r="AK197" s="27"/>
      <x:c r="AL197" s="27"/>
      <x:c r="AM197" s="27"/>
      <x:c r="AN197" s="27"/>
      <x:c r="AO197" s="27"/>
      <x:c r="AP197" s="27"/>
      <x:c r="AQ197" s="27"/>
      <x:c r="AR197" s="27"/>
      <x:c r="AS197" s="27"/>
      <x:c r="AT197" s="27"/>
      <x:c r="AU197" s="27"/>
      <x:c r="AV197" s="27"/>
      <x:c r="AW197" s="27"/>
      <x:c r="AX197" s="27"/>
      <x:c r="AY197" s="27"/>
      <x:c r="AZ197" s="27"/>
    </x:row>
    <x:row r="198">
      <x:c r="A198" s="27"/>
      <x:c r="B198" s="27"/>
      <x:c r="C198" s="27"/>
      <x:c r="D198" s="27"/>
      <x:c r="E198" s="27"/>
      <x:c r="F198" s="27"/>
      <x:c r="G198" s="27"/>
      <x:c r="H198" s="27"/>
      <x:c r="I198" s="27"/>
      <x:c r="J198" s="27"/>
      <x:c r="K198" s="27"/>
      <x:c r="L198" s="27"/>
      <x:c r="M198" s="27"/>
      <x:c r="N198" s="27"/>
      <x:c r="O198" s="27"/>
      <x:c r="P198" s="27"/>
      <x:c r="Q198" s="27"/>
      <x:c r="R198" s="27"/>
      <x:c r="S198" s="27"/>
      <x:c r="T198" s="27"/>
      <x:c r="U198" s="27"/>
      <x:c r="V198" s="27"/>
      <x:c r="W198" s="27"/>
      <x:c r="X198" s="27"/>
      <x:c r="Y198" s="27"/>
      <x:c r="Z198" s="27"/>
      <x:c r="AA198" s="27"/>
      <x:c r="AB198" s="27"/>
      <x:c r="AC198" s="27"/>
      <x:c r="AD198" s="27"/>
      <x:c r="AE198" s="27"/>
      <x:c r="AF198" s="27"/>
      <x:c r="AG198" s="27"/>
      <x:c r="AH198" s="27"/>
      <x:c r="AI198" s="27"/>
      <x:c r="AJ198" s="27"/>
      <x:c r="AK198" s="27"/>
      <x:c r="AL198" s="27"/>
      <x:c r="AM198" s="27"/>
      <x:c r="AN198" s="27"/>
      <x:c r="AO198" s="27"/>
      <x:c r="AP198" s="27"/>
      <x:c r="AQ198" s="27"/>
      <x:c r="AR198" s="27"/>
      <x:c r="AS198" s="27"/>
      <x:c r="AT198" s="27"/>
      <x:c r="AU198" s="27"/>
      <x:c r="AV198" s="27"/>
      <x:c r="AW198" s="27"/>
      <x:c r="AX198" s="27"/>
      <x:c r="AY198" s="27"/>
      <x:c r="AZ198" s="27"/>
    </x:row>
    <x:row r="199">
      <x:c r="A199" s="27"/>
      <x:c r="B199" s="27"/>
      <x:c r="C199" s="27"/>
      <x:c r="D199" s="27"/>
      <x:c r="E199" s="27"/>
      <x:c r="F199" s="27"/>
      <x:c r="G199" s="27"/>
      <x:c r="H199" s="27"/>
      <x:c r="I199" s="27"/>
      <x:c r="J199" s="27"/>
      <x:c r="K199" s="27"/>
      <x:c r="L199" s="27"/>
      <x:c r="M199" s="27"/>
      <x:c r="N199" s="27"/>
      <x:c r="O199" s="27"/>
      <x:c r="P199" s="27"/>
      <x:c r="Q199" s="27"/>
      <x:c r="R199" s="27"/>
      <x:c r="S199" s="27"/>
      <x:c r="T199" s="27"/>
      <x:c r="U199" s="27"/>
      <x:c r="V199" s="27"/>
      <x:c r="W199" s="27"/>
      <x:c r="X199" s="27"/>
      <x:c r="Y199" s="27"/>
      <x:c r="Z199" s="27"/>
      <x:c r="AA199" s="27"/>
      <x:c r="AB199" s="27"/>
      <x:c r="AC199" s="27"/>
      <x:c r="AD199" s="27"/>
      <x:c r="AE199" s="27"/>
      <x:c r="AF199" s="27"/>
      <x:c r="AG199" s="27"/>
      <x:c r="AH199" s="27"/>
      <x:c r="AI199" s="27"/>
      <x:c r="AJ199" s="27"/>
      <x:c r="AK199" s="27"/>
      <x:c r="AL199" s="27"/>
      <x:c r="AM199" s="27"/>
      <x:c r="AN199" s="27"/>
      <x:c r="AO199" s="27"/>
      <x:c r="AP199" s="27"/>
      <x:c r="AQ199" s="27"/>
      <x:c r="AR199" s="27"/>
      <x:c r="AS199" s="27"/>
      <x:c r="AT199" s="27"/>
      <x:c r="AU199" s="27"/>
      <x:c r="AV199" s="27"/>
      <x:c r="AW199" s="27"/>
      <x:c r="AX199" s="27"/>
      <x:c r="AY199" s="27"/>
      <x:c r="AZ199" s="27"/>
    </x:row>
    <x:row r="200">
      <x:c r="A200" s="27"/>
      <x:c r="B200" s="27"/>
      <x:c r="C200" s="27"/>
      <x:c r="D200" s="27"/>
      <x:c r="E200" s="27"/>
      <x:c r="F200" s="27"/>
      <x:c r="G200" s="27"/>
      <x:c r="H200" s="27"/>
      <x:c r="I200" s="27"/>
      <x:c r="J200" s="27"/>
      <x:c r="K200" s="27"/>
      <x:c r="L200" s="27"/>
      <x:c r="M200" s="27"/>
      <x:c r="N200" s="27"/>
      <x:c r="O200" s="27"/>
      <x:c r="P200" s="27"/>
      <x:c r="Q200" s="27"/>
      <x:c r="R200" s="27"/>
      <x:c r="S200" s="27"/>
      <x:c r="T200" s="27"/>
      <x:c r="U200" s="27"/>
      <x:c r="V200" s="27"/>
      <x:c r="W200" s="27"/>
      <x:c r="X200" s="27"/>
      <x:c r="Y200" s="27"/>
      <x:c r="Z200" s="27"/>
      <x:c r="AA200" s="27"/>
      <x:c r="AB200" s="27"/>
      <x:c r="AC200" s="27"/>
      <x:c r="AD200" s="27"/>
      <x:c r="AE200" s="27"/>
      <x:c r="AF200" s="27"/>
      <x:c r="AG200" s="27"/>
      <x:c r="AH200" s="27"/>
      <x:c r="AI200" s="27"/>
      <x:c r="AJ200" s="27"/>
      <x:c r="AK200" s="27"/>
      <x:c r="AL200" s="27"/>
      <x:c r="AM200" s="27"/>
      <x:c r="AN200" s="27"/>
      <x:c r="AO200" s="27"/>
      <x:c r="AP200" s="27"/>
      <x:c r="AQ200" s="27"/>
      <x:c r="AR200" s="27"/>
      <x:c r="AS200" s="27"/>
      <x:c r="AT200" s="27"/>
      <x:c r="AU200" s="27"/>
      <x:c r="AV200" s="27"/>
      <x:c r="AW200" s="27"/>
      <x:c r="AX200" s="27"/>
      <x:c r="AY200" s="27"/>
      <x:c r="AZ200" s="27"/>
    </x:row>
  </x:sheetData>
  <x:mergeCells>
    <x:mergeCell ref="A1:V1"/>
    <x:mergeCell ref="A2:V2"/>
  </x:mergeCells>
  <x:pageMargins left="0.7" right="0.7" top="0.75" bottom="0.75" header="0.3" footer="0.3"/>
  <x:tableParts count="1">
    <x:tablePart xmlns:r="http://schemas.openxmlformats.org/officeDocument/2006/relationships" r:id="Rdc9828ffcea248f4"/>
  </x:tableParts>
</x:worksheet>
</file>

<file path=xl/worksheets/sheet9.xml><?xml version="1.0" encoding="utf-8"?>
<x:worksheet xmlns:x="http://schemas.openxmlformats.org/spreadsheetml/2006/main">
  <x:sheetFormatPr defaultRowHeight="15"/>
  <x:cols>
    <x:col min="1" max="1" width="18" hidden="0" customWidth="1"/>
    <x:col min="2" max="2" width="18" hidden="0" customWidth="1"/>
    <x:col min="3" max="3" width="35" hidden="0" customWidth="1"/>
    <x:col min="4" max="4" width="80" hidden="0" customWidth="1"/>
    <x:col min="5" max="5" width="12" hidden="0" customWidth="1"/>
    <x:col min="6" max="6" width="65" hidden="0" customWidth="1"/>
    <x:col min="7" max="7" width="12" hidden="0" customWidth="1"/>
  </x:cols>
  <x:sheetData>
    <x:row r="1" ht="28" customHeight="1">
      <x:c r="A1" s="26" t="str">
        <x:v>Extraction Queue / Unreliable or Pending Material</x:v>
      </x:c>
      <x:c r="B1" s="26"/>
      <x:c r="C1" s="26"/>
      <x:c r="D1" s="26"/>
      <x:c r="E1" s="26"/>
      <x:c r="F1" s="26"/>
      <x:c r="G1" s="26"/>
      <x:c r="H1" s="27"/>
      <x:c r="I1" s="27"/>
      <x:c r="J1" s="27"/>
      <x:c r="K1" s="27"/>
      <x:c r="L1" s="27"/>
      <x:c r="M1" s="27"/>
      <x:c r="N1" s="27"/>
      <x:c r="O1" s="27"/>
      <x:c r="P1" s="27"/>
      <x:c r="Q1" s="27"/>
      <x:c r="R1" s="27"/>
      <x:c r="S1" s="27"/>
      <x:c r="T1" s="27"/>
      <x:c r="U1" s="27"/>
      <x:c r="V1" s="27"/>
      <x:c r="W1" s="27"/>
      <x:c r="X1" s="27"/>
      <x:c r="Y1" s="27"/>
      <x:c r="Z1" s="27"/>
      <x:c r="AA1" s="27"/>
      <x:c r="AB1" s="27"/>
      <x:c r="AC1" s="27"/>
      <x:c r="AD1" s="27"/>
      <x:c r="AE1" s="27"/>
      <x:c r="AF1" s="27"/>
      <x:c r="AG1" s="27"/>
      <x:c r="AH1" s="27"/>
      <x:c r="AI1" s="27"/>
      <x:c r="AJ1" s="27"/>
      <x:c r="AK1" s="27"/>
      <x:c r="AL1" s="27"/>
      <x:c r="AM1" s="27"/>
      <x:c r="AN1" s="27"/>
      <x:c r="AO1" s="27"/>
      <x:c r="AP1" s="27"/>
      <x:c r="AQ1" s="27"/>
      <x:c r="AR1" s="27"/>
      <x:c r="AS1" s="27"/>
      <x:c r="AT1" s="27"/>
      <x:c r="AU1" s="27"/>
      <x:c r="AV1" s="27"/>
      <x:c r="AW1" s="27"/>
      <x:c r="AX1" s="27"/>
      <x:c r="AY1" s="27"/>
      <x:c r="AZ1" s="27"/>
    </x:row>
    <x:row r="2" ht="34" customHeight="1">
      <x:c r="A2" s="28" t="str">
        <x:v>Nothing here is guessed. These items are preserved as source evidence but require a future reliable extraction pass.</x:v>
      </x:c>
      <x:c r="B2" s="28"/>
      <x:c r="C2" s="28"/>
      <x:c r="D2" s="28"/>
      <x:c r="E2" s="28"/>
      <x:c r="F2" s="28"/>
      <x:c r="G2" s="28"/>
      <x:c r="H2" s="27"/>
      <x:c r="I2" s="27"/>
      <x:c r="J2" s="27"/>
      <x:c r="K2" s="27"/>
      <x:c r="L2" s="27"/>
      <x:c r="M2" s="27"/>
      <x:c r="N2" s="27"/>
      <x:c r="O2" s="27"/>
      <x:c r="P2" s="27"/>
      <x:c r="Q2" s="27"/>
      <x:c r="R2" s="27"/>
      <x:c r="S2" s="27"/>
      <x:c r="T2" s="27"/>
      <x:c r="U2" s="27"/>
      <x:c r="V2" s="27"/>
      <x:c r="W2" s="27"/>
      <x:c r="X2" s="27"/>
      <x:c r="Y2" s="27"/>
      <x:c r="Z2" s="27"/>
      <x:c r="AA2" s="27"/>
      <x:c r="AB2" s="27"/>
      <x:c r="AC2" s="27"/>
      <x:c r="AD2" s="27"/>
      <x:c r="AE2" s="27"/>
      <x:c r="AF2" s="27"/>
      <x:c r="AG2" s="27"/>
      <x:c r="AH2" s="27"/>
      <x:c r="AI2" s="27"/>
      <x:c r="AJ2" s="27"/>
      <x:c r="AK2" s="27"/>
      <x:c r="AL2" s="27"/>
      <x:c r="AM2" s="27"/>
      <x:c r="AN2" s="27"/>
      <x:c r="AO2" s="27"/>
      <x:c r="AP2" s="27"/>
      <x:c r="AQ2" s="27"/>
      <x:c r="AR2" s="27"/>
      <x:c r="AS2" s="27"/>
      <x:c r="AT2" s="27"/>
      <x:c r="AU2" s="27"/>
      <x:c r="AV2" s="27"/>
      <x:c r="AW2" s="27"/>
      <x:c r="AX2" s="27"/>
      <x:c r="AY2" s="27"/>
      <x:c r="AZ2" s="27"/>
    </x:row>
    <x:row r="3">
      <x:c r="A3" s="27"/>
      <x:c r="B3" s="27"/>
      <x:c r="C3" s="27"/>
      <x:c r="D3" s="27"/>
      <x:c r="E3" s="27"/>
      <x:c r="F3" s="27"/>
      <x:c r="G3" s="27"/>
      <x:c r="H3" s="27"/>
      <x:c r="I3" s="27"/>
      <x:c r="J3" s="27"/>
      <x:c r="K3" s="27"/>
      <x:c r="L3" s="27"/>
      <x:c r="M3" s="27"/>
      <x:c r="N3" s="27"/>
      <x:c r="O3" s="27"/>
      <x:c r="P3" s="27"/>
      <x:c r="Q3" s="27"/>
      <x:c r="R3" s="27"/>
      <x:c r="S3" s="27"/>
      <x:c r="T3" s="27"/>
      <x:c r="U3" s="27"/>
      <x:c r="V3" s="27"/>
      <x:c r="W3" s="27"/>
      <x:c r="X3" s="27"/>
      <x:c r="Y3" s="27"/>
      <x:c r="Z3" s="27"/>
      <x:c r="AA3" s="27"/>
      <x:c r="AB3" s="27"/>
      <x:c r="AC3" s="27"/>
      <x:c r="AD3" s="27"/>
      <x:c r="AE3" s="27"/>
      <x:c r="AF3" s="27"/>
      <x:c r="AG3" s="27"/>
      <x:c r="AH3" s="27"/>
      <x:c r="AI3" s="27"/>
      <x:c r="AJ3" s="27"/>
      <x:c r="AK3" s="27"/>
      <x:c r="AL3" s="27"/>
      <x:c r="AM3" s="27"/>
      <x:c r="AN3" s="27"/>
      <x:c r="AO3" s="27"/>
      <x:c r="AP3" s="27"/>
      <x:c r="AQ3" s="27"/>
      <x:c r="AR3" s="27"/>
      <x:c r="AS3" s="27"/>
      <x:c r="AT3" s="27"/>
      <x:c r="AU3" s="27"/>
      <x:c r="AV3" s="27"/>
      <x:c r="AW3" s="27"/>
      <x:c r="AX3" s="27"/>
      <x:c r="AY3" s="27"/>
      <x:c r="AZ3" s="27"/>
    </x:row>
    <x:row r="4" ht="30" customHeight="1">
      <x:c r="A4" s="29" t="str">
        <x:v>Queue_ID</x:v>
      </x:c>
      <x:c r="B4" s="29" t="str">
        <x:v>Source_ID</x:v>
      </x:c>
      <x:c r="C4" s="29" t="str">
        <x:v>Scope</x:v>
      </x:c>
      <x:c r="D4" s="29" t="str">
        <x:v>Reason_Not_Reliably_Extracted</x:v>
      </x:c>
      <x:c r="E4" s="29" t="str">
        <x:v>Priority</x:v>
      </x:c>
      <x:c r="F4" s="29" t="str">
        <x:v>Next_Action</x:v>
      </x:c>
      <x:c r="G4" s="29" t="str">
        <x:v>Status</x:v>
      </x:c>
      <x:c r="H4" s="27"/>
      <x:c r="I4" s="27"/>
      <x:c r="J4" s="27"/>
      <x:c r="K4" s="27"/>
      <x:c r="L4" s="27"/>
      <x:c r="M4" s="27"/>
      <x:c r="N4" s="27"/>
      <x:c r="O4" s="27"/>
      <x:c r="P4" s="27"/>
      <x:c r="Q4" s="27"/>
      <x:c r="R4" s="27"/>
      <x:c r="S4" s="27"/>
      <x:c r="T4" s="27"/>
      <x:c r="U4" s="27"/>
      <x:c r="V4" s="27"/>
      <x:c r="W4" s="27"/>
      <x:c r="X4" s="27"/>
      <x:c r="Y4" s="27"/>
      <x:c r="Z4" s="27"/>
      <x:c r="AA4" s="27"/>
      <x:c r="AB4" s="27"/>
      <x:c r="AC4" s="27"/>
      <x:c r="AD4" s="27"/>
      <x:c r="AE4" s="27"/>
      <x:c r="AF4" s="27"/>
      <x:c r="AG4" s="27"/>
      <x:c r="AH4" s="27"/>
      <x:c r="AI4" s="27"/>
      <x:c r="AJ4" s="27"/>
      <x:c r="AK4" s="27"/>
      <x:c r="AL4" s="27"/>
      <x:c r="AM4" s="27"/>
      <x:c r="AN4" s="27"/>
      <x:c r="AO4" s="27"/>
      <x:c r="AP4" s="27"/>
      <x:c r="AQ4" s="27"/>
      <x:c r="AR4" s="27"/>
      <x:c r="AS4" s="27"/>
      <x:c r="AT4" s="27"/>
      <x:c r="AU4" s="27"/>
      <x:c r="AV4" s="27"/>
      <x:c r="AW4" s="27"/>
      <x:c r="AX4" s="27"/>
      <x:c r="AY4" s="27"/>
      <x:c r="AZ4" s="27"/>
    </x:row>
    <x:row r="5">
      <x:c r="A5" s="30" t="str">
        <x:v>Q-TE-025-069</x:v>
      </x:c>
      <x:c r="B5" s="30" t="str">
        <x:v>SRC-TE-001</x:v>
      </x:c>
      <x:c r="C5" s="30" t="str">
        <x:v>TE PDF pages 25-69</x:v>
      </x:c>
      <x:c r="D5" s="30" t="str">
        <x:v>Completed from re-upload SRC-TE-002. All usable pages 25-69 visually validated; page 62 was an exact duplicate of page 61.</x:v>
      </x:c>
      <x:c r="E5" s="30" t="str">
        <x:v>HIGH</x:v>
      </x:c>
      <x:c r="F5" s="30" t="str">
        <x:v>No further action required for TE pages 25-69.</x:v>
      </x:c>
      <x:c r="G5" s="30" t="str">
        <x:v>DONE</x:v>
      </x:c>
      <x:c r="H5" s="27"/>
      <x:c r="I5" s="27"/>
      <x:c r="J5" s="27"/>
      <x:c r="K5" s="27"/>
      <x:c r="L5" s="27"/>
      <x:c r="M5" s="27"/>
      <x:c r="N5" s="27"/>
      <x:c r="O5" s="27"/>
      <x:c r="P5" s="27"/>
      <x:c r="Q5" s="27"/>
      <x:c r="R5" s="27"/>
      <x:c r="S5" s="27"/>
      <x:c r="T5" s="27"/>
      <x:c r="U5" s="27"/>
      <x:c r="V5" s="27"/>
      <x:c r="W5" s="27"/>
      <x:c r="X5" s="27"/>
      <x:c r="Y5" s="27"/>
      <x:c r="Z5" s="27"/>
      <x:c r="AA5" s="27"/>
      <x:c r="AB5" s="27"/>
      <x:c r="AC5" s="27"/>
      <x:c r="AD5" s="27"/>
      <x:c r="AE5" s="27"/>
      <x:c r="AF5" s="27"/>
      <x:c r="AG5" s="27"/>
      <x:c r="AH5" s="27"/>
      <x:c r="AI5" s="27"/>
      <x:c r="AJ5" s="27"/>
      <x:c r="AK5" s="27"/>
      <x:c r="AL5" s="27"/>
      <x:c r="AM5" s="27"/>
      <x:c r="AN5" s="27"/>
      <x:c r="AO5" s="27"/>
      <x:c r="AP5" s="27"/>
      <x:c r="AQ5" s="27"/>
      <x:c r="AR5" s="27"/>
      <x:c r="AS5" s="27"/>
      <x:c r="AT5" s="27"/>
      <x:c r="AU5" s="27"/>
      <x:c r="AV5" s="27"/>
      <x:c r="AW5" s="27"/>
      <x:c r="AX5" s="27"/>
      <x:c r="AY5" s="27"/>
      <x:c r="AZ5" s="27"/>
    </x:row>
    <x:row r="6">
      <x:c r="A6" s="30" t="str">
        <x:v>Q-HIST-REST</x:v>
      </x:c>
      <x:c r="B6" s="30" t="str">
        <x:v>SRC-HIST-001</x:v>
      </x:c>
      <x:c r="C6" s="30" t="str">
        <x:v>History PDF beyond surfaced reset/card pages</x:v>
      </x:c>
      <x:c r="D6" s="30" t="str">
        <x:v>150-page image PDF; only selected pages were directly surfaced/relevant in this pass.</x:v>
      </x:c>
      <x:c r="E6" s="30" t="str">
        <x:v>MEDIUM</x:v>
      </x:c>
      <x:c r="F6" s="30" t="str">
        <x:v>Extract research artifacts incrementally; never import unnamed/test cards.</x:v>
      </x:c>
      <x:c r="G6" s="30" t="str">
        <x:v>OPEN</x:v>
      </x:c>
      <x:c r="H6" s="27"/>
      <x:c r="I6" s="27"/>
      <x:c r="J6" s="27"/>
      <x:c r="K6" s="27"/>
      <x:c r="L6" s="27"/>
      <x:c r="M6" s="27"/>
      <x:c r="N6" s="27"/>
      <x:c r="O6" s="27"/>
      <x:c r="P6" s="27"/>
      <x:c r="Q6" s="27"/>
      <x:c r="R6" s="27"/>
      <x:c r="S6" s="27"/>
      <x:c r="T6" s="27"/>
      <x:c r="U6" s="27"/>
      <x:c r="V6" s="27"/>
      <x:c r="W6" s="27"/>
      <x:c r="X6" s="27"/>
      <x:c r="Y6" s="27"/>
      <x:c r="Z6" s="27"/>
      <x:c r="AA6" s="27"/>
      <x:c r="AB6" s="27"/>
      <x:c r="AC6" s="27"/>
      <x:c r="AD6" s="27"/>
      <x:c r="AE6" s="27"/>
      <x:c r="AF6" s="27"/>
      <x:c r="AG6" s="27"/>
      <x:c r="AH6" s="27"/>
      <x:c r="AI6" s="27"/>
      <x:c r="AJ6" s="27"/>
      <x:c r="AK6" s="27"/>
      <x:c r="AL6" s="27"/>
      <x:c r="AM6" s="27"/>
      <x:c r="AN6" s="27"/>
      <x:c r="AO6" s="27"/>
      <x:c r="AP6" s="27"/>
      <x:c r="AQ6" s="27"/>
      <x:c r="AR6" s="27"/>
      <x:c r="AS6" s="27"/>
      <x:c r="AT6" s="27"/>
      <x:c r="AU6" s="27"/>
      <x:c r="AV6" s="27"/>
      <x:c r="AW6" s="27"/>
      <x:c r="AX6" s="27"/>
      <x:c r="AY6" s="27"/>
      <x:c r="AZ6" s="27"/>
    </x:row>
    <x:row r="7">
      <x:c r="A7" s="30" t="str">
        <x:v>Q-C-004-014</x:v>
      </x:c>
      <x:c r="B7" s="30" t="str">
        <x:v>SRC-C-RAW-001</x:v>
      </x:c>
      <x:c r="C7" s="30" t="str">
        <x:v>Center raw-strength pages 4-14</x:v>
      </x:c>
      <x:c r="D7" s="30" t="str">
        <x:v>Image-only; only first three pages were directly surfaced in this pass.</x:v>
      </x:c>
      <x:c r="E7" s="30" t="str">
        <x:v>MEDIUM</x:v>
      </x:c>
      <x:c r="F7" s="30" t="str">
        <x:v>Visually transcribe remaining center card rows.</x:v>
      </x:c>
      <x:c r="G7" s="30" t="str">
        <x:v>OPEN</x:v>
      </x:c>
      <x:c r="H7" s="27"/>
      <x:c r="I7" s="27"/>
      <x:c r="J7" s="27"/>
      <x:c r="K7" s="27"/>
      <x:c r="L7" s="27"/>
      <x:c r="M7" s="27"/>
      <x:c r="N7" s="27"/>
      <x:c r="O7" s="27"/>
      <x:c r="P7" s="27"/>
      <x:c r="Q7" s="27"/>
      <x:c r="R7" s="27"/>
      <x:c r="S7" s="27"/>
      <x:c r="T7" s="27"/>
      <x:c r="U7" s="27"/>
      <x:c r="V7" s="27"/>
      <x:c r="W7" s="27"/>
      <x:c r="X7" s="27"/>
      <x:c r="Y7" s="27"/>
      <x:c r="Z7" s="27"/>
      <x:c r="AA7" s="27"/>
      <x:c r="AB7" s="27"/>
      <x:c r="AC7" s="27"/>
      <x:c r="AD7" s="27"/>
      <x:c r="AE7" s="27"/>
      <x:c r="AF7" s="27"/>
      <x:c r="AG7" s="27"/>
      <x:c r="AH7" s="27"/>
      <x:c r="AI7" s="27"/>
      <x:c r="AJ7" s="27"/>
      <x:c r="AK7" s="27"/>
      <x:c r="AL7" s="27"/>
      <x:c r="AM7" s="27"/>
      <x:c r="AN7" s="27"/>
      <x:c r="AO7" s="27"/>
      <x:c r="AP7" s="27"/>
      <x:c r="AQ7" s="27"/>
      <x:c r="AR7" s="27"/>
      <x:c r="AS7" s="27"/>
      <x:c r="AT7" s="27"/>
      <x:c r="AU7" s="27"/>
      <x:c r="AV7" s="27"/>
      <x:c r="AW7" s="27"/>
      <x:c r="AX7" s="27"/>
      <x:c r="AY7" s="27"/>
      <x:c r="AZ7" s="27"/>
    </x:row>
    <x:row r="8">
      <x:c r="A8" s="30" t="str">
        <x:v>Q-EA-CENTER</x:v>
      </x:c>
      <x:c r="B8" s="30" t="str">
        <x:v>SRC-RATE-001</x:v>
      </x:c>
      <x:c r="C8" s="30" t="str">
        <x:v>EA Center ratings pages 1-12</x:v>
      </x:c>
      <x:c r="D8" s="30" t="str">
        <x:v>Parsed text separates names from numeric rows, creating row-alignment risk.</x:v>
      </x:c>
      <x:c r="E8" s="30" t="str">
        <x:v>LOW</x:v>
      </x:c>
      <x:c r="F8" s="30" t="str">
        <x:v>Use visual page-by-page extraction if base-roster comparison becomes active.</x:v>
      </x:c>
      <x:c r="G8" s="30" t="str">
        <x:v>OPEN</x:v>
      </x:c>
      <x:c r="H8" s="27"/>
      <x:c r="I8" s="27"/>
      <x:c r="J8" s="27"/>
      <x:c r="K8" s="27"/>
      <x:c r="L8" s="27"/>
      <x:c r="M8" s="27"/>
      <x:c r="N8" s="27"/>
      <x:c r="O8" s="27"/>
      <x:c r="P8" s="27"/>
      <x:c r="Q8" s="27"/>
      <x:c r="R8" s="27"/>
      <x:c r="S8" s="27"/>
      <x:c r="T8" s="27"/>
      <x:c r="U8" s="27"/>
      <x:c r="V8" s="27"/>
      <x:c r="W8" s="27"/>
      <x:c r="X8" s="27"/>
      <x:c r="Y8" s="27"/>
      <x:c r="Z8" s="27"/>
      <x:c r="AA8" s="27"/>
      <x:c r="AB8" s="27"/>
      <x:c r="AC8" s="27"/>
      <x:c r="AD8" s="27"/>
      <x:c r="AE8" s="27"/>
      <x:c r="AF8" s="27"/>
      <x:c r="AG8" s="27"/>
      <x:c r="AH8" s="27"/>
      <x:c r="AI8" s="27"/>
      <x:c r="AJ8" s="27"/>
      <x:c r="AK8" s="27"/>
      <x:c r="AL8" s="27"/>
      <x:c r="AM8" s="27"/>
      <x:c r="AN8" s="27"/>
      <x:c r="AO8" s="27"/>
      <x:c r="AP8" s="27"/>
      <x:c r="AQ8" s="27"/>
      <x:c r="AR8" s="27"/>
      <x:c r="AS8" s="27"/>
      <x:c r="AT8" s="27"/>
      <x:c r="AU8" s="27"/>
      <x:c r="AV8" s="27"/>
      <x:c r="AW8" s="27"/>
      <x:c r="AX8" s="27"/>
      <x:c r="AY8" s="27"/>
      <x:c r="AZ8" s="27"/>
    </x:row>
    <x:row r="9">
      <x:c r="A9" s="30" t="str">
        <x:v>Q-SCREEN-ARCH</x:v>
      </x:c>
      <x:c r="B9" s="30" t="str">
        <x:v>SRC-IMG-ARCH</x:v>
      </x:c>
      <x:c r="C9" s="30" t="str">
        <x:v>Hundreds of July screenshots</x:v>
      </x:c>
      <x:c r="D9" s="30" t="str">
        <x:v>Filename-only archive lacks a reliable semantic index.</x:v>
      </x:c>
      <x:c r="E9" s="30" t="str">
        <x:v>MEDIUM</x:v>
      </x:c>
      <x:c r="F9" s="30" t="str">
        <x:v>Catalog in batches; link each card to a stable Card_ID/source filename.</x:v>
      </x:c>
      <x:c r="G9" s="30" t="str">
        <x:v>OPEN</x:v>
      </x:c>
      <x:c r="H9" s="27"/>
      <x:c r="I9" s="27"/>
      <x:c r="J9" s="27"/>
      <x:c r="K9" s="27"/>
      <x:c r="L9" s="27"/>
      <x:c r="M9" s="27"/>
      <x:c r="N9" s="27"/>
      <x:c r="O9" s="27"/>
      <x:c r="P9" s="27"/>
      <x:c r="Q9" s="27"/>
      <x:c r="R9" s="27"/>
      <x:c r="S9" s="27"/>
      <x:c r="T9" s="27"/>
      <x:c r="U9" s="27"/>
      <x:c r="V9" s="27"/>
      <x:c r="W9" s="27"/>
      <x:c r="X9" s="27"/>
      <x:c r="Y9" s="27"/>
      <x:c r="Z9" s="27"/>
      <x:c r="AA9" s="27"/>
      <x:c r="AB9" s="27"/>
      <x:c r="AC9" s="27"/>
      <x:c r="AD9" s="27"/>
      <x:c r="AE9" s="27"/>
      <x:c r="AF9" s="27"/>
      <x:c r="AG9" s="27"/>
      <x:c r="AH9" s="27"/>
      <x:c r="AI9" s="27"/>
      <x:c r="AJ9" s="27"/>
      <x:c r="AK9" s="27"/>
      <x:c r="AL9" s="27"/>
      <x:c r="AM9" s="27"/>
      <x:c r="AN9" s="27"/>
      <x:c r="AO9" s="27"/>
      <x:c r="AP9" s="27"/>
      <x:c r="AQ9" s="27"/>
      <x:c r="AR9" s="27"/>
      <x:c r="AS9" s="27"/>
      <x:c r="AT9" s="27"/>
      <x:c r="AU9" s="27"/>
      <x:c r="AV9" s="27"/>
      <x:c r="AW9" s="27"/>
      <x:c r="AX9" s="27"/>
      <x:c r="AY9" s="27"/>
      <x:c r="AZ9" s="27"/>
    </x:row>
    <x:row r="10">
      <x:c r="A10" s="30" t="str">
        <x:v>Q-M19-SMALLPRINT</x:v>
      </x:c>
      <x:c r="B10" s="30" t="str">
        <x:v>SRC-M19-001</x:v>
      </x:c>
      <x:c r="C10" s="30" t="str">
        <x:v>Madden 19 TE Spectacular Catch small-print row</x:v>
      </x:c>
      <x:c r="D10" s="30" t="str">
        <x:v>One transcribed value set has slightly lower visual confidence than the rest.</x:v>
      </x:c>
      <x:c r="E10" s="30" t="str">
        <x:v>LOW</x:v>
      </x:c>
      <x:c r="F10" s="30" t="str">
        <x:v>Recheck against high-resolution original/XML workbook if exact formula fit becomes sensitive to it.</x:v>
      </x:c>
      <x:c r="G10" s="30" t="str">
        <x:v>OPEN</x:v>
      </x:c>
      <x:c r="H10" s="27"/>
      <x:c r="I10" s="27"/>
      <x:c r="J10" s="27"/>
      <x:c r="K10" s="27"/>
      <x:c r="L10" s="27"/>
      <x:c r="M10" s="27"/>
      <x:c r="N10" s="27"/>
      <x:c r="O10" s="27"/>
      <x:c r="P10" s="27"/>
      <x:c r="Q10" s="27"/>
      <x:c r="R10" s="27"/>
      <x:c r="S10" s="27"/>
      <x:c r="T10" s="27"/>
      <x:c r="U10" s="27"/>
      <x:c r="V10" s="27"/>
      <x:c r="W10" s="27"/>
      <x:c r="X10" s="27"/>
      <x:c r="Y10" s="27"/>
      <x:c r="Z10" s="27"/>
      <x:c r="AA10" s="27"/>
      <x:c r="AB10" s="27"/>
      <x:c r="AC10" s="27"/>
      <x:c r="AD10" s="27"/>
      <x:c r="AE10" s="27"/>
      <x:c r="AF10" s="27"/>
      <x:c r="AG10" s="27"/>
      <x:c r="AH10" s="27"/>
      <x:c r="AI10" s="27"/>
      <x:c r="AJ10" s="27"/>
      <x:c r="AK10" s="27"/>
      <x:c r="AL10" s="27"/>
      <x:c r="AM10" s="27"/>
      <x:c r="AN10" s="27"/>
      <x:c r="AO10" s="27"/>
      <x:c r="AP10" s="27"/>
      <x:c r="AQ10" s="27"/>
      <x:c r="AR10" s="27"/>
      <x:c r="AS10" s="27"/>
      <x:c r="AT10" s="27"/>
      <x:c r="AU10" s="27"/>
      <x:c r="AV10" s="27"/>
      <x:c r="AW10" s="27"/>
      <x:c r="AX10" s="27"/>
      <x:c r="AY10" s="27"/>
      <x:c r="AZ10" s="27"/>
    </x:row>
    <x:row r="11">
      <x:c r="A11" s="27" t="str">
        <x:v>Q-TE-PB-MIN</x:v>
      </x:c>
      <x:c r="B11" s="27" t="str">
        <x:v>SRC-TE-FUTURE</x:v>
      </x:c>
      <x:c r="C11" s="27" t="str">
        <x:v>Pure Blocker TE dataset</x:v>
      </x:c>
      <x:c r="D11" s="27" t="str">
        <x:v>Only one validated Pure Blocker exists, so no empirical thresholds or independent validation are possible.</x:v>
      </x:c>
      <x:c r="E11" s="27" t="str">
        <x:v>MEDIUM</x:v>
      </x:c>
      <x:c r="F11" s="27" t="str">
        <x:v>Collect at least five additional real Pure Blocker cards spanning at least three OVR tiers; prefer adjacent 83/84/85 or 82/83/84 coverage.</x:v>
      </x:c>
      <x:c r="G11" s="27" t="str">
        <x:v>OPEN</x:v>
      </x:c>
      <x:c r="H11" s="27"/>
      <x:c r="I11" s="27"/>
      <x:c r="J11" s="27"/>
      <x:c r="K11" s="27"/>
      <x:c r="L11" s="27"/>
      <x:c r="M11" s="27"/>
      <x:c r="N11" s="27"/>
      <x:c r="O11" s="27"/>
      <x:c r="P11" s="27"/>
      <x:c r="Q11" s="27"/>
      <x:c r="R11" s="27"/>
      <x:c r="S11" s="27"/>
      <x:c r="T11" s="27"/>
      <x:c r="U11" s="27"/>
      <x:c r="V11" s="27"/>
      <x:c r="W11" s="27"/>
      <x:c r="X11" s="27"/>
      <x:c r="Y11" s="27"/>
      <x:c r="Z11" s="27"/>
      <x:c r="AA11" s="27"/>
      <x:c r="AB11" s="27"/>
      <x:c r="AC11" s="27"/>
      <x:c r="AD11" s="27"/>
      <x:c r="AE11" s="27"/>
      <x:c r="AF11" s="27"/>
      <x:c r="AG11" s="27"/>
      <x:c r="AH11" s="27"/>
      <x:c r="AI11" s="27"/>
      <x:c r="AJ11" s="27"/>
      <x:c r="AK11" s="27"/>
      <x:c r="AL11" s="27"/>
      <x:c r="AM11" s="27"/>
      <x:c r="AN11" s="27"/>
      <x:c r="AO11" s="27"/>
      <x:c r="AP11" s="27"/>
      <x:c r="AQ11" s="27"/>
      <x:c r="AR11" s="27"/>
      <x:c r="AS11" s="27"/>
      <x:c r="AT11" s="27"/>
      <x:c r="AU11" s="27"/>
      <x:c r="AV11" s="27"/>
      <x:c r="AW11" s="27"/>
      <x:c r="AX11" s="27"/>
      <x:c r="AY11" s="27"/>
      <x:c r="AZ11" s="27"/>
    </x:row>
    <x:row r="12">
      <x:c r="A12" s="270" t="str">
        <x:v>Q-QB-PR-MIN</x:v>
      </x:c>
      <x:c r="B12" s="270" t="str">
        <x:v>SRC-QB-FUTURE</x:v>
      </x:c>
      <x:c r="C12" s="270" t="str">
        <x:v>Pure Runner QB dataset</x:v>
      </x:c>
      <x:c r="D12" s="270" t="str">
        <x:v>Only 3 profiles across 2 OVR tiers; independent validation impossible.</x:v>
      </x:c>
      <x:c r="E12" s="270" t="str">
        <x:v>HIGH</x:v>
      </x:c>
      <x:c r="F12" s="270" t="str">
        <x:v>Collect 5 additional Pure Runner cards: ≥2 at 81/82, ≥2 at 84+, and 1 additional distinct profile; preserve full General/Passing/Ball Carrier panels.</x:v>
      </x:c>
      <x:c r="G12" s="270" t="str">
        <x:v>OPEN</x:v>
      </x:c>
      <x:c r="H12" s="27"/>
      <x:c r="I12" s="27"/>
      <x:c r="J12" s="27"/>
      <x:c r="K12" s="27"/>
      <x:c r="L12" s="27"/>
      <x:c r="M12" s="27"/>
      <x:c r="N12" s="27"/>
      <x:c r="O12" s="27"/>
      <x:c r="P12" s="27"/>
      <x:c r="Q12" s="27"/>
      <x:c r="R12" s="27"/>
      <x:c r="S12" s="27"/>
      <x:c r="T12" s="27"/>
      <x:c r="U12" s="27"/>
      <x:c r="V12" s="27"/>
      <x:c r="W12" s="27"/>
      <x:c r="X12" s="27"/>
      <x:c r="Y12" s="27"/>
      <x:c r="Z12" s="27"/>
      <x:c r="AA12" s="27"/>
      <x:c r="AB12" s="27"/>
      <x:c r="AC12" s="27"/>
      <x:c r="AD12" s="27"/>
      <x:c r="AE12" s="27"/>
      <x:c r="AF12" s="27"/>
      <x:c r="AG12" s="27"/>
      <x:c r="AH12" s="27"/>
      <x:c r="AI12" s="27"/>
      <x:c r="AJ12" s="27"/>
      <x:c r="AK12" s="27"/>
      <x:c r="AL12" s="27"/>
      <x:c r="AM12" s="27"/>
      <x:c r="AN12" s="27"/>
      <x:c r="AO12" s="27"/>
      <x:c r="AP12" s="27"/>
      <x:c r="AQ12" s="27"/>
      <x:c r="AR12" s="27"/>
      <x:c r="AS12" s="27"/>
      <x:c r="AT12" s="27"/>
      <x:c r="AU12" s="27"/>
      <x:c r="AV12" s="27"/>
      <x:c r="AW12" s="27"/>
      <x:c r="AX12" s="27"/>
      <x:c r="AY12" s="27"/>
      <x:c r="AZ12" s="27"/>
    </x:row>
    <x:row r="13">
      <x:c r="A13" s="267" t="str">
        <x:v>Q-QB-PR-CONTROL</x:v>
      </x:c>
      <x:c r="B13" s="267" t="str">
        <x:v>SRC-QB-FUTURE</x:v>
      </x:c>
      <x:c r="C13" s="267" t="str">
        <x:v>Pure Runner controlled upgrades</x:v>
      </x:c>
      <x:c r="D13" s="267" t="str">
        <x:v>Current cards cannot separate mobility, passing, and awareness contribution.</x:v>
      </x:c>
      <x:c r="E13" s="267" t="str">
        <x:v>HIGH</x:v>
      </x:c>
      <x:c r="F13" s="267" t="str">
        <x:v>From KaMario Taylor 80 baseline, run four reset tracks: SPD-only, THP-only, AWR-only, RUN-only; +1 per step until first OVR increase; record last no-change and first change.</x:v>
      </x:c>
      <x:c r="G13" s="267" t="str">
        <x:v>OPEN</x:v>
      </x:c>
      <x:c r="H13" s="27"/>
      <x:c r="I13" s="27"/>
      <x:c r="J13" s="27"/>
      <x:c r="K13" s="27"/>
      <x:c r="L13" s="27"/>
      <x:c r="M13" s="27"/>
      <x:c r="N13" s="27"/>
      <x:c r="O13" s="27"/>
      <x:c r="P13" s="27"/>
      <x:c r="Q13" s="27"/>
      <x:c r="R13" s="27"/>
      <x:c r="S13" s="27"/>
      <x:c r="T13" s="27"/>
      <x:c r="U13" s="27"/>
      <x:c r="V13" s="27"/>
      <x:c r="W13" s="27"/>
      <x:c r="X13" s="27"/>
      <x:c r="Y13" s="27"/>
      <x:c r="Z13" s="27"/>
      <x:c r="AA13" s="27"/>
      <x:c r="AB13" s="27"/>
      <x:c r="AC13" s="27"/>
      <x:c r="AD13" s="27"/>
      <x:c r="AE13" s="27"/>
      <x:c r="AF13" s="27"/>
      <x:c r="AG13" s="27"/>
      <x:c r="AH13" s="27"/>
      <x:c r="AI13" s="27"/>
      <x:c r="AJ13" s="27"/>
      <x:c r="AK13" s="27"/>
      <x:c r="AL13" s="27"/>
      <x:c r="AM13" s="27"/>
      <x:c r="AN13" s="27"/>
      <x:c r="AO13" s="27"/>
      <x:c r="AP13" s="27"/>
      <x:c r="AQ13" s="27"/>
      <x:c r="AR13" s="27"/>
      <x:c r="AS13" s="27"/>
      <x:c r="AT13" s="27"/>
      <x:c r="AU13" s="27"/>
      <x:c r="AV13" s="27"/>
      <x:c r="AW13" s="27"/>
      <x:c r="AX13" s="27"/>
      <x:c r="AY13" s="27"/>
      <x:c r="AZ13" s="27"/>
    </x:row>
    <x:row r="14">
      <x:c r="A14" s="270" t="str">
        <x:v>Q-QB-OPTIONAL</x:v>
      </x:c>
      <x:c r="B14" s="270" t="str">
        <x:v>SRC-QB-001</x:v>
      </x:c>
      <x:c r="C14" s="270" t="str">
        <x:v>QB Ball Carrier mobility fields</x:v>
      </x:c>
      <x:c r="D14" s="270" t="str">
        <x:v>Fields are cropped or incomplete on part of the 74-page population.</x:v>
      </x:c>
      <x:c r="E14" s="270" t="str">
        <x:v>MEDIUM</x:v>
      </x:c>
      <x:c r="F14" s="270" t="str">
        <x:v>On future cards capture full Ball Carrier panel; do not backfill unreadable values.</x:v>
      </x:c>
      <x:c r="G14" s="270" t="str">
        <x:v>OPEN</x:v>
      </x:c>
      <x:c r="H14" s="27"/>
      <x:c r="I14" s="27"/>
      <x:c r="J14" s="27"/>
      <x:c r="K14" s="27"/>
      <x:c r="L14" s="27"/>
      <x:c r="M14" s="27"/>
      <x:c r="N14" s="27"/>
      <x:c r="O14" s="27"/>
      <x:c r="P14" s="27"/>
      <x:c r="Q14" s="27"/>
      <x:c r="R14" s="27"/>
      <x:c r="S14" s="27"/>
      <x:c r="T14" s="27"/>
      <x:c r="U14" s="27"/>
      <x:c r="V14" s="27"/>
      <x:c r="W14" s="27"/>
      <x:c r="X14" s="27"/>
      <x:c r="Y14" s="27"/>
      <x:c r="Z14" s="27"/>
      <x:c r="AA14" s="27"/>
      <x:c r="AB14" s="27"/>
      <x:c r="AC14" s="27"/>
      <x:c r="AD14" s="27"/>
      <x:c r="AE14" s="27"/>
      <x:c r="AF14" s="27"/>
      <x:c r="AG14" s="27"/>
      <x:c r="AH14" s="27"/>
      <x:c r="AI14" s="27"/>
      <x:c r="AJ14" s="27"/>
      <x:c r="AK14" s="27"/>
      <x:c r="AL14" s="27"/>
      <x:c r="AM14" s="27"/>
      <x:c r="AN14" s="27"/>
      <x:c r="AO14" s="27"/>
      <x:c r="AP14" s="27"/>
      <x:c r="AQ14" s="27"/>
      <x:c r="AR14" s="27"/>
      <x:c r="AS14" s="27"/>
      <x:c r="AT14" s="27"/>
      <x:c r="AU14" s="27"/>
      <x:c r="AV14" s="27"/>
      <x:c r="AW14" s="27"/>
      <x:c r="AX14" s="27"/>
      <x:c r="AY14" s="27"/>
      <x:c r="AZ14" s="27"/>
    </x:row>
    <x:row r="15">
      <x:c r="A15" s="27"/>
      <x:c r="B15" s="27"/>
      <x:c r="C15" s="27"/>
      <x:c r="D15" s="27"/>
      <x:c r="E15" s="27"/>
      <x:c r="F15" s="27"/>
      <x:c r="G15" s="27"/>
      <x:c r="H15" s="27"/>
      <x:c r="I15" s="27"/>
      <x:c r="J15" s="27"/>
      <x:c r="K15" s="27"/>
      <x:c r="L15" s="27"/>
      <x:c r="M15" s="27"/>
      <x:c r="N15" s="27"/>
      <x:c r="O15" s="27"/>
      <x:c r="P15" s="27"/>
      <x:c r="Q15" s="27"/>
      <x:c r="R15" s="27"/>
      <x:c r="S15" s="27"/>
      <x:c r="T15" s="27"/>
      <x:c r="U15" s="27"/>
      <x:c r="V15" s="27"/>
      <x:c r="W15" s="27"/>
      <x:c r="X15" s="27"/>
      <x:c r="Y15" s="27"/>
      <x:c r="Z15" s="27"/>
      <x:c r="AA15" s="27"/>
      <x:c r="AB15" s="27"/>
      <x:c r="AC15" s="27"/>
      <x:c r="AD15" s="27"/>
      <x:c r="AE15" s="27"/>
      <x:c r="AF15" s="27"/>
      <x:c r="AG15" s="27"/>
      <x:c r="AH15" s="27"/>
      <x:c r="AI15" s="27"/>
      <x:c r="AJ15" s="27"/>
      <x:c r="AK15" s="27"/>
      <x:c r="AL15" s="27"/>
      <x:c r="AM15" s="27"/>
      <x:c r="AN15" s="27"/>
      <x:c r="AO15" s="27"/>
      <x:c r="AP15" s="27"/>
      <x:c r="AQ15" s="27"/>
      <x:c r="AR15" s="27"/>
      <x:c r="AS15" s="27"/>
      <x:c r="AT15" s="27"/>
      <x:c r="AU15" s="27"/>
      <x:c r="AV15" s="27"/>
      <x:c r="AW15" s="27"/>
      <x:c r="AX15" s="27"/>
      <x:c r="AY15" s="27"/>
      <x:c r="AZ15" s="27"/>
    </x:row>
    <x:row r="16">
      <x:c r="A16" s="27"/>
      <x:c r="B16" s="27"/>
      <x:c r="C16" s="27"/>
      <x:c r="D16" s="27"/>
      <x:c r="E16" s="27"/>
      <x:c r="F16" s="27"/>
      <x:c r="G16" s="27"/>
      <x:c r="H16" s="27"/>
      <x:c r="I16" s="27"/>
      <x:c r="J16" s="27"/>
      <x:c r="K16" s="27"/>
      <x:c r="L16" s="27"/>
      <x:c r="M16" s="27"/>
      <x:c r="N16" s="27"/>
      <x:c r="O16" s="27"/>
      <x:c r="P16" s="27"/>
      <x:c r="Q16" s="27"/>
      <x:c r="R16" s="27"/>
      <x:c r="S16" s="27"/>
      <x:c r="T16" s="27"/>
      <x:c r="U16" s="27"/>
      <x:c r="V16" s="27"/>
      <x:c r="W16" s="27"/>
      <x:c r="X16" s="27"/>
      <x:c r="Y16" s="27"/>
      <x:c r="Z16" s="27"/>
      <x:c r="AA16" s="27"/>
      <x:c r="AB16" s="27"/>
      <x:c r="AC16" s="27"/>
      <x:c r="AD16" s="27"/>
      <x:c r="AE16" s="27"/>
      <x:c r="AF16" s="27"/>
      <x:c r="AG16" s="27"/>
      <x:c r="AH16" s="27"/>
      <x:c r="AI16" s="27"/>
      <x:c r="AJ16" s="27"/>
      <x:c r="AK16" s="27"/>
      <x:c r="AL16" s="27"/>
      <x:c r="AM16" s="27"/>
      <x:c r="AN16" s="27"/>
      <x:c r="AO16" s="27"/>
      <x:c r="AP16" s="27"/>
      <x:c r="AQ16" s="27"/>
      <x:c r="AR16" s="27"/>
      <x:c r="AS16" s="27"/>
      <x:c r="AT16" s="27"/>
      <x:c r="AU16" s="27"/>
      <x:c r="AV16" s="27"/>
      <x:c r="AW16" s="27"/>
      <x:c r="AX16" s="27"/>
      <x:c r="AY16" s="27"/>
      <x:c r="AZ16" s="27"/>
    </x:row>
    <x:row r="17">
      <x:c r="A17" s="27"/>
      <x:c r="B17" s="27"/>
      <x:c r="C17" s="27"/>
      <x:c r="D17" s="27"/>
      <x:c r="E17" s="27"/>
      <x:c r="F17" s="27"/>
      <x:c r="G17" s="27"/>
      <x:c r="H17" s="27"/>
      <x:c r="I17" s="27"/>
      <x:c r="J17" s="27"/>
      <x:c r="K17" s="27"/>
      <x:c r="L17" s="27"/>
      <x:c r="M17" s="27"/>
      <x:c r="N17" s="27"/>
      <x:c r="O17" s="27"/>
      <x:c r="P17" s="27"/>
      <x:c r="Q17" s="27"/>
      <x:c r="R17" s="27"/>
      <x:c r="S17" s="27"/>
      <x:c r="T17" s="27"/>
      <x:c r="U17" s="27"/>
      <x:c r="V17" s="27"/>
      <x:c r="W17" s="27"/>
      <x:c r="X17" s="27"/>
      <x:c r="Y17" s="27"/>
      <x:c r="Z17" s="27"/>
      <x:c r="AA17" s="27"/>
      <x:c r="AB17" s="27"/>
      <x:c r="AC17" s="27"/>
      <x:c r="AD17" s="27"/>
      <x:c r="AE17" s="27"/>
      <x:c r="AF17" s="27"/>
      <x:c r="AG17" s="27"/>
      <x:c r="AH17" s="27"/>
      <x:c r="AI17" s="27"/>
      <x:c r="AJ17" s="27"/>
      <x:c r="AK17" s="27"/>
      <x:c r="AL17" s="27"/>
      <x:c r="AM17" s="27"/>
      <x:c r="AN17" s="27"/>
      <x:c r="AO17" s="27"/>
      <x:c r="AP17" s="27"/>
      <x:c r="AQ17" s="27"/>
      <x:c r="AR17" s="27"/>
      <x:c r="AS17" s="27"/>
      <x:c r="AT17" s="27"/>
      <x:c r="AU17" s="27"/>
      <x:c r="AV17" s="27"/>
      <x:c r="AW17" s="27"/>
      <x:c r="AX17" s="27"/>
      <x:c r="AY17" s="27"/>
      <x:c r="AZ17" s="27"/>
    </x:row>
    <x:row r="18">
      <x:c r="A18" s="27"/>
      <x:c r="B18" s="27"/>
      <x:c r="C18" s="27"/>
      <x:c r="D18" s="27"/>
      <x:c r="E18" s="27"/>
      <x:c r="F18" s="27"/>
      <x:c r="G18" s="27"/>
      <x:c r="H18" s="27"/>
      <x:c r="I18" s="27"/>
      <x:c r="J18" s="27"/>
      <x:c r="K18" s="27"/>
      <x:c r="L18" s="27"/>
      <x:c r="M18" s="27"/>
      <x:c r="N18" s="27"/>
      <x:c r="O18" s="27"/>
      <x:c r="P18" s="27"/>
      <x:c r="Q18" s="27"/>
      <x:c r="R18" s="27"/>
      <x:c r="S18" s="27"/>
      <x:c r="T18" s="27"/>
      <x:c r="U18" s="27"/>
      <x:c r="V18" s="27"/>
      <x:c r="W18" s="27"/>
      <x:c r="X18" s="27"/>
      <x:c r="Y18" s="27"/>
      <x:c r="Z18" s="27"/>
      <x:c r="AA18" s="27"/>
      <x:c r="AB18" s="27"/>
      <x:c r="AC18" s="27"/>
      <x:c r="AD18" s="27"/>
      <x:c r="AE18" s="27"/>
      <x:c r="AF18" s="27"/>
      <x:c r="AG18" s="27"/>
      <x:c r="AH18" s="27"/>
      <x:c r="AI18" s="27"/>
      <x:c r="AJ18" s="27"/>
      <x:c r="AK18" s="27"/>
      <x:c r="AL18" s="27"/>
      <x:c r="AM18" s="27"/>
      <x:c r="AN18" s="27"/>
      <x:c r="AO18" s="27"/>
      <x:c r="AP18" s="27"/>
      <x:c r="AQ18" s="27"/>
      <x:c r="AR18" s="27"/>
      <x:c r="AS18" s="27"/>
      <x:c r="AT18" s="27"/>
      <x:c r="AU18" s="27"/>
      <x:c r="AV18" s="27"/>
      <x:c r="AW18" s="27"/>
      <x:c r="AX18" s="27"/>
      <x:c r="AY18" s="27"/>
      <x:c r="AZ18" s="27"/>
    </x:row>
    <x:row r="19">
      <x:c r="A19" s="27"/>
      <x:c r="B19" s="27"/>
      <x:c r="C19" s="27"/>
      <x:c r="D19" s="27"/>
      <x:c r="E19" s="27"/>
      <x:c r="F19" s="27"/>
      <x:c r="G19" s="27"/>
      <x:c r="H19" s="27"/>
      <x:c r="I19" s="27"/>
      <x:c r="J19" s="27"/>
      <x:c r="K19" s="27"/>
      <x:c r="L19" s="27"/>
      <x:c r="M19" s="27"/>
      <x:c r="N19" s="27"/>
      <x:c r="O19" s="27"/>
      <x:c r="P19" s="27"/>
      <x:c r="Q19" s="27"/>
      <x:c r="R19" s="27"/>
      <x:c r="S19" s="27"/>
      <x:c r="T19" s="27"/>
      <x:c r="U19" s="27"/>
      <x:c r="V19" s="27"/>
      <x:c r="W19" s="27"/>
      <x:c r="X19" s="27"/>
      <x:c r="Y19" s="27"/>
      <x:c r="Z19" s="27"/>
      <x:c r="AA19" s="27"/>
      <x:c r="AB19" s="27"/>
      <x:c r="AC19" s="27"/>
      <x:c r="AD19" s="27"/>
      <x:c r="AE19" s="27"/>
      <x:c r="AF19" s="27"/>
      <x:c r="AG19" s="27"/>
      <x:c r="AH19" s="27"/>
      <x:c r="AI19" s="27"/>
      <x:c r="AJ19" s="27"/>
      <x:c r="AK19" s="27"/>
      <x:c r="AL19" s="27"/>
      <x:c r="AM19" s="27"/>
      <x:c r="AN19" s="27"/>
      <x:c r="AO19" s="27"/>
      <x:c r="AP19" s="27"/>
      <x:c r="AQ19" s="27"/>
      <x:c r="AR19" s="27"/>
      <x:c r="AS19" s="27"/>
      <x:c r="AT19" s="27"/>
      <x:c r="AU19" s="27"/>
      <x:c r="AV19" s="27"/>
      <x:c r="AW19" s="27"/>
      <x:c r="AX19" s="27"/>
      <x:c r="AY19" s="27"/>
      <x:c r="AZ19" s="27"/>
    </x:row>
    <x:row r="20">
      <x:c r="A20" s="27"/>
      <x:c r="B20" s="27"/>
      <x:c r="C20" s="27"/>
      <x:c r="D20" s="27"/>
      <x:c r="E20" s="27"/>
      <x:c r="F20" s="27"/>
      <x:c r="G20" s="27"/>
      <x:c r="H20" s="27"/>
      <x:c r="I20" s="27"/>
      <x:c r="J20" s="27"/>
      <x:c r="K20" s="27"/>
      <x:c r="L20" s="27"/>
      <x:c r="M20" s="27"/>
      <x:c r="N20" s="27"/>
      <x:c r="O20" s="27"/>
      <x:c r="P20" s="27"/>
      <x:c r="Q20" s="27"/>
      <x:c r="R20" s="27"/>
      <x:c r="S20" s="27"/>
      <x:c r="T20" s="27"/>
      <x:c r="U20" s="27"/>
      <x:c r="V20" s="27"/>
      <x:c r="W20" s="27"/>
      <x:c r="X20" s="27"/>
      <x:c r="Y20" s="27"/>
      <x:c r="Z20" s="27"/>
      <x:c r="AA20" s="27"/>
      <x:c r="AB20" s="27"/>
      <x:c r="AC20" s="27"/>
      <x:c r="AD20" s="27"/>
      <x:c r="AE20" s="27"/>
      <x:c r="AF20" s="27"/>
      <x:c r="AG20" s="27"/>
      <x:c r="AH20" s="27"/>
      <x:c r="AI20" s="27"/>
      <x:c r="AJ20" s="27"/>
      <x:c r="AK20" s="27"/>
      <x:c r="AL20" s="27"/>
      <x:c r="AM20" s="27"/>
      <x:c r="AN20" s="27"/>
      <x:c r="AO20" s="27"/>
      <x:c r="AP20" s="27"/>
      <x:c r="AQ20" s="27"/>
      <x:c r="AR20" s="27"/>
      <x:c r="AS20" s="27"/>
      <x:c r="AT20" s="27"/>
      <x:c r="AU20" s="27"/>
      <x:c r="AV20" s="27"/>
      <x:c r="AW20" s="27"/>
      <x:c r="AX20" s="27"/>
      <x:c r="AY20" s="27"/>
      <x:c r="AZ20" s="27"/>
    </x:row>
    <x:row r="21">
      <x:c r="A21" s="27"/>
      <x:c r="B21" s="27"/>
      <x:c r="C21" s="27"/>
      <x:c r="D21" s="27"/>
      <x:c r="E21" s="27"/>
      <x:c r="F21" s="27"/>
      <x:c r="G21" s="27"/>
      <x:c r="H21" s="27"/>
      <x:c r="I21" s="27"/>
      <x:c r="J21" s="27"/>
      <x:c r="K21" s="27"/>
      <x:c r="L21" s="27"/>
      <x:c r="M21" s="27"/>
      <x:c r="N21" s="27"/>
      <x:c r="O21" s="27"/>
      <x:c r="P21" s="27"/>
      <x:c r="Q21" s="27"/>
      <x:c r="R21" s="27"/>
      <x:c r="S21" s="27"/>
      <x:c r="T21" s="27"/>
      <x:c r="U21" s="27"/>
      <x:c r="V21" s="27"/>
      <x:c r="W21" s="27"/>
      <x:c r="X21" s="27"/>
      <x:c r="Y21" s="27"/>
      <x:c r="Z21" s="27"/>
      <x:c r="AA21" s="27"/>
      <x:c r="AB21" s="27"/>
      <x:c r="AC21" s="27"/>
      <x:c r="AD21" s="27"/>
      <x:c r="AE21" s="27"/>
      <x:c r="AF21" s="27"/>
      <x:c r="AG21" s="27"/>
      <x:c r="AH21" s="27"/>
      <x:c r="AI21" s="27"/>
      <x:c r="AJ21" s="27"/>
      <x:c r="AK21" s="27"/>
      <x:c r="AL21" s="27"/>
      <x:c r="AM21" s="27"/>
      <x:c r="AN21" s="27"/>
      <x:c r="AO21" s="27"/>
      <x:c r="AP21" s="27"/>
      <x:c r="AQ21" s="27"/>
      <x:c r="AR21" s="27"/>
      <x:c r="AS21" s="27"/>
      <x:c r="AT21" s="27"/>
      <x:c r="AU21" s="27"/>
      <x:c r="AV21" s="27"/>
      <x:c r="AW21" s="27"/>
      <x:c r="AX21" s="27"/>
      <x:c r="AY21" s="27"/>
      <x:c r="AZ21" s="27"/>
    </x:row>
    <x:row r="22">
      <x:c r="A22" s="27"/>
      <x:c r="B22" s="27"/>
      <x:c r="C22" s="27"/>
      <x:c r="D22" s="27"/>
      <x:c r="E22" s="27"/>
      <x:c r="F22" s="27"/>
      <x:c r="G22" s="27"/>
      <x:c r="H22" s="27"/>
      <x:c r="I22" s="27"/>
      <x:c r="J22" s="27"/>
      <x:c r="K22" s="27"/>
      <x:c r="L22" s="27"/>
      <x:c r="M22" s="27"/>
      <x:c r="N22" s="27"/>
      <x:c r="O22" s="27"/>
      <x:c r="P22" s="27"/>
      <x:c r="Q22" s="27"/>
      <x:c r="R22" s="27"/>
      <x:c r="S22" s="27"/>
      <x:c r="T22" s="27"/>
      <x:c r="U22" s="27"/>
      <x:c r="V22" s="27"/>
      <x:c r="W22" s="27"/>
      <x:c r="X22" s="27"/>
      <x:c r="Y22" s="27"/>
      <x:c r="Z22" s="27"/>
      <x:c r="AA22" s="27"/>
      <x:c r="AB22" s="27"/>
      <x:c r="AC22" s="27"/>
      <x:c r="AD22" s="27"/>
      <x:c r="AE22" s="27"/>
      <x:c r="AF22" s="27"/>
      <x:c r="AG22" s="27"/>
      <x:c r="AH22" s="27"/>
      <x:c r="AI22" s="27"/>
      <x:c r="AJ22" s="27"/>
      <x:c r="AK22" s="27"/>
      <x:c r="AL22" s="27"/>
      <x:c r="AM22" s="27"/>
      <x:c r="AN22" s="27"/>
      <x:c r="AO22" s="27"/>
      <x:c r="AP22" s="27"/>
      <x:c r="AQ22" s="27"/>
      <x:c r="AR22" s="27"/>
      <x:c r="AS22" s="27"/>
      <x:c r="AT22" s="27"/>
      <x:c r="AU22" s="27"/>
      <x:c r="AV22" s="27"/>
      <x:c r="AW22" s="27"/>
      <x:c r="AX22" s="27"/>
      <x:c r="AY22" s="27"/>
      <x:c r="AZ22" s="27"/>
    </x:row>
    <x:row r="23">
      <x:c r="A23" s="27"/>
      <x:c r="B23" s="27"/>
      <x:c r="C23" s="27"/>
      <x:c r="D23" s="27"/>
      <x:c r="E23" s="27"/>
      <x:c r="F23" s="27"/>
      <x:c r="G23" s="27"/>
      <x:c r="H23" s="27"/>
      <x:c r="I23" s="27"/>
      <x:c r="J23" s="27"/>
      <x:c r="K23" s="27"/>
      <x:c r="L23" s="27"/>
      <x:c r="M23" s="27"/>
      <x:c r="N23" s="27"/>
      <x:c r="O23" s="27"/>
      <x:c r="P23" s="27"/>
      <x:c r="Q23" s="27"/>
      <x:c r="R23" s="27"/>
      <x:c r="S23" s="27"/>
      <x:c r="T23" s="27"/>
      <x:c r="U23" s="27"/>
      <x:c r="V23" s="27"/>
      <x:c r="W23" s="27"/>
      <x:c r="X23" s="27"/>
      <x:c r="Y23" s="27"/>
      <x:c r="Z23" s="27"/>
      <x:c r="AA23" s="27"/>
      <x:c r="AB23" s="27"/>
      <x:c r="AC23" s="27"/>
      <x:c r="AD23" s="27"/>
      <x:c r="AE23" s="27"/>
      <x:c r="AF23" s="27"/>
      <x:c r="AG23" s="27"/>
      <x:c r="AH23" s="27"/>
      <x:c r="AI23" s="27"/>
      <x:c r="AJ23" s="27"/>
      <x:c r="AK23" s="27"/>
      <x:c r="AL23" s="27"/>
      <x:c r="AM23" s="27"/>
      <x:c r="AN23" s="27"/>
      <x:c r="AO23" s="27"/>
      <x:c r="AP23" s="27"/>
      <x:c r="AQ23" s="27"/>
      <x:c r="AR23" s="27"/>
      <x:c r="AS23" s="27"/>
      <x:c r="AT23" s="27"/>
      <x:c r="AU23" s="27"/>
      <x:c r="AV23" s="27"/>
      <x:c r="AW23" s="27"/>
      <x:c r="AX23" s="27"/>
      <x:c r="AY23" s="27"/>
      <x:c r="AZ23" s="27"/>
    </x:row>
    <x:row r="24">
      <x:c r="A24" s="27"/>
      <x:c r="B24" s="27"/>
      <x:c r="C24" s="27"/>
      <x:c r="D24" s="27"/>
      <x:c r="E24" s="27"/>
      <x:c r="F24" s="27"/>
      <x:c r="G24" s="27"/>
      <x:c r="H24" s="27"/>
      <x:c r="I24" s="27"/>
      <x:c r="J24" s="27"/>
      <x:c r="K24" s="27"/>
      <x:c r="L24" s="27"/>
      <x:c r="M24" s="27"/>
      <x:c r="N24" s="27"/>
      <x:c r="O24" s="27"/>
      <x:c r="P24" s="27"/>
      <x:c r="Q24" s="27"/>
      <x:c r="R24" s="27"/>
      <x:c r="S24" s="27"/>
      <x:c r="T24" s="27"/>
      <x:c r="U24" s="27"/>
      <x:c r="V24" s="27"/>
      <x:c r="W24" s="27"/>
      <x:c r="X24" s="27"/>
      <x:c r="Y24" s="27"/>
      <x:c r="Z24" s="27"/>
      <x:c r="AA24" s="27"/>
      <x:c r="AB24" s="27"/>
      <x:c r="AC24" s="27"/>
      <x:c r="AD24" s="27"/>
      <x:c r="AE24" s="27"/>
      <x:c r="AF24" s="27"/>
      <x:c r="AG24" s="27"/>
      <x:c r="AH24" s="27"/>
      <x:c r="AI24" s="27"/>
      <x:c r="AJ24" s="27"/>
      <x:c r="AK24" s="27"/>
      <x:c r="AL24" s="27"/>
      <x:c r="AM24" s="27"/>
      <x:c r="AN24" s="27"/>
      <x:c r="AO24" s="27"/>
      <x:c r="AP24" s="27"/>
      <x:c r="AQ24" s="27"/>
      <x:c r="AR24" s="27"/>
      <x:c r="AS24" s="27"/>
      <x:c r="AT24" s="27"/>
      <x:c r="AU24" s="27"/>
      <x:c r="AV24" s="27"/>
      <x:c r="AW24" s="27"/>
      <x:c r="AX24" s="27"/>
      <x:c r="AY24" s="27"/>
      <x:c r="AZ24" s="27"/>
    </x:row>
    <x:row r="25">
      <x:c r="A25" s="27"/>
      <x:c r="B25" s="27"/>
      <x:c r="C25" s="27"/>
      <x:c r="D25" s="27"/>
      <x:c r="E25" s="27"/>
      <x:c r="F25" s="27"/>
      <x:c r="G25" s="27"/>
      <x:c r="H25" s="27"/>
      <x:c r="I25" s="27"/>
      <x:c r="J25" s="27"/>
      <x:c r="K25" s="27"/>
      <x:c r="L25" s="27"/>
      <x:c r="M25" s="27"/>
      <x:c r="N25" s="27"/>
      <x:c r="O25" s="27"/>
      <x:c r="P25" s="27"/>
      <x:c r="Q25" s="27"/>
      <x:c r="R25" s="27"/>
      <x:c r="S25" s="27"/>
      <x:c r="T25" s="27"/>
      <x:c r="U25" s="27"/>
      <x:c r="V25" s="27"/>
      <x:c r="W25" s="27"/>
      <x:c r="X25" s="27"/>
      <x:c r="Y25" s="27"/>
      <x:c r="Z25" s="27"/>
      <x:c r="AA25" s="27"/>
      <x:c r="AB25" s="27"/>
      <x:c r="AC25" s="27"/>
      <x:c r="AD25" s="27"/>
      <x:c r="AE25" s="27"/>
      <x:c r="AF25" s="27"/>
      <x:c r="AG25" s="27"/>
      <x:c r="AH25" s="27"/>
      <x:c r="AI25" s="27"/>
      <x:c r="AJ25" s="27"/>
      <x:c r="AK25" s="27"/>
      <x:c r="AL25" s="27"/>
      <x:c r="AM25" s="27"/>
      <x:c r="AN25" s="27"/>
      <x:c r="AO25" s="27"/>
      <x:c r="AP25" s="27"/>
      <x:c r="AQ25" s="27"/>
      <x:c r="AR25" s="27"/>
      <x:c r="AS25" s="27"/>
      <x:c r="AT25" s="27"/>
      <x:c r="AU25" s="27"/>
      <x:c r="AV25" s="27"/>
      <x:c r="AW25" s="27"/>
      <x:c r="AX25" s="27"/>
      <x:c r="AY25" s="27"/>
      <x:c r="AZ25" s="27"/>
    </x:row>
    <x:row r="26">
      <x:c r="A26" s="27"/>
      <x:c r="B26" s="27"/>
      <x:c r="C26" s="27"/>
      <x:c r="D26" s="27"/>
      <x:c r="E26" s="27"/>
      <x:c r="F26" s="27"/>
      <x:c r="G26" s="27"/>
      <x:c r="H26" s="27"/>
      <x:c r="I26" s="27"/>
      <x:c r="J26" s="27"/>
      <x:c r="K26" s="27"/>
      <x:c r="L26" s="27"/>
      <x:c r="M26" s="27"/>
      <x:c r="N26" s="27"/>
      <x:c r="O26" s="27"/>
      <x:c r="P26" s="27"/>
      <x:c r="Q26" s="27"/>
      <x:c r="R26" s="27"/>
      <x:c r="S26" s="27"/>
      <x:c r="T26" s="27"/>
      <x:c r="U26" s="27"/>
      <x:c r="V26" s="27"/>
      <x:c r="W26" s="27"/>
      <x:c r="X26" s="27"/>
      <x:c r="Y26" s="27"/>
      <x:c r="Z26" s="27"/>
      <x:c r="AA26" s="27"/>
      <x:c r="AB26" s="27"/>
      <x:c r="AC26" s="27"/>
      <x:c r="AD26" s="27"/>
      <x:c r="AE26" s="27"/>
      <x:c r="AF26" s="27"/>
      <x:c r="AG26" s="27"/>
      <x:c r="AH26" s="27"/>
      <x:c r="AI26" s="27"/>
      <x:c r="AJ26" s="27"/>
      <x:c r="AK26" s="27"/>
      <x:c r="AL26" s="27"/>
      <x:c r="AM26" s="27"/>
      <x:c r="AN26" s="27"/>
      <x:c r="AO26" s="27"/>
      <x:c r="AP26" s="27"/>
      <x:c r="AQ26" s="27"/>
      <x:c r="AR26" s="27"/>
      <x:c r="AS26" s="27"/>
      <x:c r="AT26" s="27"/>
      <x:c r="AU26" s="27"/>
      <x:c r="AV26" s="27"/>
      <x:c r="AW26" s="27"/>
      <x:c r="AX26" s="27"/>
      <x:c r="AY26" s="27"/>
      <x:c r="AZ26" s="27"/>
    </x:row>
    <x:row r="27">
      <x:c r="A27" s="27"/>
      <x:c r="B27" s="27"/>
      <x:c r="C27" s="27"/>
      <x:c r="D27" s="27"/>
      <x:c r="E27" s="27"/>
      <x:c r="F27" s="27"/>
      <x:c r="G27" s="27"/>
      <x:c r="H27" s="27"/>
      <x:c r="I27" s="27"/>
      <x:c r="J27" s="27"/>
      <x:c r="K27" s="27"/>
      <x:c r="L27" s="27"/>
      <x:c r="M27" s="27"/>
      <x:c r="N27" s="27"/>
      <x:c r="O27" s="27"/>
      <x:c r="P27" s="27"/>
      <x:c r="Q27" s="27"/>
      <x:c r="R27" s="27"/>
      <x:c r="S27" s="27"/>
      <x:c r="T27" s="27"/>
      <x:c r="U27" s="27"/>
      <x:c r="V27" s="27"/>
      <x:c r="W27" s="27"/>
      <x:c r="X27" s="27"/>
      <x:c r="Y27" s="27"/>
      <x:c r="Z27" s="27"/>
      <x:c r="AA27" s="27"/>
      <x:c r="AB27" s="27"/>
      <x:c r="AC27" s="27"/>
      <x:c r="AD27" s="27"/>
      <x:c r="AE27" s="27"/>
      <x:c r="AF27" s="27"/>
      <x:c r="AG27" s="27"/>
      <x:c r="AH27" s="27"/>
      <x:c r="AI27" s="27"/>
      <x:c r="AJ27" s="27"/>
      <x:c r="AK27" s="27"/>
      <x:c r="AL27" s="27"/>
      <x:c r="AM27" s="27"/>
      <x:c r="AN27" s="27"/>
      <x:c r="AO27" s="27"/>
      <x:c r="AP27" s="27"/>
      <x:c r="AQ27" s="27"/>
      <x:c r="AR27" s="27"/>
      <x:c r="AS27" s="27"/>
      <x:c r="AT27" s="27"/>
      <x:c r="AU27" s="27"/>
      <x:c r="AV27" s="27"/>
      <x:c r="AW27" s="27"/>
      <x:c r="AX27" s="27"/>
      <x:c r="AY27" s="27"/>
      <x:c r="AZ27" s="27"/>
    </x:row>
    <x:row r="28">
      <x:c r="A28" s="27"/>
      <x:c r="B28" s="27"/>
      <x:c r="C28" s="27"/>
      <x:c r="D28" s="27"/>
      <x:c r="E28" s="27"/>
      <x:c r="F28" s="27"/>
      <x:c r="G28" s="27"/>
      <x:c r="H28" s="27"/>
      <x:c r="I28" s="27"/>
      <x:c r="J28" s="27"/>
      <x:c r="K28" s="27"/>
      <x:c r="L28" s="27"/>
      <x:c r="M28" s="27"/>
      <x:c r="N28" s="27"/>
      <x:c r="O28" s="27"/>
      <x:c r="P28" s="27"/>
      <x:c r="Q28" s="27"/>
      <x:c r="R28" s="27"/>
      <x:c r="S28" s="27"/>
      <x:c r="T28" s="27"/>
      <x:c r="U28" s="27"/>
      <x:c r="V28" s="27"/>
      <x:c r="W28" s="27"/>
      <x:c r="X28" s="27"/>
      <x:c r="Y28" s="27"/>
      <x:c r="Z28" s="27"/>
      <x:c r="AA28" s="27"/>
      <x:c r="AB28" s="27"/>
      <x:c r="AC28" s="27"/>
      <x:c r="AD28" s="27"/>
      <x:c r="AE28" s="27"/>
      <x:c r="AF28" s="27"/>
      <x:c r="AG28" s="27"/>
      <x:c r="AH28" s="27"/>
      <x:c r="AI28" s="27"/>
      <x:c r="AJ28" s="27"/>
      <x:c r="AK28" s="27"/>
      <x:c r="AL28" s="27"/>
      <x:c r="AM28" s="27"/>
      <x:c r="AN28" s="27"/>
      <x:c r="AO28" s="27"/>
      <x:c r="AP28" s="27"/>
      <x:c r="AQ28" s="27"/>
      <x:c r="AR28" s="27"/>
      <x:c r="AS28" s="27"/>
      <x:c r="AT28" s="27"/>
      <x:c r="AU28" s="27"/>
      <x:c r="AV28" s="27"/>
      <x:c r="AW28" s="27"/>
      <x:c r="AX28" s="27"/>
      <x:c r="AY28" s="27"/>
      <x:c r="AZ28" s="27"/>
    </x:row>
    <x:row r="29">
      <x:c r="A29" s="27"/>
      <x:c r="B29" s="27"/>
      <x:c r="C29" s="27"/>
      <x:c r="D29" s="27"/>
      <x:c r="E29" s="27"/>
      <x:c r="F29" s="27"/>
      <x:c r="G29" s="27"/>
      <x:c r="H29" s="27"/>
      <x:c r="I29" s="27"/>
      <x:c r="J29" s="27"/>
      <x:c r="K29" s="27"/>
      <x:c r="L29" s="27"/>
      <x:c r="M29" s="27"/>
      <x:c r="N29" s="27"/>
      <x:c r="O29" s="27"/>
      <x:c r="P29" s="27"/>
      <x:c r="Q29" s="27"/>
      <x:c r="R29" s="27"/>
      <x:c r="S29" s="27"/>
      <x:c r="T29" s="27"/>
      <x:c r="U29" s="27"/>
      <x:c r="V29" s="27"/>
      <x:c r="W29" s="27"/>
      <x:c r="X29" s="27"/>
      <x:c r="Y29" s="27"/>
      <x:c r="Z29" s="27"/>
      <x:c r="AA29" s="27"/>
      <x:c r="AB29" s="27"/>
      <x:c r="AC29" s="27"/>
      <x:c r="AD29" s="27"/>
      <x:c r="AE29" s="27"/>
      <x:c r="AF29" s="27"/>
      <x:c r="AG29" s="27"/>
      <x:c r="AH29" s="27"/>
      <x:c r="AI29" s="27"/>
      <x:c r="AJ29" s="27"/>
      <x:c r="AK29" s="27"/>
      <x:c r="AL29" s="27"/>
      <x:c r="AM29" s="27"/>
      <x:c r="AN29" s="27"/>
      <x:c r="AO29" s="27"/>
      <x:c r="AP29" s="27"/>
      <x:c r="AQ29" s="27"/>
      <x:c r="AR29" s="27"/>
      <x:c r="AS29" s="27"/>
      <x:c r="AT29" s="27"/>
      <x:c r="AU29" s="27"/>
      <x:c r="AV29" s="27"/>
      <x:c r="AW29" s="27"/>
      <x:c r="AX29" s="27"/>
      <x:c r="AY29" s="27"/>
      <x:c r="AZ29" s="27"/>
    </x:row>
    <x:row r="30">
      <x:c r="A30" s="27"/>
      <x:c r="B30" s="27"/>
      <x:c r="C30" s="27"/>
      <x:c r="D30" s="27"/>
      <x:c r="E30" s="27"/>
      <x:c r="F30" s="27"/>
      <x:c r="G30" s="27"/>
      <x:c r="H30" s="27"/>
      <x:c r="I30" s="27"/>
      <x:c r="J30" s="27"/>
      <x:c r="K30" s="27"/>
      <x:c r="L30" s="27"/>
      <x:c r="M30" s="27"/>
      <x:c r="N30" s="27"/>
      <x:c r="O30" s="27"/>
      <x:c r="P30" s="27"/>
      <x:c r="Q30" s="27"/>
      <x:c r="R30" s="27"/>
      <x:c r="S30" s="27"/>
      <x:c r="T30" s="27"/>
      <x:c r="U30" s="27"/>
      <x:c r="V30" s="27"/>
      <x:c r="W30" s="27"/>
      <x:c r="X30" s="27"/>
      <x:c r="Y30" s="27"/>
      <x:c r="Z30" s="27"/>
      <x:c r="AA30" s="27"/>
      <x:c r="AB30" s="27"/>
      <x:c r="AC30" s="27"/>
      <x:c r="AD30" s="27"/>
      <x:c r="AE30" s="27"/>
      <x:c r="AF30" s="27"/>
      <x:c r="AG30" s="27"/>
      <x:c r="AH30" s="27"/>
      <x:c r="AI30" s="27"/>
      <x:c r="AJ30" s="27"/>
      <x:c r="AK30" s="27"/>
      <x:c r="AL30" s="27"/>
      <x:c r="AM30" s="27"/>
      <x:c r="AN30" s="27"/>
      <x:c r="AO30" s="27"/>
      <x:c r="AP30" s="27"/>
      <x:c r="AQ30" s="27"/>
      <x:c r="AR30" s="27"/>
      <x:c r="AS30" s="27"/>
      <x:c r="AT30" s="27"/>
      <x:c r="AU30" s="27"/>
      <x:c r="AV30" s="27"/>
      <x:c r="AW30" s="27"/>
      <x:c r="AX30" s="27"/>
      <x:c r="AY30" s="27"/>
      <x:c r="AZ30" s="27"/>
    </x:row>
    <x:row r="31">
      <x:c r="A31" s="27"/>
      <x:c r="B31" s="27"/>
      <x:c r="C31" s="27"/>
      <x:c r="D31" s="27"/>
      <x:c r="E31" s="27"/>
      <x:c r="F31" s="27"/>
      <x:c r="G31" s="27"/>
      <x:c r="H31" s="27"/>
      <x:c r="I31" s="27"/>
      <x:c r="J31" s="27"/>
      <x:c r="K31" s="27"/>
      <x:c r="L31" s="27"/>
      <x:c r="M31" s="27"/>
      <x:c r="N31" s="27"/>
      <x:c r="O31" s="27"/>
      <x:c r="P31" s="27"/>
      <x:c r="Q31" s="27"/>
      <x:c r="R31" s="27"/>
      <x:c r="S31" s="27"/>
      <x:c r="T31" s="27"/>
      <x:c r="U31" s="27"/>
      <x:c r="V31" s="27"/>
      <x:c r="W31" s="27"/>
      <x:c r="X31" s="27"/>
      <x:c r="Y31" s="27"/>
      <x:c r="Z31" s="27"/>
      <x:c r="AA31" s="27"/>
      <x:c r="AB31" s="27"/>
      <x:c r="AC31" s="27"/>
      <x:c r="AD31" s="27"/>
      <x:c r="AE31" s="27"/>
      <x:c r="AF31" s="27"/>
      <x:c r="AG31" s="27"/>
      <x:c r="AH31" s="27"/>
      <x:c r="AI31" s="27"/>
      <x:c r="AJ31" s="27"/>
      <x:c r="AK31" s="27"/>
      <x:c r="AL31" s="27"/>
      <x:c r="AM31" s="27"/>
      <x:c r="AN31" s="27"/>
      <x:c r="AO31" s="27"/>
      <x:c r="AP31" s="27"/>
      <x:c r="AQ31" s="27"/>
      <x:c r="AR31" s="27"/>
      <x:c r="AS31" s="27"/>
      <x:c r="AT31" s="27"/>
      <x:c r="AU31" s="27"/>
      <x:c r="AV31" s="27"/>
      <x:c r="AW31" s="27"/>
      <x:c r="AX31" s="27"/>
      <x:c r="AY31" s="27"/>
      <x:c r="AZ31" s="27"/>
    </x:row>
    <x:row r="32">
      <x:c r="A32" s="27"/>
      <x:c r="B32" s="27"/>
      <x:c r="C32" s="27"/>
      <x:c r="D32" s="27"/>
      <x:c r="E32" s="27"/>
      <x:c r="F32" s="27"/>
      <x:c r="G32" s="27"/>
      <x:c r="H32" s="27"/>
      <x:c r="I32" s="27"/>
      <x:c r="J32" s="27"/>
      <x:c r="K32" s="27"/>
      <x:c r="L32" s="27"/>
      <x:c r="M32" s="27"/>
      <x:c r="N32" s="27"/>
      <x:c r="O32" s="27"/>
      <x:c r="P32" s="27"/>
      <x:c r="Q32" s="27"/>
      <x:c r="R32" s="27"/>
      <x:c r="S32" s="27"/>
      <x:c r="T32" s="27"/>
      <x:c r="U32" s="27"/>
      <x:c r="V32" s="27"/>
      <x:c r="W32" s="27"/>
      <x:c r="X32" s="27"/>
      <x:c r="Y32" s="27"/>
      <x:c r="Z32" s="27"/>
      <x:c r="AA32" s="27"/>
      <x:c r="AB32" s="27"/>
      <x:c r="AC32" s="27"/>
      <x:c r="AD32" s="27"/>
      <x:c r="AE32" s="27"/>
      <x:c r="AF32" s="27"/>
      <x:c r="AG32" s="27"/>
      <x:c r="AH32" s="27"/>
      <x:c r="AI32" s="27"/>
      <x:c r="AJ32" s="27"/>
      <x:c r="AK32" s="27"/>
      <x:c r="AL32" s="27"/>
      <x:c r="AM32" s="27"/>
      <x:c r="AN32" s="27"/>
      <x:c r="AO32" s="27"/>
      <x:c r="AP32" s="27"/>
      <x:c r="AQ32" s="27"/>
      <x:c r="AR32" s="27"/>
      <x:c r="AS32" s="27"/>
      <x:c r="AT32" s="27"/>
      <x:c r="AU32" s="27"/>
      <x:c r="AV32" s="27"/>
      <x:c r="AW32" s="27"/>
      <x:c r="AX32" s="27"/>
      <x:c r="AY32" s="27"/>
      <x:c r="AZ32" s="27"/>
    </x:row>
    <x:row r="33">
      <x:c r="A33" s="27"/>
      <x:c r="B33" s="27"/>
      <x:c r="C33" s="27"/>
      <x:c r="D33" s="27"/>
      <x:c r="E33" s="27"/>
      <x:c r="F33" s="27"/>
      <x:c r="G33" s="27"/>
      <x:c r="H33" s="27"/>
      <x:c r="I33" s="27"/>
      <x:c r="J33" s="27"/>
      <x:c r="K33" s="27"/>
      <x:c r="L33" s="27"/>
      <x:c r="M33" s="27"/>
      <x:c r="N33" s="27"/>
      <x:c r="O33" s="27"/>
      <x:c r="P33" s="27"/>
      <x:c r="Q33" s="27"/>
      <x:c r="R33" s="27"/>
      <x:c r="S33" s="27"/>
      <x:c r="T33" s="27"/>
      <x:c r="U33" s="27"/>
      <x:c r="V33" s="27"/>
      <x:c r="W33" s="27"/>
      <x:c r="X33" s="27"/>
      <x:c r="Y33" s="27"/>
      <x:c r="Z33" s="27"/>
      <x:c r="AA33" s="27"/>
      <x:c r="AB33" s="27"/>
      <x:c r="AC33" s="27"/>
      <x:c r="AD33" s="27"/>
      <x:c r="AE33" s="27"/>
      <x:c r="AF33" s="27"/>
      <x:c r="AG33" s="27"/>
      <x:c r="AH33" s="27"/>
      <x:c r="AI33" s="27"/>
      <x:c r="AJ33" s="27"/>
      <x:c r="AK33" s="27"/>
      <x:c r="AL33" s="27"/>
      <x:c r="AM33" s="27"/>
      <x:c r="AN33" s="27"/>
      <x:c r="AO33" s="27"/>
      <x:c r="AP33" s="27"/>
      <x:c r="AQ33" s="27"/>
      <x:c r="AR33" s="27"/>
      <x:c r="AS33" s="27"/>
      <x:c r="AT33" s="27"/>
      <x:c r="AU33" s="27"/>
      <x:c r="AV33" s="27"/>
      <x:c r="AW33" s="27"/>
      <x:c r="AX33" s="27"/>
      <x:c r="AY33" s="27"/>
      <x:c r="AZ33" s="27"/>
    </x:row>
    <x:row r="34">
      <x:c r="A34" s="27"/>
      <x:c r="B34" s="27"/>
      <x:c r="C34" s="27"/>
      <x:c r="D34" s="27"/>
      <x:c r="E34" s="27"/>
      <x:c r="F34" s="27"/>
      <x:c r="G34" s="27"/>
      <x:c r="H34" s="27"/>
      <x:c r="I34" s="27"/>
      <x:c r="J34" s="27"/>
      <x:c r="K34" s="27"/>
      <x:c r="L34" s="27"/>
      <x:c r="M34" s="27"/>
      <x:c r="N34" s="27"/>
      <x:c r="O34" s="27"/>
      <x:c r="P34" s="27"/>
      <x:c r="Q34" s="27"/>
      <x:c r="R34" s="27"/>
      <x:c r="S34" s="27"/>
      <x:c r="T34" s="27"/>
      <x:c r="U34" s="27"/>
      <x:c r="V34" s="27"/>
      <x:c r="W34" s="27"/>
      <x:c r="X34" s="27"/>
      <x:c r="Y34" s="27"/>
      <x:c r="Z34" s="27"/>
      <x:c r="AA34" s="27"/>
      <x:c r="AB34" s="27"/>
      <x:c r="AC34" s="27"/>
      <x:c r="AD34" s="27"/>
      <x:c r="AE34" s="27"/>
      <x:c r="AF34" s="27"/>
      <x:c r="AG34" s="27"/>
      <x:c r="AH34" s="27"/>
      <x:c r="AI34" s="27"/>
      <x:c r="AJ34" s="27"/>
      <x:c r="AK34" s="27"/>
      <x:c r="AL34" s="27"/>
      <x:c r="AM34" s="27"/>
      <x:c r="AN34" s="27"/>
      <x:c r="AO34" s="27"/>
      <x:c r="AP34" s="27"/>
      <x:c r="AQ34" s="27"/>
      <x:c r="AR34" s="27"/>
      <x:c r="AS34" s="27"/>
      <x:c r="AT34" s="27"/>
      <x:c r="AU34" s="27"/>
      <x:c r="AV34" s="27"/>
      <x:c r="AW34" s="27"/>
      <x:c r="AX34" s="27"/>
      <x:c r="AY34" s="27"/>
      <x:c r="AZ34" s="27"/>
    </x:row>
    <x:row r="35">
      <x:c r="A35" s="27"/>
      <x:c r="B35" s="27"/>
      <x:c r="C35" s="27"/>
      <x:c r="D35" s="27"/>
      <x:c r="E35" s="27"/>
      <x:c r="F35" s="27"/>
      <x:c r="G35" s="27"/>
      <x:c r="H35" s="27"/>
      <x:c r="I35" s="27"/>
      <x:c r="J35" s="27"/>
      <x:c r="K35" s="27"/>
      <x:c r="L35" s="27"/>
      <x:c r="M35" s="27"/>
      <x:c r="N35" s="27"/>
      <x:c r="O35" s="27"/>
      <x:c r="P35" s="27"/>
      <x:c r="Q35" s="27"/>
      <x:c r="R35" s="27"/>
      <x:c r="S35" s="27"/>
      <x:c r="T35" s="27"/>
      <x:c r="U35" s="27"/>
      <x:c r="V35" s="27"/>
      <x:c r="W35" s="27"/>
      <x:c r="X35" s="27"/>
      <x:c r="Y35" s="27"/>
      <x:c r="Z35" s="27"/>
      <x:c r="AA35" s="27"/>
      <x:c r="AB35" s="27"/>
      <x:c r="AC35" s="27"/>
      <x:c r="AD35" s="27"/>
      <x:c r="AE35" s="27"/>
      <x:c r="AF35" s="27"/>
      <x:c r="AG35" s="27"/>
      <x:c r="AH35" s="27"/>
      <x:c r="AI35" s="27"/>
      <x:c r="AJ35" s="27"/>
      <x:c r="AK35" s="27"/>
      <x:c r="AL35" s="27"/>
      <x:c r="AM35" s="27"/>
      <x:c r="AN35" s="27"/>
      <x:c r="AO35" s="27"/>
      <x:c r="AP35" s="27"/>
      <x:c r="AQ35" s="27"/>
      <x:c r="AR35" s="27"/>
      <x:c r="AS35" s="27"/>
      <x:c r="AT35" s="27"/>
      <x:c r="AU35" s="27"/>
      <x:c r="AV35" s="27"/>
      <x:c r="AW35" s="27"/>
      <x:c r="AX35" s="27"/>
      <x:c r="AY35" s="27"/>
      <x:c r="AZ35" s="27"/>
    </x:row>
    <x:row r="36">
      <x:c r="A36" s="27"/>
      <x:c r="B36" s="27"/>
      <x:c r="C36" s="27"/>
      <x:c r="D36" s="27"/>
      <x:c r="E36" s="27"/>
      <x:c r="F36" s="27"/>
      <x:c r="G36" s="27"/>
      <x:c r="H36" s="27"/>
      <x:c r="I36" s="27"/>
      <x:c r="J36" s="27"/>
      <x:c r="K36" s="27"/>
      <x:c r="L36" s="27"/>
      <x:c r="M36" s="27"/>
      <x:c r="N36" s="27"/>
      <x:c r="O36" s="27"/>
      <x:c r="P36" s="27"/>
      <x:c r="Q36" s="27"/>
      <x:c r="R36" s="27"/>
      <x:c r="S36" s="27"/>
      <x:c r="T36" s="27"/>
      <x:c r="U36" s="27"/>
      <x:c r="V36" s="27"/>
      <x:c r="W36" s="27"/>
      <x:c r="X36" s="27"/>
      <x:c r="Y36" s="27"/>
      <x:c r="Z36" s="27"/>
      <x:c r="AA36" s="27"/>
      <x:c r="AB36" s="27"/>
      <x:c r="AC36" s="27"/>
      <x:c r="AD36" s="27"/>
      <x:c r="AE36" s="27"/>
      <x:c r="AF36" s="27"/>
      <x:c r="AG36" s="27"/>
      <x:c r="AH36" s="27"/>
      <x:c r="AI36" s="27"/>
      <x:c r="AJ36" s="27"/>
      <x:c r="AK36" s="27"/>
      <x:c r="AL36" s="27"/>
      <x:c r="AM36" s="27"/>
      <x:c r="AN36" s="27"/>
      <x:c r="AO36" s="27"/>
      <x:c r="AP36" s="27"/>
      <x:c r="AQ36" s="27"/>
      <x:c r="AR36" s="27"/>
      <x:c r="AS36" s="27"/>
      <x:c r="AT36" s="27"/>
      <x:c r="AU36" s="27"/>
      <x:c r="AV36" s="27"/>
      <x:c r="AW36" s="27"/>
      <x:c r="AX36" s="27"/>
      <x:c r="AY36" s="27"/>
      <x:c r="AZ36" s="27"/>
    </x:row>
    <x:row r="37">
      <x:c r="A37" s="27"/>
      <x:c r="B37" s="27"/>
      <x:c r="C37" s="27"/>
      <x:c r="D37" s="27"/>
      <x:c r="E37" s="27"/>
      <x:c r="F37" s="27"/>
      <x:c r="G37" s="27"/>
      <x:c r="H37" s="27"/>
      <x:c r="I37" s="27"/>
      <x:c r="J37" s="27"/>
      <x:c r="K37" s="27"/>
      <x:c r="L37" s="27"/>
      <x:c r="M37" s="27"/>
      <x:c r="N37" s="27"/>
      <x:c r="O37" s="27"/>
      <x:c r="P37" s="27"/>
      <x:c r="Q37" s="27"/>
      <x:c r="R37" s="27"/>
      <x:c r="S37" s="27"/>
      <x:c r="T37" s="27"/>
      <x:c r="U37" s="27"/>
      <x:c r="V37" s="27"/>
      <x:c r="W37" s="27"/>
      <x:c r="X37" s="27"/>
      <x:c r="Y37" s="27"/>
      <x:c r="Z37" s="27"/>
      <x:c r="AA37" s="27"/>
      <x:c r="AB37" s="27"/>
      <x:c r="AC37" s="27"/>
      <x:c r="AD37" s="27"/>
      <x:c r="AE37" s="27"/>
      <x:c r="AF37" s="27"/>
      <x:c r="AG37" s="27"/>
      <x:c r="AH37" s="27"/>
      <x:c r="AI37" s="27"/>
      <x:c r="AJ37" s="27"/>
      <x:c r="AK37" s="27"/>
      <x:c r="AL37" s="27"/>
      <x:c r="AM37" s="27"/>
      <x:c r="AN37" s="27"/>
      <x:c r="AO37" s="27"/>
      <x:c r="AP37" s="27"/>
      <x:c r="AQ37" s="27"/>
      <x:c r="AR37" s="27"/>
      <x:c r="AS37" s="27"/>
      <x:c r="AT37" s="27"/>
      <x:c r="AU37" s="27"/>
      <x:c r="AV37" s="27"/>
      <x:c r="AW37" s="27"/>
      <x:c r="AX37" s="27"/>
      <x:c r="AY37" s="27"/>
      <x:c r="AZ37" s="27"/>
    </x:row>
    <x:row r="38">
      <x:c r="A38" s="27"/>
      <x:c r="B38" s="27"/>
      <x:c r="C38" s="27"/>
      <x:c r="D38" s="27"/>
      <x:c r="E38" s="27"/>
      <x:c r="F38" s="27"/>
      <x:c r="G38" s="27"/>
      <x:c r="H38" s="27"/>
      <x:c r="I38" s="27"/>
      <x:c r="J38" s="27"/>
      <x:c r="K38" s="27"/>
      <x:c r="L38" s="27"/>
      <x:c r="M38" s="27"/>
      <x:c r="N38" s="27"/>
      <x:c r="O38" s="27"/>
      <x:c r="P38" s="27"/>
      <x:c r="Q38" s="27"/>
      <x:c r="R38" s="27"/>
      <x:c r="S38" s="27"/>
      <x:c r="T38" s="27"/>
      <x:c r="U38" s="27"/>
      <x:c r="V38" s="27"/>
      <x:c r="W38" s="27"/>
      <x:c r="X38" s="27"/>
      <x:c r="Y38" s="27"/>
      <x:c r="Z38" s="27"/>
      <x:c r="AA38" s="27"/>
      <x:c r="AB38" s="27"/>
      <x:c r="AC38" s="27"/>
      <x:c r="AD38" s="27"/>
      <x:c r="AE38" s="27"/>
      <x:c r="AF38" s="27"/>
      <x:c r="AG38" s="27"/>
      <x:c r="AH38" s="27"/>
      <x:c r="AI38" s="27"/>
      <x:c r="AJ38" s="27"/>
      <x:c r="AK38" s="27"/>
      <x:c r="AL38" s="27"/>
      <x:c r="AM38" s="27"/>
      <x:c r="AN38" s="27"/>
      <x:c r="AO38" s="27"/>
      <x:c r="AP38" s="27"/>
      <x:c r="AQ38" s="27"/>
      <x:c r="AR38" s="27"/>
      <x:c r="AS38" s="27"/>
      <x:c r="AT38" s="27"/>
      <x:c r="AU38" s="27"/>
      <x:c r="AV38" s="27"/>
      <x:c r="AW38" s="27"/>
      <x:c r="AX38" s="27"/>
      <x:c r="AY38" s="27"/>
      <x:c r="AZ38" s="27"/>
    </x:row>
    <x:row r="39">
      <x:c r="A39" s="27"/>
      <x:c r="B39" s="27"/>
      <x:c r="C39" s="27"/>
      <x:c r="D39" s="27"/>
      <x:c r="E39" s="27"/>
      <x:c r="F39" s="27"/>
      <x:c r="G39" s="27"/>
      <x:c r="H39" s="27"/>
      <x:c r="I39" s="27"/>
      <x:c r="J39" s="27"/>
      <x:c r="K39" s="27"/>
      <x:c r="L39" s="27"/>
      <x:c r="M39" s="27"/>
      <x:c r="N39" s="27"/>
      <x:c r="O39" s="27"/>
      <x:c r="P39" s="27"/>
      <x:c r="Q39" s="27"/>
      <x:c r="R39" s="27"/>
      <x:c r="S39" s="27"/>
      <x:c r="T39" s="27"/>
      <x:c r="U39" s="27"/>
      <x:c r="V39" s="27"/>
      <x:c r="W39" s="27"/>
      <x:c r="X39" s="27"/>
      <x:c r="Y39" s="27"/>
      <x:c r="Z39" s="27"/>
      <x:c r="AA39" s="27"/>
      <x:c r="AB39" s="27"/>
      <x:c r="AC39" s="27"/>
      <x:c r="AD39" s="27"/>
      <x:c r="AE39" s="27"/>
      <x:c r="AF39" s="27"/>
      <x:c r="AG39" s="27"/>
      <x:c r="AH39" s="27"/>
      <x:c r="AI39" s="27"/>
      <x:c r="AJ39" s="27"/>
      <x:c r="AK39" s="27"/>
      <x:c r="AL39" s="27"/>
      <x:c r="AM39" s="27"/>
      <x:c r="AN39" s="27"/>
      <x:c r="AO39" s="27"/>
      <x:c r="AP39" s="27"/>
      <x:c r="AQ39" s="27"/>
      <x:c r="AR39" s="27"/>
      <x:c r="AS39" s="27"/>
      <x:c r="AT39" s="27"/>
      <x:c r="AU39" s="27"/>
      <x:c r="AV39" s="27"/>
      <x:c r="AW39" s="27"/>
      <x:c r="AX39" s="27"/>
      <x:c r="AY39" s="27"/>
      <x:c r="AZ39" s="27"/>
    </x:row>
    <x:row r="40">
      <x:c r="A40" s="27"/>
      <x:c r="B40" s="27"/>
      <x:c r="C40" s="27"/>
      <x:c r="D40" s="27"/>
      <x:c r="E40" s="27"/>
      <x:c r="F40" s="27"/>
      <x:c r="G40" s="27"/>
      <x:c r="H40" s="27"/>
      <x:c r="I40" s="27"/>
      <x:c r="J40" s="27"/>
      <x:c r="K40" s="27"/>
      <x:c r="L40" s="27"/>
      <x:c r="M40" s="27"/>
      <x:c r="N40" s="27"/>
      <x:c r="O40" s="27"/>
      <x:c r="P40" s="27"/>
      <x:c r="Q40" s="27"/>
      <x:c r="R40" s="27"/>
      <x:c r="S40" s="27"/>
      <x:c r="T40" s="27"/>
      <x:c r="U40" s="27"/>
      <x:c r="V40" s="27"/>
      <x:c r="W40" s="27"/>
      <x:c r="X40" s="27"/>
      <x:c r="Y40" s="27"/>
      <x:c r="Z40" s="27"/>
      <x:c r="AA40" s="27"/>
      <x:c r="AB40" s="27"/>
      <x:c r="AC40" s="27"/>
      <x:c r="AD40" s="27"/>
      <x:c r="AE40" s="27"/>
      <x:c r="AF40" s="27"/>
      <x:c r="AG40" s="27"/>
      <x:c r="AH40" s="27"/>
      <x:c r="AI40" s="27"/>
      <x:c r="AJ40" s="27"/>
      <x:c r="AK40" s="27"/>
      <x:c r="AL40" s="27"/>
      <x:c r="AM40" s="27"/>
      <x:c r="AN40" s="27"/>
      <x:c r="AO40" s="27"/>
      <x:c r="AP40" s="27"/>
      <x:c r="AQ40" s="27"/>
      <x:c r="AR40" s="27"/>
      <x:c r="AS40" s="27"/>
      <x:c r="AT40" s="27"/>
      <x:c r="AU40" s="27"/>
      <x:c r="AV40" s="27"/>
      <x:c r="AW40" s="27"/>
      <x:c r="AX40" s="27"/>
      <x:c r="AY40" s="27"/>
      <x:c r="AZ40" s="27"/>
    </x:row>
    <x:row r="41">
      <x:c r="A41" s="27"/>
      <x:c r="B41" s="27"/>
      <x:c r="C41" s="27"/>
      <x:c r="D41" s="27"/>
      <x:c r="E41" s="27"/>
      <x:c r="F41" s="27"/>
      <x:c r="G41" s="27"/>
      <x:c r="H41" s="27"/>
      <x:c r="I41" s="27"/>
      <x:c r="J41" s="27"/>
      <x:c r="K41" s="27"/>
      <x:c r="L41" s="27"/>
      <x:c r="M41" s="27"/>
      <x:c r="N41" s="27"/>
      <x:c r="O41" s="27"/>
      <x:c r="P41" s="27"/>
      <x:c r="Q41" s="27"/>
      <x:c r="R41" s="27"/>
      <x:c r="S41" s="27"/>
      <x:c r="T41" s="27"/>
      <x:c r="U41" s="27"/>
      <x:c r="V41" s="27"/>
      <x:c r="W41" s="27"/>
      <x:c r="X41" s="27"/>
      <x:c r="Y41" s="27"/>
      <x:c r="Z41" s="27"/>
      <x:c r="AA41" s="27"/>
      <x:c r="AB41" s="27"/>
      <x:c r="AC41" s="27"/>
      <x:c r="AD41" s="27"/>
      <x:c r="AE41" s="27"/>
      <x:c r="AF41" s="27"/>
      <x:c r="AG41" s="27"/>
      <x:c r="AH41" s="27"/>
      <x:c r="AI41" s="27"/>
      <x:c r="AJ41" s="27"/>
      <x:c r="AK41" s="27"/>
      <x:c r="AL41" s="27"/>
      <x:c r="AM41" s="27"/>
      <x:c r="AN41" s="27"/>
      <x:c r="AO41" s="27"/>
      <x:c r="AP41" s="27"/>
      <x:c r="AQ41" s="27"/>
      <x:c r="AR41" s="27"/>
      <x:c r="AS41" s="27"/>
      <x:c r="AT41" s="27"/>
      <x:c r="AU41" s="27"/>
      <x:c r="AV41" s="27"/>
      <x:c r="AW41" s="27"/>
      <x:c r="AX41" s="27"/>
      <x:c r="AY41" s="27"/>
      <x:c r="AZ41" s="27"/>
    </x:row>
    <x:row r="42">
      <x:c r="A42" s="27"/>
      <x:c r="B42" s="27"/>
      <x:c r="C42" s="27"/>
      <x:c r="D42" s="27"/>
      <x:c r="E42" s="27"/>
      <x:c r="F42" s="27"/>
      <x:c r="G42" s="27"/>
      <x:c r="H42" s="27"/>
      <x:c r="I42" s="27"/>
      <x:c r="J42" s="27"/>
      <x:c r="K42" s="27"/>
      <x:c r="L42" s="27"/>
      <x:c r="M42" s="27"/>
      <x:c r="N42" s="27"/>
      <x:c r="O42" s="27"/>
      <x:c r="P42" s="27"/>
      <x:c r="Q42" s="27"/>
      <x:c r="R42" s="27"/>
      <x:c r="S42" s="27"/>
      <x:c r="T42" s="27"/>
      <x:c r="U42" s="27"/>
      <x:c r="V42" s="27"/>
      <x:c r="W42" s="27"/>
      <x:c r="X42" s="27"/>
      <x:c r="Y42" s="27"/>
      <x:c r="Z42" s="27"/>
      <x:c r="AA42" s="27"/>
      <x:c r="AB42" s="27"/>
      <x:c r="AC42" s="27"/>
      <x:c r="AD42" s="27"/>
      <x:c r="AE42" s="27"/>
      <x:c r="AF42" s="27"/>
      <x:c r="AG42" s="27"/>
      <x:c r="AH42" s="27"/>
      <x:c r="AI42" s="27"/>
      <x:c r="AJ42" s="27"/>
      <x:c r="AK42" s="27"/>
      <x:c r="AL42" s="27"/>
      <x:c r="AM42" s="27"/>
      <x:c r="AN42" s="27"/>
      <x:c r="AO42" s="27"/>
      <x:c r="AP42" s="27"/>
      <x:c r="AQ42" s="27"/>
      <x:c r="AR42" s="27"/>
      <x:c r="AS42" s="27"/>
      <x:c r="AT42" s="27"/>
      <x:c r="AU42" s="27"/>
      <x:c r="AV42" s="27"/>
      <x:c r="AW42" s="27"/>
      <x:c r="AX42" s="27"/>
      <x:c r="AY42" s="27"/>
      <x:c r="AZ42" s="27"/>
    </x:row>
    <x:row r="43">
      <x:c r="A43" s="27"/>
      <x:c r="B43" s="27"/>
      <x:c r="C43" s="27"/>
      <x:c r="D43" s="27"/>
      <x:c r="E43" s="27"/>
      <x:c r="F43" s="27"/>
      <x:c r="G43" s="27"/>
      <x:c r="H43" s="27"/>
      <x:c r="I43" s="27"/>
      <x:c r="J43" s="27"/>
      <x:c r="K43" s="27"/>
      <x:c r="L43" s="27"/>
      <x:c r="M43" s="27"/>
      <x:c r="N43" s="27"/>
      <x:c r="O43" s="27"/>
      <x:c r="P43" s="27"/>
      <x:c r="Q43" s="27"/>
      <x:c r="R43" s="27"/>
      <x:c r="S43" s="27"/>
      <x:c r="T43" s="27"/>
      <x:c r="U43" s="27"/>
      <x:c r="V43" s="27"/>
      <x:c r="W43" s="27"/>
      <x:c r="X43" s="27"/>
      <x:c r="Y43" s="27"/>
      <x:c r="Z43" s="27"/>
      <x:c r="AA43" s="27"/>
      <x:c r="AB43" s="27"/>
      <x:c r="AC43" s="27"/>
      <x:c r="AD43" s="27"/>
      <x:c r="AE43" s="27"/>
      <x:c r="AF43" s="27"/>
      <x:c r="AG43" s="27"/>
      <x:c r="AH43" s="27"/>
      <x:c r="AI43" s="27"/>
      <x:c r="AJ43" s="27"/>
      <x:c r="AK43" s="27"/>
      <x:c r="AL43" s="27"/>
      <x:c r="AM43" s="27"/>
      <x:c r="AN43" s="27"/>
      <x:c r="AO43" s="27"/>
      <x:c r="AP43" s="27"/>
      <x:c r="AQ43" s="27"/>
      <x:c r="AR43" s="27"/>
      <x:c r="AS43" s="27"/>
      <x:c r="AT43" s="27"/>
      <x:c r="AU43" s="27"/>
      <x:c r="AV43" s="27"/>
      <x:c r="AW43" s="27"/>
      <x:c r="AX43" s="27"/>
      <x:c r="AY43" s="27"/>
      <x:c r="AZ43" s="27"/>
    </x:row>
    <x:row r="44">
      <x:c r="A44" s="27"/>
      <x:c r="B44" s="27"/>
      <x:c r="C44" s="27"/>
      <x:c r="D44" s="27"/>
      <x:c r="E44" s="27"/>
      <x:c r="F44" s="27"/>
      <x:c r="G44" s="27"/>
      <x:c r="H44" s="27"/>
      <x:c r="I44" s="27"/>
      <x:c r="J44" s="27"/>
      <x:c r="K44" s="27"/>
      <x:c r="L44" s="27"/>
      <x:c r="M44" s="27"/>
      <x:c r="N44" s="27"/>
      <x:c r="O44" s="27"/>
      <x:c r="P44" s="27"/>
      <x:c r="Q44" s="27"/>
      <x:c r="R44" s="27"/>
      <x:c r="S44" s="27"/>
      <x:c r="T44" s="27"/>
      <x:c r="U44" s="27"/>
      <x:c r="V44" s="27"/>
      <x:c r="W44" s="27"/>
      <x:c r="X44" s="27"/>
      <x:c r="Y44" s="27"/>
      <x:c r="Z44" s="27"/>
      <x:c r="AA44" s="27"/>
      <x:c r="AB44" s="27"/>
      <x:c r="AC44" s="27"/>
      <x:c r="AD44" s="27"/>
      <x:c r="AE44" s="27"/>
      <x:c r="AF44" s="27"/>
      <x:c r="AG44" s="27"/>
      <x:c r="AH44" s="27"/>
      <x:c r="AI44" s="27"/>
      <x:c r="AJ44" s="27"/>
      <x:c r="AK44" s="27"/>
      <x:c r="AL44" s="27"/>
      <x:c r="AM44" s="27"/>
      <x:c r="AN44" s="27"/>
      <x:c r="AO44" s="27"/>
      <x:c r="AP44" s="27"/>
      <x:c r="AQ44" s="27"/>
      <x:c r="AR44" s="27"/>
      <x:c r="AS44" s="27"/>
      <x:c r="AT44" s="27"/>
      <x:c r="AU44" s="27"/>
      <x:c r="AV44" s="27"/>
      <x:c r="AW44" s="27"/>
      <x:c r="AX44" s="27"/>
      <x:c r="AY44" s="27"/>
      <x:c r="AZ44" s="27"/>
    </x:row>
    <x:row r="45">
      <x:c r="A45" s="27"/>
      <x:c r="B45" s="27"/>
      <x:c r="C45" s="27"/>
      <x:c r="D45" s="27"/>
      <x:c r="E45" s="27"/>
      <x:c r="F45" s="27"/>
      <x:c r="G45" s="27"/>
      <x:c r="H45" s="27"/>
      <x:c r="I45" s="27"/>
      <x:c r="J45" s="27"/>
      <x:c r="K45" s="27"/>
      <x:c r="L45" s="27"/>
      <x:c r="M45" s="27"/>
      <x:c r="N45" s="27"/>
      <x:c r="O45" s="27"/>
      <x:c r="P45" s="27"/>
      <x:c r="Q45" s="27"/>
      <x:c r="R45" s="27"/>
      <x:c r="S45" s="27"/>
      <x:c r="T45" s="27"/>
      <x:c r="U45" s="27"/>
      <x:c r="V45" s="27"/>
      <x:c r="W45" s="27"/>
      <x:c r="X45" s="27"/>
      <x:c r="Y45" s="27"/>
      <x:c r="Z45" s="27"/>
      <x:c r="AA45" s="27"/>
      <x:c r="AB45" s="27"/>
      <x:c r="AC45" s="27"/>
      <x:c r="AD45" s="27"/>
      <x:c r="AE45" s="27"/>
      <x:c r="AF45" s="27"/>
      <x:c r="AG45" s="27"/>
      <x:c r="AH45" s="27"/>
      <x:c r="AI45" s="27"/>
      <x:c r="AJ45" s="27"/>
      <x:c r="AK45" s="27"/>
      <x:c r="AL45" s="27"/>
      <x:c r="AM45" s="27"/>
      <x:c r="AN45" s="27"/>
      <x:c r="AO45" s="27"/>
      <x:c r="AP45" s="27"/>
      <x:c r="AQ45" s="27"/>
      <x:c r="AR45" s="27"/>
      <x:c r="AS45" s="27"/>
      <x:c r="AT45" s="27"/>
      <x:c r="AU45" s="27"/>
      <x:c r="AV45" s="27"/>
      <x:c r="AW45" s="27"/>
      <x:c r="AX45" s="27"/>
      <x:c r="AY45" s="27"/>
      <x:c r="AZ45" s="27"/>
    </x:row>
    <x:row r="46">
      <x:c r="A46" s="27"/>
      <x:c r="B46" s="27"/>
      <x:c r="C46" s="27"/>
      <x:c r="D46" s="27"/>
      <x:c r="E46" s="27"/>
      <x:c r="F46" s="27"/>
      <x:c r="G46" s="27"/>
      <x:c r="H46" s="27"/>
      <x:c r="I46" s="27"/>
      <x:c r="J46" s="27"/>
      <x:c r="K46" s="27"/>
      <x:c r="L46" s="27"/>
      <x:c r="M46" s="27"/>
      <x:c r="N46" s="27"/>
      <x:c r="O46" s="27"/>
      <x:c r="P46" s="27"/>
      <x:c r="Q46" s="27"/>
      <x:c r="R46" s="27"/>
      <x:c r="S46" s="27"/>
      <x:c r="T46" s="27"/>
      <x:c r="U46" s="27"/>
      <x:c r="V46" s="27"/>
      <x:c r="W46" s="27"/>
      <x:c r="X46" s="27"/>
      <x:c r="Y46" s="27"/>
      <x:c r="Z46" s="27"/>
      <x:c r="AA46" s="27"/>
      <x:c r="AB46" s="27"/>
      <x:c r="AC46" s="27"/>
      <x:c r="AD46" s="27"/>
      <x:c r="AE46" s="27"/>
      <x:c r="AF46" s="27"/>
      <x:c r="AG46" s="27"/>
      <x:c r="AH46" s="27"/>
      <x:c r="AI46" s="27"/>
      <x:c r="AJ46" s="27"/>
      <x:c r="AK46" s="27"/>
      <x:c r="AL46" s="27"/>
      <x:c r="AM46" s="27"/>
      <x:c r="AN46" s="27"/>
      <x:c r="AO46" s="27"/>
      <x:c r="AP46" s="27"/>
      <x:c r="AQ46" s="27"/>
      <x:c r="AR46" s="27"/>
      <x:c r="AS46" s="27"/>
      <x:c r="AT46" s="27"/>
      <x:c r="AU46" s="27"/>
      <x:c r="AV46" s="27"/>
      <x:c r="AW46" s="27"/>
      <x:c r="AX46" s="27"/>
      <x:c r="AY46" s="27"/>
      <x:c r="AZ46" s="27"/>
    </x:row>
    <x:row r="47">
      <x:c r="A47" s="27"/>
      <x:c r="B47" s="27"/>
      <x:c r="C47" s="27"/>
      <x:c r="D47" s="27"/>
      <x:c r="E47" s="27"/>
      <x:c r="F47" s="27"/>
      <x:c r="G47" s="27"/>
      <x:c r="H47" s="27"/>
      <x:c r="I47" s="27"/>
      <x:c r="J47" s="27"/>
      <x:c r="K47" s="27"/>
      <x:c r="L47" s="27"/>
      <x:c r="M47" s="27"/>
      <x:c r="N47" s="27"/>
      <x:c r="O47" s="27"/>
      <x:c r="P47" s="27"/>
      <x:c r="Q47" s="27"/>
      <x:c r="R47" s="27"/>
      <x:c r="S47" s="27"/>
      <x:c r="T47" s="27"/>
      <x:c r="U47" s="27"/>
      <x:c r="V47" s="27"/>
      <x:c r="W47" s="27"/>
      <x:c r="X47" s="27"/>
      <x:c r="Y47" s="27"/>
      <x:c r="Z47" s="27"/>
      <x:c r="AA47" s="27"/>
      <x:c r="AB47" s="27"/>
      <x:c r="AC47" s="27"/>
      <x:c r="AD47" s="27"/>
      <x:c r="AE47" s="27"/>
      <x:c r="AF47" s="27"/>
      <x:c r="AG47" s="27"/>
      <x:c r="AH47" s="27"/>
      <x:c r="AI47" s="27"/>
      <x:c r="AJ47" s="27"/>
      <x:c r="AK47" s="27"/>
      <x:c r="AL47" s="27"/>
      <x:c r="AM47" s="27"/>
      <x:c r="AN47" s="27"/>
      <x:c r="AO47" s="27"/>
      <x:c r="AP47" s="27"/>
      <x:c r="AQ47" s="27"/>
      <x:c r="AR47" s="27"/>
      <x:c r="AS47" s="27"/>
      <x:c r="AT47" s="27"/>
      <x:c r="AU47" s="27"/>
      <x:c r="AV47" s="27"/>
      <x:c r="AW47" s="27"/>
      <x:c r="AX47" s="27"/>
      <x:c r="AY47" s="27"/>
      <x:c r="AZ47" s="27"/>
    </x:row>
    <x:row r="48">
      <x:c r="A48" s="27"/>
      <x:c r="B48" s="27"/>
      <x:c r="C48" s="27"/>
      <x:c r="D48" s="27"/>
      <x:c r="E48" s="27"/>
      <x:c r="F48" s="27"/>
      <x:c r="G48" s="27"/>
      <x:c r="H48" s="27"/>
      <x:c r="I48" s="27"/>
      <x:c r="J48" s="27"/>
      <x:c r="K48" s="27"/>
      <x:c r="L48" s="27"/>
      <x:c r="M48" s="27"/>
      <x:c r="N48" s="27"/>
      <x:c r="O48" s="27"/>
      <x:c r="P48" s="27"/>
      <x:c r="Q48" s="27"/>
      <x:c r="R48" s="27"/>
      <x:c r="S48" s="27"/>
      <x:c r="T48" s="27"/>
      <x:c r="U48" s="27"/>
      <x:c r="V48" s="27"/>
      <x:c r="W48" s="27"/>
      <x:c r="X48" s="27"/>
      <x:c r="Y48" s="27"/>
      <x:c r="Z48" s="27"/>
      <x:c r="AA48" s="27"/>
      <x:c r="AB48" s="27"/>
      <x:c r="AC48" s="27"/>
      <x:c r="AD48" s="27"/>
      <x:c r="AE48" s="27"/>
      <x:c r="AF48" s="27"/>
      <x:c r="AG48" s="27"/>
      <x:c r="AH48" s="27"/>
      <x:c r="AI48" s="27"/>
      <x:c r="AJ48" s="27"/>
      <x:c r="AK48" s="27"/>
      <x:c r="AL48" s="27"/>
      <x:c r="AM48" s="27"/>
      <x:c r="AN48" s="27"/>
      <x:c r="AO48" s="27"/>
      <x:c r="AP48" s="27"/>
      <x:c r="AQ48" s="27"/>
      <x:c r="AR48" s="27"/>
      <x:c r="AS48" s="27"/>
      <x:c r="AT48" s="27"/>
      <x:c r="AU48" s="27"/>
      <x:c r="AV48" s="27"/>
      <x:c r="AW48" s="27"/>
      <x:c r="AX48" s="27"/>
      <x:c r="AY48" s="27"/>
      <x:c r="AZ48" s="27"/>
    </x:row>
    <x:row r="49">
      <x:c r="A49" s="27"/>
      <x:c r="B49" s="27"/>
      <x:c r="C49" s="27"/>
      <x:c r="D49" s="27"/>
      <x:c r="E49" s="27"/>
      <x:c r="F49" s="27"/>
      <x:c r="G49" s="27"/>
      <x:c r="H49" s="27"/>
      <x:c r="I49" s="27"/>
      <x:c r="J49" s="27"/>
      <x:c r="K49" s="27"/>
      <x:c r="L49" s="27"/>
      <x:c r="M49" s="27"/>
      <x:c r="N49" s="27"/>
      <x:c r="O49" s="27"/>
      <x:c r="P49" s="27"/>
      <x:c r="Q49" s="27"/>
      <x:c r="R49" s="27"/>
      <x:c r="S49" s="27"/>
      <x:c r="T49" s="27"/>
      <x:c r="U49" s="27"/>
      <x:c r="V49" s="27"/>
      <x:c r="W49" s="27"/>
      <x:c r="X49" s="27"/>
      <x:c r="Y49" s="27"/>
      <x:c r="Z49" s="27"/>
      <x:c r="AA49" s="27"/>
      <x:c r="AB49" s="27"/>
      <x:c r="AC49" s="27"/>
      <x:c r="AD49" s="27"/>
      <x:c r="AE49" s="27"/>
      <x:c r="AF49" s="27"/>
      <x:c r="AG49" s="27"/>
      <x:c r="AH49" s="27"/>
      <x:c r="AI49" s="27"/>
      <x:c r="AJ49" s="27"/>
      <x:c r="AK49" s="27"/>
      <x:c r="AL49" s="27"/>
      <x:c r="AM49" s="27"/>
      <x:c r="AN49" s="27"/>
      <x:c r="AO49" s="27"/>
      <x:c r="AP49" s="27"/>
      <x:c r="AQ49" s="27"/>
      <x:c r="AR49" s="27"/>
      <x:c r="AS49" s="27"/>
      <x:c r="AT49" s="27"/>
      <x:c r="AU49" s="27"/>
      <x:c r="AV49" s="27"/>
      <x:c r="AW49" s="27"/>
      <x:c r="AX49" s="27"/>
      <x:c r="AY49" s="27"/>
      <x:c r="AZ49" s="27"/>
    </x:row>
    <x:row r="50">
      <x:c r="A50" s="27"/>
      <x:c r="B50" s="27"/>
      <x:c r="C50" s="27"/>
      <x:c r="D50" s="27"/>
      <x:c r="E50" s="27"/>
      <x:c r="F50" s="27"/>
      <x:c r="G50" s="27"/>
      <x:c r="H50" s="27"/>
      <x:c r="I50" s="27"/>
      <x:c r="J50" s="27"/>
      <x:c r="K50" s="27"/>
      <x:c r="L50" s="27"/>
      <x:c r="M50" s="27"/>
      <x:c r="N50" s="27"/>
      <x:c r="O50" s="27"/>
      <x:c r="P50" s="27"/>
      <x:c r="Q50" s="27"/>
      <x:c r="R50" s="27"/>
      <x:c r="S50" s="27"/>
      <x:c r="T50" s="27"/>
      <x:c r="U50" s="27"/>
      <x:c r="V50" s="27"/>
      <x:c r="W50" s="27"/>
      <x:c r="X50" s="27"/>
      <x:c r="Y50" s="27"/>
      <x:c r="Z50" s="27"/>
      <x:c r="AA50" s="27"/>
      <x:c r="AB50" s="27"/>
      <x:c r="AC50" s="27"/>
      <x:c r="AD50" s="27"/>
      <x:c r="AE50" s="27"/>
      <x:c r="AF50" s="27"/>
      <x:c r="AG50" s="27"/>
      <x:c r="AH50" s="27"/>
      <x:c r="AI50" s="27"/>
      <x:c r="AJ50" s="27"/>
      <x:c r="AK50" s="27"/>
      <x:c r="AL50" s="27"/>
      <x:c r="AM50" s="27"/>
      <x:c r="AN50" s="27"/>
      <x:c r="AO50" s="27"/>
      <x:c r="AP50" s="27"/>
      <x:c r="AQ50" s="27"/>
      <x:c r="AR50" s="27"/>
      <x:c r="AS50" s="27"/>
      <x:c r="AT50" s="27"/>
      <x:c r="AU50" s="27"/>
      <x:c r="AV50" s="27"/>
      <x:c r="AW50" s="27"/>
      <x:c r="AX50" s="27"/>
      <x:c r="AY50" s="27"/>
      <x:c r="AZ50" s="27"/>
    </x:row>
    <x:row r="51">
      <x:c r="A51" s="27"/>
      <x:c r="B51" s="27"/>
      <x:c r="C51" s="27"/>
      <x:c r="D51" s="27"/>
      <x:c r="E51" s="27"/>
      <x:c r="F51" s="27"/>
      <x:c r="G51" s="27"/>
      <x:c r="H51" s="27"/>
      <x:c r="I51" s="27"/>
      <x:c r="J51" s="27"/>
      <x:c r="K51" s="27"/>
      <x:c r="L51" s="27"/>
      <x:c r="M51" s="27"/>
      <x:c r="N51" s="27"/>
      <x:c r="O51" s="27"/>
      <x:c r="P51" s="27"/>
      <x:c r="Q51" s="27"/>
      <x:c r="R51" s="27"/>
      <x:c r="S51" s="27"/>
      <x:c r="T51" s="27"/>
      <x:c r="U51" s="27"/>
      <x:c r="V51" s="27"/>
      <x:c r="W51" s="27"/>
      <x:c r="X51" s="27"/>
      <x:c r="Y51" s="27"/>
      <x:c r="Z51" s="27"/>
      <x:c r="AA51" s="27"/>
      <x:c r="AB51" s="27"/>
      <x:c r="AC51" s="27"/>
      <x:c r="AD51" s="27"/>
      <x:c r="AE51" s="27"/>
      <x:c r="AF51" s="27"/>
      <x:c r="AG51" s="27"/>
      <x:c r="AH51" s="27"/>
      <x:c r="AI51" s="27"/>
      <x:c r="AJ51" s="27"/>
      <x:c r="AK51" s="27"/>
      <x:c r="AL51" s="27"/>
      <x:c r="AM51" s="27"/>
      <x:c r="AN51" s="27"/>
      <x:c r="AO51" s="27"/>
      <x:c r="AP51" s="27"/>
      <x:c r="AQ51" s="27"/>
      <x:c r="AR51" s="27"/>
      <x:c r="AS51" s="27"/>
      <x:c r="AT51" s="27"/>
      <x:c r="AU51" s="27"/>
      <x:c r="AV51" s="27"/>
      <x:c r="AW51" s="27"/>
      <x:c r="AX51" s="27"/>
      <x:c r="AY51" s="27"/>
      <x:c r="AZ51" s="27"/>
    </x:row>
    <x:row r="52">
      <x:c r="A52" s="27"/>
      <x:c r="B52" s="27"/>
      <x:c r="C52" s="27"/>
      <x:c r="D52" s="27"/>
      <x:c r="E52" s="27"/>
      <x:c r="F52" s="27"/>
      <x:c r="G52" s="27"/>
      <x:c r="H52" s="27"/>
      <x:c r="I52" s="27"/>
      <x:c r="J52" s="27"/>
      <x:c r="K52" s="27"/>
      <x:c r="L52" s="27"/>
      <x:c r="M52" s="27"/>
      <x:c r="N52" s="27"/>
      <x:c r="O52" s="27"/>
      <x:c r="P52" s="27"/>
      <x:c r="Q52" s="27"/>
      <x:c r="R52" s="27"/>
      <x:c r="S52" s="27"/>
      <x:c r="T52" s="27"/>
      <x:c r="U52" s="27"/>
      <x:c r="V52" s="27"/>
      <x:c r="W52" s="27"/>
      <x:c r="X52" s="27"/>
      <x:c r="Y52" s="27"/>
      <x:c r="Z52" s="27"/>
      <x:c r="AA52" s="27"/>
      <x:c r="AB52" s="27"/>
      <x:c r="AC52" s="27"/>
      <x:c r="AD52" s="27"/>
      <x:c r="AE52" s="27"/>
      <x:c r="AF52" s="27"/>
      <x:c r="AG52" s="27"/>
      <x:c r="AH52" s="27"/>
      <x:c r="AI52" s="27"/>
      <x:c r="AJ52" s="27"/>
      <x:c r="AK52" s="27"/>
      <x:c r="AL52" s="27"/>
      <x:c r="AM52" s="27"/>
      <x:c r="AN52" s="27"/>
      <x:c r="AO52" s="27"/>
      <x:c r="AP52" s="27"/>
      <x:c r="AQ52" s="27"/>
      <x:c r="AR52" s="27"/>
      <x:c r="AS52" s="27"/>
      <x:c r="AT52" s="27"/>
      <x:c r="AU52" s="27"/>
      <x:c r="AV52" s="27"/>
      <x:c r="AW52" s="27"/>
      <x:c r="AX52" s="27"/>
      <x:c r="AY52" s="27"/>
      <x:c r="AZ52" s="27"/>
    </x:row>
    <x:row r="53">
      <x:c r="A53" s="27"/>
      <x:c r="B53" s="27"/>
      <x:c r="C53" s="27"/>
      <x:c r="D53" s="27"/>
      <x:c r="E53" s="27"/>
      <x:c r="F53" s="27"/>
      <x:c r="G53" s="27"/>
      <x:c r="H53" s="27"/>
      <x:c r="I53" s="27"/>
      <x:c r="J53" s="27"/>
      <x:c r="K53" s="27"/>
      <x:c r="L53" s="27"/>
      <x:c r="M53" s="27"/>
      <x:c r="N53" s="27"/>
      <x:c r="O53" s="27"/>
      <x:c r="P53" s="27"/>
      <x:c r="Q53" s="27"/>
      <x:c r="R53" s="27"/>
      <x:c r="S53" s="27"/>
      <x:c r="T53" s="27"/>
      <x:c r="U53" s="27"/>
      <x:c r="V53" s="27"/>
      <x:c r="W53" s="27"/>
      <x:c r="X53" s="27"/>
      <x:c r="Y53" s="27"/>
      <x:c r="Z53" s="27"/>
      <x:c r="AA53" s="27"/>
      <x:c r="AB53" s="27"/>
      <x:c r="AC53" s="27"/>
      <x:c r="AD53" s="27"/>
      <x:c r="AE53" s="27"/>
      <x:c r="AF53" s="27"/>
      <x:c r="AG53" s="27"/>
      <x:c r="AH53" s="27"/>
      <x:c r="AI53" s="27"/>
      <x:c r="AJ53" s="27"/>
      <x:c r="AK53" s="27"/>
      <x:c r="AL53" s="27"/>
      <x:c r="AM53" s="27"/>
      <x:c r="AN53" s="27"/>
      <x:c r="AO53" s="27"/>
      <x:c r="AP53" s="27"/>
      <x:c r="AQ53" s="27"/>
      <x:c r="AR53" s="27"/>
      <x:c r="AS53" s="27"/>
      <x:c r="AT53" s="27"/>
      <x:c r="AU53" s="27"/>
      <x:c r="AV53" s="27"/>
      <x:c r="AW53" s="27"/>
      <x:c r="AX53" s="27"/>
      <x:c r="AY53" s="27"/>
      <x:c r="AZ53" s="27"/>
    </x:row>
    <x:row r="54">
      <x:c r="A54" s="27"/>
      <x:c r="B54" s="27"/>
      <x:c r="C54" s="27"/>
      <x:c r="D54" s="27"/>
      <x:c r="E54" s="27"/>
      <x:c r="F54" s="27"/>
      <x:c r="G54" s="27"/>
      <x:c r="H54" s="27"/>
      <x:c r="I54" s="27"/>
      <x:c r="J54" s="27"/>
      <x:c r="K54" s="27"/>
      <x:c r="L54" s="27"/>
      <x:c r="M54" s="27"/>
      <x:c r="N54" s="27"/>
      <x:c r="O54" s="27"/>
      <x:c r="P54" s="27"/>
      <x:c r="Q54" s="27"/>
      <x:c r="R54" s="27"/>
      <x:c r="S54" s="27"/>
      <x:c r="T54" s="27"/>
      <x:c r="U54" s="27"/>
      <x:c r="V54" s="27"/>
      <x:c r="W54" s="27"/>
      <x:c r="X54" s="27"/>
      <x:c r="Y54" s="27"/>
      <x:c r="Z54" s="27"/>
      <x:c r="AA54" s="27"/>
      <x:c r="AB54" s="27"/>
      <x:c r="AC54" s="27"/>
      <x:c r="AD54" s="27"/>
      <x:c r="AE54" s="27"/>
      <x:c r="AF54" s="27"/>
      <x:c r="AG54" s="27"/>
      <x:c r="AH54" s="27"/>
      <x:c r="AI54" s="27"/>
      <x:c r="AJ54" s="27"/>
      <x:c r="AK54" s="27"/>
      <x:c r="AL54" s="27"/>
      <x:c r="AM54" s="27"/>
      <x:c r="AN54" s="27"/>
      <x:c r="AO54" s="27"/>
      <x:c r="AP54" s="27"/>
      <x:c r="AQ54" s="27"/>
      <x:c r="AR54" s="27"/>
      <x:c r="AS54" s="27"/>
      <x:c r="AT54" s="27"/>
      <x:c r="AU54" s="27"/>
      <x:c r="AV54" s="27"/>
      <x:c r="AW54" s="27"/>
      <x:c r="AX54" s="27"/>
      <x:c r="AY54" s="27"/>
      <x:c r="AZ54" s="27"/>
    </x:row>
    <x:row r="55">
      <x:c r="A55" s="27"/>
      <x:c r="B55" s="27"/>
      <x:c r="C55" s="27"/>
      <x:c r="D55" s="27"/>
      <x:c r="E55" s="27"/>
      <x:c r="F55" s="27"/>
      <x:c r="G55" s="27"/>
      <x:c r="H55" s="27"/>
      <x:c r="I55" s="27"/>
      <x:c r="J55" s="27"/>
      <x:c r="K55" s="27"/>
      <x:c r="L55" s="27"/>
      <x:c r="M55" s="27"/>
      <x:c r="N55" s="27"/>
      <x:c r="O55" s="27"/>
      <x:c r="P55" s="27"/>
      <x:c r="Q55" s="27"/>
      <x:c r="R55" s="27"/>
      <x:c r="S55" s="27"/>
      <x:c r="T55" s="27"/>
      <x:c r="U55" s="27"/>
      <x:c r="V55" s="27"/>
      <x:c r="W55" s="27"/>
      <x:c r="X55" s="27"/>
      <x:c r="Y55" s="27"/>
      <x:c r="Z55" s="27"/>
      <x:c r="AA55" s="27"/>
      <x:c r="AB55" s="27"/>
      <x:c r="AC55" s="27"/>
      <x:c r="AD55" s="27"/>
      <x:c r="AE55" s="27"/>
      <x:c r="AF55" s="27"/>
      <x:c r="AG55" s="27"/>
      <x:c r="AH55" s="27"/>
      <x:c r="AI55" s="27"/>
      <x:c r="AJ55" s="27"/>
      <x:c r="AK55" s="27"/>
      <x:c r="AL55" s="27"/>
      <x:c r="AM55" s="27"/>
      <x:c r="AN55" s="27"/>
      <x:c r="AO55" s="27"/>
      <x:c r="AP55" s="27"/>
      <x:c r="AQ55" s="27"/>
      <x:c r="AR55" s="27"/>
      <x:c r="AS55" s="27"/>
      <x:c r="AT55" s="27"/>
      <x:c r="AU55" s="27"/>
      <x:c r="AV55" s="27"/>
      <x:c r="AW55" s="27"/>
      <x:c r="AX55" s="27"/>
      <x:c r="AY55" s="27"/>
      <x:c r="AZ55" s="27"/>
    </x:row>
    <x:row r="56">
      <x:c r="A56" s="27"/>
      <x:c r="B56" s="27"/>
      <x:c r="C56" s="27"/>
      <x:c r="D56" s="27"/>
      <x:c r="E56" s="27"/>
      <x:c r="F56" s="27"/>
      <x:c r="G56" s="27"/>
      <x:c r="H56" s="27"/>
      <x:c r="I56" s="27"/>
      <x:c r="J56" s="27"/>
      <x:c r="K56" s="27"/>
      <x:c r="L56" s="27"/>
      <x:c r="M56" s="27"/>
      <x:c r="N56" s="27"/>
      <x:c r="O56" s="27"/>
      <x:c r="P56" s="27"/>
      <x:c r="Q56" s="27"/>
      <x:c r="R56" s="27"/>
      <x:c r="S56" s="27"/>
      <x:c r="T56" s="27"/>
      <x:c r="U56" s="27"/>
      <x:c r="V56" s="27"/>
      <x:c r="W56" s="27"/>
      <x:c r="X56" s="27"/>
      <x:c r="Y56" s="27"/>
      <x:c r="Z56" s="27"/>
      <x:c r="AA56" s="27"/>
      <x:c r="AB56" s="27"/>
      <x:c r="AC56" s="27"/>
      <x:c r="AD56" s="27"/>
      <x:c r="AE56" s="27"/>
      <x:c r="AF56" s="27"/>
      <x:c r="AG56" s="27"/>
      <x:c r="AH56" s="27"/>
      <x:c r="AI56" s="27"/>
      <x:c r="AJ56" s="27"/>
      <x:c r="AK56" s="27"/>
      <x:c r="AL56" s="27"/>
      <x:c r="AM56" s="27"/>
      <x:c r="AN56" s="27"/>
      <x:c r="AO56" s="27"/>
      <x:c r="AP56" s="27"/>
      <x:c r="AQ56" s="27"/>
      <x:c r="AR56" s="27"/>
      <x:c r="AS56" s="27"/>
      <x:c r="AT56" s="27"/>
      <x:c r="AU56" s="27"/>
      <x:c r="AV56" s="27"/>
      <x:c r="AW56" s="27"/>
      <x:c r="AX56" s="27"/>
      <x:c r="AY56" s="27"/>
      <x:c r="AZ56" s="27"/>
    </x:row>
    <x:row r="57">
      <x:c r="A57" s="27"/>
      <x:c r="B57" s="27"/>
      <x:c r="C57" s="27"/>
      <x:c r="D57" s="27"/>
      <x:c r="E57" s="27"/>
      <x:c r="F57" s="27"/>
      <x:c r="G57" s="27"/>
      <x:c r="H57" s="27"/>
      <x:c r="I57" s="27"/>
      <x:c r="J57" s="27"/>
      <x:c r="K57" s="27"/>
      <x:c r="L57" s="27"/>
      <x:c r="M57" s="27"/>
      <x:c r="N57" s="27"/>
      <x:c r="O57" s="27"/>
      <x:c r="P57" s="27"/>
      <x:c r="Q57" s="27"/>
      <x:c r="R57" s="27"/>
      <x:c r="S57" s="27"/>
      <x:c r="T57" s="27"/>
      <x:c r="U57" s="27"/>
      <x:c r="V57" s="27"/>
      <x:c r="W57" s="27"/>
      <x:c r="X57" s="27"/>
      <x:c r="Y57" s="27"/>
      <x:c r="Z57" s="27"/>
      <x:c r="AA57" s="27"/>
      <x:c r="AB57" s="27"/>
      <x:c r="AC57" s="27"/>
      <x:c r="AD57" s="27"/>
      <x:c r="AE57" s="27"/>
      <x:c r="AF57" s="27"/>
      <x:c r="AG57" s="27"/>
      <x:c r="AH57" s="27"/>
      <x:c r="AI57" s="27"/>
      <x:c r="AJ57" s="27"/>
      <x:c r="AK57" s="27"/>
      <x:c r="AL57" s="27"/>
      <x:c r="AM57" s="27"/>
      <x:c r="AN57" s="27"/>
      <x:c r="AO57" s="27"/>
      <x:c r="AP57" s="27"/>
      <x:c r="AQ57" s="27"/>
      <x:c r="AR57" s="27"/>
      <x:c r="AS57" s="27"/>
      <x:c r="AT57" s="27"/>
      <x:c r="AU57" s="27"/>
      <x:c r="AV57" s="27"/>
      <x:c r="AW57" s="27"/>
      <x:c r="AX57" s="27"/>
      <x:c r="AY57" s="27"/>
      <x:c r="AZ57" s="27"/>
    </x:row>
    <x:row r="58">
      <x:c r="A58" s="27"/>
      <x:c r="B58" s="27"/>
      <x:c r="C58" s="27"/>
      <x:c r="D58" s="27"/>
      <x:c r="E58" s="27"/>
      <x:c r="F58" s="27"/>
      <x:c r="G58" s="27"/>
      <x:c r="H58" s="27"/>
      <x:c r="I58" s="27"/>
      <x:c r="J58" s="27"/>
      <x:c r="K58" s="27"/>
      <x:c r="L58" s="27"/>
      <x:c r="M58" s="27"/>
      <x:c r="N58" s="27"/>
      <x:c r="O58" s="27"/>
      <x:c r="P58" s="27"/>
      <x:c r="Q58" s="27"/>
      <x:c r="R58" s="27"/>
      <x:c r="S58" s="27"/>
      <x:c r="T58" s="27"/>
      <x:c r="U58" s="27"/>
      <x:c r="V58" s="27"/>
      <x:c r="W58" s="27"/>
      <x:c r="X58" s="27"/>
      <x:c r="Y58" s="27"/>
      <x:c r="Z58" s="27"/>
      <x:c r="AA58" s="27"/>
      <x:c r="AB58" s="27"/>
      <x:c r="AC58" s="27"/>
      <x:c r="AD58" s="27"/>
      <x:c r="AE58" s="27"/>
      <x:c r="AF58" s="27"/>
      <x:c r="AG58" s="27"/>
      <x:c r="AH58" s="27"/>
      <x:c r="AI58" s="27"/>
      <x:c r="AJ58" s="27"/>
      <x:c r="AK58" s="27"/>
      <x:c r="AL58" s="27"/>
      <x:c r="AM58" s="27"/>
      <x:c r="AN58" s="27"/>
      <x:c r="AO58" s="27"/>
      <x:c r="AP58" s="27"/>
      <x:c r="AQ58" s="27"/>
      <x:c r="AR58" s="27"/>
      <x:c r="AS58" s="27"/>
      <x:c r="AT58" s="27"/>
      <x:c r="AU58" s="27"/>
      <x:c r="AV58" s="27"/>
      <x:c r="AW58" s="27"/>
      <x:c r="AX58" s="27"/>
      <x:c r="AY58" s="27"/>
      <x:c r="AZ58" s="27"/>
    </x:row>
    <x:row r="59">
      <x:c r="A59" s="27"/>
      <x:c r="B59" s="27"/>
      <x:c r="C59" s="27"/>
      <x:c r="D59" s="27"/>
      <x:c r="E59" s="27"/>
      <x:c r="F59" s="27"/>
      <x:c r="G59" s="27"/>
      <x:c r="H59" s="27"/>
      <x:c r="I59" s="27"/>
      <x:c r="J59" s="27"/>
      <x:c r="K59" s="27"/>
      <x:c r="L59" s="27"/>
      <x:c r="M59" s="27"/>
      <x:c r="N59" s="27"/>
      <x:c r="O59" s="27"/>
      <x:c r="P59" s="27"/>
      <x:c r="Q59" s="27"/>
      <x:c r="R59" s="27"/>
      <x:c r="S59" s="27"/>
      <x:c r="T59" s="27"/>
      <x:c r="U59" s="27"/>
      <x:c r="V59" s="27"/>
      <x:c r="W59" s="27"/>
      <x:c r="X59" s="27"/>
      <x:c r="Y59" s="27"/>
      <x:c r="Z59" s="27"/>
      <x:c r="AA59" s="27"/>
      <x:c r="AB59" s="27"/>
      <x:c r="AC59" s="27"/>
      <x:c r="AD59" s="27"/>
      <x:c r="AE59" s="27"/>
      <x:c r="AF59" s="27"/>
      <x:c r="AG59" s="27"/>
      <x:c r="AH59" s="27"/>
      <x:c r="AI59" s="27"/>
      <x:c r="AJ59" s="27"/>
      <x:c r="AK59" s="27"/>
      <x:c r="AL59" s="27"/>
      <x:c r="AM59" s="27"/>
      <x:c r="AN59" s="27"/>
      <x:c r="AO59" s="27"/>
      <x:c r="AP59" s="27"/>
      <x:c r="AQ59" s="27"/>
      <x:c r="AR59" s="27"/>
      <x:c r="AS59" s="27"/>
      <x:c r="AT59" s="27"/>
      <x:c r="AU59" s="27"/>
      <x:c r="AV59" s="27"/>
      <x:c r="AW59" s="27"/>
      <x:c r="AX59" s="27"/>
      <x:c r="AY59" s="27"/>
      <x:c r="AZ59" s="27"/>
    </x:row>
    <x:row r="60">
      <x:c r="A60" s="27"/>
      <x:c r="B60" s="27"/>
      <x:c r="C60" s="27"/>
      <x:c r="D60" s="27"/>
      <x:c r="E60" s="27"/>
      <x:c r="F60" s="27"/>
      <x:c r="G60" s="27"/>
      <x:c r="H60" s="27"/>
      <x:c r="I60" s="27"/>
      <x:c r="J60" s="27"/>
      <x:c r="K60" s="27"/>
      <x:c r="L60" s="27"/>
      <x:c r="M60" s="27"/>
      <x:c r="N60" s="27"/>
      <x:c r="O60" s="27"/>
      <x:c r="P60" s="27"/>
      <x:c r="Q60" s="27"/>
      <x:c r="R60" s="27"/>
      <x:c r="S60" s="27"/>
      <x:c r="T60" s="27"/>
      <x:c r="U60" s="27"/>
      <x:c r="V60" s="27"/>
      <x:c r="W60" s="27"/>
      <x:c r="X60" s="27"/>
      <x:c r="Y60" s="27"/>
      <x:c r="Z60" s="27"/>
      <x:c r="AA60" s="27"/>
      <x:c r="AB60" s="27"/>
      <x:c r="AC60" s="27"/>
      <x:c r="AD60" s="27"/>
      <x:c r="AE60" s="27"/>
      <x:c r="AF60" s="27"/>
      <x:c r="AG60" s="27"/>
      <x:c r="AH60" s="27"/>
      <x:c r="AI60" s="27"/>
      <x:c r="AJ60" s="27"/>
      <x:c r="AK60" s="27"/>
      <x:c r="AL60" s="27"/>
      <x:c r="AM60" s="27"/>
      <x:c r="AN60" s="27"/>
      <x:c r="AO60" s="27"/>
      <x:c r="AP60" s="27"/>
      <x:c r="AQ60" s="27"/>
      <x:c r="AR60" s="27"/>
      <x:c r="AS60" s="27"/>
      <x:c r="AT60" s="27"/>
      <x:c r="AU60" s="27"/>
      <x:c r="AV60" s="27"/>
      <x:c r="AW60" s="27"/>
      <x:c r="AX60" s="27"/>
      <x:c r="AY60" s="27"/>
      <x:c r="AZ60" s="27"/>
    </x:row>
    <x:row r="61">
      <x:c r="A61" s="27"/>
      <x:c r="B61" s="27"/>
      <x:c r="C61" s="27"/>
      <x:c r="D61" s="27"/>
      <x:c r="E61" s="27"/>
      <x:c r="F61" s="27"/>
      <x:c r="G61" s="27"/>
      <x:c r="H61" s="27"/>
      <x:c r="I61" s="27"/>
      <x:c r="J61" s="27"/>
      <x:c r="K61" s="27"/>
      <x:c r="L61" s="27"/>
      <x:c r="M61" s="27"/>
      <x:c r="N61" s="27"/>
      <x:c r="O61" s="27"/>
      <x:c r="P61" s="27"/>
      <x:c r="Q61" s="27"/>
      <x:c r="R61" s="27"/>
      <x:c r="S61" s="27"/>
      <x:c r="T61" s="27"/>
      <x:c r="U61" s="27"/>
      <x:c r="V61" s="27"/>
      <x:c r="W61" s="27"/>
      <x:c r="X61" s="27"/>
      <x:c r="Y61" s="27"/>
      <x:c r="Z61" s="27"/>
      <x:c r="AA61" s="27"/>
      <x:c r="AB61" s="27"/>
      <x:c r="AC61" s="27"/>
      <x:c r="AD61" s="27"/>
      <x:c r="AE61" s="27"/>
      <x:c r="AF61" s="27"/>
      <x:c r="AG61" s="27"/>
      <x:c r="AH61" s="27"/>
      <x:c r="AI61" s="27"/>
      <x:c r="AJ61" s="27"/>
      <x:c r="AK61" s="27"/>
      <x:c r="AL61" s="27"/>
      <x:c r="AM61" s="27"/>
      <x:c r="AN61" s="27"/>
      <x:c r="AO61" s="27"/>
      <x:c r="AP61" s="27"/>
      <x:c r="AQ61" s="27"/>
      <x:c r="AR61" s="27"/>
      <x:c r="AS61" s="27"/>
      <x:c r="AT61" s="27"/>
      <x:c r="AU61" s="27"/>
      <x:c r="AV61" s="27"/>
      <x:c r="AW61" s="27"/>
      <x:c r="AX61" s="27"/>
      <x:c r="AY61" s="27"/>
      <x:c r="AZ61" s="27"/>
    </x:row>
    <x:row r="62">
      <x:c r="A62" s="27"/>
      <x:c r="B62" s="27"/>
      <x:c r="C62" s="27"/>
      <x:c r="D62" s="27"/>
      <x:c r="E62" s="27"/>
      <x:c r="F62" s="27"/>
      <x:c r="G62" s="27"/>
      <x:c r="H62" s="27"/>
      <x:c r="I62" s="27"/>
      <x:c r="J62" s="27"/>
      <x:c r="K62" s="27"/>
      <x:c r="L62" s="27"/>
      <x:c r="M62" s="27"/>
      <x:c r="N62" s="27"/>
      <x:c r="O62" s="27"/>
      <x:c r="P62" s="27"/>
      <x:c r="Q62" s="27"/>
      <x:c r="R62" s="27"/>
      <x:c r="S62" s="27"/>
      <x:c r="T62" s="27"/>
      <x:c r="U62" s="27"/>
      <x:c r="V62" s="27"/>
      <x:c r="W62" s="27"/>
      <x:c r="X62" s="27"/>
      <x:c r="Y62" s="27"/>
      <x:c r="Z62" s="27"/>
      <x:c r="AA62" s="27"/>
      <x:c r="AB62" s="27"/>
      <x:c r="AC62" s="27"/>
      <x:c r="AD62" s="27"/>
      <x:c r="AE62" s="27"/>
      <x:c r="AF62" s="27"/>
      <x:c r="AG62" s="27"/>
      <x:c r="AH62" s="27"/>
      <x:c r="AI62" s="27"/>
      <x:c r="AJ62" s="27"/>
      <x:c r="AK62" s="27"/>
      <x:c r="AL62" s="27"/>
      <x:c r="AM62" s="27"/>
      <x:c r="AN62" s="27"/>
      <x:c r="AO62" s="27"/>
      <x:c r="AP62" s="27"/>
      <x:c r="AQ62" s="27"/>
      <x:c r="AR62" s="27"/>
      <x:c r="AS62" s="27"/>
      <x:c r="AT62" s="27"/>
      <x:c r="AU62" s="27"/>
      <x:c r="AV62" s="27"/>
      <x:c r="AW62" s="27"/>
      <x:c r="AX62" s="27"/>
      <x:c r="AY62" s="27"/>
      <x:c r="AZ62" s="27"/>
    </x:row>
    <x:row r="63">
      <x:c r="A63" s="27"/>
      <x:c r="B63" s="27"/>
      <x:c r="C63" s="27"/>
      <x:c r="D63" s="27"/>
      <x:c r="E63" s="27"/>
      <x:c r="F63" s="27"/>
      <x:c r="G63" s="27"/>
      <x:c r="H63" s="27"/>
      <x:c r="I63" s="27"/>
      <x:c r="J63" s="27"/>
      <x:c r="K63" s="27"/>
      <x:c r="L63" s="27"/>
      <x:c r="M63" s="27"/>
      <x:c r="N63" s="27"/>
      <x:c r="O63" s="27"/>
      <x:c r="P63" s="27"/>
      <x:c r="Q63" s="27"/>
      <x:c r="R63" s="27"/>
      <x:c r="S63" s="27"/>
      <x:c r="T63" s="27"/>
      <x:c r="U63" s="27"/>
      <x:c r="V63" s="27"/>
      <x:c r="W63" s="27"/>
      <x:c r="X63" s="27"/>
      <x:c r="Y63" s="27"/>
      <x:c r="Z63" s="27"/>
      <x:c r="AA63" s="27"/>
      <x:c r="AB63" s="27"/>
      <x:c r="AC63" s="27"/>
      <x:c r="AD63" s="27"/>
      <x:c r="AE63" s="27"/>
      <x:c r="AF63" s="27"/>
      <x:c r="AG63" s="27"/>
      <x:c r="AH63" s="27"/>
      <x:c r="AI63" s="27"/>
      <x:c r="AJ63" s="27"/>
      <x:c r="AK63" s="27"/>
      <x:c r="AL63" s="27"/>
      <x:c r="AM63" s="27"/>
      <x:c r="AN63" s="27"/>
      <x:c r="AO63" s="27"/>
      <x:c r="AP63" s="27"/>
      <x:c r="AQ63" s="27"/>
      <x:c r="AR63" s="27"/>
      <x:c r="AS63" s="27"/>
      <x:c r="AT63" s="27"/>
      <x:c r="AU63" s="27"/>
      <x:c r="AV63" s="27"/>
      <x:c r="AW63" s="27"/>
      <x:c r="AX63" s="27"/>
      <x:c r="AY63" s="27"/>
      <x:c r="AZ63" s="27"/>
    </x:row>
    <x:row r="64">
      <x:c r="A64" s="27"/>
      <x:c r="B64" s="27"/>
      <x:c r="C64" s="27"/>
      <x:c r="D64" s="27"/>
      <x:c r="E64" s="27"/>
      <x:c r="F64" s="27"/>
      <x:c r="G64" s="27"/>
      <x:c r="H64" s="27"/>
      <x:c r="I64" s="27"/>
      <x:c r="J64" s="27"/>
      <x:c r="K64" s="27"/>
      <x:c r="L64" s="27"/>
      <x:c r="M64" s="27"/>
      <x:c r="N64" s="27"/>
      <x:c r="O64" s="27"/>
      <x:c r="P64" s="27"/>
      <x:c r="Q64" s="27"/>
      <x:c r="R64" s="27"/>
      <x:c r="S64" s="27"/>
      <x:c r="T64" s="27"/>
      <x:c r="U64" s="27"/>
      <x:c r="V64" s="27"/>
      <x:c r="W64" s="27"/>
      <x:c r="X64" s="27"/>
      <x:c r="Y64" s="27"/>
      <x:c r="Z64" s="27"/>
      <x:c r="AA64" s="27"/>
      <x:c r="AB64" s="27"/>
      <x:c r="AC64" s="27"/>
      <x:c r="AD64" s="27"/>
      <x:c r="AE64" s="27"/>
      <x:c r="AF64" s="27"/>
      <x:c r="AG64" s="27"/>
      <x:c r="AH64" s="27"/>
      <x:c r="AI64" s="27"/>
      <x:c r="AJ64" s="27"/>
      <x:c r="AK64" s="27"/>
      <x:c r="AL64" s="27"/>
      <x:c r="AM64" s="27"/>
      <x:c r="AN64" s="27"/>
      <x:c r="AO64" s="27"/>
      <x:c r="AP64" s="27"/>
      <x:c r="AQ64" s="27"/>
      <x:c r="AR64" s="27"/>
      <x:c r="AS64" s="27"/>
      <x:c r="AT64" s="27"/>
      <x:c r="AU64" s="27"/>
      <x:c r="AV64" s="27"/>
      <x:c r="AW64" s="27"/>
      <x:c r="AX64" s="27"/>
      <x:c r="AY64" s="27"/>
      <x:c r="AZ64" s="27"/>
    </x:row>
    <x:row r="65">
      <x:c r="A65" s="27"/>
      <x:c r="B65" s="27"/>
      <x:c r="C65" s="27"/>
      <x:c r="D65" s="27"/>
      <x:c r="E65" s="27"/>
      <x:c r="F65" s="27"/>
      <x:c r="G65" s="27"/>
      <x:c r="H65" s="27"/>
      <x:c r="I65" s="27"/>
      <x:c r="J65" s="27"/>
      <x:c r="K65" s="27"/>
      <x:c r="L65" s="27"/>
      <x:c r="M65" s="27"/>
      <x:c r="N65" s="27"/>
      <x:c r="O65" s="27"/>
      <x:c r="P65" s="27"/>
      <x:c r="Q65" s="27"/>
      <x:c r="R65" s="27"/>
      <x:c r="S65" s="27"/>
      <x:c r="T65" s="27"/>
      <x:c r="U65" s="27"/>
      <x:c r="V65" s="27"/>
      <x:c r="W65" s="27"/>
      <x:c r="X65" s="27"/>
      <x:c r="Y65" s="27"/>
      <x:c r="Z65" s="27"/>
      <x:c r="AA65" s="27"/>
      <x:c r="AB65" s="27"/>
      <x:c r="AC65" s="27"/>
      <x:c r="AD65" s="27"/>
      <x:c r="AE65" s="27"/>
      <x:c r="AF65" s="27"/>
      <x:c r="AG65" s="27"/>
      <x:c r="AH65" s="27"/>
      <x:c r="AI65" s="27"/>
      <x:c r="AJ65" s="27"/>
      <x:c r="AK65" s="27"/>
      <x:c r="AL65" s="27"/>
      <x:c r="AM65" s="27"/>
      <x:c r="AN65" s="27"/>
      <x:c r="AO65" s="27"/>
      <x:c r="AP65" s="27"/>
      <x:c r="AQ65" s="27"/>
      <x:c r="AR65" s="27"/>
      <x:c r="AS65" s="27"/>
      <x:c r="AT65" s="27"/>
      <x:c r="AU65" s="27"/>
      <x:c r="AV65" s="27"/>
      <x:c r="AW65" s="27"/>
      <x:c r="AX65" s="27"/>
      <x:c r="AY65" s="27"/>
      <x:c r="AZ65" s="27"/>
    </x:row>
    <x:row r="66">
      <x:c r="A66" s="27"/>
      <x:c r="B66" s="27"/>
      <x:c r="C66" s="27"/>
      <x:c r="D66" s="27"/>
      <x:c r="E66" s="27"/>
      <x:c r="F66" s="27"/>
      <x:c r="G66" s="27"/>
      <x:c r="H66" s="27"/>
      <x:c r="I66" s="27"/>
      <x:c r="J66" s="27"/>
      <x:c r="K66" s="27"/>
      <x:c r="L66" s="27"/>
      <x:c r="M66" s="27"/>
      <x:c r="N66" s="27"/>
      <x:c r="O66" s="27"/>
      <x:c r="P66" s="27"/>
      <x:c r="Q66" s="27"/>
      <x:c r="R66" s="27"/>
      <x:c r="S66" s="27"/>
      <x:c r="T66" s="27"/>
      <x:c r="U66" s="27"/>
      <x:c r="V66" s="27"/>
      <x:c r="W66" s="27"/>
      <x:c r="X66" s="27"/>
      <x:c r="Y66" s="27"/>
      <x:c r="Z66" s="27"/>
      <x:c r="AA66" s="27"/>
      <x:c r="AB66" s="27"/>
      <x:c r="AC66" s="27"/>
      <x:c r="AD66" s="27"/>
      <x:c r="AE66" s="27"/>
      <x:c r="AF66" s="27"/>
      <x:c r="AG66" s="27"/>
      <x:c r="AH66" s="27"/>
      <x:c r="AI66" s="27"/>
      <x:c r="AJ66" s="27"/>
      <x:c r="AK66" s="27"/>
      <x:c r="AL66" s="27"/>
      <x:c r="AM66" s="27"/>
      <x:c r="AN66" s="27"/>
      <x:c r="AO66" s="27"/>
      <x:c r="AP66" s="27"/>
      <x:c r="AQ66" s="27"/>
      <x:c r="AR66" s="27"/>
      <x:c r="AS66" s="27"/>
      <x:c r="AT66" s="27"/>
      <x:c r="AU66" s="27"/>
      <x:c r="AV66" s="27"/>
      <x:c r="AW66" s="27"/>
      <x:c r="AX66" s="27"/>
      <x:c r="AY66" s="27"/>
      <x:c r="AZ66" s="27"/>
    </x:row>
    <x:row r="67">
      <x:c r="A67" s="27"/>
      <x:c r="B67" s="27"/>
      <x:c r="C67" s="27"/>
      <x:c r="D67" s="27"/>
      <x:c r="E67" s="27"/>
      <x:c r="F67" s="27"/>
      <x:c r="G67" s="27"/>
      <x:c r="H67" s="27"/>
      <x:c r="I67" s="27"/>
      <x:c r="J67" s="27"/>
      <x:c r="K67" s="27"/>
      <x:c r="L67" s="27"/>
      <x:c r="M67" s="27"/>
      <x:c r="N67" s="27"/>
      <x:c r="O67" s="27"/>
      <x:c r="P67" s="27"/>
      <x:c r="Q67" s="27"/>
      <x:c r="R67" s="27"/>
      <x:c r="S67" s="27"/>
      <x:c r="T67" s="27"/>
      <x:c r="U67" s="27"/>
      <x:c r="V67" s="27"/>
      <x:c r="W67" s="27"/>
      <x:c r="X67" s="27"/>
      <x:c r="Y67" s="27"/>
      <x:c r="Z67" s="27"/>
      <x:c r="AA67" s="27"/>
      <x:c r="AB67" s="27"/>
      <x:c r="AC67" s="27"/>
      <x:c r="AD67" s="27"/>
      <x:c r="AE67" s="27"/>
      <x:c r="AF67" s="27"/>
      <x:c r="AG67" s="27"/>
      <x:c r="AH67" s="27"/>
      <x:c r="AI67" s="27"/>
      <x:c r="AJ67" s="27"/>
      <x:c r="AK67" s="27"/>
      <x:c r="AL67" s="27"/>
      <x:c r="AM67" s="27"/>
      <x:c r="AN67" s="27"/>
      <x:c r="AO67" s="27"/>
      <x:c r="AP67" s="27"/>
      <x:c r="AQ67" s="27"/>
      <x:c r="AR67" s="27"/>
      <x:c r="AS67" s="27"/>
      <x:c r="AT67" s="27"/>
      <x:c r="AU67" s="27"/>
      <x:c r="AV67" s="27"/>
      <x:c r="AW67" s="27"/>
      <x:c r="AX67" s="27"/>
      <x:c r="AY67" s="27"/>
      <x:c r="AZ67" s="27"/>
    </x:row>
    <x:row r="68">
      <x:c r="A68" s="27"/>
      <x:c r="B68" s="27"/>
      <x:c r="C68" s="27"/>
      <x:c r="D68" s="27"/>
      <x:c r="E68" s="27"/>
      <x:c r="F68" s="27"/>
      <x:c r="G68" s="27"/>
      <x:c r="H68" s="27"/>
      <x:c r="I68" s="27"/>
      <x:c r="J68" s="27"/>
      <x:c r="K68" s="27"/>
      <x:c r="L68" s="27"/>
      <x:c r="M68" s="27"/>
      <x:c r="N68" s="27"/>
      <x:c r="O68" s="27"/>
      <x:c r="P68" s="27"/>
      <x:c r="Q68" s="27"/>
      <x:c r="R68" s="27"/>
      <x:c r="S68" s="27"/>
      <x:c r="T68" s="27"/>
      <x:c r="U68" s="27"/>
      <x:c r="V68" s="27"/>
      <x:c r="W68" s="27"/>
      <x:c r="X68" s="27"/>
      <x:c r="Y68" s="27"/>
      <x:c r="Z68" s="27"/>
      <x:c r="AA68" s="27"/>
      <x:c r="AB68" s="27"/>
      <x:c r="AC68" s="27"/>
      <x:c r="AD68" s="27"/>
      <x:c r="AE68" s="27"/>
      <x:c r="AF68" s="27"/>
      <x:c r="AG68" s="27"/>
      <x:c r="AH68" s="27"/>
      <x:c r="AI68" s="27"/>
      <x:c r="AJ68" s="27"/>
      <x:c r="AK68" s="27"/>
      <x:c r="AL68" s="27"/>
      <x:c r="AM68" s="27"/>
      <x:c r="AN68" s="27"/>
      <x:c r="AO68" s="27"/>
      <x:c r="AP68" s="27"/>
      <x:c r="AQ68" s="27"/>
      <x:c r="AR68" s="27"/>
      <x:c r="AS68" s="27"/>
      <x:c r="AT68" s="27"/>
      <x:c r="AU68" s="27"/>
      <x:c r="AV68" s="27"/>
      <x:c r="AW68" s="27"/>
      <x:c r="AX68" s="27"/>
      <x:c r="AY68" s="27"/>
      <x:c r="AZ68" s="27"/>
    </x:row>
    <x:row r="69">
      <x:c r="A69" s="27"/>
      <x:c r="B69" s="27"/>
      <x:c r="C69" s="27"/>
      <x:c r="D69" s="27"/>
      <x:c r="E69" s="27"/>
      <x:c r="F69" s="27"/>
      <x:c r="G69" s="27"/>
      <x:c r="H69" s="27"/>
      <x:c r="I69" s="27"/>
      <x:c r="J69" s="27"/>
      <x:c r="K69" s="27"/>
      <x:c r="L69" s="27"/>
      <x:c r="M69" s="27"/>
      <x:c r="N69" s="27"/>
      <x:c r="O69" s="27"/>
      <x:c r="P69" s="27"/>
      <x:c r="Q69" s="27"/>
      <x:c r="R69" s="27"/>
      <x:c r="S69" s="27"/>
      <x:c r="T69" s="27"/>
      <x:c r="U69" s="27"/>
      <x:c r="V69" s="27"/>
      <x:c r="W69" s="27"/>
      <x:c r="X69" s="27"/>
      <x:c r="Y69" s="27"/>
      <x:c r="Z69" s="27"/>
      <x:c r="AA69" s="27"/>
      <x:c r="AB69" s="27"/>
      <x:c r="AC69" s="27"/>
      <x:c r="AD69" s="27"/>
      <x:c r="AE69" s="27"/>
      <x:c r="AF69" s="27"/>
      <x:c r="AG69" s="27"/>
      <x:c r="AH69" s="27"/>
      <x:c r="AI69" s="27"/>
      <x:c r="AJ69" s="27"/>
      <x:c r="AK69" s="27"/>
      <x:c r="AL69" s="27"/>
      <x:c r="AM69" s="27"/>
      <x:c r="AN69" s="27"/>
      <x:c r="AO69" s="27"/>
      <x:c r="AP69" s="27"/>
      <x:c r="AQ69" s="27"/>
      <x:c r="AR69" s="27"/>
      <x:c r="AS69" s="27"/>
      <x:c r="AT69" s="27"/>
      <x:c r="AU69" s="27"/>
      <x:c r="AV69" s="27"/>
      <x:c r="AW69" s="27"/>
      <x:c r="AX69" s="27"/>
      <x:c r="AY69" s="27"/>
      <x:c r="AZ69" s="27"/>
    </x:row>
    <x:row r="70">
      <x:c r="A70" s="27"/>
      <x:c r="B70" s="27"/>
      <x:c r="C70" s="27"/>
      <x:c r="D70" s="27"/>
      <x:c r="E70" s="27"/>
      <x:c r="F70" s="27"/>
      <x:c r="G70" s="27"/>
      <x:c r="H70" s="27"/>
      <x:c r="I70" s="27"/>
      <x:c r="J70" s="27"/>
      <x:c r="K70" s="27"/>
      <x:c r="L70" s="27"/>
      <x:c r="M70" s="27"/>
      <x:c r="N70" s="27"/>
      <x:c r="O70" s="27"/>
      <x:c r="P70" s="27"/>
      <x:c r="Q70" s="27"/>
      <x:c r="R70" s="27"/>
      <x:c r="S70" s="27"/>
      <x:c r="T70" s="27"/>
      <x:c r="U70" s="27"/>
      <x:c r="V70" s="27"/>
      <x:c r="W70" s="27"/>
      <x:c r="X70" s="27"/>
      <x:c r="Y70" s="27"/>
      <x:c r="Z70" s="27"/>
      <x:c r="AA70" s="27"/>
      <x:c r="AB70" s="27"/>
      <x:c r="AC70" s="27"/>
      <x:c r="AD70" s="27"/>
      <x:c r="AE70" s="27"/>
      <x:c r="AF70" s="27"/>
      <x:c r="AG70" s="27"/>
      <x:c r="AH70" s="27"/>
      <x:c r="AI70" s="27"/>
      <x:c r="AJ70" s="27"/>
      <x:c r="AK70" s="27"/>
      <x:c r="AL70" s="27"/>
      <x:c r="AM70" s="27"/>
      <x:c r="AN70" s="27"/>
      <x:c r="AO70" s="27"/>
      <x:c r="AP70" s="27"/>
      <x:c r="AQ70" s="27"/>
      <x:c r="AR70" s="27"/>
      <x:c r="AS70" s="27"/>
      <x:c r="AT70" s="27"/>
      <x:c r="AU70" s="27"/>
      <x:c r="AV70" s="27"/>
      <x:c r="AW70" s="27"/>
      <x:c r="AX70" s="27"/>
      <x:c r="AY70" s="27"/>
      <x:c r="AZ70" s="27"/>
    </x:row>
    <x:row r="71">
      <x:c r="A71" s="27"/>
      <x:c r="B71" s="27"/>
      <x:c r="C71" s="27"/>
      <x:c r="D71" s="27"/>
      <x:c r="E71" s="27"/>
      <x:c r="F71" s="27"/>
      <x:c r="G71" s="27"/>
      <x:c r="H71" s="27"/>
      <x:c r="I71" s="27"/>
      <x:c r="J71" s="27"/>
      <x:c r="K71" s="27"/>
      <x:c r="L71" s="27"/>
      <x:c r="M71" s="27"/>
      <x:c r="N71" s="27"/>
      <x:c r="O71" s="27"/>
      <x:c r="P71" s="27"/>
      <x:c r="Q71" s="27"/>
      <x:c r="R71" s="27"/>
      <x:c r="S71" s="27"/>
      <x:c r="T71" s="27"/>
      <x:c r="U71" s="27"/>
      <x:c r="V71" s="27"/>
      <x:c r="W71" s="27"/>
      <x:c r="X71" s="27"/>
      <x:c r="Y71" s="27"/>
      <x:c r="Z71" s="27"/>
      <x:c r="AA71" s="27"/>
      <x:c r="AB71" s="27"/>
      <x:c r="AC71" s="27"/>
      <x:c r="AD71" s="27"/>
      <x:c r="AE71" s="27"/>
      <x:c r="AF71" s="27"/>
      <x:c r="AG71" s="27"/>
      <x:c r="AH71" s="27"/>
      <x:c r="AI71" s="27"/>
      <x:c r="AJ71" s="27"/>
      <x:c r="AK71" s="27"/>
      <x:c r="AL71" s="27"/>
      <x:c r="AM71" s="27"/>
      <x:c r="AN71" s="27"/>
      <x:c r="AO71" s="27"/>
      <x:c r="AP71" s="27"/>
      <x:c r="AQ71" s="27"/>
      <x:c r="AR71" s="27"/>
      <x:c r="AS71" s="27"/>
      <x:c r="AT71" s="27"/>
      <x:c r="AU71" s="27"/>
      <x:c r="AV71" s="27"/>
      <x:c r="AW71" s="27"/>
      <x:c r="AX71" s="27"/>
      <x:c r="AY71" s="27"/>
      <x:c r="AZ71" s="27"/>
    </x:row>
    <x:row r="72">
      <x:c r="A72" s="27"/>
      <x:c r="B72" s="27"/>
      <x:c r="C72" s="27"/>
      <x:c r="D72" s="27"/>
      <x:c r="E72" s="27"/>
      <x:c r="F72" s="27"/>
      <x:c r="G72" s="27"/>
      <x:c r="H72" s="27"/>
      <x:c r="I72" s="27"/>
      <x:c r="J72" s="27"/>
      <x:c r="K72" s="27"/>
      <x:c r="L72" s="27"/>
      <x:c r="M72" s="27"/>
      <x:c r="N72" s="27"/>
      <x:c r="O72" s="27"/>
      <x:c r="P72" s="27"/>
      <x:c r="Q72" s="27"/>
      <x:c r="R72" s="27"/>
      <x:c r="S72" s="27"/>
      <x:c r="T72" s="27"/>
      <x:c r="U72" s="27"/>
      <x:c r="V72" s="27"/>
      <x:c r="W72" s="27"/>
      <x:c r="X72" s="27"/>
      <x:c r="Y72" s="27"/>
      <x:c r="Z72" s="27"/>
      <x:c r="AA72" s="27"/>
      <x:c r="AB72" s="27"/>
      <x:c r="AC72" s="27"/>
      <x:c r="AD72" s="27"/>
      <x:c r="AE72" s="27"/>
      <x:c r="AF72" s="27"/>
      <x:c r="AG72" s="27"/>
      <x:c r="AH72" s="27"/>
      <x:c r="AI72" s="27"/>
      <x:c r="AJ72" s="27"/>
      <x:c r="AK72" s="27"/>
      <x:c r="AL72" s="27"/>
      <x:c r="AM72" s="27"/>
      <x:c r="AN72" s="27"/>
      <x:c r="AO72" s="27"/>
      <x:c r="AP72" s="27"/>
      <x:c r="AQ72" s="27"/>
      <x:c r="AR72" s="27"/>
      <x:c r="AS72" s="27"/>
      <x:c r="AT72" s="27"/>
      <x:c r="AU72" s="27"/>
      <x:c r="AV72" s="27"/>
      <x:c r="AW72" s="27"/>
      <x:c r="AX72" s="27"/>
      <x:c r="AY72" s="27"/>
      <x:c r="AZ72" s="27"/>
    </x:row>
    <x:row r="73">
      <x:c r="A73" s="27"/>
      <x:c r="B73" s="27"/>
      <x:c r="C73" s="27"/>
      <x:c r="D73" s="27"/>
      <x:c r="E73" s="27"/>
      <x:c r="F73" s="27"/>
      <x:c r="G73" s="27"/>
      <x:c r="H73" s="27"/>
      <x:c r="I73" s="27"/>
      <x:c r="J73" s="27"/>
      <x:c r="K73" s="27"/>
      <x:c r="L73" s="27"/>
      <x:c r="M73" s="27"/>
      <x:c r="N73" s="27"/>
      <x:c r="O73" s="27"/>
      <x:c r="P73" s="27"/>
      <x:c r="Q73" s="27"/>
      <x:c r="R73" s="27"/>
      <x:c r="S73" s="27"/>
      <x:c r="T73" s="27"/>
      <x:c r="U73" s="27"/>
      <x:c r="V73" s="27"/>
      <x:c r="W73" s="27"/>
      <x:c r="X73" s="27"/>
      <x:c r="Y73" s="27"/>
      <x:c r="Z73" s="27"/>
      <x:c r="AA73" s="27"/>
      <x:c r="AB73" s="27"/>
      <x:c r="AC73" s="27"/>
      <x:c r="AD73" s="27"/>
      <x:c r="AE73" s="27"/>
      <x:c r="AF73" s="27"/>
      <x:c r="AG73" s="27"/>
      <x:c r="AH73" s="27"/>
      <x:c r="AI73" s="27"/>
      <x:c r="AJ73" s="27"/>
      <x:c r="AK73" s="27"/>
      <x:c r="AL73" s="27"/>
      <x:c r="AM73" s="27"/>
      <x:c r="AN73" s="27"/>
      <x:c r="AO73" s="27"/>
      <x:c r="AP73" s="27"/>
      <x:c r="AQ73" s="27"/>
      <x:c r="AR73" s="27"/>
      <x:c r="AS73" s="27"/>
      <x:c r="AT73" s="27"/>
      <x:c r="AU73" s="27"/>
      <x:c r="AV73" s="27"/>
      <x:c r="AW73" s="27"/>
      <x:c r="AX73" s="27"/>
      <x:c r="AY73" s="27"/>
      <x:c r="AZ73" s="27"/>
    </x:row>
    <x:row r="74">
      <x:c r="A74" s="27"/>
      <x:c r="B74" s="27"/>
      <x:c r="C74" s="27"/>
      <x:c r="D74" s="27"/>
      <x:c r="E74" s="27"/>
      <x:c r="F74" s="27"/>
      <x:c r="G74" s="27"/>
      <x:c r="H74" s="27"/>
      <x:c r="I74" s="27"/>
      <x:c r="J74" s="27"/>
      <x:c r="K74" s="27"/>
      <x:c r="L74" s="27"/>
      <x:c r="M74" s="27"/>
      <x:c r="N74" s="27"/>
      <x:c r="O74" s="27"/>
      <x:c r="P74" s="27"/>
      <x:c r="Q74" s="27"/>
      <x:c r="R74" s="27"/>
      <x:c r="S74" s="27"/>
      <x:c r="T74" s="27"/>
      <x:c r="U74" s="27"/>
      <x:c r="V74" s="27"/>
      <x:c r="W74" s="27"/>
      <x:c r="X74" s="27"/>
      <x:c r="Y74" s="27"/>
      <x:c r="Z74" s="27"/>
      <x:c r="AA74" s="27"/>
      <x:c r="AB74" s="27"/>
      <x:c r="AC74" s="27"/>
      <x:c r="AD74" s="27"/>
      <x:c r="AE74" s="27"/>
      <x:c r="AF74" s="27"/>
      <x:c r="AG74" s="27"/>
      <x:c r="AH74" s="27"/>
      <x:c r="AI74" s="27"/>
      <x:c r="AJ74" s="27"/>
      <x:c r="AK74" s="27"/>
      <x:c r="AL74" s="27"/>
      <x:c r="AM74" s="27"/>
      <x:c r="AN74" s="27"/>
      <x:c r="AO74" s="27"/>
      <x:c r="AP74" s="27"/>
      <x:c r="AQ74" s="27"/>
      <x:c r="AR74" s="27"/>
      <x:c r="AS74" s="27"/>
      <x:c r="AT74" s="27"/>
      <x:c r="AU74" s="27"/>
      <x:c r="AV74" s="27"/>
      <x:c r="AW74" s="27"/>
      <x:c r="AX74" s="27"/>
      <x:c r="AY74" s="27"/>
      <x:c r="AZ74" s="27"/>
    </x:row>
    <x:row r="75">
      <x:c r="A75" s="27"/>
      <x:c r="B75" s="27"/>
      <x:c r="C75" s="27"/>
      <x:c r="D75" s="27"/>
      <x:c r="E75" s="27"/>
      <x:c r="F75" s="27"/>
      <x:c r="G75" s="27"/>
      <x:c r="H75" s="27"/>
      <x:c r="I75" s="27"/>
      <x:c r="J75" s="27"/>
      <x:c r="K75" s="27"/>
      <x:c r="L75" s="27"/>
      <x:c r="M75" s="27"/>
      <x:c r="N75" s="27"/>
      <x:c r="O75" s="27"/>
      <x:c r="P75" s="27"/>
      <x:c r="Q75" s="27"/>
      <x:c r="R75" s="27"/>
      <x:c r="S75" s="27"/>
      <x:c r="T75" s="27"/>
      <x:c r="U75" s="27"/>
      <x:c r="V75" s="27"/>
      <x:c r="W75" s="27"/>
      <x:c r="X75" s="27"/>
      <x:c r="Y75" s="27"/>
      <x:c r="Z75" s="27"/>
      <x:c r="AA75" s="27"/>
      <x:c r="AB75" s="27"/>
      <x:c r="AC75" s="27"/>
      <x:c r="AD75" s="27"/>
      <x:c r="AE75" s="27"/>
      <x:c r="AF75" s="27"/>
      <x:c r="AG75" s="27"/>
      <x:c r="AH75" s="27"/>
      <x:c r="AI75" s="27"/>
      <x:c r="AJ75" s="27"/>
      <x:c r="AK75" s="27"/>
      <x:c r="AL75" s="27"/>
      <x:c r="AM75" s="27"/>
      <x:c r="AN75" s="27"/>
      <x:c r="AO75" s="27"/>
      <x:c r="AP75" s="27"/>
      <x:c r="AQ75" s="27"/>
      <x:c r="AR75" s="27"/>
      <x:c r="AS75" s="27"/>
      <x:c r="AT75" s="27"/>
      <x:c r="AU75" s="27"/>
      <x:c r="AV75" s="27"/>
      <x:c r="AW75" s="27"/>
      <x:c r="AX75" s="27"/>
      <x:c r="AY75" s="27"/>
      <x:c r="AZ75" s="27"/>
    </x:row>
    <x:row r="76">
      <x:c r="A76" s="27"/>
      <x:c r="B76" s="27"/>
      <x:c r="C76" s="27"/>
      <x:c r="D76" s="27"/>
      <x:c r="E76" s="27"/>
      <x:c r="F76" s="27"/>
      <x:c r="G76" s="27"/>
      <x:c r="H76" s="27"/>
      <x:c r="I76" s="27"/>
      <x:c r="J76" s="27"/>
      <x:c r="K76" s="27"/>
      <x:c r="L76" s="27"/>
      <x:c r="M76" s="27"/>
      <x:c r="N76" s="27"/>
      <x:c r="O76" s="27"/>
      <x:c r="P76" s="27"/>
      <x:c r="Q76" s="27"/>
      <x:c r="R76" s="27"/>
      <x:c r="S76" s="27"/>
      <x:c r="T76" s="27"/>
      <x:c r="U76" s="27"/>
      <x:c r="V76" s="27"/>
      <x:c r="W76" s="27"/>
      <x:c r="X76" s="27"/>
      <x:c r="Y76" s="27"/>
      <x:c r="Z76" s="27"/>
      <x:c r="AA76" s="27"/>
      <x:c r="AB76" s="27"/>
      <x:c r="AC76" s="27"/>
      <x:c r="AD76" s="27"/>
      <x:c r="AE76" s="27"/>
      <x:c r="AF76" s="27"/>
      <x:c r="AG76" s="27"/>
      <x:c r="AH76" s="27"/>
      <x:c r="AI76" s="27"/>
      <x:c r="AJ76" s="27"/>
      <x:c r="AK76" s="27"/>
      <x:c r="AL76" s="27"/>
      <x:c r="AM76" s="27"/>
      <x:c r="AN76" s="27"/>
      <x:c r="AO76" s="27"/>
      <x:c r="AP76" s="27"/>
      <x:c r="AQ76" s="27"/>
      <x:c r="AR76" s="27"/>
      <x:c r="AS76" s="27"/>
      <x:c r="AT76" s="27"/>
      <x:c r="AU76" s="27"/>
      <x:c r="AV76" s="27"/>
      <x:c r="AW76" s="27"/>
      <x:c r="AX76" s="27"/>
      <x:c r="AY76" s="27"/>
      <x:c r="AZ76" s="27"/>
    </x:row>
    <x:row r="77">
      <x:c r="A77" s="27"/>
      <x:c r="B77" s="27"/>
      <x:c r="C77" s="27"/>
      <x:c r="D77" s="27"/>
      <x:c r="E77" s="27"/>
      <x:c r="F77" s="27"/>
      <x:c r="G77" s="27"/>
      <x:c r="H77" s="27"/>
      <x:c r="I77" s="27"/>
      <x:c r="J77" s="27"/>
      <x:c r="K77" s="27"/>
      <x:c r="L77" s="27"/>
      <x:c r="M77" s="27"/>
      <x:c r="N77" s="27"/>
      <x:c r="O77" s="27"/>
      <x:c r="P77" s="27"/>
      <x:c r="Q77" s="27"/>
      <x:c r="R77" s="27"/>
      <x:c r="S77" s="27"/>
      <x:c r="T77" s="27"/>
      <x:c r="U77" s="27"/>
      <x:c r="V77" s="27"/>
      <x:c r="W77" s="27"/>
      <x:c r="X77" s="27"/>
      <x:c r="Y77" s="27"/>
      <x:c r="Z77" s="27"/>
      <x:c r="AA77" s="27"/>
      <x:c r="AB77" s="27"/>
      <x:c r="AC77" s="27"/>
      <x:c r="AD77" s="27"/>
      <x:c r="AE77" s="27"/>
      <x:c r="AF77" s="27"/>
      <x:c r="AG77" s="27"/>
      <x:c r="AH77" s="27"/>
      <x:c r="AI77" s="27"/>
      <x:c r="AJ77" s="27"/>
      <x:c r="AK77" s="27"/>
      <x:c r="AL77" s="27"/>
      <x:c r="AM77" s="27"/>
      <x:c r="AN77" s="27"/>
      <x:c r="AO77" s="27"/>
      <x:c r="AP77" s="27"/>
      <x:c r="AQ77" s="27"/>
      <x:c r="AR77" s="27"/>
      <x:c r="AS77" s="27"/>
      <x:c r="AT77" s="27"/>
      <x:c r="AU77" s="27"/>
      <x:c r="AV77" s="27"/>
      <x:c r="AW77" s="27"/>
      <x:c r="AX77" s="27"/>
      <x:c r="AY77" s="27"/>
      <x:c r="AZ77" s="27"/>
    </x:row>
    <x:row r="78">
      <x:c r="A78" s="27"/>
      <x:c r="B78" s="27"/>
      <x:c r="C78" s="27"/>
      <x:c r="D78" s="27"/>
      <x:c r="E78" s="27"/>
      <x:c r="F78" s="27"/>
      <x:c r="G78" s="27"/>
      <x:c r="H78" s="27"/>
      <x:c r="I78" s="27"/>
      <x:c r="J78" s="27"/>
      <x:c r="K78" s="27"/>
      <x:c r="L78" s="27"/>
      <x:c r="M78" s="27"/>
      <x:c r="N78" s="27"/>
      <x:c r="O78" s="27"/>
      <x:c r="P78" s="27"/>
      <x:c r="Q78" s="27"/>
      <x:c r="R78" s="27"/>
      <x:c r="S78" s="27"/>
      <x:c r="T78" s="27"/>
      <x:c r="U78" s="27"/>
      <x:c r="V78" s="27"/>
      <x:c r="W78" s="27"/>
      <x:c r="X78" s="27"/>
      <x:c r="Y78" s="27"/>
      <x:c r="Z78" s="27"/>
      <x:c r="AA78" s="27"/>
      <x:c r="AB78" s="27"/>
      <x:c r="AC78" s="27"/>
      <x:c r="AD78" s="27"/>
      <x:c r="AE78" s="27"/>
      <x:c r="AF78" s="27"/>
      <x:c r="AG78" s="27"/>
      <x:c r="AH78" s="27"/>
      <x:c r="AI78" s="27"/>
      <x:c r="AJ78" s="27"/>
      <x:c r="AK78" s="27"/>
      <x:c r="AL78" s="27"/>
      <x:c r="AM78" s="27"/>
      <x:c r="AN78" s="27"/>
      <x:c r="AO78" s="27"/>
      <x:c r="AP78" s="27"/>
      <x:c r="AQ78" s="27"/>
      <x:c r="AR78" s="27"/>
      <x:c r="AS78" s="27"/>
      <x:c r="AT78" s="27"/>
      <x:c r="AU78" s="27"/>
      <x:c r="AV78" s="27"/>
      <x:c r="AW78" s="27"/>
      <x:c r="AX78" s="27"/>
      <x:c r="AY78" s="27"/>
      <x:c r="AZ78" s="27"/>
    </x:row>
    <x:row r="79">
      <x:c r="A79" s="27"/>
      <x:c r="B79" s="27"/>
      <x:c r="C79" s="27"/>
      <x:c r="D79" s="27"/>
      <x:c r="E79" s="27"/>
      <x:c r="F79" s="27"/>
      <x:c r="G79" s="27"/>
      <x:c r="H79" s="27"/>
      <x:c r="I79" s="27"/>
      <x:c r="J79" s="27"/>
      <x:c r="K79" s="27"/>
      <x:c r="L79" s="27"/>
      <x:c r="M79" s="27"/>
      <x:c r="N79" s="27"/>
      <x:c r="O79" s="27"/>
      <x:c r="P79" s="27"/>
      <x:c r="Q79" s="27"/>
      <x:c r="R79" s="27"/>
      <x:c r="S79" s="27"/>
      <x:c r="T79" s="27"/>
      <x:c r="U79" s="27"/>
      <x:c r="V79" s="27"/>
      <x:c r="W79" s="27"/>
      <x:c r="X79" s="27"/>
      <x:c r="Y79" s="27"/>
      <x:c r="Z79" s="27"/>
      <x:c r="AA79" s="27"/>
      <x:c r="AB79" s="27"/>
      <x:c r="AC79" s="27"/>
      <x:c r="AD79" s="27"/>
      <x:c r="AE79" s="27"/>
      <x:c r="AF79" s="27"/>
      <x:c r="AG79" s="27"/>
      <x:c r="AH79" s="27"/>
      <x:c r="AI79" s="27"/>
      <x:c r="AJ79" s="27"/>
      <x:c r="AK79" s="27"/>
      <x:c r="AL79" s="27"/>
      <x:c r="AM79" s="27"/>
      <x:c r="AN79" s="27"/>
      <x:c r="AO79" s="27"/>
      <x:c r="AP79" s="27"/>
      <x:c r="AQ79" s="27"/>
      <x:c r="AR79" s="27"/>
      <x:c r="AS79" s="27"/>
      <x:c r="AT79" s="27"/>
      <x:c r="AU79" s="27"/>
      <x:c r="AV79" s="27"/>
      <x:c r="AW79" s="27"/>
      <x:c r="AX79" s="27"/>
      <x:c r="AY79" s="27"/>
      <x:c r="AZ79" s="27"/>
    </x:row>
    <x:row r="80">
      <x:c r="A80" s="27"/>
      <x:c r="B80" s="27"/>
      <x:c r="C80" s="27"/>
      <x:c r="D80" s="27"/>
      <x:c r="E80" s="27"/>
      <x:c r="F80" s="27"/>
      <x:c r="G80" s="27"/>
      <x:c r="H80" s="27"/>
      <x:c r="I80" s="27"/>
      <x:c r="J80" s="27"/>
      <x:c r="K80" s="27"/>
      <x:c r="L80" s="27"/>
      <x:c r="M80" s="27"/>
      <x:c r="N80" s="27"/>
      <x:c r="O80" s="27"/>
      <x:c r="P80" s="27"/>
      <x:c r="Q80" s="27"/>
      <x:c r="R80" s="27"/>
      <x:c r="S80" s="27"/>
      <x:c r="T80" s="27"/>
      <x:c r="U80" s="27"/>
      <x:c r="V80" s="27"/>
      <x:c r="W80" s="27"/>
      <x:c r="X80" s="27"/>
      <x:c r="Y80" s="27"/>
      <x:c r="Z80" s="27"/>
      <x:c r="AA80" s="27"/>
      <x:c r="AB80" s="27"/>
      <x:c r="AC80" s="27"/>
      <x:c r="AD80" s="27"/>
      <x:c r="AE80" s="27"/>
      <x:c r="AF80" s="27"/>
      <x:c r="AG80" s="27"/>
      <x:c r="AH80" s="27"/>
      <x:c r="AI80" s="27"/>
      <x:c r="AJ80" s="27"/>
      <x:c r="AK80" s="27"/>
      <x:c r="AL80" s="27"/>
      <x:c r="AM80" s="27"/>
      <x:c r="AN80" s="27"/>
      <x:c r="AO80" s="27"/>
      <x:c r="AP80" s="27"/>
      <x:c r="AQ80" s="27"/>
      <x:c r="AR80" s="27"/>
      <x:c r="AS80" s="27"/>
      <x:c r="AT80" s="27"/>
      <x:c r="AU80" s="27"/>
      <x:c r="AV80" s="27"/>
      <x:c r="AW80" s="27"/>
      <x:c r="AX80" s="27"/>
      <x:c r="AY80" s="27"/>
      <x:c r="AZ80" s="27"/>
    </x:row>
    <x:row r="81">
      <x:c r="A81" s="27"/>
      <x:c r="B81" s="27"/>
      <x:c r="C81" s="27"/>
      <x:c r="D81" s="27"/>
      <x:c r="E81" s="27"/>
      <x:c r="F81" s="27"/>
      <x:c r="G81" s="27"/>
      <x:c r="H81" s="27"/>
      <x:c r="I81" s="27"/>
      <x:c r="J81" s="27"/>
      <x:c r="K81" s="27"/>
      <x:c r="L81" s="27"/>
      <x:c r="M81" s="27"/>
      <x:c r="N81" s="27"/>
      <x:c r="O81" s="27"/>
      <x:c r="P81" s="27"/>
      <x:c r="Q81" s="27"/>
      <x:c r="R81" s="27"/>
      <x:c r="S81" s="27"/>
      <x:c r="T81" s="27"/>
      <x:c r="U81" s="27"/>
      <x:c r="V81" s="27"/>
      <x:c r="W81" s="27"/>
      <x:c r="X81" s="27"/>
      <x:c r="Y81" s="27"/>
      <x:c r="Z81" s="27"/>
      <x:c r="AA81" s="27"/>
      <x:c r="AB81" s="27"/>
      <x:c r="AC81" s="27"/>
      <x:c r="AD81" s="27"/>
      <x:c r="AE81" s="27"/>
      <x:c r="AF81" s="27"/>
      <x:c r="AG81" s="27"/>
      <x:c r="AH81" s="27"/>
      <x:c r="AI81" s="27"/>
      <x:c r="AJ81" s="27"/>
      <x:c r="AK81" s="27"/>
      <x:c r="AL81" s="27"/>
      <x:c r="AM81" s="27"/>
      <x:c r="AN81" s="27"/>
      <x:c r="AO81" s="27"/>
      <x:c r="AP81" s="27"/>
      <x:c r="AQ81" s="27"/>
      <x:c r="AR81" s="27"/>
      <x:c r="AS81" s="27"/>
      <x:c r="AT81" s="27"/>
      <x:c r="AU81" s="27"/>
      <x:c r="AV81" s="27"/>
      <x:c r="AW81" s="27"/>
      <x:c r="AX81" s="27"/>
      <x:c r="AY81" s="27"/>
      <x:c r="AZ81" s="27"/>
    </x:row>
    <x:row r="82">
      <x:c r="A82" s="27"/>
      <x:c r="B82" s="27"/>
      <x:c r="C82" s="27"/>
      <x:c r="D82" s="27"/>
      <x:c r="E82" s="27"/>
      <x:c r="F82" s="27"/>
      <x:c r="G82" s="27"/>
      <x:c r="H82" s="27"/>
      <x:c r="I82" s="27"/>
      <x:c r="J82" s="27"/>
      <x:c r="K82" s="27"/>
      <x:c r="L82" s="27"/>
      <x:c r="M82" s="27"/>
      <x:c r="N82" s="27"/>
      <x:c r="O82" s="27"/>
      <x:c r="P82" s="27"/>
      <x:c r="Q82" s="27"/>
      <x:c r="R82" s="27"/>
      <x:c r="S82" s="27"/>
      <x:c r="T82" s="27"/>
      <x:c r="U82" s="27"/>
      <x:c r="V82" s="27"/>
      <x:c r="W82" s="27"/>
      <x:c r="X82" s="27"/>
      <x:c r="Y82" s="27"/>
      <x:c r="Z82" s="27"/>
      <x:c r="AA82" s="27"/>
      <x:c r="AB82" s="27"/>
      <x:c r="AC82" s="27"/>
      <x:c r="AD82" s="27"/>
      <x:c r="AE82" s="27"/>
      <x:c r="AF82" s="27"/>
      <x:c r="AG82" s="27"/>
      <x:c r="AH82" s="27"/>
      <x:c r="AI82" s="27"/>
      <x:c r="AJ82" s="27"/>
      <x:c r="AK82" s="27"/>
      <x:c r="AL82" s="27"/>
      <x:c r="AM82" s="27"/>
      <x:c r="AN82" s="27"/>
      <x:c r="AO82" s="27"/>
      <x:c r="AP82" s="27"/>
      <x:c r="AQ82" s="27"/>
      <x:c r="AR82" s="27"/>
      <x:c r="AS82" s="27"/>
      <x:c r="AT82" s="27"/>
      <x:c r="AU82" s="27"/>
      <x:c r="AV82" s="27"/>
      <x:c r="AW82" s="27"/>
      <x:c r="AX82" s="27"/>
      <x:c r="AY82" s="27"/>
      <x:c r="AZ82" s="27"/>
    </x:row>
    <x:row r="83">
      <x:c r="A83" s="27"/>
      <x:c r="B83" s="27"/>
      <x:c r="C83" s="27"/>
      <x:c r="D83" s="27"/>
      <x:c r="E83" s="27"/>
      <x:c r="F83" s="27"/>
      <x:c r="G83" s="27"/>
      <x:c r="H83" s="27"/>
      <x:c r="I83" s="27"/>
      <x:c r="J83" s="27"/>
      <x:c r="K83" s="27"/>
      <x:c r="L83" s="27"/>
      <x:c r="M83" s="27"/>
      <x:c r="N83" s="27"/>
      <x:c r="O83" s="27"/>
      <x:c r="P83" s="27"/>
      <x:c r="Q83" s="27"/>
      <x:c r="R83" s="27"/>
      <x:c r="S83" s="27"/>
      <x:c r="T83" s="27"/>
      <x:c r="U83" s="27"/>
      <x:c r="V83" s="27"/>
      <x:c r="W83" s="27"/>
      <x:c r="X83" s="27"/>
      <x:c r="Y83" s="27"/>
      <x:c r="Z83" s="27"/>
      <x:c r="AA83" s="27"/>
      <x:c r="AB83" s="27"/>
      <x:c r="AC83" s="27"/>
      <x:c r="AD83" s="27"/>
      <x:c r="AE83" s="27"/>
      <x:c r="AF83" s="27"/>
      <x:c r="AG83" s="27"/>
      <x:c r="AH83" s="27"/>
      <x:c r="AI83" s="27"/>
      <x:c r="AJ83" s="27"/>
      <x:c r="AK83" s="27"/>
      <x:c r="AL83" s="27"/>
      <x:c r="AM83" s="27"/>
      <x:c r="AN83" s="27"/>
      <x:c r="AO83" s="27"/>
      <x:c r="AP83" s="27"/>
      <x:c r="AQ83" s="27"/>
      <x:c r="AR83" s="27"/>
      <x:c r="AS83" s="27"/>
      <x:c r="AT83" s="27"/>
      <x:c r="AU83" s="27"/>
      <x:c r="AV83" s="27"/>
      <x:c r="AW83" s="27"/>
      <x:c r="AX83" s="27"/>
      <x:c r="AY83" s="27"/>
      <x:c r="AZ83" s="27"/>
    </x:row>
    <x:row r="84">
      <x:c r="A84" s="27"/>
      <x:c r="B84" s="27"/>
      <x:c r="C84" s="27"/>
      <x:c r="D84" s="27"/>
      <x:c r="E84" s="27"/>
      <x:c r="F84" s="27"/>
      <x:c r="G84" s="27"/>
      <x:c r="H84" s="27"/>
      <x:c r="I84" s="27"/>
      <x:c r="J84" s="27"/>
      <x:c r="K84" s="27"/>
      <x:c r="L84" s="27"/>
      <x:c r="M84" s="27"/>
      <x:c r="N84" s="27"/>
      <x:c r="O84" s="27"/>
      <x:c r="P84" s="27"/>
      <x:c r="Q84" s="27"/>
      <x:c r="R84" s="27"/>
      <x:c r="S84" s="27"/>
      <x:c r="T84" s="27"/>
      <x:c r="U84" s="27"/>
      <x:c r="V84" s="27"/>
      <x:c r="W84" s="27"/>
      <x:c r="X84" s="27"/>
      <x:c r="Y84" s="27"/>
      <x:c r="Z84" s="27"/>
      <x:c r="AA84" s="27"/>
      <x:c r="AB84" s="27"/>
      <x:c r="AC84" s="27"/>
      <x:c r="AD84" s="27"/>
      <x:c r="AE84" s="27"/>
      <x:c r="AF84" s="27"/>
      <x:c r="AG84" s="27"/>
      <x:c r="AH84" s="27"/>
      <x:c r="AI84" s="27"/>
      <x:c r="AJ84" s="27"/>
      <x:c r="AK84" s="27"/>
      <x:c r="AL84" s="27"/>
      <x:c r="AM84" s="27"/>
      <x:c r="AN84" s="27"/>
      <x:c r="AO84" s="27"/>
      <x:c r="AP84" s="27"/>
      <x:c r="AQ84" s="27"/>
      <x:c r="AR84" s="27"/>
      <x:c r="AS84" s="27"/>
      <x:c r="AT84" s="27"/>
      <x:c r="AU84" s="27"/>
      <x:c r="AV84" s="27"/>
      <x:c r="AW84" s="27"/>
      <x:c r="AX84" s="27"/>
      <x:c r="AY84" s="27"/>
      <x:c r="AZ84" s="27"/>
    </x:row>
    <x:row r="85">
      <x:c r="A85" s="27"/>
      <x:c r="B85" s="27"/>
      <x:c r="C85" s="27"/>
      <x:c r="D85" s="27"/>
      <x:c r="E85" s="27"/>
      <x:c r="F85" s="27"/>
      <x:c r="G85" s="27"/>
      <x:c r="H85" s="27"/>
      <x:c r="I85" s="27"/>
      <x:c r="J85" s="27"/>
      <x:c r="K85" s="27"/>
      <x:c r="L85" s="27"/>
      <x:c r="M85" s="27"/>
      <x:c r="N85" s="27"/>
      <x:c r="O85" s="27"/>
      <x:c r="P85" s="27"/>
      <x:c r="Q85" s="27"/>
      <x:c r="R85" s="27"/>
      <x:c r="S85" s="27"/>
      <x:c r="T85" s="27"/>
      <x:c r="U85" s="27"/>
      <x:c r="V85" s="27"/>
      <x:c r="W85" s="27"/>
      <x:c r="X85" s="27"/>
      <x:c r="Y85" s="27"/>
      <x:c r="Z85" s="27"/>
      <x:c r="AA85" s="27"/>
      <x:c r="AB85" s="27"/>
      <x:c r="AC85" s="27"/>
      <x:c r="AD85" s="27"/>
      <x:c r="AE85" s="27"/>
      <x:c r="AF85" s="27"/>
      <x:c r="AG85" s="27"/>
      <x:c r="AH85" s="27"/>
      <x:c r="AI85" s="27"/>
      <x:c r="AJ85" s="27"/>
      <x:c r="AK85" s="27"/>
      <x:c r="AL85" s="27"/>
      <x:c r="AM85" s="27"/>
      <x:c r="AN85" s="27"/>
      <x:c r="AO85" s="27"/>
      <x:c r="AP85" s="27"/>
      <x:c r="AQ85" s="27"/>
      <x:c r="AR85" s="27"/>
      <x:c r="AS85" s="27"/>
      <x:c r="AT85" s="27"/>
      <x:c r="AU85" s="27"/>
      <x:c r="AV85" s="27"/>
      <x:c r="AW85" s="27"/>
      <x:c r="AX85" s="27"/>
      <x:c r="AY85" s="27"/>
      <x:c r="AZ85" s="27"/>
    </x:row>
    <x:row r="86">
      <x:c r="A86" s="27"/>
      <x:c r="B86" s="27"/>
      <x:c r="C86" s="27"/>
      <x:c r="D86" s="27"/>
      <x:c r="E86" s="27"/>
      <x:c r="F86" s="27"/>
      <x:c r="G86" s="27"/>
      <x:c r="H86" s="27"/>
      <x:c r="I86" s="27"/>
      <x:c r="J86" s="27"/>
      <x:c r="K86" s="27"/>
      <x:c r="L86" s="27"/>
      <x:c r="M86" s="27"/>
      <x:c r="N86" s="27"/>
      <x:c r="O86" s="27"/>
      <x:c r="P86" s="27"/>
      <x:c r="Q86" s="27"/>
      <x:c r="R86" s="27"/>
      <x:c r="S86" s="27"/>
      <x:c r="T86" s="27"/>
      <x:c r="U86" s="27"/>
      <x:c r="V86" s="27"/>
      <x:c r="W86" s="27"/>
      <x:c r="X86" s="27"/>
      <x:c r="Y86" s="27"/>
      <x:c r="Z86" s="27"/>
      <x:c r="AA86" s="27"/>
      <x:c r="AB86" s="27"/>
      <x:c r="AC86" s="27"/>
      <x:c r="AD86" s="27"/>
      <x:c r="AE86" s="27"/>
      <x:c r="AF86" s="27"/>
      <x:c r="AG86" s="27"/>
      <x:c r="AH86" s="27"/>
      <x:c r="AI86" s="27"/>
      <x:c r="AJ86" s="27"/>
      <x:c r="AK86" s="27"/>
      <x:c r="AL86" s="27"/>
      <x:c r="AM86" s="27"/>
      <x:c r="AN86" s="27"/>
      <x:c r="AO86" s="27"/>
      <x:c r="AP86" s="27"/>
      <x:c r="AQ86" s="27"/>
      <x:c r="AR86" s="27"/>
      <x:c r="AS86" s="27"/>
      <x:c r="AT86" s="27"/>
      <x:c r="AU86" s="27"/>
      <x:c r="AV86" s="27"/>
      <x:c r="AW86" s="27"/>
      <x:c r="AX86" s="27"/>
      <x:c r="AY86" s="27"/>
      <x:c r="AZ86" s="27"/>
    </x:row>
    <x:row r="87">
      <x:c r="A87" s="27"/>
      <x:c r="B87" s="27"/>
      <x:c r="C87" s="27"/>
      <x:c r="D87" s="27"/>
      <x:c r="E87" s="27"/>
      <x:c r="F87" s="27"/>
      <x:c r="G87" s="27"/>
      <x:c r="H87" s="27"/>
      <x:c r="I87" s="27"/>
      <x:c r="J87" s="27"/>
      <x:c r="K87" s="27"/>
      <x:c r="L87" s="27"/>
      <x:c r="M87" s="27"/>
      <x:c r="N87" s="27"/>
      <x:c r="O87" s="27"/>
      <x:c r="P87" s="27"/>
      <x:c r="Q87" s="27"/>
      <x:c r="R87" s="27"/>
      <x:c r="S87" s="27"/>
      <x:c r="T87" s="27"/>
      <x:c r="U87" s="27"/>
      <x:c r="V87" s="27"/>
      <x:c r="W87" s="27"/>
      <x:c r="X87" s="27"/>
      <x:c r="Y87" s="27"/>
      <x:c r="Z87" s="27"/>
      <x:c r="AA87" s="27"/>
      <x:c r="AB87" s="27"/>
      <x:c r="AC87" s="27"/>
      <x:c r="AD87" s="27"/>
      <x:c r="AE87" s="27"/>
      <x:c r="AF87" s="27"/>
      <x:c r="AG87" s="27"/>
      <x:c r="AH87" s="27"/>
      <x:c r="AI87" s="27"/>
      <x:c r="AJ87" s="27"/>
      <x:c r="AK87" s="27"/>
      <x:c r="AL87" s="27"/>
      <x:c r="AM87" s="27"/>
      <x:c r="AN87" s="27"/>
      <x:c r="AO87" s="27"/>
      <x:c r="AP87" s="27"/>
      <x:c r="AQ87" s="27"/>
      <x:c r="AR87" s="27"/>
      <x:c r="AS87" s="27"/>
      <x:c r="AT87" s="27"/>
      <x:c r="AU87" s="27"/>
      <x:c r="AV87" s="27"/>
      <x:c r="AW87" s="27"/>
      <x:c r="AX87" s="27"/>
      <x:c r="AY87" s="27"/>
      <x:c r="AZ87" s="27"/>
    </x:row>
    <x:row r="88">
      <x:c r="A88" s="27"/>
      <x:c r="B88" s="27"/>
      <x:c r="C88" s="27"/>
      <x:c r="D88" s="27"/>
      <x:c r="E88" s="27"/>
      <x:c r="F88" s="27"/>
      <x:c r="G88" s="27"/>
      <x:c r="H88" s="27"/>
      <x:c r="I88" s="27"/>
      <x:c r="J88" s="27"/>
      <x:c r="K88" s="27"/>
      <x:c r="L88" s="27"/>
      <x:c r="M88" s="27"/>
      <x:c r="N88" s="27"/>
      <x:c r="O88" s="27"/>
      <x:c r="P88" s="27"/>
      <x:c r="Q88" s="27"/>
      <x:c r="R88" s="27"/>
      <x:c r="S88" s="27"/>
      <x:c r="T88" s="27"/>
      <x:c r="U88" s="27"/>
      <x:c r="V88" s="27"/>
      <x:c r="W88" s="27"/>
      <x:c r="X88" s="27"/>
      <x:c r="Y88" s="27"/>
      <x:c r="Z88" s="27"/>
      <x:c r="AA88" s="27"/>
      <x:c r="AB88" s="27"/>
      <x:c r="AC88" s="27"/>
      <x:c r="AD88" s="27"/>
      <x:c r="AE88" s="27"/>
      <x:c r="AF88" s="27"/>
      <x:c r="AG88" s="27"/>
      <x:c r="AH88" s="27"/>
      <x:c r="AI88" s="27"/>
      <x:c r="AJ88" s="27"/>
      <x:c r="AK88" s="27"/>
      <x:c r="AL88" s="27"/>
      <x:c r="AM88" s="27"/>
      <x:c r="AN88" s="27"/>
      <x:c r="AO88" s="27"/>
      <x:c r="AP88" s="27"/>
      <x:c r="AQ88" s="27"/>
      <x:c r="AR88" s="27"/>
      <x:c r="AS88" s="27"/>
      <x:c r="AT88" s="27"/>
      <x:c r="AU88" s="27"/>
      <x:c r="AV88" s="27"/>
      <x:c r="AW88" s="27"/>
      <x:c r="AX88" s="27"/>
      <x:c r="AY88" s="27"/>
      <x:c r="AZ88" s="27"/>
    </x:row>
    <x:row r="89">
      <x:c r="A89" s="27"/>
      <x:c r="B89" s="27"/>
      <x:c r="C89" s="27"/>
      <x:c r="D89" s="27"/>
      <x:c r="E89" s="27"/>
      <x:c r="F89" s="27"/>
      <x:c r="G89" s="27"/>
      <x:c r="H89" s="27"/>
      <x:c r="I89" s="27"/>
      <x:c r="J89" s="27"/>
      <x:c r="K89" s="27"/>
      <x:c r="L89" s="27"/>
      <x:c r="M89" s="27"/>
      <x:c r="N89" s="27"/>
      <x:c r="O89" s="27"/>
      <x:c r="P89" s="27"/>
      <x:c r="Q89" s="27"/>
      <x:c r="R89" s="27"/>
      <x:c r="S89" s="27"/>
      <x:c r="T89" s="27"/>
      <x:c r="U89" s="27"/>
      <x:c r="V89" s="27"/>
      <x:c r="W89" s="27"/>
      <x:c r="X89" s="27"/>
      <x:c r="Y89" s="27"/>
      <x:c r="Z89" s="27"/>
      <x:c r="AA89" s="27"/>
      <x:c r="AB89" s="27"/>
      <x:c r="AC89" s="27"/>
      <x:c r="AD89" s="27"/>
      <x:c r="AE89" s="27"/>
      <x:c r="AF89" s="27"/>
      <x:c r="AG89" s="27"/>
      <x:c r="AH89" s="27"/>
      <x:c r="AI89" s="27"/>
      <x:c r="AJ89" s="27"/>
      <x:c r="AK89" s="27"/>
      <x:c r="AL89" s="27"/>
      <x:c r="AM89" s="27"/>
      <x:c r="AN89" s="27"/>
      <x:c r="AO89" s="27"/>
      <x:c r="AP89" s="27"/>
      <x:c r="AQ89" s="27"/>
      <x:c r="AR89" s="27"/>
      <x:c r="AS89" s="27"/>
      <x:c r="AT89" s="27"/>
      <x:c r="AU89" s="27"/>
      <x:c r="AV89" s="27"/>
      <x:c r="AW89" s="27"/>
      <x:c r="AX89" s="27"/>
      <x:c r="AY89" s="27"/>
      <x:c r="AZ89" s="27"/>
    </x:row>
    <x:row r="90">
      <x:c r="A90" s="27"/>
      <x:c r="B90" s="27"/>
      <x:c r="C90" s="27"/>
      <x:c r="D90" s="27"/>
      <x:c r="E90" s="27"/>
      <x:c r="F90" s="27"/>
      <x:c r="G90" s="27"/>
      <x:c r="H90" s="27"/>
      <x:c r="I90" s="27"/>
      <x:c r="J90" s="27"/>
      <x:c r="K90" s="27"/>
      <x:c r="L90" s="27"/>
      <x:c r="M90" s="27"/>
      <x:c r="N90" s="27"/>
      <x:c r="O90" s="27"/>
      <x:c r="P90" s="27"/>
      <x:c r="Q90" s="27"/>
      <x:c r="R90" s="27"/>
      <x:c r="S90" s="27"/>
      <x:c r="T90" s="27"/>
      <x:c r="U90" s="27"/>
      <x:c r="V90" s="27"/>
      <x:c r="W90" s="27"/>
      <x:c r="X90" s="27"/>
      <x:c r="Y90" s="27"/>
      <x:c r="Z90" s="27"/>
      <x:c r="AA90" s="27"/>
      <x:c r="AB90" s="27"/>
      <x:c r="AC90" s="27"/>
      <x:c r="AD90" s="27"/>
      <x:c r="AE90" s="27"/>
      <x:c r="AF90" s="27"/>
      <x:c r="AG90" s="27"/>
      <x:c r="AH90" s="27"/>
      <x:c r="AI90" s="27"/>
      <x:c r="AJ90" s="27"/>
      <x:c r="AK90" s="27"/>
      <x:c r="AL90" s="27"/>
      <x:c r="AM90" s="27"/>
      <x:c r="AN90" s="27"/>
      <x:c r="AO90" s="27"/>
      <x:c r="AP90" s="27"/>
      <x:c r="AQ90" s="27"/>
      <x:c r="AR90" s="27"/>
      <x:c r="AS90" s="27"/>
      <x:c r="AT90" s="27"/>
      <x:c r="AU90" s="27"/>
      <x:c r="AV90" s="27"/>
      <x:c r="AW90" s="27"/>
      <x:c r="AX90" s="27"/>
      <x:c r="AY90" s="27"/>
      <x:c r="AZ90" s="27"/>
    </x:row>
    <x:row r="91">
      <x:c r="A91" s="27"/>
      <x:c r="B91" s="27"/>
      <x:c r="C91" s="27"/>
      <x:c r="D91" s="27"/>
      <x:c r="E91" s="27"/>
      <x:c r="F91" s="27"/>
      <x:c r="G91" s="27"/>
      <x:c r="H91" s="27"/>
      <x:c r="I91" s="27"/>
      <x:c r="J91" s="27"/>
      <x:c r="K91" s="27"/>
      <x:c r="L91" s="27"/>
      <x:c r="M91" s="27"/>
      <x:c r="N91" s="27"/>
      <x:c r="O91" s="27"/>
      <x:c r="P91" s="27"/>
      <x:c r="Q91" s="27"/>
      <x:c r="R91" s="27"/>
      <x:c r="S91" s="27"/>
      <x:c r="T91" s="27"/>
      <x:c r="U91" s="27"/>
      <x:c r="V91" s="27"/>
      <x:c r="W91" s="27"/>
      <x:c r="X91" s="27"/>
      <x:c r="Y91" s="27"/>
      <x:c r="Z91" s="27"/>
      <x:c r="AA91" s="27"/>
      <x:c r="AB91" s="27"/>
      <x:c r="AC91" s="27"/>
      <x:c r="AD91" s="27"/>
      <x:c r="AE91" s="27"/>
      <x:c r="AF91" s="27"/>
      <x:c r="AG91" s="27"/>
      <x:c r="AH91" s="27"/>
      <x:c r="AI91" s="27"/>
      <x:c r="AJ91" s="27"/>
      <x:c r="AK91" s="27"/>
      <x:c r="AL91" s="27"/>
      <x:c r="AM91" s="27"/>
      <x:c r="AN91" s="27"/>
      <x:c r="AO91" s="27"/>
      <x:c r="AP91" s="27"/>
      <x:c r="AQ91" s="27"/>
      <x:c r="AR91" s="27"/>
      <x:c r="AS91" s="27"/>
      <x:c r="AT91" s="27"/>
      <x:c r="AU91" s="27"/>
      <x:c r="AV91" s="27"/>
      <x:c r="AW91" s="27"/>
      <x:c r="AX91" s="27"/>
      <x:c r="AY91" s="27"/>
      <x:c r="AZ91" s="27"/>
    </x:row>
    <x:row r="92">
      <x:c r="A92" s="27"/>
      <x:c r="B92" s="27"/>
      <x:c r="C92" s="27"/>
      <x:c r="D92" s="27"/>
      <x:c r="E92" s="27"/>
      <x:c r="F92" s="27"/>
      <x:c r="G92" s="27"/>
      <x:c r="H92" s="27"/>
      <x:c r="I92" s="27"/>
      <x:c r="J92" s="27"/>
      <x:c r="K92" s="27"/>
      <x:c r="L92" s="27"/>
      <x:c r="M92" s="27"/>
      <x:c r="N92" s="27"/>
      <x:c r="O92" s="27"/>
      <x:c r="P92" s="27"/>
      <x:c r="Q92" s="27"/>
      <x:c r="R92" s="27"/>
      <x:c r="S92" s="27"/>
      <x:c r="T92" s="27"/>
      <x:c r="U92" s="27"/>
      <x:c r="V92" s="27"/>
      <x:c r="W92" s="27"/>
      <x:c r="X92" s="27"/>
      <x:c r="Y92" s="27"/>
      <x:c r="Z92" s="27"/>
      <x:c r="AA92" s="27"/>
      <x:c r="AB92" s="27"/>
      <x:c r="AC92" s="27"/>
      <x:c r="AD92" s="27"/>
      <x:c r="AE92" s="27"/>
      <x:c r="AF92" s="27"/>
      <x:c r="AG92" s="27"/>
      <x:c r="AH92" s="27"/>
      <x:c r="AI92" s="27"/>
      <x:c r="AJ92" s="27"/>
      <x:c r="AK92" s="27"/>
      <x:c r="AL92" s="27"/>
      <x:c r="AM92" s="27"/>
      <x:c r="AN92" s="27"/>
      <x:c r="AO92" s="27"/>
      <x:c r="AP92" s="27"/>
      <x:c r="AQ92" s="27"/>
      <x:c r="AR92" s="27"/>
      <x:c r="AS92" s="27"/>
      <x:c r="AT92" s="27"/>
      <x:c r="AU92" s="27"/>
      <x:c r="AV92" s="27"/>
      <x:c r="AW92" s="27"/>
      <x:c r="AX92" s="27"/>
      <x:c r="AY92" s="27"/>
      <x:c r="AZ92" s="27"/>
    </x:row>
    <x:row r="93">
      <x:c r="A93" s="27"/>
      <x:c r="B93" s="27"/>
      <x:c r="C93" s="27"/>
      <x:c r="D93" s="27"/>
      <x:c r="E93" s="27"/>
      <x:c r="F93" s="27"/>
      <x:c r="G93" s="27"/>
      <x:c r="H93" s="27"/>
      <x:c r="I93" s="27"/>
      <x:c r="J93" s="27"/>
      <x:c r="K93" s="27"/>
      <x:c r="L93" s="27"/>
      <x:c r="M93" s="27"/>
      <x:c r="N93" s="27"/>
      <x:c r="O93" s="27"/>
      <x:c r="P93" s="27"/>
      <x:c r="Q93" s="27"/>
      <x:c r="R93" s="27"/>
      <x:c r="S93" s="27"/>
      <x:c r="T93" s="27"/>
      <x:c r="U93" s="27"/>
      <x:c r="V93" s="27"/>
      <x:c r="W93" s="27"/>
      <x:c r="X93" s="27"/>
      <x:c r="Y93" s="27"/>
      <x:c r="Z93" s="27"/>
      <x:c r="AA93" s="27"/>
      <x:c r="AB93" s="27"/>
      <x:c r="AC93" s="27"/>
      <x:c r="AD93" s="27"/>
      <x:c r="AE93" s="27"/>
      <x:c r="AF93" s="27"/>
      <x:c r="AG93" s="27"/>
      <x:c r="AH93" s="27"/>
      <x:c r="AI93" s="27"/>
      <x:c r="AJ93" s="27"/>
      <x:c r="AK93" s="27"/>
      <x:c r="AL93" s="27"/>
      <x:c r="AM93" s="27"/>
      <x:c r="AN93" s="27"/>
      <x:c r="AO93" s="27"/>
      <x:c r="AP93" s="27"/>
      <x:c r="AQ93" s="27"/>
      <x:c r="AR93" s="27"/>
      <x:c r="AS93" s="27"/>
      <x:c r="AT93" s="27"/>
      <x:c r="AU93" s="27"/>
      <x:c r="AV93" s="27"/>
      <x:c r="AW93" s="27"/>
      <x:c r="AX93" s="27"/>
      <x:c r="AY93" s="27"/>
      <x:c r="AZ93" s="27"/>
    </x:row>
    <x:row r="94">
      <x:c r="A94" s="27"/>
      <x:c r="B94" s="27"/>
      <x:c r="C94" s="27"/>
      <x:c r="D94" s="27"/>
      <x:c r="E94" s="27"/>
      <x:c r="F94" s="27"/>
      <x:c r="G94" s="27"/>
      <x:c r="H94" s="27"/>
      <x:c r="I94" s="27"/>
      <x:c r="J94" s="27"/>
      <x:c r="K94" s="27"/>
      <x:c r="L94" s="27"/>
      <x:c r="M94" s="27"/>
      <x:c r="N94" s="27"/>
      <x:c r="O94" s="27"/>
      <x:c r="P94" s="27"/>
      <x:c r="Q94" s="27"/>
      <x:c r="R94" s="27"/>
      <x:c r="S94" s="27"/>
      <x:c r="T94" s="27"/>
      <x:c r="U94" s="27"/>
      <x:c r="V94" s="27"/>
      <x:c r="W94" s="27"/>
      <x:c r="X94" s="27"/>
      <x:c r="Y94" s="27"/>
      <x:c r="Z94" s="27"/>
      <x:c r="AA94" s="27"/>
      <x:c r="AB94" s="27"/>
      <x:c r="AC94" s="27"/>
      <x:c r="AD94" s="27"/>
      <x:c r="AE94" s="27"/>
      <x:c r="AF94" s="27"/>
      <x:c r="AG94" s="27"/>
      <x:c r="AH94" s="27"/>
      <x:c r="AI94" s="27"/>
      <x:c r="AJ94" s="27"/>
      <x:c r="AK94" s="27"/>
      <x:c r="AL94" s="27"/>
      <x:c r="AM94" s="27"/>
      <x:c r="AN94" s="27"/>
      <x:c r="AO94" s="27"/>
      <x:c r="AP94" s="27"/>
      <x:c r="AQ94" s="27"/>
      <x:c r="AR94" s="27"/>
      <x:c r="AS94" s="27"/>
      <x:c r="AT94" s="27"/>
      <x:c r="AU94" s="27"/>
      <x:c r="AV94" s="27"/>
      <x:c r="AW94" s="27"/>
      <x:c r="AX94" s="27"/>
      <x:c r="AY94" s="27"/>
      <x:c r="AZ94" s="27"/>
    </x:row>
    <x:row r="95">
      <x:c r="A95" s="27"/>
      <x:c r="B95" s="27"/>
      <x:c r="C95" s="27"/>
      <x:c r="D95" s="27"/>
      <x:c r="E95" s="27"/>
      <x:c r="F95" s="27"/>
      <x:c r="G95" s="27"/>
      <x:c r="H95" s="27"/>
      <x:c r="I95" s="27"/>
      <x:c r="J95" s="27"/>
      <x:c r="K95" s="27"/>
      <x:c r="L95" s="27"/>
      <x:c r="M95" s="27"/>
      <x:c r="N95" s="27"/>
      <x:c r="O95" s="27"/>
      <x:c r="P95" s="27"/>
      <x:c r="Q95" s="27"/>
      <x:c r="R95" s="27"/>
      <x:c r="S95" s="27"/>
      <x:c r="T95" s="27"/>
      <x:c r="U95" s="27"/>
      <x:c r="V95" s="27"/>
      <x:c r="W95" s="27"/>
      <x:c r="X95" s="27"/>
      <x:c r="Y95" s="27"/>
      <x:c r="Z95" s="27"/>
      <x:c r="AA95" s="27"/>
      <x:c r="AB95" s="27"/>
      <x:c r="AC95" s="27"/>
      <x:c r="AD95" s="27"/>
      <x:c r="AE95" s="27"/>
      <x:c r="AF95" s="27"/>
      <x:c r="AG95" s="27"/>
      <x:c r="AH95" s="27"/>
      <x:c r="AI95" s="27"/>
      <x:c r="AJ95" s="27"/>
      <x:c r="AK95" s="27"/>
      <x:c r="AL95" s="27"/>
      <x:c r="AM95" s="27"/>
      <x:c r="AN95" s="27"/>
      <x:c r="AO95" s="27"/>
      <x:c r="AP95" s="27"/>
      <x:c r="AQ95" s="27"/>
      <x:c r="AR95" s="27"/>
      <x:c r="AS95" s="27"/>
      <x:c r="AT95" s="27"/>
      <x:c r="AU95" s="27"/>
      <x:c r="AV95" s="27"/>
      <x:c r="AW95" s="27"/>
      <x:c r="AX95" s="27"/>
      <x:c r="AY95" s="27"/>
      <x:c r="AZ95" s="27"/>
    </x:row>
    <x:row r="96">
      <x:c r="A96" s="27"/>
      <x:c r="B96" s="27"/>
      <x:c r="C96" s="27"/>
      <x:c r="D96" s="27"/>
      <x:c r="E96" s="27"/>
      <x:c r="F96" s="27"/>
      <x:c r="G96" s="27"/>
      <x:c r="H96" s="27"/>
      <x:c r="I96" s="27"/>
      <x:c r="J96" s="27"/>
      <x:c r="K96" s="27"/>
      <x:c r="L96" s="27"/>
      <x:c r="M96" s="27"/>
      <x:c r="N96" s="27"/>
      <x:c r="O96" s="27"/>
      <x:c r="P96" s="27"/>
      <x:c r="Q96" s="27"/>
      <x:c r="R96" s="27"/>
      <x:c r="S96" s="27"/>
      <x:c r="T96" s="27"/>
      <x:c r="U96" s="27"/>
      <x:c r="V96" s="27"/>
      <x:c r="W96" s="27"/>
      <x:c r="X96" s="27"/>
      <x:c r="Y96" s="27"/>
      <x:c r="Z96" s="27"/>
      <x:c r="AA96" s="27"/>
      <x:c r="AB96" s="27"/>
      <x:c r="AC96" s="27"/>
      <x:c r="AD96" s="27"/>
      <x:c r="AE96" s="27"/>
      <x:c r="AF96" s="27"/>
      <x:c r="AG96" s="27"/>
      <x:c r="AH96" s="27"/>
      <x:c r="AI96" s="27"/>
      <x:c r="AJ96" s="27"/>
      <x:c r="AK96" s="27"/>
      <x:c r="AL96" s="27"/>
      <x:c r="AM96" s="27"/>
      <x:c r="AN96" s="27"/>
      <x:c r="AO96" s="27"/>
      <x:c r="AP96" s="27"/>
      <x:c r="AQ96" s="27"/>
      <x:c r="AR96" s="27"/>
      <x:c r="AS96" s="27"/>
      <x:c r="AT96" s="27"/>
      <x:c r="AU96" s="27"/>
      <x:c r="AV96" s="27"/>
      <x:c r="AW96" s="27"/>
      <x:c r="AX96" s="27"/>
      <x:c r="AY96" s="27"/>
      <x:c r="AZ96" s="27"/>
    </x:row>
    <x:row r="97">
      <x:c r="A97" s="27"/>
      <x:c r="B97" s="27"/>
      <x:c r="C97" s="27"/>
      <x:c r="D97" s="27"/>
      <x:c r="E97" s="27"/>
      <x:c r="F97" s="27"/>
      <x:c r="G97" s="27"/>
      <x:c r="H97" s="27"/>
      <x:c r="I97" s="27"/>
      <x:c r="J97" s="27"/>
      <x:c r="K97" s="27"/>
      <x:c r="L97" s="27"/>
      <x:c r="M97" s="27"/>
      <x:c r="N97" s="27"/>
      <x:c r="O97" s="27"/>
      <x:c r="P97" s="27"/>
      <x:c r="Q97" s="27"/>
      <x:c r="R97" s="27"/>
      <x:c r="S97" s="27"/>
      <x:c r="T97" s="27"/>
      <x:c r="U97" s="27"/>
      <x:c r="V97" s="27"/>
      <x:c r="W97" s="27"/>
      <x:c r="X97" s="27"/>
      <x:c r="Y97" s="27"/>
      <x:c r="Z97" s="27"/>
      <x:c r="AA97" s="27"/>
      <x:c r="AB97" s="27"/>
      <x:c r="AC97" s="27"/>
      <x:c r="AD97" s="27"/>
      <x:c r="AE97" s="27"/>
      <x:c r="AF97" s="27"/>
      <x:c r="AG97" s="27"/>
      <x:c r="AH97" s="27"/>
      <x:c r="AI97" s="27"/>
      <x:c r="AJ97" s="27"/>
      <x:c r="AK97" s="27"/>
      <x:c r="AL97" s="27"/>
      <x:c r="AM97" s="27"/>
      <x:c r="AN97" s="27"/>
      <x:c r="AO97" s="27"/>
      <x:c r="AP97" s="27"/>
      <x:c r="AQ97" s="27"/>
      <x:c r="AR97" s="27"/>
      <x:c r="AS97" s="27"/>
      <x:c r="AT97" s="27"/>
      <x:c r="AU97" s="27"/>
      <x:c r="AV97" s="27"/>
      <x:c r="AW97" s="27"/>
      <x:c r="AX97" s="27"/>
      <x:c r="AY97" s="27"/>
      <x:c r="AZ97" s="27"/>
    </x:row>
    <x:row r="98">
      <x:c r="A98" s="27"/>
      <x:c r="B98" s="27"/>
      <x:c r="C98" s="27"/>
      <x:c r="D98" s="27"/>
      <x:c r="E98" s="27"/>
      <x:c r="F98" s="27"/>
      <x:c r="G98" s="27"/>
      <x:c r="H98" s="27"/>
      <x:c r="I98" s="27"/>
      <x:c r="J98" s="27"/>
      <x:c r="K98" s="27"/>
      <x:c r="L98" s="27"/>
      <x:c r="M98" s="27"/>
      <x:c r="N98" s="27"/>
      <x:c r="O98" s="27"/>
      <x:c r="P98" s="27"/>
      <x:c r="Q98" s="27"/>
      <x:c r="R98" s="27"/>
      <x:c r="S98" s="27"/>
      <x:c r="T98" s="27"/>
      <x:c r="U98" s="27"/>
      <x:c r="V98" s="27"/>
      <x:c r="W98" s="27"/>
      <x:c r="X98" s="27"/>
      <x:c r="Y98" s="27"/>
      <x:c r="Z98" s="27"/>
      <x:c r="AA98" s="27"/>
      <x:c r="AB98" s="27"/>
      <x:c r="AC98" s="27"/>
      <x:c r="AD98" s="27"/>
      <x:c r="AE98" s="27"/>
      <x:c r="AF98" s="27"/>
      <x:c r="AG98" s="27"/>
      <x:c r="AH98" s="27"/>
      <x:c r="AI98" s="27"/>
      <x:c r="AJ98" s="27"/>
      <x:c r="AK98" s="27"/>
      <x:c r="AL98" s="27"/>
      <x:c r="AM98" s="27"/>
      <x:c r="AN98" s="27"/>
      <x:c r="AO98" s="27"/>
      <x:c r="AP98" s="27"/>
      <x:c r="AQ98" s="27"/>
      <x:c r="AR98" s="27"/>
      <x:c r="AS98" s="27"/>
      <x:c r="AT98" s="27"/>
      <x:c r="AU98" s="27"/>
      <x:c r="AV98" s="27"/>
      <x:c r="AW98" s="27"/>
      <x:c r="AX98" s="27"/>
      <x:c r="AY98" s="27"/>
      <x:c r="AZ98" s="27"/>
    </x:row>
    <x:row r="99">
      <x:c r="A99" s="27"/>
      <x:c r="B99" s="27"/>
      <x:c r="C99" s="27"/>
      <x:c r="D99" s="27"/>
      <x:c r="E99" s="27"/>
      <x:c r="F99" s="27"/>
      <x:c r="G99" s="27"/>
      <x:c r="H99" s="27"/>
      <x:c r="I99" s="27"/>
      <x:c r="J99" s="27"/>
      <x:c r="K99" s="27"/>
      <x:c r="L99" s="27"/>
      <x:c r="M99" s="27"/>
      <x:c r="N99" s="27"/>
      <x:c r="O99" s="27"/>
      <x:c r="P99" s="27"/>
      <x:c r="Q99" s="27"/>
      <x:c r="R99" s="27"/>
      <x:c r="S99" s="27"/>
      <x:c r="T99" s="27"/>
      <x:c r="U99" s="27"/>
      <x:c r="V99" s="27"/>
      <x:c r="W99" s="27"/>
      <x:c r="X99" s="27"/>
      <x:c r="Y99" s="27"/>
      <x:c r="Z99" s="27"/>
      <x:c r="AA99" s="27"/>
      <x:c r="AB99" s="27"/>
      <x:c r="AC99" s="27"/>
      <x:c r="AD99" s="27"/>
      <x:c r="AE99" s="27"/>
      <x:c r="AF99" s="27"/>
      <x:c r="AG99" s="27"/>
      <x:c r="AH99" s="27"/>
      <x:c r="AI99" s="27"/>
      <x:c r="AJ99" s="27"/>
      <x:c r="AK99" s="27"/>
      <x:c r="AL99" s="27"/>
      <x:c r="AM99" s="27"/>
      <x:c r="AN99" s="27"/>
      <x:c r="AO99" s="27"/>
      <x:c r="AP99" s="27"/>
      <x:c r="AQ99" s="27"/>
      <x:c r="AR99" s="27"/>
      <x:c r="AS99" s="27"/>
      <x:c r="AT99" s="27"/>
      <x:c r="AU99" s="27"/>
      <x:c r="AV99" s="27"/>
      <x:c r="AW99" s="27"/>
      <x:c r="AX99" s="27"/>
      <x:c r="AY99" s="27"/>
      <x:c r="AZ99" s="27"/>
    </x:row>
    <x:row r="100">
      <x:c r="A100" s="27"/>
      <x:c r="B100" s="27"/>
      <x:c r="C100" s="27"/>
      <x:c r="D100" s="27"/>
      <x:c r="E100" s="27"/>
      <x:c r="F100" s="27"/>
      <x:c r="G100" s="27"/>
      <x:c r="H100" s="27"/>
      <x:c r="I100" s="27"/>
      <x:c r="J100" s="27"/>
      <x:c r="K100" s="27"/>
      <x:c r="L100" s="27"/>
      <x:c r="M100" s="27"/>
      <x:c r="N100" s="27"/>
      <x:c r="O100" s="27"/>
      <x:c r="P100" s="27"/>
      <x:c r="Q100" s="27"/>
      <x:c r="R100" s="27"/>
      <x:c r="S100" s="27"/>
      <x:c r="T100" s="27"/>
      <x:c r="U100" s="27"/>
      <x:c r="V100" s="27"/>
      <x:c r="W100" s="27"/>
      <x:c r="X100" s="27"/>
      <x:c r="Y100" s="27"/>
      <x:c r="Z100" s="27"/>
      <x:c r="AA100" s="27"/>
      <x:c r="AB100" s="27"/>
      <x:c r="AC100" s="27"/>
      <x:c r="AD100" s="27"/>
      <x:c r="AE100" s="27"/>
      <x:c r="AF100" s="27"/>
      <x:c r="AG100" s="27"/>
      <x:c r="AH100" s="27"/>
      <x:c r="AI100" s="27"/>
      <x:c r="AJ100" s="27"/>
      <x:c r="AK100" s="27"/>
      <x:c r="AL100" s="27"/>
      <x:c r="AM100" s="27"/>
      <x:c r="AN100" s="27"/>
      <x:c r="AO100" s="27"/>
      <x:c r="AP100" s="27"/>
      <x:c r="AQ100" s="27"/>
      <x:c r="AR100" s="27"/>
      <x:c r="AS100" s="27"/>
      <x:c r="AT100" s="27"/>
      <x:c r="AU100" s="27"/>
      <x:c r="AV100" s="27"/>
      <x:c r="AW100" s="27"/>
      <x:c r="AX100" s="27"/>
      <x:c r="AY100" s="27"/>
      <x:c r="AZ100" s="27"/>
    </x:row>
    <x:row r="101">
      <x:c r="A101" s="27"/>
      <x:c r="B101" s="27"/>
      <x:c r="C101" s="27"/>
      <x:c r="D101" s="27"/>
      <x:c r="E101" s="27"/>
      <x:c r="F101" s="27"/>
      <x:c r="G101" s="27"/>
      <x:c r="H101" s="27"/>
      <x:c r="I101" s="27"/>
      <x:c r="J101" s="27"/>
      <x:c r="K101" s="27"/>
      <x:c r="L101" s="27"/>
      <x:c r="M101" s="27"/>
      <x:c r="N101" s="27"/>
      <x:c r="O101" s="27"/>
      <x:c r="P101" s="27"/>
      <x:c r="Q101" s="27"/>
      <x:c r="R101" s="27"/>
      <x:c r="S101" s="27"/>
      <x:c r="T101" s="27"/>
      <x:c r="U101" s="27"/>
      <x:c r="V101" s="27"/>
      <x:c r="W101" s="27"/>
      <x:c r="X101" s="27"/>
      <x:c r="Y101" s="27"/>
      <x:c r="Z101" s="27"/>
      <x:c r="AA101" s="27"/>
      <x:c r="AB101" s="27"/>
      <x:c r="AC101" s="27"/>
      <x:c r="AD101" s="27"/>
      <x:c r="AE101" s="27"/>
      <x:c r="AF101" s="27"/>
      <x:c r="AG101" s="27"/>
      <x:c r="AH101" s="27"/>
      <x:c r="AI101" s="27"/>
      <x:c r="AJ101" s="27"/>
      <x:c r="AK101" s="27"/>
      <x:c r="AL101" s="27"/>
      <x:c r="AM101" s="27"/>
      <x:c r="AN101" s="27"/>
      <x:c r="AO101" s="27"/>
      <x:c r="AP101" s="27"/>
      <x:c r="AQ101" s="27"/>
      <x:c r="AR101" s="27"/>
      <x:c r="AS101" s="27"/>
      <x:c r="AT101" s="27"/>
      <x:c r="AU101" s="27"/>
      <x:c r="AV101" s="27"/>
      <x:c r="AW101" s="27"/>
      <x:c r="AX101" s="27"/>
      <x:c r="AY101" s="27"/>
      <x:c r="AZ101" s="27"/>
    </x:row>
    <x:row r="102">
      <x:c r="A102" s="27"/>
      <x:c r="B102" s="27"/>
      <x:c r="C102" s="27"/>
      <x:c r="D102" s="27"/>
      <x:c r="E102" s="27"/>
      <x:c r="F102" s="27"/>
      <x:c r="G102" s="27"/>
      <x:c r="H102" s="27"/>
      <x:c r="I102" s="27"/>
      <x:c r="J102" s="27"/>
      <x:c r="K102" s="27"/>
      <x:c r="L102" s="27"/>
      <x:c r="M102" s="27"/>
      <x:c r="N102" s="27"/>
      <x:c r="O102" s="27"/>
      <x:c r="P102" s="27"/>
      <x:c r="Q102" s="27"/>
      <x:c r="R102" s="27"/>
      <x:c r="S102" s="27"/>
      <x:c r="T102" s="27"/>
      <x:c r="U102" s="27"/>
      <x:c r="V102" s="27"/>
      <x:c r="W102" s="27"/>
      <x:c r="X102" s="27"/>
      <x:c r="Y102" s="27"/>
      <x:c r="Z102" s="27"/>
      <x:c r="AA102" s="27"/>
      <x:c r="AB102" s="27"/>
      <x:c r="AC102" s="27"/>
      <x:c r="AD102" s="27"/>
      <x:c r="AE102" s="27"/>
      <x:c r="AF102" s="27"/>
      <x:c r="AG102" s="27"/>
      <x:c r="AH102" s="27"/>
      <x:c r="AI102" s="27"/>
      <x:c r="AJ102" s="27"/>
      <x:c r="AK102" s="27"/>
      <x:c r="AL102" s="27"/>
      <x:c r="AM102" s="27"/>
      <x:c r="AN102" s="27"/>
      <x:c r="AO102" s="27"/>
      <x:c r="AP102" s="27"/>
      <x:c r="AQ102" s="27"/>
      <x:c r="AR102" s="27"/>
      <x:c r="AS102" s="27"/>
      <x:c r="AT102" s="27"/>
      <x:c r="AU102" s="27"/>
      <x:c r="AV102" s="27"/>
      <x:c r="AW102" s="27"/>
      <x:c r="AX102" s="27"/>
      <x:c r="AY102" s="27"/>
      <x:c r="AZ102" s="27"/>
    </x:row>
    <x:row r="103">
      <x:c r="A103" s="27"/>
      <x:c r="B103" s="27"/>
      <x:c r="C103" s="27"/>
      <x:c r="D103" s="27"/>
      <x:c r="E103" s="27"/>
      <x:c r="F103" s="27"/>
      <x:c r="G103" s="27"/>
      <x:c r="H103" s="27"/>
      <x:c r="I103" s="27"/>
      <x:c r="J103" s="27"/>
      <x:c r="K103" s="27"/>
      <x:c r="L103" s="27"/>
      <x:c r="M103" s="27"/>
      <x:c r="N103" s="27"/>
      <x:c r="O103" s="27"/>
      <x:c r="P103" s="27"/>
      <x:c r="Q103" s="27"/>
      <x:c r="R103" s="27"/>
      <x:c r="S103" s="27"/>
      <x:c r="T103" s="27"/>
      <x:c r="U103" s="27"/>
      <x:c r="V103" s="27"/>
      <x:c r="W103" s="27"/>
      <x:c r="X103" s="27"/>
      <x:c r="Y103" s="27"/>
      <x:c r="Z103" s="27"/>
      <x:c r="AA103" s="27"/>
      <x:c r="AB103" s="27"/>
      <x:c r="AC103" s="27"/>
      <x:c r="AD103" s="27"/>
      <x:c r="AE103" s="27"/>
      <x:c r="AF103" s="27"/>
      <x:c r="AG103" s="27"/>
      <x:c r="AH103" s="27"/>
      <x:c r="AI103" s="27"/>
      <x:c r="AJ103" s="27"/>
      <x:c r="AK103" s="27"/>
      <x:c r="AL103" s="27"/>
      <x:c r="AM103" s="27"/>
      <x:c r="AN103" s="27"/>
      <x:c r="AO103" s="27"/>
      <x:c r="AP103" s="27"/>
      <x:c r="AQ103" s="27"/>
      <x:c r="AR103" s="27"/>
      <x:c r="AS103" s="27"/>
      <x:c r="AT103" s="27"/>
      <x:c r="AU103" s="27"/>
      <x:c r="AV103" s="27"/>
      <x:c r="AW103" s="27"/>
      <x:c r="AX103" s="27"/>
      <x:c r="AY103" s="27"/>
      <x:c r="AZ103" s="27"/>
    </x:row>
    <x:row r="104">
      <x:c r="A104" s="27"/>
      <x:c r="B104" s="27"/>
      <x:c r="C104" s="27"/>
      <x:c r="D104" s="27"/>
      <x:c r="E104" s="27"/>
      <x:c r="F104" s="27"/>
      <x:c r="G104" s="27"/>
      <x:c r="H104" s="27"/>
      <x:c r="I104" s="27"/>
      <x:c r="J104" s="27"/>
      <x:c r="K104" s="27"/>
      <x:c r="L104" s="27"/>
      <x:c r="M104" s="27"/>
      <x:c r="N104" s="27"/>
      <x:c r="O104" s="27"/>
      <x:c r="P104" s="27"/>
      <x:c r="Q104" s="27"/>
      <x:c r="R104" s="27"/>
      <x:c r="S104" s="27"/>
      <x:c r="T104" s="27"/>
      <x:c r="U104" s="27"/>
      <x:c r="V104" s="27"/>
      <x:c r="W104" s="27"/>
      <x:c r="X104" s="27"/>
      <x:c r="Y104" s="27"/>
      <x:c r="Z104" s="27"/>
      <x:c r="AA104" s="27"/>
      <x:c r="AB104" s="27"/>
      <x:c r="AC104" s="27"/>
      <x:c r="AD104" s="27"/>
      <x:c r="AE104" s="27"/>
      <x:c r="AF104" s="27"/>
      <x:c r="AG104" s="27"/>
      <x:c r="AH104" s="27"/>
      <x:c r="AI104" s="27"/>
      <x:c r="AJ104" s="27"/>
      <x:c r="AK104" s="27"/>
      <x:c r="AL104" s="27"/>
      <x:c r="AM104" s="27"/>
      <x:c r="AN104" s="27"/>
      <x:c r="AO104" s="27"/>
      <x:c r="AP104" s="27"/>
      <x:c r="AQ104" s="27"/>
      <x:c r="AR104" s="27"/>
      <x:c r="AS104" s="27"/>
      <x:c r="AT104" s="27"/>
      <x:c r="AU104" s="27"/>
      <x:c r="AV104" s="27"/>
      <x:c r="AW104" s="27"/>
      <x:c r="AX104" s="27"/>
      <x:c r="AY104" s="27"/>
      <x:c r="AZ104" s="27"/>
    </x:row>
    <x:row r="105">
      <x:c r="A105" s="27"/>
      <x:c r="B105" s="27"/>
      <x:c r="C105" s="27"/>
      <x:c r="D105" s="27"/>
      <x:c r="E105" s="27"/>
      <x:c r="F105" s="27"/>
      <x:c r="G105" s="27"/>
      <x:c r="H105" s="27"/>
      <x:c r="I105" s="27"/>
      <x:c r="J105" s="27"/>
      <x:c r="K105" s="27"/>
      <x:c r="L105" s="27"/>
      <x:c r="M105" s="27"/>
      <x:c r="N105" s="27"/>
      <x:c r="O105" s="27"/>
      <x:c r="P105" s="27"/>
      <x:c r="Q105" s="27"/>
      <x:c r="R105" s="27"/>
      <x:c r="S105" s="27"/>
      <x:c r="T105" s="27"/>
      <x:c r="U105" s="27"/>
      <x:c r="V105" s="27"/>
      <x:c r="W105" s="27"/>
      <x:c r="X105" s="27"/>
      <x:c r="Y105" s="27"/>
      <x:c r="Z105" s="27"/>
      <x:c r="AA105" s="27"/>
      <x:c r="AB105" s="27"/>
      <x:c r="AC105" s="27"/>
      <x:c r="AD105" s="27"/>
      <x:c r="AE105" s="27"/>
      <x:c r="AF105" s="27"/>
      <x:c r="AG105" s="27"/>
      <x:c r="AH105" s="27"/>
      <x:c r="AI105" s="27"/>
      <x:c r="AJ105" s="27"/>
      <x:c r="AK105" s="27"/>
      <x:c r="AL105" s="27"/>
      <x:c r="AM105" s="27"/>
      <x:c r="AN105" s="27"/>
      <x:c r="AO105" s="27"/>
      <x:c r="AP105" s="27"/>
      <x:c r="AQ105" s="27"/>
      <x:c r="AR105" s="27"/>
      <x:c r="AS105" s="27"/>
      <x:c r="AT105" s="27"/>
      <x:c r="AU105" s="27"/>
      <x:c r="AV105" s="27"/>
      <x:c r="AW105" s="27"/>
      <x:c r="AX105" s="27"/>
      <x:c r="AY105" s="27"/>
      <x:c r="AZ105" s="27"/>
    </x:row>
    <x:row r="106">
      <x:c r="A106" s="27"/>
      <x:c r="B106" s="27"/>
      <x:c r="C106" s="27"/>
      <x:c r="D106" s="27"/>
      <x:c r="E106" s="27"/>
      <x:c r="F106" s="27"/>
      <x:c r="G106" s="27"/>
      <x:c r="H106" s="27"/>
      <x:c r="I106" s="27"/>
      <x:c r="J106" s="27"/>
      <x:c r="K106" s="27"/>
      <x:c r="L106" s="27"/>
      <x:c r="M106" s="27"/>
      <x:c r="N106" s="27"/>
      <x:c r="O106" s="27"/>
      <x:c r="P106" s="27"/>
      <x:c r="Q106" s="27"/>
      <x:c r="R106" s="27"/>
      <x:c r="S106" s="27"/>
      <x:c r="T106" s="27"/>
      <x:c r="U106" s="27"/>
      <x:c r="V106" s="27"/>
      <x:c r="W106" s="27"/>
      <x:c r="X106" s="27"/>
      <x:c r="Y106" s="27"/>
      <x:c r="Z106" s="27"/>
      <x:c r="AA106" s="27"/>
      <x:c r="AB106" s="27"/>
      <x:c r="AC106" s="27"/>
      <x:c r="AD106" s="27"/>
      <x:c r="AE106" s="27"/>
      <x:c r="AF106" s="27"/>
      <x:c r="AG106" s="27"/>
      <x:c r="AH106" s="27"/>
      <x:c r="AI106" s="27"/>
      <x:c r="AJ106" s="27"/>
      <x:c r="AK106" s="27"/>
      <x:c r="AL106" s="27"/>
      <x:c r="AM106" s="27"/>
      <x:c r="AN106" s="27"/>
      <x:c r="AO106" s="27"/>
      <x:c r="AP106" s="27"/>
      <x:c r="AQ106" s="27"/>
      <x:c r="AR106" s="27"/>
      <x:c r="AS106" s="27"/>
      <x:c r="AT106" s="27"/>
      <x:c r="AU106" s="27"/>
      <x:c r="AV106" s="27"/>
      <x:c r="AW106" s="27"/>
      <x:c r="AX106" s="27"/>
      <x:c r="AY106" s="27"/>
      <x:c r="AZ106" s="27"/>
    </x:row>
    <x:row r="107">
      <x:c r="A107" s="27"/>
      <x:c r="B107" s="27"/>
      <x:c r="C107" s="27"/>
      <x:c r="D107" s="27"/>
      <x:c r="E107" s="27"/>
      <x:c r="F107" s="27"/>
      <x:c r="G107" s="27"/>
      <x:c r="H107" s="27"/>
      <x:c r="I107" s="27"/>
      <x:c r="J107" s="27"/>
      <x:c r="K107" s="27"/>
      <x:c r="L107" s="27"/>
      <x:c r="M107" s="27"/>
      <x:c r="N107" s="27"/>
      <x:c r="O107" s="27"/>
      <x:c r="P107" s="27"/>
      <x:c r="Q107" s="27"/>
      <x:c r="R107" s="27"/>
      <x:c r="S107" s="27"/>
      <x:c r="T107" s="27"/>
      <x:c r="U107" s="27"/>
      <x:c r="V107" s="27"/>
      <x:c r="W107" s="27"/>
      <x:c r="X107" s="27"/>
      <x:c r="Y107" s="27"/>
      <x:c r="Z107" s="27"/>
      <x:c r="AA107" s="27"/>
      <x:c r="AB107" s="27"/>
      <x:c r="AC107" s="27"/>
      <x:c r="AD107" s="27"/>
      <x:c r="AE107" s="27"/>
      <x:c r="AF107" s="27"/>
      <x:c r="AG107" s="27"/>
      <x:c r="AH107" s="27"/>
      <x:c r="AI107" s="27"/>
      <x:c r="AJ107" s="27"/>
      <x:c r="AK107" s="27"/>
      <x:c r="AL107" s="27"/>
      <x:c r="AM107" s="27"/>
      <x:c r="AN107" s="27"/>
      <x:c r="AO107" s="27"/>
      <x:c r="AP107" s="27"/>
      <x:c r="AQ107" s="27"/>
      <x:c r="AR107" s="27"/>
      <x:c r="AS107" s="27"/>
      <x:c r="AT107" s="27"/>
      <x:c r="AU107" s="27"/>
      <x:c r="AV107" s="27"/>
      <x:c r="AW107" s="27"/>
      <x:c r="AX107" s="27"/>
      <x:c r="AY107" s="27"/>
      <x:c r="AZ107" s="27"/>
    </x:row>
    <x:row r="108">
      <x:c r="A108" s="27"/>
      <x:c r="B108" s="27"/>
      <x:c r="C108" s="27"/>
      <x:c r="D108" s="27"/>
      <x:c r="E108" s="27"/>
      <x:c r="F108" s="27"/>
      <x:c r="G108" s="27"/>
      <x:c r="H108" s="27"/>
      <x:c r="I108" s="27"/>
      <x:c r="J108" s="27"/>
      <x:c r="K108" s="27"/>
      <x:c r="L108" s="27"/>
      <x:c r="M108" s="27"/>
      <x:c r="N108" s="27"/>
      <x:c r="O108" s="27"/>
      <x:c r="P108" s="27"/>
      <x:c r="Q108" s="27"/>
      <x:c r="R108" s="27"/>
      <x:c r="S108" s="27"/>
      <x:c r="T108" s="27"/>
      <x:c r="U108" s="27"/>
      <x:c r="V108" s="27"/>
      <x:c r="W108" s="27"/>
      <x:c r="X108" s="27"/>
      <x:c r="Y108" s="27"/>
      <x:c r="Z108" s="27"/>
      <x:c r="AA108" s="27"/>
      <x:c r="AB108" s="27"/>
      <x:c r="AC108" s="27"/>
      <x:c r="AD108" s="27"/>
      <x:c r="AE108" s="27"/>
      <x:c r="AF108" s="27"/>
      <x:c r="AG108" s="27"/>
      <x:c r="AH108" s="27"/>
      <x:c r="AI108" s="27"/>
      <x:c r="AJ108" s="27"/>
      <x:c r="AK108" s="27"/>
      <x:c r="AL108" s="27"/>
      <x:c r="AM108" s="27"/>
      <x:c r="AN108" s="27"/>
      <x:c r="AO108" s="27"/>
      <x:c r="AP108" s="27"/>
      <x:c r="AQ108" s="27"/>
      <x:c r="AR108" s="27"/>
      <x:c r="AS108" s="27"/>
      <x:c r="AT108" s="27"/>
      <x:c r="AU108" s="27"/>
      <x:c r="AV108" s="27"/>
      <x:c r="AW108" s="27"/>
      <x:c r="AX108" s="27"/>
      <x:c r="AY108" s="27"/>
      <x:c r="AZ108" s="27"/>
    </x:row>
    <x:row r="109">
      <x:c r="A109" s="27"/>
      <x:c r="B109" s="27"/>
      <x:c r="C109" s="27"/>
      <x:c r="D109" s="27"/>
      <x:c r="E109" s="27"/>
      <x:c r="F109" s="27"/>
      <x:c r="G109" s="27"/>
      <x:c r="H109" s="27"/>
      <x:c r="I109" s="27"/>
      <x:c r="J109" s="27"/>
      <x:c r="K109" s="27"/>
      <x:c r="L109" s="27"/>
      <x:c r="M109" s="27"/>
      <x:c r="N109" s="27"/>
      <x:c r="O109" s="27"/>
      <x:c r="P109" s="27"/>
      <x:c r="Q109" s="27"/>
      <x:c r="R109" s="27"/>
      <x:c r="S109" s="27"/>
      <x:c r="T109" s="27"/>
      <x:c r="U109" s="27"/>
      <x:c r="V109" s="27"/>
      <x:c r="W109" s="27"/>
      <x:c r="X109" s="27"/>
      <x:c r="Y109" s="27"/>
      <x:c r="Z109" s="27"/>
      <x:c r="AA109" s="27"/>
      <x:c r="AB109" s="27"/>
      <x:c r="AC109" s="27"/>
      <x:c r="AD109" s="27"/>
      <x:c r="AE109" s="27"/>
      <x:c r="AF109" s="27"/>
      <x:c r="AG109" s="27"/>
      <x:c r="AH109" s="27"/>
      <x:c r="AI109" s="27"/>
      <x:c r="AJ109" s="27"/>
      <x:c r="AK109" s="27"/>
      <x:c r="AL109" s="27"/>
      <x:c r="AM109" s="27"/>
      <x:c r="AN109" s="27"/>
      <x:c r="AO109" s="27"/>
      <x:c r="AP109" s="27"/>
      <x:c r="AQ109" s="27"/>
      <x:c r="AR109" s="27"/>
      <x:c r="AS109" s="27"/>
      <x:c r="AT109" s="27"/>
      <x:c r="AU109" s="27"/>
      <x:c r="AV109" s="27"/>
      <x:c r="AW109" s="27"/>
      <x:c r="AX109" s="27"/>
      <x:c r="AY109" s="27"/>
      <x:c r="AZ109" s="27"/>
    </x:row>
    <x:row r="110">
      <x:c r="A110" s="27"/>
      <x:c r="B110" s="27"/>
      <x:c r="C110" s="27"/>
      <x:c r="D110" s="27"/>
      <x:c r="E110" s="27"/>
      <x:c r="F110" s="27"/>
      <x:c r="G110" s="27"/>
      <x:c r="H110" s="27"/>
      <x:c r="I110" s="27"/>
      <x:c r="J110" s="27"/>
      <x:c r="K110" s="27"/>
      <x:c r="L110" s="27"/>
      <x:c r="M110" s="27"/>
      <x:c r="N110" s="27"/>
      <x:c r="O110" s="27"/>
      <x:c r="P110" s="27"/>
      <x:c r="Q110" s="27"/>
      <x:c r="R110" s="27"/>
      <x:c r="S110" s="27"/>
      <x:c r="T110" s="27"/>
      <x:c r="U110" s="27"/>
      <x:c r="V110" s="27"/>
      <x:c r="W110" s="27"/>
      <x:c r="X110" s="27"/>
      <x:c r="Y110" s="27"/>
      <x:c r="Z110" s="27"/>
      <x:c r="AA110" s="27"/>
      <x:c r="AB110" s="27"/>
      <x:c r="AC110" s="27"/>
      <x:c r="AD110" s="27"/>
      <x:c r="AE110" s="27"/>
      <x:c r="AF110" s="27"/>
      <x:c r="AG110" s="27"/>
      <x:c r="AH110" s="27"/>
      <x:c r="AI110" s="27"/>
      <x:c r="AJ110" s="27"/>
      <x:c r="AK110" s="27"/>
      <x:c r="AL110" s="27"/>
      <x:c r="AM110" s="27"/>
      <x:c r="AN110" s="27"/>
      <x:c r="AO110" s="27"/>
      <x:c r="AP110" s="27"/>
      <x:c r="AQ110" s="27"/>
      <x:c r="AR110" s="27"/>
      <x:c r="AS110" s="27"/>
      <x:c r="AT110" s="27"/>
      <x:c r="AU110" s="27"/>
      <x:c r="AV110" s="27"/>
      <x:c r="AW110" s="27"/>
      <x:c r="AX110" s="27"/>
      <x:c r="AY110" s="27"/>
      <x:c r="AZ110" s="27"/>
    </x:row>
    <x:row r="111">
      <x:c r="A111" s="27"/>
      <x:c r="B111" s="27"/>
      <x:c r="C111" s="27"/>
      <x:c r="D111" s="27"/>
      <x:c r="E111" s="27"/>
      <x:c r="F111" s="27"/>
      <x:c r="G111" s="27"/>
      <x:c r="H111" s="27"/>
      <x:c r="I111" s="27"/>
      <x:c r="J111" s="27"/>
      <x:c r="K111" s="27"/>
      <x:c r="L111" s="27"/>
      <x:c r="M111" s="27"/>
      <x:c r="N111" s="27"/>
      <x:c r="O111" s="27"/>
      <x:c r="P111" s="27"/>
      <x:c r="Q111" s="27"/>
      <x:c r="R111" s="27"/>
      <x:c r="S111" s="27"/>
      <x:c r="T111" s="27"/>
      <x:c r="U111" s="27"/>
      <x:c r="V111" s="27"/>
      <x:c r="W111" s="27"/>
      <x:c r="X111" s="27"/>
      <x:c r="Y111" s="27"/>
      <x:c r="Z111" s="27"/>
      <x:c r="AA111" s="27"/>
      <x:c r="AB111" s="27"/>
      <x:c r="AC111" s="27"/>
      <x:c r="AD111" s="27"/>
      <x:c r="AE111" s="27"/>
      <x:c r="AF111" s="27"/>
      <x:c r="AG111" s="27"/>
      <x:c r="AH111" s="27"/>
      <x:c r="AI111" s="27"/>
      <x:c r="AJ111" s="27"/>
      <x:c r="AK111" s="27"/>
      <x:c r="AL111" s="27"/>
      <x:c r="AM111" s="27"/>
      <x:c r="AN111" s="27"/>
      <x:c r="AO111" s="27"/>
      <x:c r="AP111" s="27"/>
      <x:c r="AQ111" s="27"/>
      <x:c r="AR111" s="27"/>
      <x:c r="AS111" s="27"/>
      <x:c r="AT111" s="27"/>
      <x:c r="AU111" s="27"/>
      <x:c r="AV111" s="27"/>
      <x:c r="AW111" s="27"/>
      <x:c r="AX111" s="27"/>
      <x:c r="AY111" s="27"/>
      <x:c r="AZ111" s="27"/>
    </x:row>
    <x:row r="112">
      <x:c r="A112" s="27"/>
      <x:c r="B112" s="27"/>
      <x:c r="C112" s="27"/>
      <x:c r="D112" s="27"/>
      <x:c r="E112" s="27"/>
      <x:c r="F112" s="27"/>
      <x:c r="G112" s="27"/>
      <x:c r="H112" s="27"/>
      <x:c r="I112" s="27"/>
      <x:c r="J112" s="27"/>
      <x:c r="K112" s="27"/>
      <x:c r="L112" s="27"/>
      <x:c r="M112" s="27"/>
      <x:c r="N112" s="27"/>
      <x:c r="O112" s="27"/>
      <x:c r="P112" s="27"/>
      <x:c r="Q112" s="27"/>
      <x:c r="R112" s="27"/>
      <x:c r="S112" s="27"/>
      <x:c r="T112" s="27"/>
      <x:c r="U112" s="27"/>
      <x:c r="V112" s="27"/>
      <x:c r="W112" s="27"/>
      <x:c r="X112" s="27"/>
      <x:c r="Y112" s="27"/>
      <x:c r="Z112" s="27"/>
      <x:c r="AA112" s="27"/>
      <x:c r="AB112" s="27"/>
      <x:c r="AC112" s="27"/>
      <x:c r="AD112" s="27"/>
      <x:c r="AE112" s="27"/>
      <x:c r="AF112" s="27"/>
      <x:c r="AG112" s="27"/>
      <x:c r="AH112" s="27"/>
      <x:c r="AI112" s="27"/>
      <x:c r="AJ112" s="27"/>
      <x:c r="AK112" s="27"/>
      <x:c r="AL112" s="27"/>
      <x:c r="AM112" s="27"/>
      <x:c r="AN112" s="27"/>
      <x:c r="AO112" s="27"/>
      <x:c r="AP112" s="27"/>
      <x:c r="AQ112" s="27"/>
      <x:c r="AR112" s="27"/>
      <x:c r="AS112" s="27"/>
      <x:c r="AT112" s="27"/>
      <x:c r="AU112" s="27"/>
      <x:c r="AV112" s="27"/>
      <x:c r="AW112" s="27"/>
      <x:c r="AX112" s="27"/>
      <x:c r="AY112" s="27"/>
      <x:c r="AZ112" s="27"/>
    </x:row>
    <x:row r="113">
      <x:c r="A113" s="27"/>
      <x:c r="B113" s="27"/>
      <x:c r="C113" s="27"/>
      <x:c r="D113" s="27"/>
      <x:c r="E113" s="27"/>
      <x:c r="F113" s="27"/>
      <x:c r="G113" s="27"/>
      <x:c r="H113" s="27"/>
      <x:c r="I113" s="27"/>
      <x:c r="J113" s="27"/>
      <x:c r="K113" s="27"/>
      <x:c r="L113" s="27"/>
      <x:c r="M113" s="27"/>
      <x:c r="N113" s="27"/>
      <x:c r="O113" s="27"/>
      <x:c r="P113" s="27"/>
      <x:c r="Q113" s="27"/>
      <x:c r="R113" s="27"/>
      <x:c r="S113" s="27"/>
      <x:c r="T113" s="27"/>
      <x:c r="U113" s="27"/>
      <x:c r="V113" s="27"/>
      <x:c r="W113" s="27"/>
      <x:c r="X113" s="27"/>
      <x:c r="Y113" s="27"/>
      <x:c r="Z113" s="27"/>
      <x:c r="AA113" s="27"/>
      <x:c r="AB113" s="27"/>
      <x:c r="AC113" s="27"/>
      <x:c r="AD113" s="27"/>
      <x:c r="AE113" s="27"/>
      <x:c r="AF113" s="27"/>
      <x:c r="AG113" s="27"/>
      <x:c r="AH113" s="27"/>
      <x:c r="AI113" s="27"/>
      <x:c r="AJ113" s="27"/>
      <x:c r="AK113" s="27"/>
      <x:c r="AL113" s="27"/>
      <x:c r="AM113" s="27"/>
      <x:c r="AN113" s="27"/>
      <x:c r="AO113" s="27"/>
      <x:c r="AP113" s="27"/>
      <x:c r="AQ113" s="27"/>
      <x:c r="AR113" s="27"/>
      <x:c r="AS113" s="27"/>
      <x:c r="AT113" s="27"/>
      <x:c r="AU113" s="27"/>
      <x:c r="AV113" s="27"/>
      <x:c r="AW113" s="27"/>
      <x:c r="AX113" s="27"/>
      <x:c r="AY113" s="27"/>
      <x:c r="AZ113" s="27"/>
    </x:row>
    <x:row r="114">
      <x:c r="A114" s="27"/>
      <x:c r="B114" s="27"/>
      <x:c r="C114" s="27"/>
      <x:c r="D114" s="27"/>
      <x:c r="E114" s="27"/>
      <x:c r="F114" s="27"/>
      <x:c r="G114" s="27"/>
      <x:c r="H114" s="27"/>
      <x:c r="I114" s="27"/>
      <x:c r="J114" s="27"/>
      <x:c r="K114" s="27"/>
      <x:c r="L114" s="27"/>
      <x:c r="M114" s="27"/>
      <x:c r="N114" s="27"/>
      <x:c r="O114" s="27"/>
      <x:c r="P114" s="27"/>
      <x:c r="Q114" s="27"/>
      <x:c r="R114" s="27"/>
      <x:c r="S114" s="27"/>
      <x:c r="T114" s="27"/>
      <x:c r="U114" s="27"/>
      <x:c r="V114" s="27"/>
      <x:c r="W114" s="27"/>
      <x:c r="X114" s="27"/>
      <x:c r="Y114" s="27"/>
      <x:c r="Z114" s="27"/>
      <x:c r="AA114" s="27"/>
      <x:c r="AB114" s="27"/>
      <x:c r="AC114" s="27"/>
      <x:c r="AD114" s="27"/>
      <x:c r="AE114" s="27"/>
      <x:c r="AF114" s="27"/>
      <x:c r="AG114" s="27"/>
      <x:c r="AH114" s="27"/>
      <x:c r="AI114" s="27"/>
      <x:c r="AJ114" s="27"/>
      <x:c r="AK114" s="27"/>
      <x:c r="AL114" s="27"/>
      <x:c r="AM114" s="27"/>
      <x:c r="AN114" s="27"/>
      <x:c r="AO114" s="27"/>
      <x:c r="AP114" s="27"/>
      <x:c r="AQ114" s="27"/>
      <x:c r="AR114" s="27"/>
      <x:c r="AS114" s="27"/>
      <x:c r="AT114" s="27"/>
      <x:c r="AU114" s="27"/>
      <x:c r="AV114" s="27"/>
      <x:c r="AW114" s="27"/>
      <x:c r="AX114" s="27"/>
      <x:c r="AY114" s="27"/>
      <x:c r="AZ114" s="27"/>
    </x:row>
    <x:row r="115">
      <x:c r="A115" s="27"/>
      <x:c r="B115" s="27"/>
      <x:c r="C115" s="27"/>
      <x:c r="D115" s="27"/>
      <x:c r="E115" s="27"/>
      <x:c r="F115" s="27"/>
      <x:c r="G115" s="27"/>
      <x:c r="H115" s="27"/>
      <x:c r="I115" s="27"/>
      <x:c r="J115" s="27"/>
      <x:c r="K115" s="27"/>
      <x:c r="L115" s="27"/>
      <x:c r="M115" s="27"/>
      <x:c r="N115" s="27"/>
      <x:c r="O115" s="27"/>
      <x:c r="P115" s="27"/>
      <x:c r="Q115" s="27"/>
      <x:c r="R115" s="27"/>
      <x:c r="S115" s="27"/>
      <x:c r="T115" s="27"/>
      <x:c r="U115" s="27"/>
      <x:c r="V115" s="27"/>
      <x:c r="W115" s="27"/>
      <x:c r="X115" s="27"/>
      <x:c r="Y115" s="27"/>
      <x:c r="Z115" s="27"/>
      <x:c r="AA115" s="27"/>
      <x:c r="AB115" s="27"/>
      <x:c r="AC115" s="27"/>
      <x:c r="AD115" s="27"/>
      <x:c r="AE115" s="27"/>
      <x:c r="AF115" s="27"/>
      <x:c r="AG115" s="27"/>
      <x:c r="AH115" s="27"/>
      <x:c r="AI115" s="27"/>
      <x:c r="AJ115" s="27"/>
      <x:c r="AK115" s="27"/>
      <x:c r="AL115" s="27"/>
      <x:c r="AM115" s="27"/>
      <x:c r="AN115" s="27"/>
      <x:c r="AO115" s="27"/>
      <x:c r="AP115" s="27"/>
      <x:c r="AQ115" s="27"/>
      <x:c r="AR115" s="27"/>
      <x:c r="AS115" s="27"/>
      <x:c r="AT115" s="27"/>
      <x:c r="AU115" s="27"/>
      <x:c r="AV115" s="27"/>
      <x:c r="AW115" s="27"/>
      <x:c r="AX115" s="27"/>
      <x:c r="AY115" s="27"/>
      <x:c r="AZ115" s="27"/>
    </x:row>
    <x:row r="116">
      <x:c r="A116" s="27"/>
      <x:c r="B116" s="27"/>
      <x:c r="C116" s="27"/>
      <x:c r="D116" s="27"/>
      <x:c r="E116" s="27"/>
      <x:c r="F116" s="27"/>
      <x:c r="G116" s="27"/>
      <x:c r="H116" s="27"/>
      <x:c r="I116" s="27"/>
      <x:c r="J116" s="27"/>
      <x:c r="K116" s="27"/>
      <x:c r="L116" s="27"/>
      <x:c r="M116" s="27"/>
      <x:c r="N116" s="27"/>
      <x:c r="O116" s="27"/>
      <x:c r="P116" s="27"/>
      <x:c r="Q116" s="27"/>
      <x:c r="R116" s="27"/>
      <x:c r="S116" s="27"/>
      <x:c r="T116" s="27"/>
      <x:c r="U116" s="27"/>
      <x:c r="V116" s="27"/>
      <x:c r="W116" s="27"/>
      <x:c r="X116" s="27"/>
      <x:c r="Y116" s="27"/>
      <x:c r="Z116" s="27"/>
      <x:c r="AA116" s="27"/>
      <x:c r="AB116" s="27"/>
      <x:c r="AC116" s="27"/>
      <x:c r="AD116" s="27"/>
      <x:c r="AE116" s="27"/>
      <x:c r="AF116" s="27"/>
      <x:c r="AG116" s="27"/>
      <x:c r="AH116" s="27"/>
      <x:c r="AI116" s="27"/>
      <x:c r="AJ116" s="27"/>
      <x:c r="AK116" s="27"/>
      <x:c r="AL116" s="27"/>
      <x:c r="AM116" s="27"/>
      <x:c r="AN116" s="27"/>
      <x:c r="AO116" s="27"/>
      <x:c r="AP116" s="27"/>
      <x:c r="AQ116" s="27"/>
      <x:c r="AR116" s="27"/>
      <x:c r="AS116" s="27"/>
      <x:c r="AT116" s="27"/>
      <x:c r="AU116" s="27"/>
      <x:c r="AV116" s="27"/>
      <x:c r="AW116" s="27"/>
      <x:c r="AX116" s="27"/>
      <x:c r="AY116" s="27"/>
      <x:c r="AZ116" s="27"/>
    </x:row>
    <x:row r="117">
      <x:c r="A117" s="27"/>
      <x:c r="B117" s="27"/>
      <x:c r="C117" s="27"/>
      <x:c r="D117" s="27"/>
      <x:c r="E117" s="27"/>
      <x:c r="F117" s="27"/>
      <x:c r="G117" s="27"/>
      <x:c r="H117" s="27"/>
      <x:c r="I117" s="27"/>
      <x:c r="J117" s="27"/>
      <x:c r="K117" s="27"/>
      <x:c r="L117" s="27"/>
      <x:c r="M117" s="27"/>
      <x:c r="N117" s="27"/>
      <x:c r="O117" s="27"/>
      <x:c r="P117" s="27"/>
      <x:c r="Q117" s="27"/>
      <x:c r="R117" s="27"/>
      <x:c r="S117" s="27"/>
      <x:c r="T117" s="27"/>
      <x:c r="U117" s="27"/>
      <x:c r="V117" s="27"/>
      <x:c r="W117" s="27"/>
      <x:c r="X117" s="27"/>
      <x:c r="Y117" s="27"/>
      <x:c r="Z117" s="27"/>
      <x:c r="AA117" s="27"/>
      <x:c r="AB117" s="27"/>
      <x:c r="AC117" s="27"/>
      <x:c r="AD117" s="27"/>
      <x:c r="AE117" s="27"/>
      <x:c r="AF117" s="27"/>
      <x:c r="AG117" s="27"/>
      <x:c r="AH117" s="27"/>
      <x:c r="AI117" s="27"/>
      <x:c r="AJ117" s="27"/>
      <x:c r="AK117" s="27"/>
      <x:c r="AL117" s="27"/>
      <x:c r="AM117" s="27"/>
      <x:c r="AN117" s="27"/>
      <x:c r="AO117" s="27"/>
      <x:c r="AP117" s="27"/>
      <x:c r="AQ117" s="27"/>
      <x:c r="AR117" s="27"/>
      <x:c r="AS117" s="27"/>
      <x:c r="AT117" s="27"/>
      <x:c r="AU117" s="27"/>
      <x:c r="AV117" s="27"/>
      <x:c r="AW117" s="27"/>
      <x:c r="AX117" s="27"/>
      <x:c r="AY117" s="27"/>
      <x:c r="AZ117" s="27"/>
    </x:row>
    <x:row r="118">
      <x:c r="A118" s="27"/>
      <x:c r="B118" s="27"/>
      <x:c r="C118" s="27"/>
      <x:c r="D118" s="27"/>
      <x:c r="E118" s="27"/>
      <x:c r="F118" s="27"/>
      <x:c r="G118" s="27"/>
      <x:c r="H118" s="27"/>
      <x:c r="I118" s="27"/>
      <x:c r="J118" s="27"/>
      <x:c r="K118" s="27"/>
      <x:c r="L118" s="27"/>
      <x:c r="M118" s="27"/>
      <x:c r="N118" s="27"/>
      <x:c r="O118" s="27"/>
      <x:c r="P118" s="27"/>
      <x:c r="Q118" s="27"/>
      <x:c r="R118" s="27"/>
      <x:c r="S118" s="27"/>
      <x:c r="T118" s="27"/>
      <x:c r="U118" s="27"/>
      <x:c r="V118" s="27"/>
      <x:c r="W118" s="27"/>
      <x:c r="X118" s="27"/>
      <x:c r="Y118" s="27"/>
      <x:c r="Z118" s="27"/>
      <x:c r="AA118" s="27"/>
      <x:c r="AB118" s="27"/>
      <x:c r="AC118" s="27"/>
      <x:c r="AD118" s="27"/>
      <x:c r="AE118" s="27"/>
      <x:c r="AF118" s="27"/>
      <x:c r="AG118" s="27"/>
      <x:c r="AH118" s="27"/>
      <x:c r="AI118" s="27"/>
      <x:c r="AJ118" s="27"/>
      <x:c r="AK118" s="27"/>
      <x:c r="AL118" s="27"/>
      <x:c r="AM118" s="27"/>
      <x:c r="AN118" s="27"/>
      <x:c r="AO118" s="27"/>
      <x:c r="AP118" s="27"/>
      <x:c r="AQ118" s="27"/>
      <x:c r="AR118" s="27"/>
      <x:c r="AS118" s="27"/>
      <x:c r="AT118" s="27"/>
      <x:c r="AU118" s="27"/>
      <x:c r="AV118" s="27"/>
      <x:c r="AW118" s="27"/>
      <x:c r="AX118" s="27"/>
      <x:c r="AY118" s="27"/>
      <x:c r="AZ118" s="27"/>
    </x:row>
    <x:row r="119">
      <x:c r="A119" s="27"/>
      <x:c r="B119" s="27"/>
      <x:c r="C119" s="27"/>
      <x:c r="D119" s="27"/>
      <x:c r="E119" s="27"/>
      <x:c r="F119" s="27"/>
      <x:c r="G119" s="27"/>
      <x:c r="H119" s="27"/>
      <x:c r="I119" s="27"/>
      <x:c r="J119" s="27"/>
      <x:c r="K119" s="27"/>
      <x:c r="L119" s="27"/>
      <x:c r="M119" s="27"/>
      <x:c r="N119" s="27"/>
      <x:c r="O119" s="27"/>
      <x:c r="P119" s="27"/>
      <x:c r="Q119" s="27"/>
      <x:c r="R119" s="27"/>
      <x:c r="S119" s="27"/>
      <x:c r="T119" s="27"/>
      <x:c r="U119" s="27"/>
      <x:c r="V119" s="27"/>
      <x:c r="W119" s="27"/>
      <x:c r="X119" s="27"/>
      <x:c r="Y119" s="27"/>
      <x:c r="Z119" s="27"/>
      <x:c r="AA119" s="27"/>
      <x:c r="AB119" s="27"/>
      <x:c r="AC119" s="27"/>
      <x:c r="AD119" s="27"/>
      <x:c r="AE119" s="27"/>
      <x:c r="AF119" s="27"/>
      <x:c r="AG119" s="27"/>
      <x:c r="AH119" s="27"/>
      <x:c r="AI119" s="27"/>
      <x:c r="AJ119" s="27"/>
      <x:c r="AK119" s="27"/>
      <x:c r="AL119" s="27"/>
      <x:c r="AM119" s="27"/>
      <x:c r="AN119" s="27"/>
      <x:c r="AO119" s="27"/>
      <x:c r="AP119" s="27"/>
      <x:c r="AQ119" s="27"/>
      <x:c r="AR119" s="27"/>
      <x:c r="AS119" s="27"/>
      <x:c r="AT119" s="27"/>
      <x:c r="AU119" s="27"/>
      <x:c r="AV119" s="27"/>
      <x:c r="AW119" s="27"/>
      <x:c r="AX119" s="27"/>
      <x:c r="AY119" s="27"/>
      <x:c r="AZ119" s="27"/>
    </x:row>
    <x:row r="120">
      <x:c r="A120" s="27"/>
      <x:c r="B120" s="27"/>
      <x:c r="C120" s="27"/>
      <x:c r="D120" s="27"/>
      <x:c r="E120" s="27"/>
      <x:c r="F120" s="27"/>
      <x:c r="G120" s="27"/>
      <x:c r="H120" s="27"/>
      <x:c r="I120" s="27"/>
      <x:c r="J120" s="27"/>
      <x:c r="K120" s="27"/>
      <x:c r="L120" s="27"/>
      <x:c r="M120" s="27"/>
      <x:c r="N120" s="27"/>
      <x:c r="O120" s="27"/>
      <x:c r="P120" s="27"/>
      <x:c r="Q120" s="27"/>
      <x:c r="R120" s="27"/>
      <x:c r="S120" s="27"/>
      <x:c r="T120" s="27"/>
      <x:c r="U120" s="27"/>
      <x:c r="V120" s="27"/>
      <x:c r="W120" s="27"/>
      <x:c r="X120" s="27"/>
      <x:c r="Y120" s="27"/>
      <x:c r="Z120" s="27"/>
      <x:c r="AA120" s="27"/>
      <x:c r="AB120" s="27"/>
      <x:c r="AC120" s="27"/>
      <x:c r="AD120" s="27"/>
      <x:c r="AE120" s="27"/>
      <x:c r="AF120" s="27"/>
      <x:c r="AG120" s="27"/>
      <x:c r="AH120" s="27"/>
      <x:c r="AI120" s="27"/>
      <x:c r="AJ120" s="27"/>
      <x:c r="AK120" s="27"/>
      <x:c r="AL120" s="27"/>
      <x:c r="AM120" s="27"/>
      <x:c r="AN120" s="27"/>
      <x:c r="AO120" s="27"/>
      <x:c r="AP120" s="27"/>
      <x:c r="AQ120" s="27"/>
      <x:c r="AR120" s="27"/>
      <x:c r="AS120" s="27"/>
      <x:c r="AT120" s="27"/>
      <x:c r="AU120" s="27"/>
      <x:c r="AV120" s="27"/>
      <x:c r="AW120" s="27"/>
      <x:c r="AX120" s="27"/>
      <x:c r="AY120" s="27"/>
      <x:c r="AZ120" s="27"/>
    </x:row>
    <x:row r="121">
      <x:c r="A121" s="27"/>
      <x:c r="B121" s="27"/>
      <x:c r="C121" s="27"/>
      <x:c r="D121" s="27"/>
      <x:c r="E121" s="27"/>
      <x:c r="F121" s="27"/>
      <x:c r="G121" s="27"/>
      <x:c r="H121" s="27"/>
      <x:c r="I121" s="27"/>
      <x:c r="J121" s="27"/>
      <x:c r="K121" s="27"/>
      <x:c r="L121" s="27"/>
      <x:c r="M121" s="27"/>
      <x:c r="N121" s="27"/>
      <x:c r="O121" s="27"/>
      <x:c r="P121" s="27"/>
      <x:c r="Q121" s="27"/>
      <x:c r="R121" s="27"/>
      <x:c r="S121" s="27"/>
      <x:c r="T121" s="27"/>
      <x:c r="U121" s="27"/>
      <x:c r="V121" s="27"/>
      <x:c r="W121" s="27"/>
      <x:c r="X121" s="27"/>
      <x:c r="Y121" s="27"/>
      <x:c r="Z121" s="27"/>
      <x:c r="AA121" s="27"/>
      <x:c r="AB121" s="27"/>
      <x:c r="AC121" s="27"/>
      <x:c r="AD121" s="27"/>
      <x:c r="AE121" s="27"/>
      <x:c r="AF121" s="27"/>
      <x:c r="AG121" s="27"/>
      <x:c r="AH121" s="27"/>
      <x:c r="AI121" s="27"/>
      <x:c r="AJ121" s="27"/>
      <x:c r="AK121" s="27"/>
      <x:c r="AL121" s="27"/>
      <x:c r="AM121" s="27"/>
      <x:c r="AN121" s="27"/>
      <x:c r="AO121" s="27"/>
      <x:c r="AP121" s="27"/>
      <x:c r="AQ121" s="27"/>
      <x:c r="AR121" s="27"/>
      <x:c r="AS121" s="27"/>
      <x:c r="AT121" s="27"/>
      <x:c r="AU121" s="27"/>
      <x:c r="AV121" s="27"/>
      <x:c r="AW121" s="27"/>
      <x:c r="AX121" s="27"/>
      <x:c r="AY121" s="27"/>
      <x:c r="AZ121" s="27"/>
    </x:row>
    <x:row r="122">
      <x:c r="A122" s="27"/>
      <x:c r="B122" s="27"/>
      <x:c r="C122" s="27"/>
      <x:c r="D122" s="27"/>
      <x:c r="E122" s="27"/>
      <x:c r="F122" s="27"/>
      <x:c r="G122" s="27"/>
      <x:c r="H122" s="27"/>
      <x:c r="I122" s="27"/>
      <x:c r="J122" s="27"/>
      <x:c r="K122" s="27"/>
      <x:c r="L122" s="27"/>
      <x:c r="M122" s="27"/>
      <x:c r="N122" s="27"/>
      <x:c r="O122" s="27"/>
      <x:c r="P122" s="27"/>
      <x:c r="Q122" s="27"/>
      <x:c r="R122" s="27"/>
      <x:c r="S122" s="27"/>
      <x:c r="T122" s="27"/>
      <x:c r="U122" s="27"/>
      <x:c r="V122" s="27"/>
      <x:c r="W122" s="27"/>
      <x:c r="X122" s="27"/>
      <x:c r="Y122" s="27"/>
      <x:c r="Z122" s="27"/>
      <x:c r="AA122" s="27"/>
      <x:c r="AB122" s="27"/>
      <x:c r="AC122" s="27"/>
      <x:c r="AD122" s="27"/>
      <x:c r="AE122" s="27"/>
      <x:c r="AF122" s="27"/>
      <x:c r="AG122" s="27"/>
      <x:c r="AH122" s="27"/>
      <x:c r="AI122" s="27"/>
      <x:c r="AJ122" s="27"/>
      <x:c r="AK122" s="27"/>
      <x:c r="AL122" s="27"/>
      <x:c r="AM122" s="27"/>
      <x:c r="AN122" s="27"/>
      <x:c r="AO122" s="27"/>
      <x:c r="AP122" s="27"/>
      <x:c r="AQ122" s="27"/>
      <x:c r="AR122" s="27"/>
      <x:c r="AS122" s="27"/>
      <x:c r="AT122" s="27"/>
      <x:c r="AU122" s="27"/>
      <x:c r="AV122" s="27"/>
      <x:c r="AW122" s="27"/>
      <x:c r="AX122" s="27"/>
      <x:c r="AY122" s="27"/>
      <x:c r="AZ122" s="27"/>
    </x:row>
    <x:row r="123">
      <x:c r="A123" s="27"/>
      <x:c r="B123" s="27"/>
      <x:c r="C123" s="27"/>
      <x:c r="D123" s="27"/>
      <x:c r="E123" s="27"/>
      <x:c r="F123" s="27"/>
      <x:c r="G123" s="27"/>
      <x:c r="H123" s="27"/>
      <x:c r="I123" s="27"/>
      <x:c r="J123" s="27"/>
      <x:c r="K123" s="27"/>
      <x:c r="L123" s="27"/>
      <x:c r="M123" s="27"/>
      <x:c r="N123" s="27"/>
      <x:c r="O123" s="27"/>
      <x:c r="P123" s="27"/>
      <x:c r="Q123" s="27"/>
      <x:c r="R123" s="27"/>
      <x:c r="S123" s="27"/>
      <x:c r="T123" s="27"/>
      <x:c r="U123" s="27"/>
      <x:c r="V123" s="27"/>
      <x:c r="W123" s="27"/>
      <x:c r="X123" s="27"/>
      <x:c r="Y123" s="27"/>
      <x:c r="Z123" s="27"/>
      <x:c r="AA123" s="27"/>
      <x:c r="AB123" s="27"/>
      <x:c r="AC123" s="27"/>
      <x:c r="AD123" s="27"/>
      <x:c r="AE123" s="27"/>
      <x:c r="AF123" s="27"/>
      <x:c r="AG123" s="27"/>
      <x:c r="AH123" s="27"/>
      <x:c r="AI123" s="27"/>
      <x:c r="AJ123" s="27"/>
      <x:c r="AK123" s="27"/>
      <x:c r="AL123" s="27"/>
      <x:c r="AM123" s="27"/>
      <x:c r="AN123" s="27"/>
      <x:c r="AO123" s="27"/>
      <x:c r="AP123" s="27"/>
      <x:c r="AQ123" s="27"/>
      <x:c r="AR123" s="27"/>
      <x:c r="AS123" s="27"/>
      <x:c r="AT123" s="27"/>
      <x:c r="AU123" s="27"/>
      <x:c r="AV123" s="27"/>
      <x:c r="AW123" s="27"/>
      <x:c r="AX123" s="27"/>
      <x:c r="AY123" s="27"/>
      <x:c r="AZ123" s="27"/>
    </x:row>
    <x:row r="124">
      <x:c r="A124" s="27"/>
      <x:c r="B124" s="27"/>
      <x:c r="C124" s="27"/>
      <x:c r="D124" s="27"/>
      <x:c r="E124" s="27"/>
      <x:c r="F124" s="27"/>
      <x:c r="G124" s="27"/>
      <x:c r="H124" s="27"/>
      <x:c r="I124" s="27"/>
      <x:c r="J124" s="27"/>
      <x:c r="K124" s="27"/>
      <x:c r="L124" s="27"/>
      <x:c r="M124" s="27"/>
      <x:c r="N124" s="27"/>
      <x:c r="O124" s="27"/>
      <x:c r="P124" s="27"/>
      <x:c r="Q124" s="27"/>
      <x:c r="R124" s="27"/>
      <x:c r="S124" s="27"/>
      <x:c r="T124" s="27"/>
      <x:c r="U124" s="27"/>
      <x:c r="V124" s="27"/>
      <x:c r="W124" s="27"/>
      <x:c r="X124" s="27"/>
      <x:c r="Y124" s="27"/>
      <x:c r="Z124" s="27"/>
      <x:c r="AA124" s="27"/>
      <x:c r="AB124" s="27"/>
      <x:c r="AC124" s="27"/>
      <x:c r="AD124" s="27"/>
      <x:c r="AE124" s="27"/>
      <x:c r="AF124" s="27"/>
      <x:c r="AG124" s="27"/>
      <x:c r="AH124" s="27"/>
      <x:c r="AI124" s="27"/>
      <x:c r="AJ124" s="27"/>
      <x:c r="AK124" s="27"/>
      <x:c r="AL124" s="27"/>
      <x:c r="AM124" s="27"/>
      <x:c r="AN124" s="27"/>
      <x:c r="AO124" s="27"/>
      <x:c r="AP124" s="27"/>
      <x:c r="AQ124" s="27"/>
      <x:c r="AR124" s="27"/>
      <x:c r="AS124" s="27"/>
      <x:c r="AT124" s="27"/>
      <x:c r="AU124" s="27"/>
      <x:c r="AV124" s="27"/>
      <x:c r="AW124" s="27"/>
      <x:c r="AX124" s="27"/>
      <x:c r="AY124" s="27"/>
      <x:c r="AZ124" s="27"/>
    </x:row>
    <x:row r="125">
      <x:c r="A125" s="27"/>
      <x:c r="B125" s="27"/>
      <x:c r="C125" s="27"/>
      <x:c r="D125" s="27"/>
      <x:c r="E125" s="27"/>
      <x:c r="F125" s="27"/>
      <x:c r="G125" s="27"/>
      <x:c r="H125" s="27"/>
      <x:c r="I125" s="27"/>
      <x:c r="J125" s="27"/>
      <x:c r="K125" s="27"/>
      <x:c r="L125" s="27"/>
      <x:c r="M125" s="27"/>
      <x:c r="N125" s="27"/>
      <x:c r="O125" s="27"/>
      <x:c r="P125" s="27"/>
      <x:c r="Q125" s="27"/>
      <x:c r="R125" s="27"/>
      <x:c r="S125" s="27"/>
      <x:c r="T125" s="27"/>
      <x:c r="U125" s="27"/>
      <x:c r="V125" s="27"/>
      <x:c r="W125" s="27"/>
      <x:c r="X125" s="27"/>
      <x:c r="Y125" s="27"/>
      <x:c r="Z125" s="27"/>
      <x:c r="AA125" s="27"/>
      <x:c r="AB125" s="27"/>
      <x:c r="AC125" s="27"/>
      <x:c r="AD125" s="27"/>
      <x:c r="AE125" s="27"/>
      <x:c r="AF125" s="27"/>
      <x:c r="AG125" s="27"/>
      <x:c r="AH125" s="27"/>
      <x:c r="AI125" s="27"/>
      <x:c r="AJ125" s="27"/>
      <x:c r="AK125" s="27"/>
      <x:c r="AL125" s="27"/>
      <x:c r="AM125" s="27"/>
      <x:c r="AN125" s="27"/>
      <x:c r="AO125" s="27"/>
      <x:c r="AP125" s="27"/>
      <x:c r="AQ125" s="27"/>
      <x:c r="AR125" s="27"/>
      <x:c r="AS125" s="27"/>
      <x:c r="AT125" s="27"/>
      <x:c r="AU125" s="27"/>
      <x:c r="AV125" s="27"/>
      <x:c r="AW125" s="27"/>
      <x:c r="AX125" s="27"/>
      <x:c r="AY125" s="27"/>
      <x:c r="AZ125" s="27"/>
    </x:row>
    <x:row r="126">
      <x:c r="A126" s="27"/>
      <x:c r="B126" s="27"/>
      <x:c r="C126" s="27"/>
      <x:c r="D126" s="27"/>
      <x:c r="E126" s="27"/>
      <x:c r="F126" s="27"/>
      <x:c r="G126" s="27"/>
      <x:c r="H126" s="27"/>
      <x:c r="I126" s="27"/>
      <x:c r="J126" s="27"/>
      <x:c r="K126" s="27"/>
      <x:c r="L126" s="27"/>
      <x:c r="M126" s="27"/>
      <x:c r="N126" s="27"/>
      <x:c r="O126" s="27"/>
      <x:c r="P126" s="27"/>
      <x:c r="Q126" s="27"/>
      <x:c r="R126" s="27"/>
      <x:c r="S126" s="27"/>
      <x:c r="T126" s="27"/>
      <x:c r="U126" s="27"/>
      <x:c r="V126" s="27"/>
      <x:c r="W126" s="27"/>
      <x:c r="X126" s="27"/>
      <x:c r="Y126" s="27"/>
      <x:c r="Z126" s="27"/>
      <x:c r="AA126" s="27"/>
      <x:c r="AB126" s="27"/>
      <x:c r="AC126" s="27"/>
      <x:c r="AD126" s="27"/>
      <x:c r="AE126" s="27"/>
      <x:c r="AF126" s="27"/>
      <x:c r="AG126" s="27"/>
      <x:c r="AH126" s="27"/>
      <x:c r="AI126" s="27"/>
      <x:c r="AJ126" s="27"/>
      <x:c r="AK126" s="27"/>
      <x:c r="AL126" s="27"/>
      <x:c r="AM126" s="27"/>
      <x:c r="AN126" s="27"/>
      <x:c r="AO126" s="27"/>
      <x:c r="AP126" s="27"/>
      <x:c r="AQ126" s="27"/>
      <x:c r="AR126" s="27"/>
      <x:c r="AS126" s="27"/>
      <x:c r="AT126" s="27"/>
      <x:c r="AU126" s="27"/>
      <x:c r="AV126" s="27"/>
      <x:c r="AW126" s="27"/>
      <x:c r="AX126" s="27"/>
      <x:c r="AY126" s="27"/>
      <x:c r="AZ126" s="27"/>
    </x:row>
    <x:row r="127">
      <x:c r="A127" s="27"/>
      <x:c r="B127" s="27"/>
      <x:c r="C127" s="27"/>
      <x:c r="D127" s="27"/>
      <x:c r="E127" s="27"/>
      <x:c r="F127" s="27"/>
      <x:c r="G127" s="27"/>
      <x:c r="H127" s="27"/>
      <x:c r="I127" s="27"/>
      <x:c r="J127" s="27"/>
      <x:c r="K127" s="27"/>
      <x:c r="L127" s="27"/>
      <x:c r="M127" s="27"/>
      <x:c r="N127" s="27"/>
      <x:c r="O127" s="27"/>
      <x:c r="P127" s="27"/>
      <x:c r="Q127" s="27"/>
      <x:c r="R127" s="27"/>
      <x:c r="S127" s="27"/>
      <x:c r="T127" s="27"/>
      <x:c r="U127" s="27"/>
      <x:c r="V127" s="27"/>
      <x:c r="W127" s="27"/>
      <x:c r="X127" s="27"/>
      <x:c r="Y127" s="27"/>
      <x:c r="Z127" s="27"/>
      <x:c r="AA127" s="27"/>
      <x:c r="AB127" s="27"/>
      <x:c r="AC127" s="27"/>
      <x:c r="AD127" s="27"/>
      <x:c r="AE127" s="27"/>
      <x:c r="AF127" s="27"/>
      <x:c r="AG127" s="27"/>
      <x:c r="AH127" s="27"/>
      <x:c r="AI127" s="27"/>
      <x:c r="AJ127" s="27"/>
      <x:c r="AK127" s="27"/>
      <x:c r="AL127" s="27"/>
      <x:c r="AM127" s="27"/>
      <x:c r="AN127" s="27"/>
      <x:c r="AO127" s="27"/>
      <x:c r="AP127" s="27"/>
      <x:c r="AQ127" s="27"/>
      <x:c r="AR127" s="27"/>
      <x:c r="AS127" s="27"/>
      <x:c r="AT127" s="27"/>
      <x:c r="AU127" s="27"/>
      <x:c r="AV127" s="27"/>
      <x:c r="AW127" s="27"/>
      <x:c r="AX127" s="27"/>
      <x:c r="AY127" s="27"/>
      <x:c r="AZ127" s="27"/>
    </x:row>
    <x:row r="128">
      <x:c r="A128" s="27"/>
      <x:c r="B128" s="27"/>
      <x:c r="C128" s="27"/>
      <x:c r="D128" s="27"/>
      <x:c r="E128" s="27"/>
      <x:c r="F128" s="27"/>
      <x:c r="G128" s="27"/>
      <x:c r="H128" s="27"/>
      <x:c r="I128" s="27"/>
      <x:c r="J128" s="27"/>
      <x:c r="K128" s="27"/>
      <x:c r="L128" s="27"/>
      <x:c r="M128" s="27"/>
      <x:c r="N128" s="27"/>
      <x:c r="O128" s="27"/>
      <x:c r="P128" s="27"/>
      <x:c r="Q128" s="27"/>
      <x:c r="R128" s="27"/>
      <x:c r="S128" s="27"/>
      <x:c r="T128" s="27"/>
      <x:c r="U128" s="27"/>
      <x:c r="V128" s="27"/>
      <x:c r="W128" s="27"/>
      <x:c r="X128" s="27"/>
      <x:c r="Y128" s="27"/>
      <x:c r="Z128" s="27"/>
      <x:c r="AA128" s="27"/>
      <x:c r="AB128" s="27"/>
      <x:c r="AC128" s="27"/>
      <x:c r="AD128" s="27"/>
      <x:c r="AE128" s="27"/>
      <x:c r="AF128" s="27"/>
      <x:c r="AG128" s="27"/>
      <x:c r="AH128" s="27"/>
      <x:c r="AI128" s="27"/>
      <x:c r="AJ128" s="27"/>
      <x:c r="AK128" s="27"/>
      <x:c r="AL128" s="27"/>
      <x:c r="AM128" s="27"/>
      <x:c r="AN128" s="27"/>
      <x:c r="AO128" s="27"/>
      <x:c r="AP128" s="27"/>
      <x:c r="AQ128" s="27"/>
      <x:c r="AR128" s="27"/>
      <x:c r="AS128" s="27"/>
      <x:c r="AT128" s="27"/>
      <x:c r="AU128" s="27"/>
      <x:c r="AV128" s="27"/>
      <x:c r="AW128" s="27"/>
      <x:c r="AX128" s="27"/>
      <x:c r="AY128" s="27"/>
      <x:c r="AZ128" s="27"/>
    </x:row>
    <x:row r="129">
      <x:c r="A129" s="27"/>
      <x:c r="B129" s="27"/>
      <x:c r="C129" s="27"/>
      <x:c r="D129" s="27"/>
      <x:c r="E129" s="27"/>
      <x:c r="F129" s="27"/>
      <x:c r="G129" s="27"/>
      <x:c r="H129" s="27"/>
      <x:c r="I129" s="27"/>
      <x:c r="J129" s="27"/>
      <x:c r="K129" s="27"/>
      <x:c r="L129" s="27"/>
      <x:c r="M129" s="27"/>
      <x:c r="N129" s="27"/>
      <x:c r="O129" s="27"/>
      <x:c r="P129" s="27"/>
      <x:c r="Q129" s="27"/>
      <x:c r="R129" s="27"/>
      <x:c r="S129" s="27"/>
      <x:c r="T129" s="27"/>
      <x:c r="U129" s="27"/>
      <x:c r="V129" s="27"/>
      <x:c r="W129" s="27"/>
      <x:c r="X129" s="27"/>
      <x:c r="Y129" s="27"/>
      <x:c r="Z129" s="27"/>
      <x:c r="AA129" s="27"/>
      <x:c r="AB129" s="27"/>
      <x:c r="AC129" s="27"/>
      <x:c r="AD129" s="27"/>
      <x:c r="AE129" s="27"/>
      <x:c r="AF129" s="27"/>
      <x:c r="AG129" s="27"/>
      <x:c r="AH129" s="27"/>
      <x:c r="AI129" s="27"/>
      <x:c r="AJ129" s="27"/>
      <x:c r="AK129" s="27"/>
      <x:c r="AL129" s="27"/>
      <x:c r="AM129" s="27"/>
      <x:c r="AN129" s="27"/>
      <x:c r="AO129" s="27"/>
      <x:c r="AP129" s="27"/>
      <x:c r="AQ129" s="27"/>
      <x:c r="AR129" s="27"/>
      <x:c r="AS129" s="27"/>
      <x:c r="AT129" s="27"/>
      <x:c r="AU129" s="27"/>
      <x:c r="AV129" s="27"/>
      <x:c r="AW129" s="27"/>
      <x:c r="AX129" s="27"/>
      <x:c r="AY129" s="27"/>
      <x:c r="AZ129" s="27"/>
    </x:row>
    <x:row r="130">
      <x:c r="A130" s="27"/>
      <x:c r="B130" s="27"/>
      <x:c r="C130" s="27"/>
      <x:c r="D130" s="27"/>
      <x:c r="E130" s="27"/>
      <x:c r="F130" s="27"/>
      <x:c r="G130" s="27"/>
      <x:c r="H130" s="27"/>
      <x:c r="I130" s="27"/>
      <x:c r="J130" s="27"/>
      <x:c r="K130" s="27"/>
      <x:c r="L130" s="27"/>
      <x:c r="M130" s="27"/>
      <x:c r="N130" s="27"/>
      <x:c r="O130" s="27"/>
      <x:c r="P130" s="27"/>
      <x:c r="Q130" s="27"/>
      <x:c r="R130" s="27"/>
      <x:c r="S130" s="27"/>
      <x:c r="T130" s="27"/>
      <x:c r="U130" s="27"/>
      <x:c r="V130" s="27"/>
      <x:c r="W130" s="27"/>
      <x:c r="X130" s="27"/>
      <x:c r="Y130" s="27"/>
      <x:c r="Z130" s="27"/>
      <x:c r="AA130" s="27"/>
      <x:c r="AB130" s="27"/>
      <x:c r="AC130" s="27"/>
      <x:c r="AD130" s="27"/>
      <x:c r="AE130" s="27"/>
      <x:c r="AF130" s="27"/>
      <x:c r="AG130" s="27"/>
      <x:c r="AH130" s="27"/>
      <x:c r="AI130" s="27"/>
      <x:c r="AJ130" s="27"/>
      <x:c r="AK130" s="27"/>
      <x:c r="AL130" s="27"/>
      <x:c r="AM130" s="27"/>
      <x:c r="AN130" s="27"/>
      <x:c r="AO130" s="27"/>
      <x:c r="AP130" s="27"/>
      <x:c r="AQ130" s="27"/>
      <x:c r="AR130" s="27"/>
      <x:c r="AS130" s="27"/>
      <x:c r="AT130" s="27"/>
      <x:c r="AU130" s="27"/>
      <x:c r="AV130" s="27"/>
      <x:c r="AW130" s="27"/>
      <x:c r="AX130" s="27"/>
      <x:c r="AY130" s="27"/>
      <x:c r="AZ130" s="27"/>
    </x:row>
    <x:row r="131">
      <x:c r="A131" s="27"/>
      <x:c r="B131" s="27"/>
      <x:c r="C131" s="27"/>
      <x:c r="D131" s="27"/>
      <x:c r="E131" s="27"/>
      <x:c r="F131" s="27"/>
      <x:c r="G131" s="27"/>
      <x:c r="H131" s="27"/>
      <x:c r="I131" s="27"/>
      <x:c r="J131" s="27"/>
      <x:c r="K131" s="27"/>
      <x:c r="L131" s="27"/>
      <x:c r="M131" s="27"/>
      <x:c r="N131" s="27"/>
      <x:c r="O131" s="27"/>
      <x:c r="P131" s="27"/>
      <x:c r="Q131" s="27"/>
      <x:c r="R131" s="27"/>
      <x:c r="S131" s="27"/>
      <x:c r="T131" s="27"/>
      <x:c r="U131" s="27"/>
      <x:c r="V131" s="27"/>
      <x:c r="W131" s="27"/>
      <x:c r="X131" s="27"/>
      <x:c r="Y131" s="27"/>
      <x:c r="Z131" s="27"/>
      <x:c r="AA131" s="27"/>
      <x:c r="AB131" s="27"/>
      <x:c r="AC131" s="27"/>
      <x:c r="AD131" s="27"/>
      <x:c r="AE131" s="27"/>
      <x:c r="AF131" s="27"/>
      <x:c r="AG131" s="27"/>
      <x:c r="AH131" s="27"/>
      <x:c r="AI131" s="27"/>
      <x:c r="AJ131" s="27"/>
      <x:c r="AK131" s="27"/>
      <x:c r="AL131" s="27"/>
      <x:c r="AM131" s="27"/>
      <x:c r="AN131" s="27"/>
      <x:c r="AO131" s="27"/>
      <x:c r="AP131" s="27"/>
      <x:c r="AQ131" s="27"/>
      <x:c r="AR131" s="27"/>
      <x:c r="AS131" s="27"/>
      <x:c r="AT131" s="27"/>
      <x:c r="AU131" s="27"/>
      <x:c r="AV131" s="27"/>
      <x:c r="AW131" s="27"/>
      <x:c r="AX131" s="27"/>
      <x:c r="AY131" s="27"/>
      <x:c r="AZ131" s="27"/>
    </x:row>
    <x:row r="132">
      <x:c r="A132" s="27"/>
      <x:c r="B132" s="27"/>
      <x:c r="C132" s="27"/>
      <x:c r="D132" s="27"/>
      <x:c r="E132" s="27"/>
      <x:c r="F132" s="27"/>
      <x:c r="G132" s="27"/>
      <x:c r="H132" s="27"/>
      <x:c r="I132" s="27"/>
      <x:c r="J132" s="27"/>
      <x:c r="K132" s="27"/>
      <x:c r="L132" s="27"/>
      <x:c r="M132" s="27"/>
      <x:c r="N132" s="27"/>
      <x:c r="O132" s="27"/>
      <x:c r="P132" s="27"/>
      <x:c r="Q132" s="27"/>
      <x:c r="R132" s="27"/>
      <x:c r="S132" s="27"/>
      <x:c r="T132" s="27"/>
      <x:c r="U132" s="27"/>
      <x:c r="V132" s="27"/>
      <x:c r="W132" s="27"/>
      <x:c r="X132" s="27"/>
      <x:c r="Y132" s="27"/>
      <x:c r="Z132" s="27"/>
      <x:c r="AA132" s="27"/>
      <x:c r="AB132" s="27"/>
      <x:c r="AC132" s="27"/>
      <x:c r="AD132" s="27"/>
      <x:c r="AE132" s="27"/>
      <x:c r="AF132" s="27"/>
      <x:c r="AG132" s="27"/>
      <x:c r="AH132" s="27"/>
      <x:c r="AI132" s="27"/>
      <x:c r="AJ132" s="27"/>
      <x:c r="AK132" s="27"/>
      <x:c r="AL132" s="27"/>
      <x:c r="AM132" s="27"/>
      <x:c r="AN132" s="27"/>
      <x:c r="AO132" s="27"/>
      <x:c r="AP132" s="27"/>
      <x:c r="AQ132" s="27"/>
      <x:c r="AR132" s="27"/>
      <x:c r="AS132" s="27"/>
      <x:c r="AT132" s="27"/>
      <x:c r="AU132" s="27"/>
      <x:c r="AV132" s="27"/>
      <x:c r="AW132" s="27"/>
      <x:c r="AX132" s="27"/>
      <x:c r="AY132" s="27"/>
      <x:c r="AZ132" s="27"/>
    </x:row>
    <x:row r="133">
      <x:c r="A133" s="27"/>
      <x:c r="B133" s="27"/>
      <x:c r="C133" s="27"/>
      <x:c r="D133" s="27"/>
      <x:c r="E133" s="27"/>
      <x:c r="F133" s="27"/>
      <x:c r="G133" s="27"/>
      <x:c r="H133" s="27"/>
      <x:c r="I133" s="27"/>
      <x:c r="J133" s="27"/>
      <x:c r="K133" s="27"/>
      <x:c r="L133" s="27"/>
      <x:c r="M133" s="27"/>
      <x:c r="N133" s="27"/>
      <x:c r="O133" s="27"/>
      <x:c r="P133" s="27"/>
      <x:c r="Q133" s="27"/>
      <x:c r="R133" s="27"/>
      <x:c r="S133" s="27"/>
      <x:c r="T133" s="27"/>
      <x:c r="U133" s="27"/>
      <x:c r="V133" s="27"/>
      <x:c r="W133" s="27"/>
      <x:c r="X133" s="27"/>
      <x:c r="Y133" s="27"/>
      <x:c r="Z133" s="27"/>
      <x:c r="AA133" s="27"/>
      <x:c r="AB133" s="27"/>
      <x:c r="AC133" s="27"/>
      <x:c r="AD133" s="27"/>
      <x:c r="AE133" s="27"/>
      <x:c r="AF133" s="27"/>
      <x:c r="AG133" s="27"/>
      <x:c r="AH133" s="27"/>
      <x:c r="AI133" s="27"/>
      <x:c r="AJ133" s="27"/>
      <x:c r="AK133" s="27"/>
      <x:c r="AL133" s="27"/>
      <x:c r="AM133" s="27"/>
      <x:c r="AN133" s="27"/>
      <x:c r="AO133" s="27"/>
      <x:c r="AP133" s="27"/>
      <x:c r="AQ133" s="27"/>
      <x:c r="AR133" s="27"/>
      <x:c r="AS133" s="27"/>
      <x:c r="AT133" s="27"/>
      <x:c r="AU133" s="27"/>
      <x:c r="AV133" s="27"/>
      <x:c r="AW133" s="27"/>
      <x:c r="AX133" s="27"/>
      <x:c r="AY133" s="27"/>
      <x:c r="AZ133" s="27"/>
    </x:row>
    <x:row r="134">
      <x:c r="A134" s="27"/>
      <x:c r="B134" s="27"/>
      <x:c r="C134" s="27"/>
      <x:c r="D134" s="27"/>
      <x:c r="E134" s="27"/>
      <x:c r="F134" s="27"/>
      <x:c r="G134" s="27"/>
      <x:c r="H134" s="27"/>
      <x:c r="I134" s="27"/>
      <x:c r="J134" s="27"/>
      <x:c r="K134" s="27"/>
      <x:c r="L134" s="27"/>
      <x:c r="M134" s="27"/>
      <x:c r="N134" s="27"/>
      <x:c r="O134" s="27"/>
      <x:c r="P134" s="27"/>
      <x:c r="Q134" s="27"/>
      <x:c r="R134" s="27"/>
      <x:c r="S134" s="27"/>
      <x:c r="T134" s="27"/>
      <x:c r="U134" s="27"/>
      <x:c r="V134" s="27"/>
      <x:c r="W134" s="27"/>
      <x:c r="X134" s="27"/>
      <x:c r="Y134" s="27"/>
      <x:c r="Z134" s="27"/>
      <x:c r="AA134" s="27"/>
      <x:c r="AB134" s="27"/>
      <x:c r="AC134" s="27"/>
      <x:c r="AD134" s="27"/>
      <x:c r="AE134" s="27"/>
      <x:c r="AF134" s="27"/>
      <x:c r="AG134" s="27"/>
      <x:c r="AH134" s="27"/>
      <x:c r="AI134" s="27"/>
      <x:c r="AJ134" s="27"/>
      <x:c r="AK134" s="27"/>
      <x:c r="AL134" s="27"/>
      <x:c r="AM134" s="27"/>
      <x:c r="AN134" s="27"/>
      <x:c r="AO134" s="27"/>
      <x:c r="AP134" s="27"/>
      <x:c r="AQ134" s="27"/>
      <x:c r="AR134" s="27"/>
      <x:c r="AS134" s="27"/>
      <x:c r="AT134" s="27"/>
      <x:c r="AU134" s="27"/>
      <x:c r="AV134" s="27"/>
      <x:c r="AW134" s="27"/>
      <x:c r="AX134" s="27"/>
      <x:c r="AY134" s="27"/>
      <x:c r="AZ134" s="27"/>
    </x:row>
    <x:row r="135">
      <x:c r="A135" s="27"/>
      <x:c r="B135" s="27"/>
      <x:c r="C135" s="27"/>
      <x:c r="D135" s="27"/>
      <x:c r="E135" s="27"/>
      <x:c r="F135" s="27"/>
      <x:c r="G135" s="27"/>
      <x:c r="H135" s="27"/>
      <x:c r="I135" s="27"/>
      <x:c r="J135" s="27"/>
      <x:c r="K135" s="27"/>
      <x:c r="L135" s="27"/>
      <x:c r="M135" s="27"/>
      <x:c r="N135" s="27"/>
      <x:c r="O135" s="27"/>
      <x:c r="P135" s="27"/>
      <x:c r="Q135" s="27"/>
      <x:c r="R135" s="27"/>
      <x:c r="S135" s="27"/>
      <x:c r="T135" s="27"/>
      <x:c r="U135" s="27"/>
      <x:c r="V135" s="27"/>
      <x:c r="W135" s="27"/>
      <x:c r="X135" s="27"/>
      <x:c r="Y135" s="27"/>
      <x:c r="Z135" s="27"/>
      <x:c r="AA135" s="27"/>
      <x:c r="AB135" s="27"/>
      <x:c r="AC135" s="27"/>
      <x:c r="AD135" s="27"/>
      <x:c r="AE135" s="27"/>
      <x:c r="AF135" s="27"/>
      <x:c r="AG135" s="27"/>
      <x:c r="AH135" s="27"/>
      <x:c r="AI135" s="27"/>
      <x:c r="AJ135" s="27"/>
      <x:c r="AK135" s="27"/>
      <x:c r="AL135" s="27"/>
      <x:c r="AM135" s="27"/>
      <x:c r="AN135" s="27"/>
      <x:c r="AO135" s="27"/>
      <x:c r="AP135" s="27"/>
      <x:c r="AQ135" s="27"/>
      <x:c r="AR135" s="27"/>
      <x:c r="AS135" s="27"/>
      <x:c r="AT135" s="27"/>
      <x:c r="AU135" s="27"/>
      <x:c r="AV135" s="27"/>
      <x:c r="AW135" s="27"/>
      <x:c r="AX135" s="27"/>
      <x:c r="AY135" s="27"/>
      <x:c r="AZ135" s="27"/>
    </x:row>
    <x:row r="136">
      <x:c r="A136" s="27"/>
      <x:c r="B136" s="27"/>
      <x:c r="C136" s="27"/>
      <x:c r="D136" s="27"/>
      <x:c r="E136" s="27"/>
      <x:c r="F136" s="27"/>
      <x:c r="G136" s="27"/>
      <x:c r="H136" s="27"/>
      <x:c r="I136" s="27"/>
      <x:c r="J136" s="27"/>
      <x:c r="K136" s="27"/>
      <x:c r="L136" s="27"/>
      <x:c r="M136" s="27"/>
      <x:c r="N136" s="27"/>
      <x:c r="O136" s="27"/>
      <x:c r="P136" s="27"/>
      <x:c r="Q136" s="27"/>
      <x:c r="R136" s="27"/>
      <x:c r="S136" s="27"/>
      <x:c r="T136" s="27"/>
      <x:c r="U136" s="27"/>
      <x:c r="V136" s="27"/>
      <x:c r="W136" s="27"/>
      <x:c r="X136" s="27"/>
      <x:c r="Y136" s="27"/>
      <x:c r="Z136" s="27"/>
      <x:c r="AA136" s="27"/>
      <x:c r="AB136" s="27"/>
      <x:c r="AC136" s="27"/>
      <x:c r="AD136" s="27"/>
      <x:c r="AE136" s="27"/>
      <x:c r="AF136" s="27"/>
      <x:c r="AG136" s="27"/>
      <x:c r="AH136" s="27"/>
      <x:c r="AI136" s="27"/>
      <x:c r="AJ136" s="27"/>
      <x:c r="AK136" s="27"/>
      <x:c r="AL136" s="27"/>
      <x:c r="AM136" s="27"/>
      <x:c r="AN136" s="27"/>
      <x:c r="AO136" s="27"/>
      <x:c r="AP136" s="27"/>
      <x:c r="AQ136" s="27"/>
      <x:c r="AR136" s="27"/>
      <x:c r="AS136" s="27"/>
      <x:c r="AT136" s="27"/>
      <x:c r="AU136" s="27"/>
      <x:c r="AV136" s="27"/>
      <x:c r="AW136" s="27"/>
      <x:c r="AX136" s="27"/>
      <x:c r="AY136" s="27"/>
      <x:c r="AZ136" s="27"/>
    </x:row>
    <x:row r="137">
      <x:c r="A137" s="27"/>
      <x:c r="B137" s="27"/>
      <x:c r="C137" s="27"/>
      <x:c r="D137" s="27"/>
      <x:c r="E137" s="27"/>
      <x:c r="F137" s="27"/>
      <x:c r="G137" s="27"/>
      <x:c r="H137" s="27"/>
      <x:c r="I137" s="27"/>
      <x:c r="J137" s="27"/>
      <x:c r="K137" s="27"/>
      <x:c r="L137" s="27"/>
      <x:c r="M137" s="27"/>
      <x:c r="N137" s="27"/>
      <x:c r="O137" s="27"/>
      <x:c r="P137" s="27"/>
      <x:c r="Q137" s="27"/>
      <x:c r="R137" s="27"/>
      <x:c r="S137" s="27"/>
      <x:c r="T137" s="27"/>
      <x:c r="U137" s="27"/>
      <x:c r="V137" s="27"/>
      <x:c r="W137" s="27"/>
      <x:c r="X137" s="27"/>
      <x:c r="Y137" s="27"/>
      <x:c r="Z137" s="27"/>
      <x:c r="AA137" s="27"/>
      <x:c r="AB137" s="27"/>
      <x:c r="AC137" s="27"/>
      <x:c r="AD137" s="27"/>
      <x:c r="AE137" s="27"/>
      <x:c r="AF137" s="27"/>
      <x:c r="AG137" s="27"/>
      <x:c r="AH137" s="27"/>
      <x:c r="AI137" s="27"/>
      <x:c r="AJ137" s="27"/>
      <x:c r="AK137" s="27"/>
      <x:c r="AL137" s="27"/>
      <x:c r="AM137" s="27"/>
      <x:c r="AN137" s="27"/>
      <x:c r="AO137" s="27"/>
      <x:c r="AP137" s="27"/>
      <x:c r="AQ137" s="27"/>
      <x:c r="AR137" s="27"/>
      <x:c r="AS137" s="27"/>
      <x:c r="AT137" s="27"/>
      <x:c r="AU137" s="27"/>
      <x:c r="AV137" s="27"/>
      <x:c r="AW137" s="27"/>
      <x:c r="AX137" s="27"/>
      <x:c r="AY137" s="27"/>
      <x:c r="AZ137" s="27"/>
    </x:row>
    <x:row r="138">
      <x:c r="A138" s="27"/>
      <x:c r="B138" s="27"/>
      <x:c r="C138" s="27"/>
      <x:c r="D138" s="27"/>
      <x:c r="E138" s="27"/>
      <x:c r="F138" s="27"/>
      <x:c r="G138" s="27"/>
      <x:c r="H138" s="27"/>
      <x:c r="I138" s="27"/>
      <x:c r="J138" s="27"/>
      <x:c r="K138" s="27"/>
      <x:c r="L138" s="27"/>
      <x:c r="M138" s="27"/>
      <x:c r="N138" s="27"/>
      <x:c r="O138" s="27"/>
      <x:c r="P138" s="27"/>
      <x:c r="Q138" s="27"/>
      <x:c r="R138" s="27"/>
      <x:c r="S138" s="27"/>
      <x:c r="T138" s="27"/>
      <x:c r="U138" s="27"/>
      <x:c r="V138" s="27"/>
      <x:c r="W138" s="27"/>
      <x:c r="X138" s="27"/>
      <x:c r="Y138" s="27"/>
      <x:c r="Z138" s="27"/>
      <x:c r="AA138" s="27"/>
      <x:c r="AB138" s="27"/>
      <x:c r="AC138" s="27"/>
      <x:c r="AD138" s="27"/>
      <x:c r="AE138" s="27"/>
      <x:c r="AF138" s="27"/>
      <x:c r="AG138" s="27"/>
      <x:c r="AH138" s="27"/>
      <x:c r="AI138" s="27"/>
      <x:c r="AJ138" s="27"/>
      <x:c r="AK138" s="27"/>
      <x:c r="AL138" s="27"/>
      <x:c r="AM138" s="27"/>
      <x:c r="AN138" s="27"/>
      <x:c r="AO138" s="27"/>
      <x:c r="AP138" s="27"/>
      <x:c r="AQ138" s="27"/>
      <x:c r="AR138" s="27"/>
      <x:c r="AS138" s="27"/>
      <x:c r="AT138" s="27"/>
      <x:c r="AU138" s="27"/>
      <x:c r="AV138" s="27"/>
      <x:c r="AW138" s="27"/>
      <x:c r="AX138" s="27"/>
      <x:c r="AY138" s="27"/>
      <x:c r="AZ138" s="27"/>
    </x:row>
    <x:row r="139">
      <x:c r="A139" s="27"/>
      <x:c r="B139" s="27"/>
      <x:c r="C139" s="27"/>
      <x:c r="D139" s="27"/>
      <x:c r="E139" s="27"/>
      <x:c r="F139" s="27"/>
      <x:c r="G139" s="27"/>
      <x:c r="H139" s="27"/>
      <x:c r="I139" s="27"/>
      <x:c r="J139" s="27"/>
      <x:c r="K139" s="27"/>
      <x:c r="L139" s="27"/>
      <x:c r="M139" s="27"/>
      <x:c r="N139" s="27"/>
      <x:c r="O139" s="27"/>
      <x:c r="P139" s="27"/>
      <x:c r="Q139" s="27"/>
      <x:c r="R139" s="27"/>
      <x:c r="S139" s="27"/>
      <x:c r="T139" s="27"/>
      <x:c r="U139" s="27"/>
      <x:c r="V139" s="27"/>
      <x:c r="W139" s="27"/>
      <x:c r="X139" s="27"/>
      <x:c r="Y139" s="27"/>
      <x:c r="Z139" s="27"/>
      <x:c r="AA139" s="27"/>
      <x:c r="AB139" s="27"/>
      <x:c r="AC139" s="27"/>
      <x:c r="AD139" s="27"/>
      <x:c r="AE139" s="27"/>
      <x:c r="AF139" s="27"/>
      <x:c r="AG139" s="27"/>
      <x:c r="AH139" s="27"/>
      <x:c r="AI139" s="27"/>
      <x:c r="AJ139" s="27"/>
      <x:c r="AK139" s="27"/>
      <x:c r="AL139" s="27"/>
      <x:c r="AM139" s="27"/>
      <x:c r="AN139" s="27"/>
      <x:c r="AO139" s="27"/>
      <x:c r="AP139" s="27"/>
      <x:c r="AQ139" s="27"/>
      <x:c r="AR139" s="27"/>
      <x:c r="AS139" s="27"/>
      <x:c r="AT139" s="27"/>
      <x:c r="AU139" s="27"/>
      <x:c r="AV139" s="27"/>
      <x:c r="AW139" s="27"/>
      <x:c r="AX139" s="27"/>
      <x:c r="AY139" s="27"/>
      <x:c r="AZ139" s="27"/>
    </x:row>
    <x:row r="140">
      <x:c r="A140" s="27"/>
      <x:c r="B140" s="27"/>
      <x:c r="C140" s="27"/>
      <x:c r="D140" s="27"/>
      <x:c r="E140" s="27"/>
      <x:c r="F140" s="27"/>
      <x:c r="G140" s="27"/>
      <x:c r="H140" s="27"/>
      <x:c r="I140" s="27"/>
      <x:c r="J140" s="27"/>
      <x:c r="K140" s="27"/>
      <x:c r="L140" s="27"/>
      <x:c r="M140" s="27"/>
      <x:c r="N140" s="27"/>
      <x:c r="O140" s="27"/>
      <x:c r="P140" s="27"/>
      <x:c r="Q140" s="27"/>
      <x:c r="R140" s="27"/>
      <x:c r="S140" s="27"/>
      <x:c r="T140" s="27"/>
      <x:c r="U140" s="27"/>
      <x:c r="V140" s="27"/>
      <x:c r="W140" s="27"/>
      <x:c r="X140" s="27"/>
      <x:c r="Y140" s="27"/>
      <x:c r="Z140" s="27"/>
      <x:c r="AA140" s="27"/>
      <x:c r="AB140" s="27"/>
      <x:c r="AC140" s="27"/>
      <x:c r="AD140" s="27"/>
      <x:c r="AE140" s="27"/>
      <x:c r="AF140" s="27"/>
      <x:c r="AG140" s="27"/>
      <x:c r="AH140" s="27"/>
      <x:c r="AI140" s="27"/>
      <x:c r="AJ140" s="27"/>
      <x:c r="AK140" s="27"/>
      <x:c r="AL140" s="27"/>
      <x:c r="AM140" s="27"/>
      <x:c r="AN140" s="27"/>
      <x:c r="AO140" s="27"/>
      <x:c r="AP140" s="27"/>
      <x:c r="AQ140" s="27"/>
      <x:c r="AR140" s="27"/>
      <x:c r="AS140" s="27"/>
      <x:c r="AT140" s="27"/>
      <x:c r="AU140" s="27"/>
      <x:c r="AV140" s="27"/>
      <x:c r="AW140" s="27"/>
      <x:c r="AX140" s="27"/>
      <x:c r="AY140" s="27"/>
      <x:c r="AZ140" s="27"/>
    </x:row>
    <x:row r="141">
      <x:c r="A141" s="27"/>
      <x:c r="B141" s="27"/>
      <x:c r="C141" s="27"/>
      <x:c r="D141" s="27"/>
      <x:c r="E141" s="27"/>
      <x:c r="F141" s="27"/>
      <x:c r="G141" s="27"/>
      <x:c r="H141" s="27"/>
      <x:c r="I141" s="27"/>
      <x:c r="J141" s="27"/>
      <x:c r="K141" s="27"/>
      <x:c r="L141" s="27"/>
      <x:c r="M141" s="27"/>
      <x:c r="N141" s="27"/>
      <x:c r="O141" s="27"/>
      <x:c r="P141" s="27"/>
      <x:c r="Q141" s="27"/>
      <x:c r="R141" s="27"/>
      <x:c r="S141" s="27"/>
      <x:c r="T141" s="27"/>
      <x:c r="U141" s="27"/>
      <x:c r="V141" s="27"/>
      <x:c r="W141" s="27"/>
      <x:c r="X141" s="27"/>
      <x:c r="Y141" s="27"/>
      <x:c r="Z141" s="27"/>
      <x:c r="AA141" s="27"/>
      <x:c r="AB141" s="27"/>
      <x:c r="AC141" s="27"/>
      <x:c r="AD141" s="27"/>
      <x:c r="AE141" s="27"/>
      <x:c r="AF141" s="27"/>
      <x:c r="AG141" s="27"/>
      <x:c r="AH141" s="27"/>
      <x:c r="AI141" s="27"/>
      <x:c r="AJ141" s="27"/>
      <x:c r="AK141" s="27"/>
      <x:c r="AL141" s="27"/>
      <x:c r="AM141" s="27"/>
      <x:c r="AN141" s="27"/>
      <x:c r="AO141" s="27"/>
      <x:c r="AP141" s="27"/>
      <x:c r="AQ141" s="27"/>
      <x:c r="AR141" s="27"/>
      <x:c r="AS141" s="27"/>
      <x:c r="AT141" s="27"/>
      <x:c r="AU141" s="27"/>
      <x:c r="AV141" s="27"/>
      <x:c r="AW141" s="27"/>
      <x:c r="AX141" s="27"/>
      <x:c r="AY141" s="27"/>
      <x:c r="AZ141" s="27"/>
    </x:row>
    <x:row r="142">
      <x:c r="A142" s="27"/>
      <x:c r="B142" s="27"/>
      <x:c r="C142" s="27"/>
      <x:c r="D142" s="27"/>
      <x:c r="E142" s="27"/>
      <x:c r="F142" s="27"/>
      <x:c r="G142" s="27"/>
      <x:c r="H142" s="27"/>
      <x:c r="I142" s="27"/>
      <x:c r="J142" s="27"/>
      <x:c r="K142" s="27"/>
      <x:c r="L142" s="27"/>
      <x:c r="M142" s="27"/>
      <x:c r="N142" s="27"/>
      <x:c r="O142" s="27"/>
      <x:c r="P142" s="27"/>
      <x:c r="Q142" s="27"/>
      <x:c r="R142" s="27"/>
      <x:c r="S142" s="27"/>
      <x:c r="T142" s="27"/>
      <x:c r="U142" s="27"/>
      <x:c r="V142" s="27"/>
      <x:c r="W142" s="27"/>
      <x:c r="X142" s="27"/>
      <x:c r="Y142" s="27"/>
      <x:c r="Z142" s="27"/>
      <x:c r="AA142" s="27"/>
      <x:c r="AB142" s="27"/>
      <x:c r="AC142" s="27"/>
      <x:c r="AD142" s="27"/>
      <x:c r="AE142" s="27"/>
      <x:c r="AF142" s="27"/>
      <x:c r="AG142" s="27"/>
      <x:c r="AH142" s="27"/>
      <x:c r="AI142" s="27"/>
      <x:c r="AJ142" s="27"/>
      <x:c r="AK142" s="27"/>
      <x:c r="AL142" s="27"/>
      <x:c r="AM142" s="27"/>
      <x:c r="AN142" s="27"/>
      <x:c r="AO142" s="27"/>
      <x:c r="AP142" s="27"/>
      <x:c r="AQ142" s="27"/>
      <x:c r="AR142" s="27"/>
      <x:c r="AS142" s="27"/>
      <x:c r="AT142" s="27"/>
      <x:c r="AU142" s="27"/>
      <x:c r="AV142" s="27"/>
      <x:c r="AW142" s="27"/>
      <x:c r="AX142" s="27"/>
      <x:c r="AY142" s="27"/>
      <x:c r="AZ142" s="27"/>
    </x:row>
    <x:row r="143">
      <x:c r="A143" s="27"/>
      <x:c r="B143" s="27"/>
      <x:c r="C143" s="27"/>
      <x:c r="D143" s="27"/>
      <x:c r="E143" s="27"/>
      <x:c r="F143" s="27"/>
      <x:c r="G143" s="27"/>
      <x:c r="H143" s="27"/>
      <x:c r="I143" s="27"/>
      <x:c r="J143" s="27"/>
      <x:c r="K143" s="27"/>
      <x:c r="L143" s="27"/>
      <x:c r="M143" s="27"/>
      <x:c r="N143" s="27"/>
      <x:c r="O143" s="27"/>
      <x:c r="P143" s="27"/>
      <x:c r="Q143" s="27"/>
      <x:c r="R143" s="27"/>
      <x:c r="S143" s="27"/>
      <x:c r="T143" s="27"/>
      <x:c r="U143" s="27"/>
      <x:c r="V143" s="27"/>
      <x:c r="W143" s="27"/>
      <x:c r="X143" s="27"/>
      <x:c r="Y143" s="27"/>
      <x:c r="Z143" s="27"/>
      <x:c r="AA143" s="27"/>
      <x:c r="AB143" s="27"/>
      <x:c r="AC143" s="27"/>
      <x:c r="AD143" s="27"/>
      <x:c r="AE143" s="27"/>
      <x:c r="AF143" s="27"/>
      <x:c r="AG143" s="27"/>
      <x:c r="AH143" s="27"/>
      <x:c r="AI143" s="27"/>
      <x:c r="AJ143" s="27"/>
      <x:c r="AK143" s="27"/>
      <x:c r="AL143" s="27"/>
      <x:c r="AM143" s="27"/>
      <x:c r="AN143" s="27"/>
      <x:c r="AO143" s="27"/>
      <x:c r="AP143" s="27"/>
      <x:c r="AQ143" s="27"/>
      <x:c r="AR143" s="27"/>
      <x:c r="AS143" s="27"/>
      <x:c r="AT143" s="27"/>
      <x:c r="AU143" s="27"/>
      <x:c r="AV143" s="27"/>
      <x:c r="AW143" s="27"/>
      <x:c r="AX143" s="27"/>
      <x:c r="AY143" s="27"/>
      <x:c r="AZ143" s="27"/>
    </x:row>
    <x:row r="144">
      <x:c r="A144" s="27"/>
      <x:c r="B144" s="27"/>
      <x:c r="C144" s="27"/>
      <x:c r="D144" s="27"/>
      <x:c r="E144" s="27"/>
      <x:c r="F144" s="27"/>
      <x:c r="G144" s="27"/>
      <x:c r="H144" s="27"/>
      <x:c r="I144" s="27"/>
      <x:c r="J144" s="27"/>
      <x:c r="K144" s="27"/>
      <x:c r="L144" s="27"/>
      <x:c r="M144" s="27"/>
      <x:c r="N144" s="27"/>
      <x:c r="O144" s="27"/>
      <x:c r="P144" s="27"/>
      <x:c r="Q144" s="27"/>
      <x:c r="R144" s="27"/>
      <x:c r="S144" s="27"/>
      <x:c r="T144" s="27"/>
      <x:c r="U144" s="27"/>
      <x:c r="V144" s="27"/>
      <x:c r="W144" s="27"/>
      <x:c r="X144" s="27"/>
      <x:c r="Y144" s="27"/>
      <x:c r="Z144" s="27"/>
      <x:c r="AA144" s="27"/>
      <x:c r="AB144" s="27"/>
      <x:c r="AC144" s="27"/>
      <x:c r="AD144" s="27"/>
      <x:c r="AE144" s="27"/>
      <x:c r="AF144" s="27"/>
      <x:c r="AG144" s="27"/>
      <x:c r="AH144" s="27"/>
      <x:c r="AI144" s="27"/>
      <x:c r="AJ144" s="27"/>
      <x:c r="AK144" s="27"/>
      <x:c r="AL144" s="27"/>
      <x:c r="AM144" s="27"/>
      <x:c r="AN144" s="27"/>
      <x:c r="AO144" s="27"/>
      <x:c r="AP144" s="27"/>
      <x:c r="AQ144" s="27"/>
      <x:c r="AR144" s="27"/>
      <x:c r="AS144" s="27"/>
      <x:c r="AT144" s="27"/>
      <x:c r="AU144" s="27"/>
      <x:c r="AV144" s="27"/>
      <x:c r="AW144" s="27"/>
      <x:c r="AX144" s="27"/>
      <x:c r="AY144" s="27"/>
      <x:c r="AZ144" s="27"/>
    </x:row>
    <x:row r="145">
      <x:c r="A145" s="27"/>
      <x:c r="B145" s="27"/>
      <x:c r="C145" s="27"/>
      <x:c r="D145" s="27"/>
      <x:c r="E145" s="27"/>
      <x:c r="F145" s="27"/>
      <x:c r="G145" s="27"/>
      <x:c r="H145" s="27"/>
      <x:c r="I145" s="27"/>
      <x:c r="J145" s="27"/>
      <x:c r="K145" s="27"/>
      <x:c r="L145" s="27"/>
      <x:c r="M145" s="27"/>
      <x:c r="N145" s="27"/>
      <x:c r="O145" s="27"/>
      <x:c r="P145" s="27"/>
      <x:c r="Q145" s="27"/>
      <x:c r="R145" s="27"/>
      <x:c r="S145" s="27"/>
      <x:c r="T145" s="27"/>
      <x:c r="U145" s="27"/>
      <x:c r="V145" s="27"/>
      <x:c r="W145" s="27"/>
      <x:c r="X145" s="27"/>
      <x:c r="Y145" s="27"/>
      <x:c r="Z145" s="27"/>
      <x:c r="AA145" s="27"/>
      <x:c r="AB145" s="27"/>
      <x:c r="AC145" s="27"/>
      <x:c r="AD145" s="27"/>
      <x:c r="AE145" s="27"/>
      <x:c r="AF145" s="27"/>
      <x:c r="AG145" s="27"/>
      <x:c r="AH145" s="27"/>
      <x:c r="AI145" s="27"/>
      <x:c r="AJ145" s="27"/>
      <x:c r="AK145" s="27"/>
      <x:c r="AL145" s="27"/>
      <x:c r="AM145" s="27"/>
      <x:c r="AN145" s="27"/>
      <x:c r="AO145" s="27"/>
      <x:c r="AP145" s="27"/>
      <x:c r="AQ145" s="27"/>
      <x:c r="AR145" s="27"/>
      <x:c r="AS145" s="27"/>
      <x:c r="AT145" s="27"/>
      <x:c r="AU145" s="27"/>
      <x:c r="AV145" s="27"/>
      <x:c r="AW145" s="27"/>
      <x:c r="AX145" s="27"/>
      <x:c r="AY145" s="27"/>
      <x:c r="AZ145" s="27"/>
    </x:row>
    <x:row r="146">
      <x:c r="A146" s="27"/>
      <x:c r="B146" s="27"/>
      <x:c r="C146" s="27"/>
      <x:c r="D146" s="27"/>
      <x:c r="E146" s="27"/>
      <x:c r="F146" s="27"/>
      <x:c r="G146" s="27"/>
      <x:c r="H146" s="27"/>
      <x:c r="I146" s="27"/>
      <x:c r="J146" s="27"/>
      <x:c r="K146" s="27"/>
      <x:c r="L146" s="27"/>
      <x:c r="M146" s="27"/>
      <x:c r="N146" s="27"/>
      <x:c r="O146" s="27"/>
      <x:c r="P146" s="27"/>
      <x:c r="Q146" s="27"/>
      <x:c r="R146" s="27"/>
      <x:c r="S146" s="27"/>
      <x:c r="T146" s="27"/>
      <x:c r="U146" s="27"/>
      <x:c r="V146" s="27"/>
      <x:c r="W146" s="27"/>
      <x:c r="X146" s="27"/>
      <x:c r="Y146" s="27"/>
      <x:c r="Z146" s="27"/>
      <x:c r="AA146" s="27"/>
      <x:c r="AB146" s="27"/>
      <x:c r="AC146" s="27"/>
      <x:c r="AD146" s="27"/>
      <x:c r="AE146" s="27"/>
      <x:c r="AF146" s="27"/>
      <x:c r="AG146" s="27"/>
      <x:c r="AH146" s="27"/>
      <x:c r="AI146" s="27"/>
      <x:c r="AJ146" s="27"/>
      <x:c r="AK146" s="27"/>
      <x:c r="AL146" s="27"/>
      <x:c r="AM146" s="27"/>
      <x:c r="AN146" s="27"/>
      <x:c r="AO146" s="27"/>
      <x:c r="AP146" s="27"/>
      <x:c r="AQ146" s="27"/>
      <x:c r="AR146" s="27"/>
      <x:c r="AS146" s="27"/>
      <x:c r="AT146" s="27"/>
      <x:c r="AU146" s="27"/>
      <x:c r="AV146" s="27"/>
      <x:c r="AW146" s="27"/>
      <x:c r="AX146" s="27"/>
      <x:c r="AY146" s="27"/>
      <x:c r="AZ146" s="27"/>
    </x:row>
    <x:row r="147">
      <x:c r="A147" s="27"/>
      <x:c r="B147" s="27"/>
      <x:c r="C147" s="27"/>
      <x:c r="D147" s="27"/>
      <x:c r="E147" s="27"/>
      <x:c r="F147" s="27"/>
      <x:c r="G147" s="27"/>
      <x:c r="H147" s="27"/>
      <x:c r="I147" s="27"/>
      <x:c r="J147" s="27"/>
      <x:c r="K147" s="27"/>
      <x:c r="L147" s="27"/>
      <x:c r="M147" s="27"/>
      <x:c r="N147" s="27"/>
      <x:c r="O147" s="27"/>
      <x:c r="P147" s="27"/>
      <x:c r="Q147" s="27"/>
      <x:c r="R147" s="27"/>
      <x:c r="S147" s="27"/>
      <x:c r="T147" s="27"/>
      <x:c r="U147" s="27"/>
      <x:c r="V147" s="27"/>
      <x:c r="W147" s="27"/>
      <x:c r="X147" s="27"/>
      <x:c r="Y147" s="27"/>
      <x:c r="Z147" s="27"/>
      <x:c r="AA147" s="27"/>
      <x:c r="AB147" s="27"/>
      <x:c r="AC147" s="27"/>
      <x:c r="AD147" s="27"/>
      <x:c r="AE147" s="27"/>
      <x:c r="AF147" s="27"/>
      <x:c r="AG147" s="27"/>
      <x:c r="AH147" s="27"/>
      <x:c r="AI147" s="27"/>
      <x:c r="AJ147" s="27"/>
      <x:c r="AK147" s="27"/>
      <x:c r="AL147" s="27"/>
      <x:c r="AM147" s="27"/>
      <x:c r="AN147" s="27"/>
      <x:c r="AO147" s="27"/>
      <x:c r="AP147" s="27"/>
      <x:c r="AQ147" s="27"/>
      <x:c r="AR147" s="27"/>
      <x:c r="AS147" s="27"/>
      <x:c r="AT147" s="27"/>
      <x:c r="AU147" s="27"/>
      <x:c r="AV147" s="27"/>
      <x:c r="AW147" s="27"/>
      <x:c r="AX147" s="27"/>
      <x:c r="AY147" s="27"/>
      <x:c r="AZ147" s="27"/>
    </x:row>
    <x:row r="148">
      <x:c r="A148" s="27"/>
      <x:c r="B148" s="27"/>
      <x:c r="C148" s="27"/>
      <x:c r="D148" s="27"/>
      <x:c r="E148" s="27"/>
      <x:c r="F148" s="27"/>
      <x:c r="G148" s="27"/>
      <x:c r="H148" s="27"/>
      <x:c r="I148" s="27"/>
      <x:c r="J148" s="27"/>
      <x:c r="K148" s="27"/>
      <x:c r="L148" s="27"/>
      <x:c r="M148" s="27"/>
      <x:c r="N148" s="27"/>
      <x:c r="O148" s="27"/>
      <x:c r="P148" s="27"/>
      <x:c r="Q148" s="27"/>
      <x:c r="R148" s="27"/>
      <x:c r="S148" s="27"/>
      <x:c r="T148" s="27"/>
      <x:c r="U148" s="27"/>
      <x:c r="V148" s="27"/>
      <x:c r="W148" s="27"/>
      <x:c r="X148" s="27"/>
      <x:c r="Y148" s="27"/>
      <x:c r="Z148" s="27"/>
      <x:c r="AA148" s="27"/>
      <x:c r="AB148" s="27"/>
      <x:c r="AC148" s="27"/>
      <x:c r="AD148" s="27"/>
      <x:c r="AE148" s="27"/>
      <x:c r="AF148" s="27"/>
      <x:c r="AG148" s="27"/>
      <x:c r="AH148" s="27"/>
      <x:c r="AI148" s="27"/>
      <x:c r="AJ148" s="27"/>
      <x:c r="AK148" s="27"/>
      <x:c r="AL148" s="27"/>
      <x:c r="AM148" s="27"/>
      <x:c r="AN148" s="27"/>
      <x:c r="AO148" s="27"/>
      <x:c r="AP148" s="27"/>
      <x:c r="AQ148" s="27"/>
      <x:c r="AR148" s="27"/>
      <x:c r="AS148" s="27"/>
      <x:c r="AT148" s="27"/>
      <x:c r="AU148" s="27"/>
      <x:c r="AV148" s="27"/>
      <x:c r="AW148" s="27"/>
      <x:c r="AX148" s="27"/>
      <x:c r="AY148" s="27"/>
      <x:c r="AZ148" s="27"/>
    </x:row>
    <x:row r="149">
      <x:c r="A149" s="27"/>
      <x:c r="B149" s="27"/>
      <x:c r="C149" s="27"/>
      <x:c r="D149" s="27"/>
      <x:c r="E149" s="27"/>
      <x:c r="F149" s="27"/>
      <x:c r="G149" s="27"/>
      <x:c r="H149" s="27"/>
      <x:c r="I149" s="27"/>
      <x:c r="J149" s="27"/>
      <x:c r="K149" s="27"/>
      <x:c r="L149" s="27"/>
      <x:c r="M149" s="27"/>
      <x:c r="N149" s="27"/>
      <x:c r="O149" s="27"/>
      <x:c r="P149" s="27"/>
      <x:c r="Q149" s="27"/>
      <x:c r="R149" s="27"/>
      <x:c r="S149" s="27"/>
      <x:c r="T149" s="27"/>
      <x:c r="U149" s="27"/>
      <x:c r="V149" s="27"/>
      <x:c r="W149" s="27"/>
      <x:c r="X149" s="27"/>
      <x:c r="Y149" s="27"/>
      <x:c r="Z149" s="27"/>
      <x:c r="AA149" s="27"/>
      <x:c r="AB149" s="27"/>
      <x:c r="AC149" s="27"/>
      <x:c r="AD149" s="27"/>
      <x:c r="AE149" s="27"/>
      <x:c r="AF149" s="27"/>
      <x:c r="AG149" s="27"/>
      <x:c r="AH149" s="27"/>
      <x:c r="AI149" s="27"/>
      <x:c r="AJ149" s="27"/>
      <x:c r="AK149" s="27"/>
      <x:c r="AL149" s="27"/>
      <x:c r="AM149" s="27"/>
      <x:c r="AN149" s="27"/>
      <x:c r="AO149" s="27"/>
      <x:c r="AP149" s="27"/>
      <x:c r="AQ149" s="27"/>
      <x:c r="AR149" s="27"/>
      <x:c r="AS149" s="27"/>
      <x:c r="AT149" s="27"/>
      <x:c r="AU149" s="27"/>
      <x:c r="AV149" s="27"/>
      <x:c r="AW149" s="27"/>
      <x:c r="AX149" s="27"/>
      <x:c r="AY149" s="27"/>
      <x:c r="AZ149" s="27"/>
    </x:row>
    <x:row r="150">
      <x:c r="A150" s="27"/>
      <x:c r="B150" s="27"/>
      <x:c r="C150" s="27"/>
      <x:c r="D150" s="27"/>
      <x:c r="E150" s="27"/>
      <x:c r="F150" s="27"/>
      <x:c r="G150" s="27"/>
      <x:c r="H150" s="27"/>
      <x:c r="I150" s="27"/>
      <x:c r="J150" s="27"/>
      <x:c r="K150" s="27"/>
      <x:c r="L150" s="27"/>
      <x:c r="M150" s="27"/>
      <x:c r="N150" s="27"/>
      <x:c r="O150" s="27"/>
      <x:c r="P150" s="27"/>
      <x:c r="Q150" s="27"/>
      <x:c r="R150" s="27"/>
      <x:c r="S150" s="27"/>
      <x:c r="T150" s="27"/>
      <x:c r="U150" s="27"/>
      <x:c r="V150" s="27"/>
      <x:c r="W150" s="27"/>
      <x:c r="X150" s="27"/>
      <x:c r="Y150" s="27"/>
      <x:c r="Z150" s="27"/>
      <x:c r="AA150" s="27"/>
      <x:c r="AB150" s="27"/>
      <x:c r="AC150" s="27"/>
      <x:c r="AD150" s="27"/>
      <x:c r="AE150" s="27"/>
      <x:c r="AF150" s="27"/>
      <x:c r="AG150" s="27"/>
      <x:c r="AH150" s="27"/>
      <x:c r="AI150" s="27"/>
      <x:c r="AJ150" s="27"/>
      <x:c r="AK150" s="27"/>
      <x:c r="AL150" s="27"/>
      <x:c r="AM150" s="27"/>
      <x:c r="AN150" s="27"/>
      <x:c r="AO150" s="27"/>
      <x:c r="AP150" s="27"/>
      <x:c r="AQ150" s="27"/>
      <x:c r="AR150" s="27"/>
      <x:c r="AS150" s="27"/>
      <x:c r="AT150" s="27"/>
      <x:c r="AU150" s="27"/>
      <x:c r="AV150" s="27"/>
      <x:c r="AW150" s="27"/>
      <x:c r="AX150" s="27"/>
      <x:c r="AY150" s="27"/>
      <x:c r="AZ150" s="27"/>
    </x:row>
    <x:row r="151">
      <x:c r="A151" s="27"/>
      <x:c r="B151" s="27"/>
      <x:c r="C151" s="27"/>
      <x:c r="D151" s="27"/>
      <x:c r="E151" s="27"/>
      <x:c r="F151" s="27"/>
      <x:c r="G151" s="27"/>
      <x:c r="H151" s="27"/>
      <x:c r="I151" s="27"/>
      <x:c r="J151" s="27"/>
      <x:c r="K151" s="27"/>
      <x:c r="L151" s="27"/>
      <x:c r="M151" s="27"/>
      <x:c r="N151" s="27"/>
      <x:c r="O151" s="27"/>
      <x:c r="P151" s="27"/>
      <x:c r="Q151" s="27"/>
      <x:c r="R151" s="27"/>
      <x:c r="S151" s="27"/>
      <x:c r="T151" s="27"/>
      <x:c r="U151" s="27"/>
      <x:c r="V151" s="27"/>
      <x:c r="W151" s="27"/>
      <x:c r="X151" s="27"/>
      <x:c r="Y151" s="27"/>
      <x:c r="Z151" s="27"/>
      <x:c r="AA151" s="27"/>
      <x:c r="AB151" s="27"/>
      <x:c r="AC151" s="27"/>
      <x:c r="AD151" s="27"/>
      <x:c r="AE151" s="27"/>
      <x:c r="AF151" s="27"/>
      <x:c r="AG151" s="27"/>
      <x:c r="AH151" s="27"/>
      <x:c r="AI151" s="27"/>
      <x:c r="AJ151" s="27"/>
      <x:c r="AK151" s="27"/>
      <x:c r="AL151" s="27"/>
      <x:c r="AM151" s="27"/>
      <x:c r="AN151" s="27"/>
      <x:c r="AO151" s="27"/>
      <x:c r="AP151" s="27"/>
      <x:c r="AQ151" s="27"/>
      <x:c r="AR151" s="27"/>
      <x:c r="AS151" s="27"/>
      <x:c r="AT151" s="27"/>
      <x:c r="AU151" s="27"/>
      <x:c r="AV151" s="27"/>
      <x:c r="AW151" s="27"/>
      <x:c r="AX151" s="27"/>
      <x:c r="AY151" s="27"/>
      <x:c r="AZ151" s="27"/>
    </x:row>
    <x:row r="152">
      <x:c r="A152" s="27"/>
      <x:c r="B152" s="27"/>
      <x:c r="C152" s="27"/>
      <x:c r="D152" s="27"/>
      <x:c r="E152" s="27"/>
      <x:c r="F152" s="27"/>
      <x:c r="G152" s="27"/>
      <x:c r="H152" s="27"/>
      <x:c r="I152" s="27"/>
      <x:c r="J152" s="27"/>
      <x:c r="K152" s="27"/>
      <x:c r="L152" s="27"/>
      <x:c r="M152" s="27"/>
      <x:c r="N152" s="27"/>
      <x:c r="O152" s="27"/>
      <x:c r="P152" s="27"/>
      <x:c r="Q152" s="27"/>
      <x:c r="R152" s="27"/>
      <x:c r="S152" s="27"/>
      <x:c r="T152" s="27"/>
      <x:c r="U152" s="27"/>
      <x:c r="V152" s="27"/>
      <x:c r="W152" s="27"/>
      <x:c r="X152" s="27"/>
      <x:c r="Y152" s="27"/>
      <x:c r="Z152" s="27"/>
      <x:c r="AA152" s="27"/>
      <x:c r="AB152" s="27"/>
      <x:c r="AC152" s="27"/>
      <x:c r="AD152" s="27"/>
      <x:c r="AE152" s="27"/>
      <x:c r="AF152" s="27"/>
      <x:c r="AG152" s="27"/>
      <x:c r="AH152" s="27"/>
      <x:c r="AI152" s="27"/>
      <x:c r="AJ152" s="27"/>
      <x:c r="AK152" s="27"/>
      <x:c r="AL152" s="27"/>
      <x:c r="AM152" s="27"/>
      <x:c r="AN152" s="27"/>
      <x:c r="AO152" s="27"/>
      <x:c r="AP152" s="27"/>
      <x:c r="AQ152" s="27"/>
      <x:c r="AR152" s="27"/>
      <x:c r="AS152" s="27"/>
      <x:c r="AT152" s="27"/>
      <x:c r="AU152" s="27"/>
      <x:c r="AV152" s="27"/>
      <x:c r="AW152" s="27"/>
      <x:c r="AX152" s="27"/>
      <x:c r="AY152" s="27"/>
      <x:c r="AZ152" s="27"/>
    </x:row>
    <x:row r="153">
      <x:c r="A153" s="27"/>
      <x:c r="B153" s="27"/>
      <x:c r="C153" s="27"/>
      <x:c r="D153" s="27"/>
      <x:c r="E153" s="27"/>
      <x:c r="F153" s="27"/>
      <x:c r="G153" s="27"/>
      <x:c r="H153" s="27"/>
      <x:c r="I153" s="27"/>
      <x:c r="J153" s="27"/>
      <x:c r="K153" s="27"/>
      <x:c r="L153" s="27"/>
      <x:c r="M153" s="27"/>
      <x:c r="N153" s="27"/>
      <x:c r="O153" s="27"/>
      <x:c r="P153" s="27"/>
      <x:c r="Q153" s="27"/>
      <x:c r="R153" s="27"/>
      <x:c r="S153" s="27"/>
      <x:c r="T153" s="27"/>
      <x:c r="U153" s="27"/>
      <x:c r="V153" s="27"/>
      <x:c r="W153" s="27"/>
      <x:c r="X153" s="27"/>
      <x:c r="Y153" s="27"/>
      <x:c r="Z153" s="27"/>
      <x:c r="AA153" s="27"/>
      <x:c r="AB153" s="27"/>
      <x:c r="AC153" s="27"/>
      <x:c r="AD153" s="27"/>
      <x:c r="AE153" s="27"/>
      <x:c r="AF153" s="27"/>
      <x:c r="AG153" s="27"/>
      <x:c r="AH153" s="27"/>
      <x:c r="AI153" s="27"/>
      <x:c r="AJ153" s="27"/>
      <x:c r="AK153" s="27"/>
      <x:c r="AL153" s="27"/>
      <x:c r="AM153" s="27"/>
      <x:c r="AN153" s="27"/>
      <x:c r="AO153" s="27"/>
      <x:c r="AP153" s="27"/>
      <x:c r="AQ153" s="27"/>
      <x:c r="AR153" s="27"/>
      <x:c r="AS153" s="27"/>
      <x:c r="AT153" s="27"/>
      <x:c r="AU153" s="27"/>
      <x:c r="AV153" s="27"/>
      <x:c r="AW153" s="27"/>
      <x:c r="AX153" s="27"/>
      <x:c r="AY153" s="27"/>
      <x:c r="AZ153" s="27"/>
    </x:row>
    <x:row r="154">
      <x:c r="A154" s="27"/>
      <x:c r="B154" s="27"/>
      <x:c r="C154" s="27"/>
      <x:c r="D154" s="27"/>
      <x:c r="E154" s="27"/>
      <x:c r="F154" s="27"/>
      <x:c r="G154" s="27"/>
      <x:c r="H154" s="27"/>
      <x:c r="I154" s="27"/>
      <x:c r="J154" s="27"/>
      <x:c r="K154" s="27"/>
      <x:c r="L154" s="27"/>
      <x:c r="M154" s="27"/>
      <x:c r="N154" s="27"/>
      <x:c r="O154" s="27"/>
      <x:c r="P154" s="27"/>
      <x:c r="Q154" s="27"/>
      <x:c r="R154" s="27"/>
      <x:c r="S154" s="27"/>
      <x:c r="T154" s="27"/>
      <x:c r="U154" s="27"/>
      <x:c r="V154" s="27"/>
      <x:c r="W154" s="27"/>
      <x:c r="X154" s="27"/>
      <x:c r="Y154" s="27"/>
      <x:c r="Z154" s="27"/>
      <x:c r="AA154" s="27"/>
      <x:c r="AB154" s="27"/>
      <x:c r="AC154" s="27"/>
      <x:c r="AD154" s="27"/>
      <x:c r="AE154" s="27"/>
      <x:c r="AF154" s="27"/>
      <x:c r="AG154" s="27"/>
      <x:c r="AH154" s="27"/>
      <x:c r="AI154" s="27"/>
      <x:c r="AJ154" s="27"/>
      <x:c r="AK154" s="27"/>
      <x:c r="AL154" s="27"/>
      <x:c r="AM154" s="27"/>
      <x:c r="AN154" s="27"/>
      <x:c r="AO154" s="27"/>
      <x:c r="AP154" s="27"/>
      <x:c r="AQ154" s="27"/>
      <x:c r="AR154" s="27"/>
      <x:c r="AS154" s="27"/>
      <x:c r="AT154" s="27"/>
      <x:c r="AU154" s="27"/>
      <x:c r="AV154" s="27"/>
      <x:c r="AW154" s="27"/>
      <x:c r="AX154" s="27"/>
      <x:c r="AY154" s="27"/>
      <x:c r="AZ154" s="27"/>
    </x:row>
    <x:row r="155">
      <x:c r="A155" s="27"/>
      <x:c r="B155" s="27"/>
      <x:c r="C155" s="27"/>
      <x:c r="D155" s="27"/>
      <x:c r="E155" s="27"/>
      <x:c r="F155" s="27"/>
      <x:c r="G155" s="27"/>
      <x:c r="H155" s="27"/>
      <x:c r="I155" s="27"/>
      <x:c r="J155" s="27"/>
      <x:c r="K155" s="27"/>
      <x:c r="L155" s="27"/>
      <x:c r="M155" s="27"/>
      <x:c r="N155" s="27"/>
      <x:c r="O155" s="27"/>
      <x:c r="P155" s="27"/>
      <x:c r="Q155" s="27"/>
      <x:c r="R155" s="27"/>
      <x:c r="S155" s="27"/>
      <x:c r="T155" s="27"/>
      <x:c r="U155" s="27"/>
      <x:c r="V155" s="27"/>
      <x:c r="W155" s="27"/>
      <x:c r="X155" s="27"/>
      <x:c r="Y155" s="27"/>
      <x:c r="Z155" s="27"/>
      <x:c r="AA155" s="27"/>
      <x:c r="AB155" s="27"/>
      <x:c r="AC155" s="27"/>
      <x:c r="AD155" s="27"/>
      <x:c r="AE155" s="27"/>
      <x:c r="AF155" s="27"/>
      <x:c r="AG155" s="27"/>
      <x:c r="AH155" s="27"/>
      <x:c r="AI155" s="27"/>
      <x:c r="AJ155" s="27"/>
      <x:c r="AK155" s="27"/>
      <x:c r="AL155" s="27"/>
      <x:c r="AM155" s="27"/>
      <x:c r="AN155" s="27"/>
      <x:c r="AO155" s="27"/>
      <x:c r="AP155" s="27"/>
      <x:c r="AQ155" s="27"/>
      <x:c r="AR155" s="27"/>
      <x:c r="AS155" s="27"/>
      <x:c r="AT155" s="27"/>
      <x:c r="AU155" s="27"/>
      <x:c r="AV155" s="27"/>
      <x:c r="AW155" s="27"/>
      <x:c r="AX155" s="27"/>
      <x:c r="AY155" s="27"/>
      <x:c r="AZ155" s="27"/>
    </x:row>
    <x:row r="156">
      <x:c r="A156" s="27"/>
      <x:c r="B156" s="27"/>
      <x:c r="C156" s="27"/>
      <x:c r="D156" s="27"/>
      <x:c r="E156" s="27"/>
      <x:c r="F156" s="27"/>
      <x:c r="G156" s="27"/>
      <x:c r="H156" s="27"/>
      <x:c r="I156" s="27"/>
      <x:c r="J156" s="27"/>
      <x:c r="K156" s="27"/>
      <x:c r="L156" s="27"/>
      <x:c r="M156" s="27"/>
      <x:c r="N156" s="27"/>
      <x:c r="O156" s="27"/>
      <x:c r="P156" s="27"/>
      <x:c r="Q156" s="27"/>
      <x:c r="R156" s="27"/>
      <x:c r="S156" s="27"/>
      <x:c r="T156" s="27"/>
      <x:c r="U156" s="27"/>
      <x:c r="V156" s="27"/>
      <x:c r="W156" s="27"/>
      <x:c r="X156" s="27"/>
      <x:c r="Y156" s="27"/>
      <x:c r="Z156" s="27"/>
      <x:c r="AA156" s="27"/>
      <x:c r="AB156" s="27"/>
      <x:c r="AC156" s="27"/>
      <x:c r="AD156" s="27"/>
      <x:c r="AE156" s="27"/>
      <x:c r="AF156" s="27"/>
      <x:c r="AG156" s="27"/>
      <x:c r="AH156" s="27"/>
      <x:c r="AI156" s="27"/>
      <x:c r="AJ156" s="27"/>
      <x:c r="AK156" s="27"/>
      <x:c r="AL156" s="27"/>
      <x:c r="AM156" s="27"/>
      <x:c r="AN156" s="27"/>
      <x:c r="AO156" s="27"/>
      <x:c r="AP156" s="27"/>
      <x:c r="AQ156" s="27"/>
      <x:c r="AR156" s="27"/>
      <x:c r="AS156" s="27"/>
      <x:c r="AT156" s="27"/>
      <x:c r="AU156" s="27"/>
      <x:c r="AV156" s="27"/>
      <x:c r="AW156" s="27"/>
      <x:c r="AX156" s="27"/>
      <x:c r="AY156" s="27"/>
      <x:c r="AZ156" s="27"/>
    </x:row>
    <x:row r="157">
      <x:c r="A157" s="27"/>
      <x:c r="B157" s="27"/>
      <x:c r="C157" s="27"/>
      <x:c r="D157" s="27"/>
      <x:c r="E157" s="27"/>
      <x:c r="F157" s="27"/>
      <x:c r="G157" s="27"/>
      <x:c r="H157" s="27"/>
      <x:c r="I157" s="27"/>
      <x:c r="J157" s="27"/>
      <x:c r="K157" s="27"/>
      <x:c r="L157" s="27"/>
      <x:c r="M157" s="27"/>
      <x:c r="N157" s="27"/>
      <x:c r="O157" s="27"/>
      <x:c r="P157" s="27"/>
      <x:c r="Q157" s="27"/>
      <x:c r="R157" s="27"/>
      <x:c r="S157" s="27"/>
      <x:c r="T157" s="27"/>
      <x:c r="U157" s="27"/>
      <x:c r="V157" s="27"/>
      <x:c r="W157" s="27"/>
      <x:c r="X157" s="27"/>
      <x:c r="Y157" s="27"/>
      <x:c r="Z157" s="27"/>
      <x:c r="AA157" s="27"/>
      <x:c r="AB157" s="27"/>
      <x:c r="AC157" s="27"/>
      <x:c r="AD157" s="27"/>
      <x:c r="AE157" s="27"/>
      <x:c r="AF157" s="27"/>
      <x:c r="AG157" s="27"/>
      <x:c r="AH157" s="27"/>
      <x:c r="AI157" s="27"/>
      <x:c r="AJ157" s="27"/>
      <x:c r="AK157" s="27"/>
      <x:c r="AL157" s="27"/>
      <x:c r="AM157" s="27"/>
      <x:c r="AN157" s="27"/>
      <x:c r="AO157" s="27"/>
      <x:c r="AP157" s="27"/>
      <x:c r="AQ157" s="27"/>
      <x:c r="AR157" s="27"/>
      <x:c r="AS157" s="27"/>
      <x:c r="AT157" s="27"/>
      <x:c r="AU157" s="27"/>
      <x:c r="AV157" s="27"/>
      <x:c r="AW157" s="27"/>
      <x:c r="AX157" s="27"/>
      <x:c r="AY157" s="27"/>
      <x:c r="AZ157" s="27"/>
    </x:row>
    <x:row r="158">
      <x:c r="A158" s="27"/>
      <x:c r="B158" s="27"/>
      <x:c r="C158" s="27"/>
      <x:c r="D158" s="27"/>
      <x:c r="E158" s="27"/>
      <x:c r="F158" s="27"/>
      <x:c r="G158" s="27"/>
      <x:c r="H158" s="27"/>
      <x:c r="I158" s="27"/>
      <x:c r="J158" s="27"/>
      <x:c r="K158" s="27"/>
      <x:c r="L158" s="27"/>
      <x:c r="M158" s="27"/>
      <x:c r="N158" s="27"/>
      <x:c r="O158" s="27"/>
      <x:c r="P158" s="27"/>
      <x:c r="Q158" s="27"/>
      <x:c r="R158" s="27"/>
      <x:c r="S158" s="27"/>
      <x:c r="T158" s="27"/>
      <x:c r="U158" s="27"/>
      <x:c r="V158" s="27"/>
      <x:c r="W158" s="27"/>
      <x:c r="X158" s="27"/>
      <x:c r="Y158" s="27"/>
      <x:c r="Z158" s="27"/>
      <x:c r="AA158" s="27"/>
      <x:c r="AB158" s="27"/>
      <x:c r="AC158" s="27"/>
      <x:c r="AD158" s="27"/>
      <x:c r="AE158" s="27"/>
      <x:c r="AF158" s="27"/>
      <x:c r="AG158" s="27"/>
      <x:c r="AH158" s="27"/>
      <x:c r="AI158" s="27"/>
      <x:c r="AJ158" s="27"/>
      <x:c r="AK158" s="27"/>
      <x:c r="AL158" s="27"/>
      <x:c r="AM158" s="27"/>
      <x:c r="AN158" s="27"/>
      <x:c r="AO158" s="27"/>
      <x:c r="AP158" s="27"/>
      <x:c r="AQ158" s="27"/>
      <x:c r="AR158" s="27"/>
      <x:c r="AS158" s="27"/>
      <x:c r="AT158" s="27"/>
      <x:c r="AU158" s="27"/>
      <x:c r="AV158" s="27"/>
      <x:c r="AW158" s="27"/>
      <x:c r="AX158" s="27"/>
      <x:c r="AY158" s="27"/>
      <x:c r="AZ158" s="27"/>
    </x:row>
    <x:row r="159">
      <x:c r="A159" s="27"/>
      <x:c r="B159" s="27"/>
      <x:c r="C159" s="27"/>
      <x:c r="D159" s="27"/>
      <x:c r="E159" s="27"/>
      <x:c r="F159" s="27"/>
      <x:c r="G159" s="27"/>
      <x:c r="H159" s="27"/>
      <x:c r="I159" s="27"/>
      <x:c r="J159" s="27"/>
      <x:c r="K159" s="27"/>
      <x:c r="L159" s="27"/>
      <x:c r="M159" s="27"/>
      <x:c r="N159" s="27"/>
      <x:c r="O159" s="27"/>
      <x:c r="P159" s="27"/>
      <x:c r="Q159" s="27"/>
      <x:c r="R159" s="27"/>
      <x:c r="S159" s="27"/>
      <x:c r="T159" s="27"/>
      <x:c r="U159" s="27"/>
      <x:c r="V159" s="27"/>
      <x:c r="W159" s="27"/>
      <x:c r="X159" s="27"/>
      <x:c r="Y159" s="27"/>
      <x:c r="Z159" s="27"/>
      <x:c r="AA159" s="27"/>
      <x:c r="AB159" s="27"/>
      <x:c r="AC159" s="27"/>
      <x:c r="AD159" s="27"/>
      <x:c r="AE159" s="27"/>
      <x:c r="AF159" s="27"/>
      <x:c r="AG159" s="27"/>
      <x:c r="AH159" s="27"/>
      <x:c r="AI159" s="27"/>
      <x:c r="AJ159" s="27"/>
      <x:c r="AK159" s="27"/>
      <x:c r="AL159" s="27"/>
      <x:c r="AM159" s="27"/>
      <x:c r="AN159" s="27"/>
      <x:c r="AO159" s="27"/>
      <x:c r="AP159" s="27"/>
      <x:c r="AQ159" s="27"/>
      <x:c r="AR159" s="27"/>
      <x:c r="AS159" s="27"/>
      <x:c r="AT159" s="27"/>
      <x:c r="AU159" s="27"/>
      <x:c r="AV159" s="27"/>
      <x:c r="AW159" s="27"/>
      <x:c r="AX159" s="27"/>
      <x:c r="AY159" s="27"/>
      <x:c r="AZ159" s="27"/>
    </x:row>
    <x:row r="160">
      <x:c r="A160" s="27"/>
      <x:c r="B160" s="27"/>
      <x:c r="C160" s="27"/>
      <x:c r="D160" s="27"/>
      <x:c r="E160" s="27"/>
      <x:c r="F160" s="27"/>
      <x:c r="G160" s="27"/>
      <x:c r="H160" s="27"/>
      <x:c r="I160" s="27"/>
      <x:c r="J160" s="27"/>
      <x:c r="K160" s="27"/>
      <x:c r="L160" s="27"/>
      <x:c r="M160" s="27"/>
      <x:c r="N160" s="27"/>
      <x:c r="O160" s="27"/>
      <x:c r="P160" s="27"/>
      <x:c r="Q160" s="27"/>
      <x:c r="R160" s="27"/>
      <x:c r="S160" s="27"/>
      <x:c r="T160" s="27"/>
      <x:c r="U160" s="27"/>
      <x:c r="V160" s="27"/>
      <x:c r="W160" s="27"/>
      <x:c r="X160" s="27"/>
      <x:c r="Y160" s="27"/>
      <x:c r="Z160" s="27"/>
      <x:c r="AA160" s="27"/>
      <x:c r="AB160" s="27"/>
      <x:c r="AC160" s="27"/>
      <x:c r="AD160" s="27"/>
      <x:c r="AE160" s="27"/>
      <x:c r="AF160" s="27"/>
      <x:c r="AG160" s="27"/>
      <x:c r="AH160" s="27"/>
      <x:c r="AI160" s="27"/>
      <x:c r="AJ160" s="27"/>
      <x:c r="AK160" s="27"/>
      <x:c r="AL160" s="27"/>
      <x:c r="AM160" s="27"/>
      <x:c r="AN160" s="27"/>
      <x:c r="AO160" s="27"/>
      <x:c r="AP160" s="27"/>
      <x:c r="AQ160" s="27"/>
      <x:c r="AR160" s="27"/>
      <x:c r="AS160" s="27"/>
      <x:c r="AT160" s="27"/>
      <x:c r="AU160" s="27"/>
      <x:c r="AV160" s="27"/>
      <x:c r="AW160" s="27"/>
      <x:c r="AX160" s="27"/>
      <x:c r="AY160" s="27"/>
      <x:c r="AZ160" s="27"/>
    </x:row>
    <x:row r="161">
      <x:c r="A161" s="27"/>
      <x:c r="B161" s="27"/>
      <x:c r="C161" s="27"/>
      <x:c r="D161" s="27"/>
      <x:c r="E161" s="27"/>
      <x:c r="F161" s="27"/>
      <x:c r="G161" s="27"/>
      <x:c r="H161" s="27"/>
      <x:c r="I161" s="27"/>
      <x:c r="J161" s="27"/>
      <x:c r="K161" s="27"/>
      <x:c r="L161" s="27"/>
      <x:c r="M161" s="27"/>
      <x:c r="N161" s="27"/>
      <x:c r="O161" s="27"/>
      <x:c r="P161" s="27"/>
      <x:c r="Q161" s="27"/>
      <x:c r="R161" s="27"/>
      <x:c r="S161" s="27"/>
      <x:c r="T161" s="27"/>
      <x:c r="U161" s="27"/>
      <x:c r="V161" s="27"/>
      <x:c r="W161" s="27"/>
      <x:c r="X161" s="27"/>
      <x:c r="Y161" s="27"/>
      <x:c r="Z161" s="27"/>
      <x:c r="AA161" s="27"/>
      <x:c r="AB161" s="27"/>
      <x:c r="AC161" s="27"/>
      <x:c r="AD161" s="27"/>
      <x:c r="AE161" s="27"/>
      <x:c r="AF161" s="27"/>
      <x:c r="AG161" s="27"/>
      <x:c r="AH161" s="27"/>
      <x:c r="AI161" s="27"/>
      <x:c r="AJ161" s="27"/>
      <x:c r="AK161" s="27"/>
      <x:c r="AL161" s="27"/>
      <x:c r="AM161" s="27"/>
      <x:c r="AN161" s="27"/>
      <x:c r="AO161" s="27"/>
      <x:c r="AP161" s="27"/>
      <x:c r="AQ161" s="27"/>
      <x:c r="AR161" s="27"/>
      <x:c r="AS161" s="27"/>
      <x:c r="AT161" s="27"/>
      <x:c r="AU161" s="27"/>
      <x:c r="AV161" s="27"/>
      <x:c r="AW161" s="27"/>
      <x:c r="AX161" s="27"/>
      <x:c r="AY161" s="27"/>
      <x:c r="AZ161" s="27"/>
    </x:row>
    <x:row r="162">
      <x:c r="A162" s="27"/>
      <x:c r="B162" s="27"/>
      <x:c r="C162" s="27"/>
      <x:c r="D162" s="27"/>
      <x:c r="E162" s="27"/>
      <x:c r="F162" s="27"/>
      <x:c r="G162" s="27"/>
      <x:c r="H162" s="27"/>
      <x:c r="I162" s="27"/>
      <x:c r="J162" s="27"/>
      <x:c r="K162" s="27"/>
      <x:c r="L162" s="27"/>
      <x:c r="M162" s="27"/>
      <x:c r="N162" s="27"/>
      <x:c r="O162" s="27"/>
      <x:c r="P162" s="27"/>
      <x:c r="Q162" s="27"/>
      <x:c r="R162" s="27"/>
      <x:c r="S162" s="27"/>
      <x:c r="T162" s="27"/>
      <x:c r="U162" s="27"/>
      <x:c r="V162" s="27"/>
      <x:c r="W162" s="27"/>
      <x:c r="X162" s="27"/>
      <x:c r="Y162" s="27"/>
      <x:c r="Z162" s="27"/>
      <x:c r="AA162" s="27"/>
      <x:c r="AB162" s="27"/>
      <x:c r="AC162" s="27"/>
      <x:c r="AD162" s="27"/>
      <x:c r="AE162" s="27"/>
      <x:c r="AF162" s="27"/>
      <x:c r="AG162" s="27"/>
      <x:c r="AH162" s="27"/>
      <x:c r="AI162" s="27"/>
      <x:c r="AJ162" s="27"/>
      <x:c r="AK162" s="27"/>
      <x:c r="AL162" s="27"/>
      <x:c r="AM162" s="27"/>
      <x:c r="AN162" s="27"/>
      <x:c r="AO162" s="27"/>
      <x:c r="AP162" s="27"/>
      <x:c r="AQ162" s="27"/>
      <x:c r="AR162" s="27"/>
      <x:c r="AS162" s="27"/>
      <x:c r="AT162" s="27"/>
      <x:c r="AU162" s="27"/>
      <x:c r="AV162" s="27"/>
      <x:c r="AW162" s="27"/>
      <x:c r="AX162" s="27"/>
      <x:c r="AY162" s="27"/>
      <x:c r="AZ162" s="27"/>
    </x:row>
    <x:row r="163">
      <x:c r="A163" s="27"/>
      <x:c r="B163" s="27"/>
      <x:c r="C163" s="27"/>
      <x:c r="D163" s="27"/>
      <x:c r="E163" s="27"/>
      <x:c r="F163" s="27"/>
      <x:c r="G163" s="27"/>
      <x:c r="H163" s="27"/>
      <x:c r="I163" s="27"/>
      <x:c r="J163" s="27"/>
      <x:c r="K163" s="27"/>
      <x:c r="L163" s="27"/>
      <x:c r="M163" s="27"/>
      <x:c r="N163" s="27"/>
      <x:c r="O163" s="27"/>
      <x:c r="P163" s="27"/>
      <x:c r="Q163" s="27"/>
      <x:c r="R163" s="27"/>
      <x:c r="S163" s="27"/>
      <x:c r="T163" s="27"/>
      <x:c r="U163" s="27"/>
      <x:c r="V163" s="27"/>
      <x:c r="W163" s="27"/>
      <x:c r="X163" s="27"/>
      <x:c r="Y163" s="27"/>
      <x:c r="Z163" s="27"/>
      <x:c r="AA163" s="27"/>
      <x:c r="AB163" s="27"/>
      <x:c r="AC163" s="27"/>
      <x:c r="AD163" s="27"/>
      <x:c r="AE163" s="27"/>
      <x:c r="AF163" s="27"/>
      <x:c r="AG163" s="27"/>
      <x:c r="AH163" s="27"/>
      <x:c r="AI163" s="27"/>
      <x:c r="AJ163" s="27"/>
      <x:c r="AK163" s="27"/>
      <x:c r="AL163" s="27"/>
      <x:c r="AM163" s="27"/>
      <x:c r="AN163" s="27"/>
      <x:c r="AO163" s="27"/>
      <x:c r="AP163" s="27"/>
      <x:c r="AQ163" s="27"/>
      <x:c r="AR163" s="27"/>
      <x:c r="AS163" s="27"/>
      <x:c r="AT163" s="27"/>
      <x:c r="AU163" s="27"/>
      <x:c r="AV163" s="27"/>
      <x:c r="AW163" s="27"/>
      <x:c r="AX163" s="27"/>
      <x:c r="AY163" s="27"/>
      <x:c r="AZ163" s="27"/>
    </x:row>
    <x:row r="164">
      <x:c r="A164" s="27"/>
      <x:c r="B164" s="27"/>
      <x:c r="C164" s="27"/>
      <x:c r="D164" s="27"/>
      <x:c r="E164" s="27"/>
      <x:c r="F164" s="27"/>
      <x:c r="G164" s="27"/>
      <x:c r="H164" s="27"/>
      <x:c r="I164" s="27"/>
      <x:c r="J164" s="27"/>
      <x:c r="K164" s="27"/>
      <x:c r="L164" s="27"/>
      <x:c r="M164" s="27"/>
      <x:c r="N164" s="27"/>
      <x:c r="O164" s="27"/>
      <x:c r="P164" s="27"/>
      <x:c r="Q164" s="27"/>
      <x:c r="R164" s="27"/>
      <x:c r="S164" s="27"/>
      <x:c r="T164" s="27"/>
      <x:c r="U164" s="27"/>
      <x:c r="V164" s="27"/>
      <x:c r="W164" s="27"/>
      <x:c r="X164" s="27"/>
      <x:c r="Y164" s="27"/>
      <x:c r="Z164" s="27"/>
      <x:c r="AA164" s="27"/>
      <x:c r="AB164" s="27"/>
      <x:c r="AC164" s="27"/>
      <x:c r="AD164" s="27"/>
      <x:c r="AE164" s="27"/>
      <x:c r="AF164" s="27"/>
      <x:c r="AG164" s="27"/>
      <x:c r="AH164" s="27"/>
      <x:c r="AI164" s="27"/>
      <x:c r="AJ164" s="27"/>
      <x:c r="AK164" s="27"/>
      <x:c r="AL164" s="27"/>
      <x:c r="AM164" s="27"/>
      <x:c r="AN164" s="27"/>
      <x:c r="AO164" s="27"/>
      <x:c r="AP164" s="27"/>
      <x:c r="AQ164" s="27"/>
      <x:c r="AR164" s="27"/>
      <x:c r="AS164" s="27"/>
      <x:c r="AT164" s="27"/>
      <x:c r="AU164" s="27"/>
      <x:c r="AV164" s="27"/>
      <x:c r="AW164" s="27"/>
      <x:c r="AX164" s="27"/>
      <x:c r="AY164" s="27"/>
      <x:c r="AZ164" s="27"/>
    </x:row>
    <x:row r="165">
      <x:c r="A165" s="27"/>
      <x:c r="B165" s="27"/>
      <x:c r="C165" s="27"/>
      <x:c r="D165" s="27"/>
      <x:c r="E165" s="27"/>
      <x:c r="F165" s="27"/>
      <x:c r="G165" s="27"/>
      <x:c r="H165" s="27"/>
      <x:c r="I165" s="27"/>
      <x:c r="J165" s="27"/>
      <x:c r="K165" s="27"/>
      <x:c r="L165" s="27"/>
      <x:c r="M165" s="27"/>
      <x:c r="N165" s="27"/>
      <x:c r="O165" s="27"/>
      <x:c r="P165" s="27"/>
      <x:c r="Q165" s="27"/>
      <x:c r="R165" s="27"/>
      <x:c r="S165" s="27"/>
      <x:c r="T165" s="27"/>
      <x:c r="U165" s="27"/>
      <x:c r="V165" s="27"/>
      <x:c r="W165" s="27"/>
      <x:c r="X165" s="27"/>
      <x:c r="Y165" s="27"/>
      <x:c r="Z165" s="27"/>
      <x:c r="AA165" s="27"/>
      <x:c r="AB165" s="27"/>
      <x:c r="AC165" s="27"/>
      <x:c r="AD165" s="27"/>
      <x:c r="AE165" s="27"/>
      <x:c r="AF165" s="27"/>
      <x:c r="AG165" s="27"/>
      <x:c r="AH165" s="27"/>
      <x:c r="AI165" s="27"/>
      <x:c r="AJ165" s="27"/>
      <x:c r="AK165" s="27"/>
      <x:c r="AL165" s="27"/>
      <x:c r="AM165" s="27"/>
      <x:c r="AN165" s="27"/>
      <x:c r="AO165" s="27"/>
      <x:c r="AP165" s="27"/>
      <x:c r="AQ165" s="27"/>
      <x:c r="AR165" s="27"/>
      <x:c r="AS165" s="27"/>
      <x:c r="AT165" s="27"/>
      <x:c r="AU165" s="27"/>
      <x:c r="AV165" s="27"/>
      <x:c r="AW165" s="27"/>
      <x:c r="AX165" s="27"/>
      <x:c r="AY165" s="27"/>
      <x:c r="AZ165" s="27"/>
    </x:row>
    <x:row r="166">
      <x:c r="A166" s="27"/>
      <x:c r="B166" s="27"/>
      <x:c r="C166" s="27"/>
      <x:c r="D166" s="27"/>
      <x:c r="E166" s="27"/>
      <x:c r="F166" s="27"/>
      <x:c r="G166" s="27"/>
      <x:c r="H166" s="27"/>
      <x:c r="I166" s="27"/>
      <x:c r="J166" s="27"/>
      <x:c r="K166" s="27"/>
      <x:c r="L166" s="27"/>
      <x:c r="M166" s="27"/>
      <x:c r="N166" s="27"/>
      <x:c r="O166" s="27"/>
      <x:c r="P166" s="27"/>
      <x:c r="Q166" s="27"/>
      <x:c r="R166" s="27"/>
      <x:c r="S166" s="27"/>
      <x:c r="T166" s="27"/>
      <x:c r="U166" s="27"/>
      <x:c r="V166" s="27"/>
      <x:c r="W166" s="27"/>
      <x:c r="X166" s="27"/>
      <x:c r="Y166" s="27"/>
      <x:c r="Z166" s="27"/>
      <x:c r="AA166" s="27"/>
      <x:c r="AB166" s="27"/>
      <x:c r="AC166" s="27"/>
      <x:c r="AD166" s="27"/>
      <x:c r="AE166" s="27"/>
      <x:c r="AF166" s="27"/>
      <x:c r="AG166" s="27"/>
      <x:c r="AH166" s="27"/>
      <x:c r="AI166" s="27"/>
      <x:c r="AJ166" s="27"/>
      <x:c r="AK166" s="27"/>
      <x:c r="AL166" s="27"/>
      <x:c r="AM166" s="27"/>
      <x:c r="AN166" s="27"/>
      <x:c r="AO166" s="27"/>
      <x:c r="AP166" s="27"/>
      <x:c r="AQ166" s="27"/>
      <x:c r="AR166" s="27"/>
      <x:c r="AS166" s="27"/>
      <x:c r="AT166" s="27"/>
      <x:c r="AU166" s="27"/>
      <x:c r="AV166" s="27"/>
      <x:c r="AW166" s="27"/>
      <x:c r="AX166" s="27"/>
      <x:c r="AY166" s="27"/>
      <x:c r="AZ166" s="27"/>
    </x:row>
    <x:row r="167">
      <x:c r="A167" s="27"/>
      <x:c r="B167" s="27"/>
      <x:c r="C167" s="27"/>
      <x:c r="D167" s="27"/>
      <x:c r="E167" s="27"/>
      <x:c r="F167" s="27"/>
      <x:c r="G167" s="27"/>
      <x:c r="H167" s="27"/>
      <x:c r="I167" s="27"/>
      <x:c r="J167" s="27"/>
      <x:c r="K167" s="27"/>
      <x:c r="L167" s="27"/>
      <x:c r="M167" s="27"/>
      <x:c r="N167" s="27"/>
      <x:c r="O167" s="27"/>
      <x:c r="P167" s="27"/>
      <x:c r="Q167" s="27"/>
      <x:c r="R167" s="27"/>
      <x:c r="S167" s="27"/>
      <x:c r="T167" s="27"/>
      <x:c r="U167" s="27"/>
      <x:c r="V167" s="27"/>
      <x:c r="W167" s="27"/>
      <x:c r="X167" s="27"/>
      <x:c r="Y167" s="27"/>
      <x:c r="Z167" s="27"/>
      <x:c r="AA167" s="27"/>
      <x:c r="AB167" s="27"/>
      <x:c r="AC167" s="27"/>
      <x:c r="AD167" s="27"/>
      <x:c r="AE167" s="27"/>
      <x:c r="AF167" s="27"/>
      <x:c r="AG167" s="27"/>
      <x:c r="AH167" s="27"/>
      <x:c r="AI167" s="27"/>
      <x:c r="AJ167" s="27"/>
      <x:c r="AK167" s="27"/>
      <x:c r="AL167" s="27"/>
      <x:c r="AM167" s="27"/>
      <x:c r="AN167" s="27"/>
      <x:c r="AO167" s="27"/>
      <x:c r="AP167" s="27"/>
      <x:c r="AQ167" s="27"/>
      <x:c r="AR167" s="27"/>
      <x:c r="AS167" s="27"/>
      <x:c r="AT167" s="27"/>
      <x:c r="AU167" s="27"/>
      <x:c r="AV167" s="27"/>
      <x:c r="AW167" s="27"/>
      <x:c r="AX167" s="27"/>
      <x:c r="AY167" s="27"/>
      <x:c r="AZ167" s="27"/>
    </x:row>
    <x:row r="168">
      <x:c r="A168" s="27"/>
      <x:c r="B168" s="27"/>
      <x:c r="C168" s="27"/>
      <x:c r="D168" s="27"/>
      <x:c r="E168" s="27"/>
      <x:c r="F168" s="27"/>
      <x:c r="G168" s="27"/>
      <x:c r="H168" s="27"/>
      <x:c r="I168" s="27"/>
      <x:c r="J168" s="27"/>
      <x:c r="K168" s="27"/>
      <x:c r="L168" s="27"/>
      <x:c r="M168" s="27"/>
      <x:c r="N168" s="27"/>
      <x:c r="O168" s="27"/>
      <x:c r="P168" s="27"/>
      <x:c r="Q168" s="27"/>
      <x:c r="R168" s="27"/>
      <x:c r="S168" s="27"/>
      <x:c r="T168" s="27"/>
      <x:c r="U168" s="27"/>
      <x:c r="V168" s="27"/>
      <x:c r="W168" s="27"/>
      <x:c r="X168" s="27"/>
      <x:c r="Y168" s="27"/>
      <x:c r="Z168" s="27"/>
      <x:c r="AA168" s="27"/>
      <x:c r="AB168" s="27"/>
      <x:c r="AC168" s="27"/>
      <x:c r="AD168" s="27"/>
      <x:c r="AE168" s="27"/>
      <x:c r="AF168" s="27"/>
      <x:c r="AG168" s="27"/>
      <x:c r="AH168" s="27"/>
      <x:c r="AI168" s="27"/>
      <x:c r="AJ168" s="27"/>
      <x:c r="AK168" s="27"/>
      <x:c r="AL168" s="27"/>
      <x:c r="AM168" s="27"/>
      <x:c r="AN168" s="27"/>
      <x:c r="AO168" s="27"/>
      <x:c r="AP168" s="27"/>
      <x:c r="AQ168" s="27"/>
      <x:c r="AR168" s="27"/>
      <x:c r="AS168" s="27"/>
      <x:c r="AT168" s="27"/>
      <x:c r="AU168" s="27"/>
      <x:c r="AV168" s="27"/>
      <x:c r="AW168" s="27"/>
      <x:c r="AX168" s="27"/>
      <x:c r="AY168" s="27"/>
      <x:c r="AZ168" s="27"/>
    </x:row>
    <x:row r="169">
      <x:c r="A169" s="27"/>
      <x:c r="B169" s="27"/>
      <x:c r="C169" s="27"/>
      <x:c r="D169" s="27"/>
      <x:c r="E169" s="27"/>
      <x:c r="F169" s="27"/>
      <x:c r="G169" s="27"/>
      <x:c r="H169" s="27"/>
      <x:c r="I169" s="27"/>
      <x:c r="J169" s="27"/>
      <x:c r="K169" s="27"/>
      <x:c r="L169" s="27"/>
      <x:c r="M169" s="27"/>
      <x:c r="N169" s="27"/>
      <x:c r="O169" s="27"/>
      <x:c r="P169" s="27"/>
      <x:c r="Q169" s="27"/>
      <x:c r="R169" s="27"/>
      <x:c r="S169" s="27"/>
      <x:c r="T169" s="27"/>
      <x:c r="U169" s="27"/>
      <x:c r="V169" s="27"/>
      <x:c r="W169" s="27"/>
      <x:c r="X169" s="27"/>
      <x:c r="Y169" s="27"/>
      <x:c r="Z169" s="27"/>
      <x:c r="AA169" s="27"/>
      <x:c r="AB169" s="27"/>
      <x:c r="AC169" s="27"/>
      <x:c r="AD169" s="27"/>
      <x:c r="AE169" s="27"/>
      <x:c r="AF169" s="27"/>
      <x:c r="AG169" s="27"/>
      <x:c r="AH169" s="27"/>
      <x:c r="AI169" s="27"/>
      <x:c r="AJ169" s="27"/>
      <x:c r="AK169" s="27"/>
      <x:c r="AL169" s="27"/>
      <x:c r="AM169" s="27"/>
      <x:c r="AN169" s="27"/>
      <x:c r="AO169" s="27"/>
      <x:c r="AP169" s="27"/>
      <x:c r="AQ169" s="27"/>
      <x:c r="AR169" s="27"/>
      <x:c r="AS169" s="27"/>
      <x:c r="AT169" s="27"/>
      <x:c r="AU169" s="27"/>
      <x:c r="AV169" s="27"/>
      <x:c r="AW169" s="27"/>
      <x:c r="AX169" s="27"/>
      <x:c r="AY169" s="27"/>
      <x:c r="AZ169" s="27"/>
    </x:row>
    <x:row r="170">
      <x:c r="A170" s="27"/>
      <x:c r="B170" s="27"/>
      <x:c r="C170" s="27"/>
      <x:c r="D170" s="27"/>
      <x:c r="E170" s="27"/>
      <x:c r="F170" s="27"/>
      <x:c r="G170" s="27"/>
      <x:c r="H170" s="27"/>
      <x:c r="I170" s="27"/>
      <x:c r="J170" s="27"/>
      <x:c r="K170" s="27"/>
      <x:c r="L170" s="27"/>
      <x:c r="M170" s="27"/>
      <x:c r="N170" s="27"/>
      <x:c r="O170" s="27"/>
      <x:c r="P170" s="27"/>
      <x:c r="Q170" s="27"/>
      <x:c r="R170" s="27"/>
      <x:c r="S170" s="27"/>
      <x:c r="T170" s="27"/>
      <x:c r="U170" s="27"/>
      <x:c r="V170" s="27"/>
      <x:c r="W170" s="27"/>
      <x:c r="X170" s="27"/>
      <x:c r="Y170" s="27"/>
      <x:c r="Z170" s="27"/>
      <x:c r="AA170" s="27"/>
      <x:c r="AB170" s="27"/>
      <x:c r="AC170" s="27"/>
      <x:c r="AD170" s="27"/>
      <x:c r="AE170" s="27"/>
      <x:c r="AF170" s="27"/>
      <x:c r="AG170" s="27"/>
      <x:c r="AH170" s="27"/>
      <x:c r="AI170" s="27"/>
      <x:c r="AJ170" s="27"/>
      <x:c r="AK170" s="27"/>
      <x:c r="AL170" s="27"/>
      <x:c r="AM170" s="27"/>
      <x:c r="AN170" s="27"/>
      <x:c r="AO170" s="27"/>
      <x:c r="AP170" s="27"/>
      <x:c r="AQ170" s="27"/>
      <x:c r="AR170" s="27"/>
      <x:c r="AS170" s="27"/>
      <x:c r="AT170" s="27"/>
      <x:c r="AU170" s="27"/>
      <x:c r="AV170" s="27"/>
      <x:c r="AW170" s="27"/>
      <x:c r="AX170" s="27"/>
      <x:c r="AY170" s="27"/>
      <x:c r="AZ170" s="27"/>
    </x:row>
    <x:row r="171">
      <x:c r="A171" s="27"/>
      <x:c r="B171" s="27"/>
      <x:c r="C171" s="27"/>
      <x:c r="D171" s="27"/>
      <x:c r="E171" s="27"/>
      <x:c r="F171" s="27"/>
      <x:c r="G171" s="27"/>
      <x:c r="H171" s="27"/>
      <x:c r="I171" s="27"/>
      <x:c r="J171" s="27"/>
      <x:c r="K171" s="27"/>
      <x:c r="L171" s="27"/>
      <x:c r="M171" s="27"/>
      <x:c r="N171" s="27"/>
      <x:c r="O171" s="27"/>
      <x:c r="P171" s="27"/>
      <x:c r="Q171" s="27"/>
      <x:c r="R171" s="27"/>
      <x:c r="S171" s="27"/>
      <x:c r="T171" s="27"/>
      <x:c r="U171" s="27"/>
      <x:c r="V171" s="27"/>
      <x:c r="W171" s="27"/>
      <x:c r="X171" s="27"/>
      <x:c r="Y171" s="27"/>
      <x:c r="Z171" s="27"/>
      <x:c r="AA171" s="27"/>
      <x:c r="AB171" s="27"/>
      <x:c r="AC171" s="27"/>
      <x:c r="AD171" s="27"/>
      <x:c r="AE171" s="27"/>
      <x:c r="AF171" s="27"/>
      <x:c r="AG171" s="27"/>
      <x:c r="AH171" s="27"/>
      <x:c r="AI171" s="27"/>
      <x:c r="AJ171" s="27"/>
      <x:c r="AK171" s="27"/>
      <x:c r="AL171" s="27"/>
      <x:c r="AM171" s="27"/>
      <x:c r="AN171" s="27"/>
      <x:c r="AO171" s="27"/>
      <x:c r="AP171" s="27"/>
      <x:c r="AQ171" s="27"/>
      <x:c r="AR171" s="27"/>
      <x:c r="AS171" s="27"/>
      <x:c r="AT171" s="27"/>
      <x:c r="AU171" s="27"/>
      <x:c r="AV171" s="27"/>
      <x:c r="AW171" s="27"/>
      <x:c r="AX171" s="27"/>
      <x:c r="AY171" s="27"/>
      <x:c r="AZ171" s="27"/>
    </x:row>
    <x:row r="172">
      <x:c r="A172" s="27"/>
      <x:c r="B172" s="27"/>
      <x:c r="C172" s="27"/>
      <x:c r="D172" s="27"/>
      <x:c r="E172" s="27"/>
      <x:c r="F172" s="27"/>
      <x:c r="G172" s="27"/>
      <x:c r="H172" s="27"/>
      <x:c r="I172" s="27"/>
      <x:c r="J172" s="27"/>
      <x:c r="K172" s="27"/>
      <x:c r="L172" s="27"/>
      <x:c r="M172" s="27"/>
      <x:c r="N172" s="27"/>
      <x:c r="O172" s="27"/>
      <x:c r="P172" s="27"/>
      <x:c r="Q172" s="27"/>
      <x:c r="R172" s="27"/>
      <x:c r="S172" s="27"/>
      <x:c r="T172" s="27"/>
      <x:c r="U172" s="27"/>
      <x:c r="V172" s="27"/>
      <x:c r="W172" s="27"/>
      <x:c r="X172" s="27"/>
      <x:c r="Y172" s="27"/>
      <x:c r="Z172" s="27"/>
      <x:c r="AA172" s="27"/>
      <x:c r="AB172" s="27"/>
      <x:c r="AC172" s="27"/>
      <x:c r="AD172" s="27"/>
      <x:c r="AE172" s="27"/>
      <x:c r="AF172" s="27"/>
      <x:c r="AG172" s="27"/>
      <x:c r="AH172" s="27"/>
      <x:c r="AI172" s="27"/>
      <x:c r="AJ172" s="27"/>
      <x:c r="AK172" s="27"/>
      <x:c r="AL172" s="27"/>
      <x:c r="AM172" s="27"/>
      <x:c r="AN172" s="27"/>
      <x:c r="AO172" s="27"/>
      <x:c r="AP172" s="27"/>
      <x:c r="AQ172" s="27"/>
      <x:c r="AR172" s="27"/>
      <x:c r="AS172" s="27"/>
      <x:c r="AT172" s="27"/>
      <x:c r="AU172" s="27"/>
      <x:c r="AV172" s="27"/>
      <x:c r="AW172" s="27"/>
      <x:c r="AX172" s="27"/>
      <x:c r="AY172" s="27"/>
      <x:c r="AZ172" s="27"/>
    </x:row>
    <x:row r="173">
      <x:c r="A173" s="27"/>
      <x:c r="B173" s="27"/>
      <x:c r="C173" s="27"/>
      <x:c r="D173" s="27"/>
      <x:c r="E173" s="27"/>
      <x:c r="F173" s="27"/>
      <x:c r="G173" s="27"/>
      <x:c r="H173" s="27"/>
      <x:c r="I173" s="27"/>
      <x:c r="J173" s="27"/>
      <x:c r="K173" s="27"/>
      <x:c r="L173" s="27"/>
      <x:c r="M173" s="27"/>
      <x:c r="N173" s="27"/>
      <x:c r="O173" s="27"/>
      <x:c r="P173" s="27"/>
      <x:c r="Q173" s="27"/>
      <x:c r="R173" s="27"/>
      <x:c r="S173" s="27"/>
      <x:c r="T173" s="27"/>
      <x:c r="U173" s="27"/>
      <x:c r="V173" s="27"/>
      <x:c r="W173" s="27"/>
      <x:c r="X173" s="27"/>
      <x:c r="Y173" s="27"/>
      <x:c r="Z173" s="27"/>
      <x:c r="AA173" s="27"/>
      <x:c r="AB173" s="27"/>
      <x:c r="AC173" s="27"/>
      <x:c r="AD173" s="27"/>
      <x:c r="AE173" s="27"/>
      <x:c r="AF173" s="27"/>
      <x:c r="AG173" s="27"/>
      <x:c r="AH173" s="27"/>
      <x:c r="AI173" s="27"/>
      <x:c r="AJ173" s="27"/>
      <x:c r="AK173" s="27"/>
      <x:c r="AL173" s="27"/>
      <x:c r="AM173" s="27"/>
      <x:c r="AN173" s="27"/>
      <x:c r="AO173" s="27"/>
      <x:c r="AP173" s="27"/>
      <x:c r="AQ173" s="27"/>
      <x:c r="AR173" s="27"/>
      <x:c r="AS173" s="27"/>
      <x:c r="AT173" s="27"/>
      <x:c r="AU173" s="27"/>
      <x:c r="AV173" s="27"/>
      <x:c r="AW173" s="27"/>
      <x:c r="AX173" s="27"/>
      <x:c r="AY173" s="27"/>
      <x:c r="AZ173" s="27"/>
    </x:row>
    <x:row r="174">
      <x:c r="A174" s="27"/>
      <x:c r="B174" s="27"/>
      <x:c r="C174" s="27"/>
      <x:c r="D174" s="27"/>
      <x:c r="E174" s="27"/>
      <x:c r="F174" s="27"/>
      <x:c r="G174" s="27"/>
      <x:c r="H174" s="27"/>
      <x:c r="I174" s="27"/>
      <x:c r="J174" s="27"/>
      <x:c r="K174" s="27"/>
      <x:c r="L174" s="27"/>
      <x:c r="M174" s="27"/>
      <x:c r="N174" s="27"/>
      <x:c r="O174" s="27"/>
      <x:c r="P174" s="27"/>
      <x:c r="Q174" s="27"/>
      <x:c r="R174" s="27"/>
      <x:c r="S174" s="27"/>
      <x:c r="T174" s="27"/>
      <x:c r="U174" s="27"/>
      <x:c r="V174" s="27"/>
      <x:c r="W174" s="27"/>
      <x:c r="X174" s="27"/>
      <x:c r="Y174" s="27"/>
      <x:c r="Z174" s="27"/>
      <x:c r="AA174" s="27"/>
      <x:c r="AB174" s="27"/>
      <x:c r="AC174" s="27"/>
      <x:c r="AD174" s="27"/>
      <x:c r="AE174" s="27"/>
      <x:c r="AF174" s="27"/>
      <x:c r="AG174" s="27"/>
      <x:c r="AH174" s="27"/>
      <x:c r="AI174" s="27"/>
      <x:c r="AJ174" s="27"/>
      <x:c r="AK174" s="27"/>
      <x:c r="AL174" s="27"/>
      <x:c r="AM174" s="27"/>
      <x:c r="AN174" s="27"/>
      <x:c r="AO174" s="27"/>
      <x:c r="AP174" s="27"/>
      <x:c r="AQ174" s="27"/>
      <x:c r="AR174" s="27"/>
      <x:c r="AS174" s="27"/>
      <x:c r="AT174" s="27"/>
      <x:c r="AU174" s="27"/>
      <x:c r="AV174" s="27"/>
      <x:c r="AW174" s="27"/>
      <x:c r="AX174" s="27"/>
      <x:c r="AY174" s="27"/>
      <x:c r="AZ174" s="27"/>
    </x:row>
    <x:row r="175">
      <x:c r="A175" s="27"/>
      <x:c r="B175" s="27"/>
      <x:c r="C175" s="27"/>
      <x:c r="D175" s="27"/>
      <x:c r="E175" s="27"/>
      <x:c r="F175" s="27"/>
      <x:c r="G175" s="27"/>
      <x:c r="H175" s="27"/>
      <x:c r="I175" s="27"/>
      <x:c r="J175" s="27"/>
      <x:c r="K175" s="27"/>
      <x:c r="L175" s="27"/>
      <x:c r="M175" s="27"/>
      <x:c r="N175" s="27"/>
      <x:c r="O175" s="27"/>
      <x:c r="P175" s="27"/>
      <x:c r="Q175" s="27"/>
      <x:c r="R175" s="27"/>
      <x:c r="S175" s="27"/>
      <x:c r="T175" s="27"/>
      <x:c r="U175" s="27"/>
      <x:c r="V175" s="27"/>
      <x:c r="W175" s="27"/>
      <x:c r="X175" s="27"/>
      <x:c r="Y175" s="27"/>
      <x:c r="Z175" s="27"/>
      <x:c r="AA175" s="27"/>
      <x:c r="AB175" s="27"/>
      <x:c r="AC175" s="27"/>
      <x:c r="AD175" s="27"/>
      <x:c r="AE175" s="27"/>
      <x:c r="AF175" s="27"/>
      <x:c r="AG175" s="27"/>
      <x:c r="AH175" s="27"/>
      <x:c r="AI175" s="27"/>
      <x:c r="AJ175" s="27"/>
      <x:c r="AK175" s="27"/>
      <x:c r="AL175" s="27"/>
      <x:c r="AM175" s="27"/>
      <x:c r="AN175" s="27"/>
      <x:c r="AO175" s="27"/>
      <x:c r="AP175" s="27"/>
      <x:c r="AQ175" s="27"/>
      <x:c r="AR175" s="27"/>
      <x:c r="AS175" s="27"/>
      <x:c r="AT175" s="27"/>
      <x:c r="AU175" s="27"/>
      <x:c r="AV175" s="27"/>
      <x:c r="AW175" s="27"/>
      <x:c r="AX175" s="27"/>
      <x:c r="AY175" s="27"/>
      <x:c r="AZ175" s="27"/>
    </x:row>
    <x:row r="176">
      <x:c r="A176" s="27"/>
      <x:c r="B176" s="27"/>
      <x:c r="C176" s="27"/>
      <x:c r="D176" s="27"/>
      <x:c r="E176" s="27"/>
      <x:c r="F176" s="27"/>
      <x:c r="G176" s="27"/>
      <x:c r="H176" s="27"/>
      <x:c r="I176" s="27"/>
      <x:c r="J176" s="27"/>
      <x:c r="K176" s="27"/>
      <x:c r="L176" s="27"/>
      <x:c r="M176" s="27"/>
      <x:c r="N176" s="27"/>
      <x:c r="O176" s="27"/>
      <x:c r="P176" s="27"/>
      <x:c r="Q176" s="27"/>
      <x:c r="R176" s="27"/>
      <x:c r="S176" s="27"/>
      <x:c r="T176" s="27"/>
      <x:c r="U176" s="27"/>
      <x:c r="V176" s="27"/>
      <x:c r="W176" s="27"/>
      <x:c r="X176" s="27"/>
      <x:c r="Y176" s="27"/>
      <x:c r="Z176" s="27"/>
      <x:c r="AA176" s="27"/>
      <x:c r="AB176" s="27"/>
      <x:c r="AC176" s="27"/>
      <x:c r="AD176" s="27"/>
      <x:c r="AE176" s="27"/>
      <x:c r="AF176" s="27"/>
      <x:c r="AG176" s="27"/>
      <x:c r="AH176" s="27"/>
      <x:c r="AI176" s="27"/>
      <x:c r="AJ176" s="27"/>
      <x:c r="AK176" s="27"/>
      <x:c r="AL176" s="27"/>
      <x:c r="AM176" s="27"/>
      <x:c r="AN176" s="27"/>
      <x:c r="AO176" s="27"/>
      <x:c r="AP176" s="27"/>
      <x:c r="AQ176" s="27"/>
      <x:c r="AR176" s="27"/>
      <x:c r="AS176" s="27"/>
      <x:c r="AT176" s="27"/>
      <x:c r="AU176" s="27"/>
      <x:c r="AV176" s="27"/>
      <x:c r="AW176" s="27"/>
      <x:c r="AX176" s="27"/>
      <x:c r="AY176" s="27"/>
      <x:c r="AZ176" s="27"/>
    </x:row>
    <x:row r="177">
      <x:c r="A177" s="27"/>
      <x:c r="B177" s="27"/>
      <x:c r="C177" s="27"/>
      <x:c r="D177" s="27"/>
      <x:c r="E177" s="27"/>
      <x:c r="F177" s="27"/>
      <x:c r="G177" s="27"/>
      <x:c r="H177" s="27"/>
      <x:c r="I177" s="27"/>
      <x:c r="J177" s="27"/>
      <x:c r="K177" s="27"/>
      <x:c r="L177" s="27"/>
      <x:c r="M177" s="27"/>
      <x:c r="N177" s="27"/>
      <x:c r="O177" s="27"/>
      <x:c r="P177" s="27"/>
      <x:c r="Q177" s="27"/>
      <x:c r="R177" s="27"/>
      <x:c r="S177" s="27"/>
      <x:c r="T177" s="27"/>
      <x:c r="U177" s="27"/>
      <x:c r="V177" s="27"/>
      <x:c r="W177" s="27"/>
      <x:c r="X177" s="27"/>
      <x:c r="Y177" s="27"/>
      <x:c r="Z177" s="27"/>
      <x:c r="AA177" s="27"/>
      <x:c r="AB177" s="27"/>
      <x:c r="AC177" s="27"/>
      <x:c r="AD177" s="27"/>
      <x:c r="AE177" s="27"/>
      <x:c r="AF177" s="27"/>
      <x:c r="AG177" s="27"/>
      <x:c r="AH177" s="27"/>
      <x:c r="AI177" s="27"/>
      <x:c r="AJ177" s="27"/>
      <x:c r="AK177" s="27"/>
      <x:c r="AL177" s="27"/>
      <x:c r="AM177" s="27"/>
      <x:c r="AN177" s="27"/>
      <x:c r="AO177" s="27"/>
      <x:c r="AP177" s="27"/>
      <x:c r="AQ177" s="27"/>
      <x:c r="AR177" s="27"/>
      <x:c r="AS177" s="27"/>
      <x:c r="AT177" s="27"/>
      <x:c r="AU177" s="27"/>
      <x:c r="AV177" s="27"/>
      <x:c r="AW177" s="27"/>
      <x:c r="AX177" s="27"/>
      <x:c r="AY177" s="27"/>
      <x:c r="AZ177" s="27"/>
    </x:row>
    <x:row r="178">
      <x:c r="A178" s="27"/>
      <x:c r="B178" s="27"/>
      <x:c r="C178" s="27"/>
      <x:c r="D178" s="27"/>
      <x:c r="E178" s="27"/>
      <x:c r="F178" s="27"/>
      <x:c r="G178" s="27"/>
      <x:c r="H178" s="27"/>
      <x:c r="I178" s="27"/>
      <x:c r="J178" s="27"/>
      <x:c r="K178" s="27"/>
      <x:c r="L178" s="27"/>
      <x:c r="M178" s="27"/>
      <x:c r="N178" s="27"/>
      <x:c r="O178" s="27"/>
      <x:c r="P178" s="27"/>
      <x:c r="Q178" s="27"/>
      <x:c r="R178" s="27"/>
      <x:c r="S178" s="27"/>
      <x:c r="T178" s="27"/>
      <x:c r="U178" s="27"/>
      <x:c r="V178" s="27"/>
      <x:c r="W178" s="27"/>
      <x:c r="X178" s="27"/>
      <x:c r="Y178" s="27"/>
      <x:c r="Z178" s="27"/>
      <x:c r="AA178" s="27"/>
      <x:c r="AB178" s="27"/>
      <x:c r="AC178" s="27"/>
      <x:c r="AD178" s="27"/>
      <x:c r="AE178" s="27"/>
      <x:c r="AF178" s="27"/>
      <x:c r="AG178" s="27"/>
      <x:c r="AH178" s="27"/>
      <x:c r="AI178" s="27"/>
      <x:c r="AJ178" s="27"/>
      <x:c r="AK178" s="27"/>
      <x:c r="AL178" s="27"/>
      <x:c r="AM178" s="27"/>
      <x:c r="AN178" s="27"/>
      <x:c r="AO178" s="27"/>
      <x:c r="AP178" s="27"/>
      <x:c r="AQ178" s="27"/>
      <x:c r="AR178" s="27"/>
      <x:c r="AS178" s="27"/>
      <x:c r="AT178" s="27"/>
      <x:c r="AU178" s="27"/>
      <x:c r="AV178" s="27"/>
      <x:c r="AW178" s="27"/>
      <x:c r="AX178" s="27"/>
      <x:c r="AY178" s="27"/>
      <x:c r="AZ178" s="27"/>
    </x:row>
    <x:row r="179">
      <x:c r="A179" s="27"/>
      <x:c r="B179" s="27"/>
      <x:c r="C179" s="27"/>
      <x:c r="D179" s="27"/>
      <x:c r="E179" s="27"/>
      <x:c r="F179" s="27"/>
      <x:c r="G179" s="27"/>
      <x:c r="H179" s="27"/>
      <x:c r="I179" s="27"/>
      <x:c r="J179" s="27"/>
      <x:c r="K179" s="27"/>
      <x:c r="L179" s="27"/>
      <x:c r="M179" s="27"/>
      <x:c r="N179" s="27"/>
      <x:c r="O179" s="27"/>
      <x:c r="P179" s="27"/>
      <x:c r="Q179" s="27"/>
      <x:c r="R179" s="27"/>
      <x:c r="S179" s="27"/>
      <x:c r="T179" s="27"/>
      <x:c r="U179" s="27"/>
      <x:c r="V179" s="27"/>
      <x:c r="W179" s="27"/>
      <x:c r="X179" s="27"/>
      <x:c r="Y179" s="27"/>
      <x:c r="Z179" s="27"/>
      <x:c r="AA179" s="27"/>
      <x:c r="AB179" s="27"/>
      <x:c r="AC179" s="27"/>
      <x:c r="AD179" s="27"/>
      <x:c r="AE179" s="27"/>
      <x:c r="AF179" s="27"/>
      <x:c r="AG179" s="27"/>
      <x:c r="AH179" s="27"/>
      <x:c r="AI179" s="27"/>
      <x:c r="AJ179" s="27"/>
      <x:c r="AK179" s="27"/>
      <x:c r="AL179" s="27"/>
      <x:c r="AM179" s="27"/>
      <x:c r="AN179" s="27"/>
      <x:c r="AO179" s="27"/>
      <x:c r="AP179" s="27"/>
      <x:c r="AQ179" s="27"/>
      <x:c r="AR179" s="27"/>
      <x:c r="AS179" s="27"/>
      <x:c r="AT179" s="27"/>
      <x:c r="AU179" s="27"/>
      <x:c r="AV179" s="27"/>
      <x:c r="AW179" s="27"/>
      <x:c r="AX179" s="27"/>
      <x:c r="AY179" s="27"/>
      <x:c r="AZ179" s="27"/>
    </x:row>
    <x:row r="180">
      <x:c r="A180" s="27"/>
      <x:c r="B180" s="27"/>
      <x:c r="C180" s="27"/>
      <x:c r="D180" s="27"/>
      <x:c r="E180" s="27"/>
      <x:c r="F180" s="27"/>
      <x:c r="G180" s="27"/>
      <x:c r="H180" s="27"/>
      <x:c r="I180" s="27"/>
      <x:c r="J180" s="27"/>
      <x:c r="K180" s="27"/>
      <x:c r="L180" s="27"/>
      <x:c r="M180" s="27"/>
      <x:c r="N180" s="27"/>
      <x:c r="O180" s="27"/>
      <x:c r="P180" s="27"/>
      <x:c r="Q180" s="27"/>
      <x:c r="R180" s="27"/>
      <x:c r="S180" s="27"/>
      <x:c r="T180" s="27"/>
      <x:c r="U180" s="27"/>
      <x:c r="V180" s="27"/>
      <x:c r="W180" s="27"/>
      <x:c r="X180" s="27"/>
      <x:c r="Y180" s="27"/>
      <x:c r="Z180" s="27"/>
      <x:c r="AA180" s="27"/>
      <x:c r="AB180" s="27"/>
      <x:c r="AC180" s="27"/>
      <x:c r="AD180" s="27"/>
      <x:c r="AE180" s="27"/>
      <x:c r="AF180" s="27"/>
      <x:c r="AG180" s="27"/>
      <x:c r="AH180" s="27"/>
      <x:c r="AI180" s="27"/>
      <x:c r="AJ180" s="27"/>
      <x:c r="AK180" s="27"/>
      <x:c r="AL180" s="27"/>
      <x:c r="AM180" s="27"/>
      <x:c r="AN180" s="27"/>
      <x:c r="AO180" s="27"/>
      <x:c r="AP180" s="27"/>
      <x:c r="AQ180" s="27"/>
      <x:c r="AR180" s="27"/>
      <x:c r="AS180" s="27"/>
      <x:c r="AT180" s="27"/>
      <x:c r="AU180" s="27"/>
      <x:c r="AV180" s="27"/>
      <x:c r="AW180" s="27"/>
      <x:c r="AX180" s="27"/>
      <x:c r="AY180" s="27"/>
      <x:c r="AZ180" s="27"/>
    </x:row>
    <x:row r="181">
      <x:c r="A181" s="27"/>
      <x:c r="B181" s="27"/>
      <x:c r="C181" s="27"/>
      <x:c r="D181" s="27"/>
      <x:c r="E181" s="27"/>
      <x:c r="F181" s="27"/>
      <x:c r="G181" s="27"/>
      <x:c r="H181" s="27"/>
      <x:c r="I181" s="27"/>
      <x:c r="J181" s="27"/>
      <x:c r="K181" s="27"/>
      <x:c r="L181" s="27"/>
      <x:c r="M181" s="27"/>
      <x:c r="N181" s="27"/>
      <x:c r="O181" s="27"/>
      <x:c r="P181" s="27"/>
      <x:c r="Q181" s="27"/>
      <x:c r="R181" s="27"/>
      <x:c r="S181" s="27"/>
      <x:c r="T181" s="27"/>
      <x:c r="U181" s="27"/>
      <x:c r="V181" s="27"/>
      <x:c r="W181" s="27"/>
      <x:c r="X181" s="27"/>
      <x:c r="Y181" s="27"/>
      <x:c r="Z181" s="27"/>
      <x:c r="AA181" s="27"/>
      <x:c r="AB181" s="27"/>
      <x:c r="AC181" s="27"/>
      <x:c r="AD181" s="27"/>
      <x:c r="AE181" s="27"/>
      <x:c r="AF181" s="27"/>
      <x:c r="AG181" s="27"/>
      <x:c r="AH181" s="27"/>
      <x:c r="AI181" s="27"/>
      <x:c r="AJ181" s="27"/>
      <x:c r="AK181" s="27"/>
      <x:c r="AL181" s="27"/>
      <x:c r="AM181" s="27"/>
      <x:c r="AN181" s="27"/>
      <x:c r="AO181" s="27"/>
      <x:c r="AP181" s="27"/>
      <x:c r="AQ181" s="27"/>
      <x:c r="AR181" s="27"/>
      <x:c r="AS181" s="27"/>
      <x:c r="AT181" s="27"/>
      <x:c r="AU181" s="27"/>
      <x:c r="AV181" s="27"/>
      <x:c r="AW181" s="27"/>
      <x:c r="AX181" s="27"/>
      <x:c r="AY181" s="27"/>
      <x:c r="AZ181" s="27"/>
    </x:row>
    <x:row r="182">
      <x:c r="A182" s="27"/>
      <x:c r="B182" s="27"/>
      <x:c r="C182" s="27"/>
      <x:c r="D182" s="27"/>
      <x:c r="E182" s="27"/>
      <x:c r="F182" s="27"/>
      <x:c r="G182" s="27"/>
      <x:c r="H182" s="27"/>
      <x:c r="I182" s="27"/>
      <x:c r="J182" s="27"/>
      <x:c r="K182" s="27"/>
      <x:c r="L182" s="27"/>
      <x:c r="M182" s="27"/>
      <x:c r="N182" s="27"/>
      <x:c r="O182" s="27"/>
      <x:c r="P182" s="27"/>
      <x:c r="Q182" s="27"/>
      <x:c r="R182" s="27"/>
      <x:c r="S182" s="27"/>
      <x:c r="T182" s="27"/>
      <x:c r="U182" s="27"/>
      <x:c r="V182" s="27"/>
      <x:c r="W182" s="27"/>
      <x:c r="X182" s="27"/>
      <x:c r="Y182" s="27"/>
      <x:c r="Z182" s="27"/>
      <x:c r="AA182" s="27"/>
      <x:c r="AB182" s="27"/>
      <x:c r="AC182" s="27"/>
      <x:c r="AD182" s="27"/>
      <x:c r="AE182" s="27"/>
      <x:c r="AF182" s="27"/>
      <x:c r="AG182" s="27"/>
      <x:c r="AH182" s="27"/>
      <x:c r="AI182" s="27"/>
      <x:c r="AJ182" s="27"/>
      <x:c r="AK182" s="27"/>
      <x:c r="AL182" s="27"/>
      <x:c r="AM182" s="27"/>
      <x:c r="AN182" s="27"/>
      <x:c r="AO182" s="27"/>
      <x:c r="AP182" s="27"/>
      <x:c r="AQ182" s="27"/>
      <x:c r="AR182" s="27"/>
      <x:c r="AS182" s="27"/>
      <x:c r="AT182" s="27"/>
      <x:c r="AU182" s="27"/>
      <x:c r="AV182" s="27"/>
      <x:c r="AW182" s="27"/>
      <x:c r="AX182" s="27"/>
      <x:c r="AY182" s="27"/>
      <x:c r="AZ182" s="27"/>
    </x:row>
    <x:row r="183">
      <x:c r="A183" s="27"/>
      <x:c r="B183" s="27"/>
      <x:c r="C183" s="27"/>
      <x:c r="D183" s="27"/>
      <x:c r="E183" s="27"/>
      <x:c r="F183" s="27"/>
      <x:c r="G183" s="27"/>
      <x:c r="H183" s="27"/>
      <x:c r="I183" s="27"/>
      <x:c r="J183" s="27"/>
      <x:c r="K183" s="27"/>
      <x:c r="L183" s="27"/>
      <x:c r="M183" s="27"/>
      <x:c r="N183" s="27"/>
      <x:c r="O183" s="27"/>
      <x:c r="P183" s="27"/>
      <x:c r="Q183" s="27"/>
      <x:c r="R183" s="27"/>
      <x:c r="S183" s="27"/>
      <x:c r="T183" s="27"/>
      <x:c r="U183" s="27"/>
      <x:c r="V183" s="27"/>
      <x:c r="W183" s="27"/>
      <x:c r="X183" s="27"/>
      <x:c r="Y183" s="27"/>
      <x:c r="Z183" s="27"/>
      <x:c r="AA183" s="27"/>
      <x:c r="AB183" s="27"/>
      <x:c r="AC183" s="27"/>
      <x:c r="AD183" s="27"/>
      <x:c r="AE183" s="27"/>
      <x:c r="AF183" s="27"/>
      <x:c r="AG183" s="27"/>
      <x:c r="AH183" s="27"/>
      <x:c r="AI183" s="27"/>
      <x:c r="AJ183" s="27"/>
      <x:c r="AK183" s="27"/>
      <x:c r="AL183" s="27"/>
      <x:c r="AM183" s="27"/>
      <x:c r="AN183" s="27"/>
      <x:c r="AO183" s="27"/>
      <x:c r="AP183" s="27"/>
      <x:c r="AQ183" s="27"/>
      <x:c r="AR183" s="27"/>
      <x:c r="AS183" s="27"/>
      <x:c r="AT183" s="27"/>
      <x:c r="AU183" s="27"/>
      <x:c r="AV183" s="27"/>
      <x:c r="AW183" s="27"/>
      <x:c r="AX183" s="27"/>
      <x:c r="AY183" s="27"/>
      <x:c r="AZ183" s="27"/>
    </x:row>
    <x:row r="184">
      <x:c r="A184" s="27"/>
      <x:c r="B184" s="27"/>
      <x:c r="C184" s="27"/>
      <x:c r="D184" s="27"/>
      <x:c r="E184" s="27"/>
      <x:c r="F184" s="27"/>
      <x:c r="G184" s="27"/>
      <x:c r="H184" s="27"/>
      <x:c r="I184" s="27"/>
      <x:c r="J184" s="27"/>
      <x:c r="K184" s="27"/>
      <x:c r="L184" s="27"/>
      <x:c r="M184" s="27"/>
      <x:c r="N184" s="27"/>
      <x:c r="O184" s="27"/>
      <x:c r="P184" s="27"/>
      <x:c r="Q184" s="27"/>
      <x:c r="R184" s="27"/>
      <x:c r="S184" s="27"/>
      <x:c r="T184" s="27"/>
      <x:c r="U184" s="27"/>
      <x:c r="V184" s="27"/>
      <x:c r="W184" s="27"/>
      <x:c r="X184" s="27"/>
      <x:c r="Y184" s="27"/>
      <x:c r="Z184" s="27"/>
      <x:c r="AA184" s="27"/>
      <x:c r="AB184" s="27"/>
      <x:c r="AC184" s="27"/>
      <x:c r="AD184" s="27"/>
      <x:c r="AE184" s="27"/>
      <x:c r="AF184" s="27"/>
      <x:c r="AG184" s="27"/>
      <x:c r="AH184" s="27"/>
      <x:c r="AI184" s="27"/>
      <x:c r="AJ184" s="27"/>
      <x:c r="AK184" s="27"/>
      <x:c r="AL184" s="27"/>
      <x:c r="AM184" s="27"/>
      <x:c r="AN184" s="27"/>
      <x:c r="AO184" s="27"/>
      <x:c r="AP184" s="27"/>
      <x:c r="AQ184" s="27"/>
      <x:c r="AR184" s="27"/>
      <x:c r="AS184" s="27"/>
      <x:c r="AT184" s="27"/>
      <x:c r="AU184" s="27"/>
      <x:c r="AV184" s="27"/>
      <x:c r="AW184" s="27"/>
      <x:c r="AX184" s="27"/>
      <x:c r="AY184" s="27"/>
      <x:c r="AZ184" s="27"/>
    </x:row>
    <x:row r="185">
      <x:c r="A185" s="27"/>
      <x:c r="B185" s="27"/>
      <x:c r="C185" s="27"/>
      <x:c r="D185" s="27"/>
      <x:c r="E185" s="27"/>
      <x:c r="F185" s="27"/>
      <x:c r="G185" s="27"/>
      <x:c r="H185" s="27"/>
      <x:c r="I185" s="27"/>
      <x:c r="J185" s="27"/>
      <x:c r="K185" s="27"/>
      <x:c r="L185" s="27"/>
      <x:c r="M185" s="27"/>
      <x:c r="N185" s="27"/>
      <x:c r="O185" s="27"/>
      <x:c r="P185" s="27"/>
      <x:c r="Q185" s="27"/>
      <x:c r="R185" s="27"/>
      <x:c r="S185" s="27"/>
      <x:c r="T185" s="27"/>
      <x:c r="U185" s="27"/>
      <x:c r="V185" s="27"/>
      <x:c r="W185" s="27"/>
      <x:c r="X185" s="27"/>
      <x:c r="Y185" s="27"/>
      <x:c r="Z185" s="27"/>
      <x:c r="AA185" s="27"/>
      <x:c r="AB185" s="27"/>
      <x:c r="AC185" s="27"/>
      <x:c r="AD185" s="27"/>
      <x:c r="AE185" s="27"/>
      <x:c r="AF185" s="27"/>
      <x:c r="AG185" s="27"/>
      <x:c r="AH185" s="27"/>
      <x:c r="AI185" s="27"/>
      <x:c r="AJ185" s="27"/>
      <x:c r="AK185" s="27"/>
      <x:c r="AL185" s="27"/>
      <x:c r="AM185" s="27"/>
      <x:c r="AN185" s="27"/>
      <x:c r="AO185" s="27"/>
      <x:c r="AP185" s="27"/>
      <x:c r="AQ185" s="27"/>
      <x:c r="AR185" s="27"/>
      <x:c r="AS185" s="27"/>
      <x:c r="AT185" s="27"/>
      <x:c r="AU185" s="27"/>
      <x:c r="AV185" s="27"/>
      <x:c r="AW185" s="27"/>
      <x:c r="AX185" s="27"/>
      <x:c r="AY185" s="27"/>
      <x:c r="AZ185" s="27"/>
    </x:row>
    <x:row r="186">
      <x:c r="A186" s="27"/>
      <x:c r="B186" s="27"/>
      <x:c r="C186" s="27"/>
      <x:c r="D186" s="27"/>
      <x:c r="E186" s="27"/>
      <x:c r="F186" s="27"/>
      <x:c r="G186" s="27"/>
      <x:c r="H186" s="27"/>
      <x:c r="I186" s="27"/>
      <x:c r="J186" s="27"/>
      <x:c r="K186" s="27"/>
      <x:c r="L186" s="27"/>
      <x:c r="M186" s="27"/>
      <x:c r="N186" s="27"/>
      <x:c r="O186" s="27"/>
      <x:c r="P186" s="27"/>
      <x:c r="Q186" s="27"/>
      <x:c r="R186" s="27"/>
      <x:c r="S186" s="27"/>
      <x:c r="T186" s="27"/>
      <x:c r="U186" s="27"/>
      <x:c r="V186" s="27"/>
      <x:c r="W186" s="27"/>
      <x:c r="X186" s="27"/>
      <x:c r="Y186" s="27"/>
      <x:c r="Z186" s="27"/>
      <x:c r="AA186" s="27"/>
      <x:c r="AB186" s="27"/>
      <x:c r="AC186" s="27"/>
      <x:c r="AD186" s="27"/>
      <x:c r="AE186" s="27"/>
      <x:c r="AF186" s="27"/>
      <x:c r="AG186" s="27"/>
      <x:c r="AH186" s="27"/>
      <x:c r="AI186" s="27"/>
      <x:c r="AJ186" s="27"/>
      <x:c r="AK186" s="27"/>
      <x:c r="AL186" s="27"/>
      <x:c r="AM186" s="27"/>
      <x:c r="AN186" s="27"/>
      <x:c r="AO186" s="27"/>
      <x:c r="AP186" s="27"/>
      <x:c r="AQ186" s="27"/>
      <x:c r="AR186" s="27"/>
      <x:c r="AS186" s="27"/>
      <x:c r="AT186" s="27"/>
      <x:c r="AU186" s="27"/>
      <x:c r="AV186" s="27"/>
      <x:c r="AW186" s="27"/>
      <x:c r="AX186" s="27"/>
      <x:c r="AY186" s="27"/>
      <x:c r="AZ186" s="27"/>
    </x:row>
    <x:row r="187">
      <x:c r="A187" s="27"/>
      <x:c r="B187" s="27"/>
      <x:c r="C187" s="27"/>
      <x:c r="D187" s="27"/>
      <x:c r="E187" s="27"/>
      <x:c r="F187" s="27"/>
      <x:c r="G187" s="27"/>
      <x:c r="H187" s="27"/>
      <x:c r="I187" s="27"/>
      <x:c r="J187" s="27"/>
      <x:c r="K187" s="27"/>
      <x:c r="L187" s="27"/>
      <x:c r="M187" s="27"/>
      <x:c r="N187" s="27"/>
      <x:c r="O187" s="27"/>
      <x:c r="P187" s="27"/>
      <x:c r="Q187" s="27"/>
      <x:c r="R187" s="27"/>
      <x:c r="S187" s="27"/>
      <x:c r="T187" s="27"/>
      <x:c r="U187" s="27"/>
      <x:c r="V187" s="27"/>
      <x:c r="W187" s="27"/>
      <x:c r="X187" s="27"/>
      <x:c r="Y187" s="27"/>
      <x:c r="Z187" s="27"/>
      <x:c r="AA187" s="27"/>
      <x:c r="AB187" s="27"/>
      <x:c r="AC187" s="27"/>
      <x:c r="AD187" s="27"/>
      <x:c r="AE187" s="27"/>
      <x:c r="AF187" s="27"/>
      <x:c r="AG187" s="27"/>
      <x:c r="AH187" s="27"/>
      <x:c r="AI187" s="27"/>
      <x:c r="AJ187" s="27"/>
      <x:c r="AK187" s="27"/>
      <x:c r="AL187" s="27"/>
      <x:c r="AM187" s="27"/>
      <x:c r="AN187" s="27"/>
      <x:c r="AO187" s="27"/>
      <x:c r="AP187" s="27"/>
      <x:c r="AQ187" s="27"/>
      <x:c r="AR187" s="27"/>
      <x:c r="AS187" s="27"/>
      <x:c r="AT187" s="27"/>
      <x:c r="AU187" s="27"/>
      <x:c r="AV187" s="27"/>
      <x:c r="AW187" s="27"/>
      <x:c r="AX187" s="27"/>
      <x:c r="AY187" s="27"/>
      <x:c r="AZ187" s="27"/>
    </x:row>
    <x:row r="188">
      <x:c r="A188" s="27"/>
      <x:c r="B188" s="27"/>
      <x:c r="C188" s="27"/>
      <x:c r="D188" s="27"/>
      <x:c r="E188" s="27"/>
      <x:c r="F188" s="27"/>
      <x:c r="G188" s="27"/>
      <x:c r="H188" s="27"/>
      <x:c r="I188" s="27"/>
      <x:c r="J188" s="27"/>
      <x:c r="K188" s="27"/>
      <x:c r="L188" s="27"/>
      <x:c r="M188" s="27"/>
      <x:c r="N188" s="27"/>
      <x:c r="O188" s="27"/>
      <x:c r="P188" s="27"/>
      <x:c r="Q188" s="27"/>
      <x:c r="R188" s="27"/>
      <x:c r="S188" s="27"/>
      <x:c r="T188" s="27"/>
      <x:c r="U188" s="27"/>
      <x:c r="V188" s="27"/>
      <x:c r="W188" s="27"/>
      <x:c r="X188" s="27"/>
      <x:c r="Y188" s="27"/>
      <x:c r="Z188" s="27"/>
      <x:c r="AA188" s="27"/>
      <x:c r="AB188" s="27"/>
      <x:c r="AC188" s="27"/>
      <x:c r="AD188" s="27"/>
      <x:c r="AE188" s="27"/>
      <x:c r="AF188" s="27"/>
      <x:c r="AG188" s="27"/>
      <x:c r="AH188" s="27"/>
      <x:c r="AI188" s="27"/>
      <x:c r="AJ188" s="27"/>
      <x:c r="AK188" s="27"/>
      <x:c r="AL188" s="27"/>
      <x:c r="AM188" s="27"/>
      <x:c r="AN188" s="27"/>
      <x:c r="AO188" s="27"/>
      <x:c r="AP188" s="27"/>
      <x:c r="AQ188" s="27"/>
      <x:c r="AR188" s="27"/>
      <x:c r="AS188" s="27"/>
      <x:c r="AT188" s="27"/>
      <x:c r="AU188" s="27"/>
      <x:c r="AV188" s="27"/>
      <x:c r="AW188" s="27"/>
      <x:c r="AX188" s="27"/>
      <x:c r="AY188" s="27"/>
      <x:c r="AZ188" s="27"/>
    </x:row>
    <x:row r="189">
      <x:c r="A189" s="27"/>
      <x:c r="B189" s="27"/>
      <x:c r="C189" s="27"/>
      <x:c r="D189" s="27"/>
      <x:c r="E189" s="27"/>
      <x:c r="F189" s="27"/>
      <x:c r="G189" s="27"/>
      <x:c r="H189" s="27"/>
      <x:c r="I189" s="27"/>
      <x:c r="J189" s="27"/>
      <x:c r="K189" s="27"/>
      <x:c r="L189" s="27"/>
      <x:c r="M189" s="27"/>
      <x:c r="N189" s="27"/>
      <x:c r="O189" s="27"/>
      <x:c r="P189" s="27"/>
      <x:c r="Q189" s="27"/>
      <x:c r="R189" s="27"/>
      <x:c r="S189" s="27"/>
      <x:c r="T189" s="27"/>
      <x:c r="U189" s="27"/>
      <x:c r="V189" s="27"/>
      <x:c r="W189" s="27"/>
      <x:c r="X189" s="27"/>
      <x:c r="Y189" s="27"/>
      <x:c r="Z189" s="27"/>
      <x:c r="AA189" s="27"/>
      <x:c r="AB189" s="27"/>
      <x:c r="AC189" s="27"/>
      <x:c r="AD189" s="27"/>
      <x:c r="AE189" s="27"/>
      <x:c r="AF189" s="27"/>
      <x:c r="AG189" s="27"/>
      <x:c r="AH189" s="27"/>
      <x:c r="AI189" s="27"/>
      <x:c r="AJ189" s="27"/>
      <x:c r="AK189" s="27"/>
      <x:c r="AL189" s="27"/>
      <x:c r="AM189" s="27"/>
      <x:c r="AN189" s="27"/>
      <x:c r="AO189" s="27"/>
      <x:c r="AP189" s="27"/>
      <x:c r="AQ189" s="27"/>
      <x:c r="AR189" s="27"/>
      <x:c r="AS189" s="27"/>
      <x:c r="AT189" s="27"/>
      <x:c r="AU189" s="27"/>
      <x:c r="AV189" s="27"/>
      <x:c r="AW189" s="27"/>
      <x:c r="AX189" s="27"/>
      <x:c r="AY189" s="27"/>
      <x:c r="AZ189" s="27"/>
    </x:row>
    <x:row r="190">
      <x:c r="A190" s="27"/>
      <x:c r="B190" s="27"/>
      <x:c r="C190" s="27"/>
      <x:c r="D190" s="27"/>
      <x:c r="E190" s="27"/>
      <x:c r="F190" s="27"/>
      <x:c r="G190" s="27"/>
      <x:c r="H190" s="27"/>
      <x:c r="I190" s="27"/>
      <x:c r="J190" s="27"/>
      <x:c r="K190" s="27"/>
      <x:c r="L190" s="27"/>
      <x:c r="M190" s="27"/>
      <x:c r="N190" s="27"/>
      <x:c r="O190" s="27"/>
      <x:c r="P190" s="27"/>
      <x:c r="Q190" s="27"/>
      <x:c r="R190" s="27"/>
      <x:c r="S190" s="27"/>
      <x:c r="T190" s="27"/>
      <x:c r="U190" s="27"/>
      <x:c r="V190" s="27"/>
      <x:c r="W190" s="27"/>
      <x:c r="X190" s="27"/>
      <x:c r="Y190" s="27"/>
      <x:c r="Z190" s="27"/>
      <x:c r="AA190" s="27"/>
      <x:c r="AB190" s="27"/>
      <x:c r="AC190" s="27"/>
      <x:c r="AD190" s="27"/>
      <x:c r="AE190" s="27"/>
      <x:c r="AF190" s="27"/>
      <x:c r="AG190" s="27"/>
      <x:c r="AH190" s="27"/>
      <x:c r="AI190" s="27"/>
      <x:c r="AJ190" s="27"/>
      <x:c r="AK190" s="27"/>
      <x:c r="AL190" s="27"/>
      <x:c r="AM190" s="27"/>
      <x:c r="AN190" s="27"/>
      <x:c r="AO190" s="27"/>
      <x:c r="AP190" s="27"/>
      <x:c r="AQ190" s="27"/>
      <x:c r="AR190" s="27"/>
      <x:c r="AS190" s="27"/>
      <x:c r="AT190" s="27"/>
      <x:c r="AU190" s="27"/>
      <x:c r="AV190" s="27"/>
      <x:c r="AW190" s="27"/>
      <x:c r="AX190" s="27"/>
      <x:c r="AY190" s="27"/>
      <x:c r="AZ190" s="27"/>
    </x:row>
    <x:row r="191">
      <x:c r="A191" s="27"/>
      <x:c r="B191" s="27"/>
      <x:c r="C191" s="27"/>
      <x:c r="D191" s="27"/>
      <x:c r="E191" s="27"/>
      <x:c r="F191" s="27"/>
      <x:c r="G191" s="27"/>
      <x:c r="H191" s="27"/>
      <x:c r="I191" s="27"/>
      <x:c r="J191" s="27"/>
      <x:c r="K191" s="27"/>
      <x:c r="L191" s="27"/>
      <x:c r="M191" s="27"/>
      <x:c r="N191" s="27"/>
      <x:c r="O191" s="27"/>
      <x:c r="P191" s="27"/>
      <x:c r="Q191" s="27"/>
      <x:c r="R191" s="27"/>
      <x:c r="S191" s="27"/>
      <x:c r="T191" s="27"/>
      <x:c r="U191" s="27"/>
      <x:c r="V191" s="27"/>
      <x:c r="W191" s="27"/>
      <x:c r="X191" s="27"/>
      <x:c r="Y191" s="27"/>
      <x:c r="Z191" s="27"/>
      <x:c r="AA191" s="27"/>
      <x:c r="AB191" s="27"/>
      <x:c r="AC191" s="27"/>
      <x:c r="AD191" s="27"/>
      <x:c r="AE191" s="27"/>
      <x:c r="AF191" s="27"/>
      <x:c r="AG191" s="27"/>
      <x:c r="AH191" s="27"/>
      <x:c r="AI191" s="27"/>
      <x:c r="AJ191" s="27"/>
      <x:c r="AK191" s="27"/>
      <x:c r="AL191" s="27"/>
      <x:c r="AM191" s="27"/>
      <x:c r="AN191" s="27"/>
      <x:c r="AO191" s="27"/>
      <x:c r="AP191" s="27"/>
      <x:c r="AQ191" s="27"/>
      <x:c r="AR191" s="27"/>
      <x:c r="AS191" s="27"/>
      <x:c r="AT191" s="27"/>
      <x:c r="AU191" s="27"/>
      <x:c r="AV191" s="27"/>
      <x:c r="AW191" s="27"/>
      <x:c r="AX191" s="27"/>
      <x:c r="AY191" s="27"/>
      <x:c r="AZ191" s="27"/>
    </x:row>
    <x:row r="192">
      <x:c r="A192" s="27"/>
      <x:c r="B192" s="27"/>
      <x:c r="C192" s="27"/>
      <x:c r="D192" s="27"/>
      <x:c r="E192" s="27"/>
      <x:c r="F192" s="27"/>
      <x:c r="G192" s="27"/>
      <x:c r="H192" s="27"/>
      <x:c r="I192" s="27"/>
      <x:c r="J192" s="27"/>
      <x:c r="K192" s="27"/>
      <x:c r="L192" s="27"/>
      <x:c r="M192" s="27"/>
      <x:c r="N192" s="27"/>
      <x:c r="O192" s="27"/>
      <x:c r="P192" s="27"/>
      <x:c r="Q192" s="27"/>
      <x:c r="R192" s="27"/>
      <x:c r="S192" s="27"/>
      <x:c r="T192" s="27"/>
      <x:c r="U192" s="27"/>
      <x:c r="V192" s="27"/>
      <x:c r="W192" s="27"/>
      <x:c r="X192" s="27"/>
      <x:c r="Y192" s="27"/>
      <x:c r="Z192" s="27"/>
      <x:c r="AA192" s="27"/>
      <x:c r="AB192" s="27"/>
      <x:c r="AC192" s="27"/>
      <x:c r="AD192" s="27"/>
      <x:c r="AE192" s="27"/>
      <x:c r="AF192" s="27"/>
      <x:c r="AG192" s="27"/>
      <x:c r="AH192" s="27"/>
      <x:c r="AI192" s="27"/>
      <x:c r="AJ192" s="27"/>
      <x:c r="AK192" s="27"/>
      <x:c r="AL192" s="27"/>
      <x:c r="AM192" s="27"/>
      <x:c r="AN192" s="27"/>
      <x:c r="AO192" s="27"/>
      <x:c r="AP192" s="27"/>
      <x:c r="AQ192" s="27"/>
      <x:c r="AR192" s="27"/>
      <x:c r="AS192" s="27"/>
      <x:c r="AT192" s="27"/>
      <x:c r="AU192" s="27"/>
      <x:c r="AV192" s="27"/>
      <x:c r="AW192" s="27"/>
      <x:c r="AX192" s="27"/>
      <x:c r="AY192" s="27"/>
      <x:c r="AZ192" s="27"/>
    </x:row>
    <x:row r="193">
      <x:c r="A193" s="27"/>
      <x:c r="B193" s="27"/>
      <x:c r="C193" s="27"/>
      <x:c r="D193" s="27"/>
      <x:c r="E193" s="27"/>
      <x:c r="F193" s="27"/>
      <x:c r="G193" s="27"/>
      <x:c r="H193" s="27"/>
      <x:c r="I193" s="27"/>
      <x:c r="J193" s="27"/>
      <x:c r="K193" s="27"/>
      <x:c r="L193" s="27"/>
      <x:c r="M193" s="27"/>
      <x:c r="N193" s="27"/>
      <x:c r="O193" s="27"/>
      <x:c r="P193" s="27"/>
      <x:c r="Q193" s="27"/>
      <x:c r="R193" s="27"/>
      <x:c r="S193" s="27"/>
      <x:c r="T193" s="27"/>
      <x:c r="U193" s="27"/>
      <x:c r="V193" s="27"/>
      <x:c r="W193" s="27"/>
      <x:c r="X193" s="27"/>
      <x:c r="Y193" s="27"/>
      <x:c r="Z193" s="27"/>
      <x:c r="AA193" s="27"/>
      <x:c r="AB193" s="27"/>
      <x:c r="AC193" s="27"/>
      <x:c r="AD193" s="27"/>
      <x:c r="AE193" s="27"/>
      <x:c r="AF193" s="27"/>
      <x:c r="AG193" s="27"/>
      <x:c r="AH193" s="27"/>
      <x:c r="AI193" s="27"/>
      <x:c r="AJ193" s="27"/>
      <x:c r="AK193" s="27"/>
      <x:c r="AL193" s="27"/>
      <x:c r="AM193" s="27"/>
      <x:c r="AN193" s="27"/>
      <x:c r="AO193" s="27"/>
      <x:c r="AP193" s="27"/>
      <x:c r="AQ193" s="27"/>
      <x:c r="AR193" s="27"/>
      <x:c r="AS193" s="27"/>
      <x:c r="AT193" s="27"/>
      <x:c r="AU193" s="27"/>
      <x:c r="AV193" s="27"/>
      <x:c r="AW193" s="27"/>
      <x:c r="AX193" s="27"/>
      <x:c r="AY193" s="27"/>
      <x:c r="AZ193" s="27"/>
    </x:row>
    <x:row r="194">
      <x:c r="A194" s="27"/>
      <x:c r="B194" s="27"/>
      <x:c r="C194" s="27"/>
      <x:c r="D194" s="27"/>
      <x:c r="E194" s="27"/>
      <x:c r="F194" s="27"/>
      <x:c r="G194" s="27"/>
      <x:c r="H194" s="27"/>
      <x:c r="I194" s="27"/>
      <x:c r="J194" s="27"/>
      <x:c r="K194" s="27"/>
      <x:c r="L194" s="27"/>
      <x:c r="M194" s="27"/>
      <x:c r="N194" s="27"/>
      <x:c r="O194" s="27"/>
      <x:c r="P194" s="27"/>
      <x:c r="Q194" s="27"/>
      <x:c r="R194" s="27"/>
      <x:c r="S194" s="27"/>
      <x:c r="T194" s="27"/>
      <x:c r="U194" s="27"/>
      <x:c r="V194" s="27"/>
      <x:c r="W194" s="27"/>
      <x:c r="X194" s="27"/>
      <x:c r="Y194" s="27"/>
      <x:c r="Z194" s="27"/>
      <x:c r="AA194" s="27"/>
      <x:c r="AB194" s="27"/>
      <x:c r="AC194" s="27"/>
      <x:c r="AD194" s="27"/>
      <x:c r="AE194" s="27"/>
      <x:c r="AF194" s="27"/>
      <x:c r="AG194" s="27"/>
      <x:c r="AH194" s="27"/>
      <x:c r="AI194" s="27"/>
      <x:c r="AJ194" s="27"/>
      <x:c r="AK194" s="27"/>
      <x:c r="AL194" s="27"/>
      <x:c r="AM194" s="27"/>
      <x:c r="AN194" s="27"/>
      <x:c r="AO194" s="27"/>
      <x:c r="AP194" s="27"/>
      <x:c r="AQ194" s="27"/>
      <x:c r="AR194" s="27"/>
      <x:c r="AS194" s="27"/>
      <x:c r="AT194" s="27"/>
      <x:c r="AU194" s="27"/>
      <x:c r="AV194" s="27"/>
      <x:c r="AW194" s="27"/>
      <x:c r="AX194" s="27"/>
      <x:c r="AY194" s="27"/>
      <x:c r="AZ194" s="27"/>
    </x:row>
    <x:row r="195">
      <x:c r="A195" s="27"/>
      <x:c r="B195" s="27"/>
      <x:c r="C195" s="27"/>
      <x:c r="D195" s="27"/>
      <x:c r="E195" s="27"/>
      <x:c r="F195" s="27"/>
      <x:c r="G195" s="27"/>
      <x:c r="H195" s="27"/>
      <x:c r="I195" s="27"/>
      <x:c r="J195" s="27"/>
      <x:c r="K195" s="27"/>
      <x:c r="L195" s="27"/>
      <x:c r="M195" s="27"/>
      <x:c r="N195" s="27"/>
      <x:c r="O195" s="27"/>
      <x:c r="P195" s="27"/>
      <x:c r="Q195" s="27"/>
      <x:c r="R195" s="27"/>
      <x:c r="S195" s="27"/>
      <x:c r="T195" s="27"/>
      <x:c r="U195" s="27"/>
      <x:c r="V195" s="27"/>
      <x:c r="W195" s="27"/>
      <x:c r="X195" s="27"/>
      <x:c r="Y195" s="27"/>
      <x:c r="Z195" s="27"/>
      <x:c r="AA195" s="27"/>
      <x:c r="AB195" s="27"/>
      <x:c r="AC195" s="27"/>
      <x:c r="AD195" s="27"/>
      <x:c r="AE195" s="27"/>
      <x:c r="AF195" s="27"/>
      <x:c r="AG195" s="27"/>
      <x:c r="AH195" s="27"/>
      <x:c r="AI195" s="27"/>
      <x:c r="AJ195" s="27"/>
      <x:c r="AK195" s="27"/>
      <x:c r="AL195" s="27"/>
      <x:c r="AM195" s="27"/>
      <x:c r="AN195" s="27"/>
      <x:c r="AO195" s="27"/>
      <x:c r="AP195" s="27"/>
      <x:c r="AQ195" s="27"/>
      <x:c r="AR195" s="27"/>
      <x:c r="AS195" s="27"/>
      <x:c r="AT195" s="27"/>
      <x:c r="AU195" s="27"/>
      <x:c r="AV195" s="27"/>
      <x:c r="AW195" s="27"/>
      <x:c r="AX195" s="27"/>
      <x:c r="AY195" s="27"/>
      <x:c r="AZ195" s="27"/>
    </x:row>
    <x:row r="196">
      <x:c r="A196" s="27"/>
      <x:c r="B196" s="27"/>
      <x:c r="C196" s="27"/>
      <x:c r="D196" s="27"/>
      <x:c r="E196" s="27"/>
      <x:c r="F196" s="27"/>
      <x:c r="G196" s="27"/>
      <x:c r="H196" s="27"/>
      <x:c r="I196" s="27"/>
      <x:c r="J196" s="27"/>
      <x:c r="K196" s="27"/>
      <x:c r="L196" s="27"/>
      <x:c r="M196" s="27"/>
      <x:c r="N196" s="27"/>
      <x:c r="O196" s="27"/>
      <x:c r="P196" s="27"/>
      <x:c r="Q196" s="27"/>
      <x:c r="R196" s="27"/>
      <x:c r="S196" s="27"/>
      <x:c r="T196" s="27"/>
      <x:c r="U196" s="27"/>
      <x:c r="V196" s="27"/>
      <x:c r="W196" s="27"/>
      <x:c r="X196" s="27"/>
      <x:c r="Y196" s="27"/>
      <x:c r="Z196" s="27"/>
      <x:c r="AA196" s="27"/>
      <x:c r="AB196" s="27"/>
      <x:c r="AC196" s="27"/>
      <x:c r="AD196" s="27"/>
      <x:c r="AE196" s="27"/>
      <x:c r="AF196" s="27"/>
      <x:c r="AG196" s="27"/>
      <x:c r="AH196" s="27"/>
      <x:c r="AI196" s="27"/>
      <x:c r="AJ196" s="27"/>
      <x:c r="AK196" s="27"/>
      <x:c r="AL196" s="27"/>
      <x:c r="AM196" s="27"/>
      <x:c r="AN196" s="27"/>
      <x:c r="AO196" s="27"/>
      <x:c r="AP196" s="27"/>
      <x:c r="AQ196" s="27"/>
      <x:c r="AR196" s="27"/>
      <x:c r="AS196" s="27"/>
      <x:c r="AT196" s="27"/>
      <x:c r="AU196" s="27"/>
      <x:c r="AV196" s="27"/>
      <x:c r="AW196" s="27"/>
      <x:c r="AX196" s="27"/>
      <x:c r="AY196" s="27"/>
      <x:c r="AZ196" s="27"/>
    </x:row>
    <x:row r="197">
      <x:c r="A197" s="27"/>
      <x:c r="B197" s="27"/>
      <x:c r="C197" s="27"/>
      <x:c r="D197" s="27"/>
      <x:c r="E197" s="27"/>
      <x:c r="F197" s="27"/>
      <x:c r="G197" s="27"/>
      <x:c r="H197" s="27"/>
      <x:c r="I197" s="27"/>
      <x:c r="J197" s="27"/>
      <x:c r="K197" s="27"/>
      <x:c r="L197" s="27"/>
      <x:c r="M197" s="27"/>
      <x:c r="N197" s="27"/>
      <x:c r="O197" s="27"/>
      <x:c r="P197" s="27"/>
      <x:c r="Q197" s="27"/>
      <x:c r="R197" s="27"/>
      <x:c r="S197" s="27"/>
      <x:c r="T197" s="27"/>
      <x:c r="U197" s="27"/>
      <x:c r="V197" s="27"/>
      <x:c r="W197" s="27"/>
      <x:c r="X197" s="27"/>
      <x:c r="Y197" s="27"/>
      <x:c r="Z197" s="27"/>
      <x:c r="AA197" s="27"/>
      <x:c r="AB197" s="27"/>
      <x:c r="AC197" s="27"/>
      <x:c r="AD197" s="27"/>
      <x:c r="AE197" s="27"/>
      <x:c r="AF197" s="27"/>
      <x:c r="AG197" s="27"/>
      <x:c r="AH197" s="27"/>
      <x:c r="AI197" s="27"/>
      <x:c r="AJ197" s="27"/>
      <x:c r="AK197" s="27"/>
      <x:c r="AL197" s="27"/>
      <x:c r="AM197" s="27"/>
      <x:c r="AN197" s="27"/>
      <x:c r="AO197" s="27"/>
      <x:c r="AP197" s="27"/>
      <x:c r="AQ197" s="27"/>
      <x:c r="AR197" s="27"/>
      <x:c r="AS197" s="27"/>
      <x:c r="AT197" s="27"/>
      <x:c r="AU197" s="27"/>
      <x:c r="AV197" s="27"/>
      <x:c r="AW197" s="27"/>
      <x:c r="AX197" s="27"/>
      <x:c r="AY197" s="27"/>
      <x:c r="AZ197" s="27"/>
    </x:row>
    <x:row r="198">
      <x:c r="A198" s="27"/>
      <x:c r="B198" s="27"/>
      <x:c r="C198" s="27"/>
      <x:c r="D198" s="27"/>
      <x:c r="E198" s="27"/>
      <x:c r="F198" s="27"/>
      <x:c r="G198" s="27"/>
      <x:c r="H198" s="27"/>
      <x:c r="I198" s="27"/>
      <x:c r="J198" s="27"/>
      <x:c r="K198" s="27"/>
      <x:c r="L198" s="27"/>
      <x:c r="M198" s="27"/>
      <x:c r="N198" s="27"/>
      <x:c r="O198" s="27"/>
      <x:c r="P198" s="27"/>
      <x:c r="Q198" s="27"/>
      <x:c r="R198" s="27"/>
      <x:c r="S198" s="27"/>
      <x:c r="T198" s="27"/>
      <x:c r="U198" s="27"/>
      <x:c r="V198" s="27"/>
      <x:c r="W198" s="27"/>
      <x:c r="X198" s="27"/>
      <x:c r="Y198" s="27"/>
      <x:c r="Z198" s="27"/>
      <x:c r="AA198" s="27"/>
      <x:c r="AB198" s="27"/>
      <x:c r="AC198" s="27"/>
      <x:c r="AD198" s="27"/>
      <x:c r="AE198" s="27"/>
      <x:c r="AF198" s="27"/>
      <x:c r="AG198" s="27"/>
      <x:c r="AH198" s="27"/>
      <x:c r="AI198" s="27"/>
      <x:c r="AJ198" s="27"/>
      <x:c r="AK198" s="27"/>
      <x:c r="AL198" s="27"/>
      <x:c r="AM198" s="27"/>
      <x:c r="AN198" s="27"/>
      <x:c r="AO198" s="27"/>
      <x:c r="AP198" s="27"/>
      <x:c r="AQ198" s="27"/>
      <x:c r="AR198" s="27"/>
      <x:c r="AS198" s="27"/>
      <x:c r="AT198" s="27"/>
      <x:c r="AU198" s="27"/>
      <x:c r="AV198" s="27"/>
      <x:c r="AW198" s="27"/>
      <x:c r="AX198" s="27"/>
      <x:c r="AY198" s="27"/>
      <x:c r="AZ198" s="27"/>
    </x:row>
    <x:row r="199">
      <x:c r="A199" s="27"/>
      <x:c r="B199" s="27"/>
      <x:c r="C199" s="27"/>
      <x:c r="D199" s="27"/>
      <x:c r="E199" s="27"/>
      <x:c r="F199" s="27"/>
      <x:c r="G199" s="27"/>
      <x:c r="H199" s="27"/>
      <x:c r="I199" s="27"/>
      <x:c r="J199" s="27"/>
      <x:c r="K199" s="27"/>
      <x:c r="L199" s="27"/>
      <x:c r="M199" s="27"/>
      <x:c r="N199" s="27"/>
      <x:c r="O199" s="27"/>
      <x:c r="P199" s="27"/>
      <x:c r="Q199" s="27"/>
      <x:c r="R199" s="27"/>
      <x:c r="S199" s="27"/>
      <x:c r="T199" s="27"/>
      <x:c r="U199" s="27"/>
      <x:c r="V199" s="27"/>
      <x:c r="W199" s="27"/>
      <x:c r="X199" s="27"/>
      <x:c r="Y199" s="27"/>
      <x:c r="Z199" s="27"/>
      <x:c r="AA199" s="27"/>
      <x:c r="AB199" s="27"/>
      <x:c r="AC199" s="27"/>
      <x:c r="AD199" s="27"/>
      <x:c r="AE199" s="27"/>
      <x:c r="AF199" s="27"/>
      <x:c r="AG199" s="27"/>
      <x:c r="AH199" s="27"/>
      <x:c r="AI199" s="27"/>
      <x:c r="AJ199" s="27"/>
      <x:c r="AK199" s="27"/>
      <x:c r="AL199" s="27"/>
      <x:c r="AM199" s="27"/>
      <x:c r="AN199" s="27"/>
      <x:c r="AO199" s="27"/>
      <x:c r="AP199" s="27"/>
      <x:c r="AQ199" s="27"/>
      <x:c r="AR199" s="27"/>
      <x:c r="AS199" s="27"/>
      <x:c r="AT199" s="27"/>
      <x:c r="AU199" s="27"/>
      <x:c r="AV199" s="27"/>
      <x:c r="AW199" s="27"/>
      <x:c r="AX199" s="27"/>
      <x:c r="AY199" s="27"/>
      <x:c r="AZ199" s="27"/>
    </x:row>
    <x:row r="200">
      <x:c r="A200" s="27"/>
      <x:c r="B200" s="27"/>
      <x:c r="C200" s="27"/>
      <x:c r="D200" s="27"/>
      <x:c r="E200" s="27"/>
      <x:c r="F200" s="27"/>
      <x:c r="G200" s="27"/>
      <x:c r="H200" s="27"/>
      <x:c r="I200" s="27"/>
      <x:c r="J200" s="27"/>
      <x:c r="K200" s="27"/>
      <x:c r="L200" s="27"/>
      <x:c r="M200" s="27"/>
      <x:c r="N200" s="27"/>
      <x:c r="O200" s="27"/>
      <x:c r="P200" s="27"/>
      <x:c r="Q200" s="27"/>
      <x:c r="R200" s="27"/>
      <x:c r="S200" s="27"/>
      <x:c r="T200" s="27"/>
      <x:c r="U200" s="27"/>
      <x:c r="V200" s="27"/>
      <x:c r="W200" s="27"/>
      <x:c r="X200" s="27"/>
      <x:c r="Y200" s="27"/>
      <x:c r="Z200" s="27"/>
      <x:c r="AA200" s="27"/>
      <x:c r="AB200" s="27"/>
      <x:c r="AC200" s="27"/>
      <x:c r="AD200" s="27"/>
      <x:c r="AE200" s="27"/>
      <x:c r="AF200" s="27"/>
      <x:c r="AG200" s="27"/>
      <x:c r="AH200" s="27"/>
      <x:c r="AI200" s="27"/>
      <x:c r="AJ200" s="27"/>
      <x:c r="AK200" s="27"/>
      <x:c r="AL200" s="27"/>
      <x:c r="AM200" s="27"/>
      <x:c r="AN200" s="27"/>
      <x:c r="AO200" s="27"/>
      <x:c r="AP200" s="27"/>
      <x:c r="AQ200" s="27"/>
      <x:c r="AR200" s="27"/>
      <x:c r="AS200" s="27"/>
      <x:c r="AT200" s="27"/>
      <x:c r="AU200" s="27"/>
      <x:c r="AV200" s="27"/>
      <x:c r="AW200" s="27"/>
      <x:c r="AX200" s="27"/>
      <x:c r="AY200" s="27"/>
      <x:c r="AZ200" s="27"/>
    </x:row>
  </x:sheetData>
  <x:mergeCells>
    <x:mergeCell ref="A1:G1"/>
    <x:mergeCell ref="A2:G2"/>
  </x:mergeCells>
  <x:dataValidations count="2">
    <x:dataValidation type="list" sqref="E5:E10">
      <x:formula1>"HIGH,MEDIUM,LOW"</x:formula1>
    </x:dataValidation>
    <x:dataValidation type="list" sqref="G5:G10">
      <x:formula1>"OPEN,IN PROGRESS,DONE,DEFERRED"</x:formula1>
    </x:dataValidation>
  </x:dataValidations>
  <x:pageMargins left="0.7" right="0.7" top="0.75" bottom="0.75" header="0.3" footer="0.3"/>
  <x:tableParts count="1">
    <x:tablePart xmlns:r="http://schemas.openxmlformats.org/officeDocument/2006/relationships" r:id="Rba9348e851a04aa3"/>
  </x:tableParts>
</x:worksheet>
</file>

<file path=xl/worksheets/sheet10.xml><?xml version="1.0" encoding="utf-8"?>
<x:worksheet xmlns:x="http://schemas.openxmlformats.org/spreadsheetml/2006/main">
  <x:sheetFormatPr defaultRowHeight="15"/>
  <x:cols>
    <x:col min="1" max="1" width="18" hidden="0" customWidth="1"/>
    <x:col min="2" max="2" width="12" hidden="0" customWidth="1"/>
    <x:col min="3" max="3" width="22" hidden="0" customWidth="1"/>
    <x:col min="4" max="4" width="18" hidden="0" customWidth="1"/>
    <x:col min="5" max="5" width="18" hidden="0" customWidth="1"/>
    <x:col min="6" max="6" width="70" hidden="0" customWidth="1"/>
    <x:col min="7" max="7" width="42" hidden="0" customWidth="1"/>
    <x:col min="8" max="8" width="42" hidden="0" customWidth="1"/>
    <x:col min="9" max="9" width="55" hidden="0" customWidth="1"/>
  </x:cols>
  <x:sheetData>
    <x:row r="1" ht="28" customHeight="1">
      <x:c r="A1" s="26" t="str">
        <x:v>Hidden OVR Model Registry</x:v>
      </x:c>
      <x:c r="B1" s="26"/>
      <x:c r="C1" s="26"/>
      <x:c r="D1" s="26"/>
      <x:c r="E1" s="26"/>
      <x:c r="F1" s="26"/>
      <x:c r="G1" s="26"/>
      <x:c r="H1" s="26"/>
      <x:c r="I1" s="26"/>
      <x:c r="J1" s="27"/>
      <x:c r="K1" s="27"/>
      <x:c r="L1" s="27"/>
      <x:c r="M1" s="27"/>
      <x:c r="N1" s="27"/>
      <x:c r="O1" s="27"/>
      <x:c r="P1" s="27"/>
      <x:c r="Q1" s="27"/>
      <x:c r="R1" s="27"/>
      <x:c r="S1" s="27"/>
      <x:c r="T1" s="27"/>
      <x:c r="U1" s="27"/>
      <x:c r="V1" s="27"/>
      <x:c r="W1" s="27"/>
      <x:c r="X1" s="27"/>
      <x:c r="Y1" s="27"/>
      <x:c r="Z1" s="27"/>
      <x:c r="AA1" s="27"/>
      <x:c r="AB1" s="27"/>
      <x:c r="AC1" s="27"/>
      <x:c r="AD1" s="27"/>
      <x:c r="AE1" s="27"/>
      <x:c r="AF1" s="27"/>
      <x:c r="AG1" s="27"/>
      <x:c r="AH1" s="27"/>
      <x:c r="AI1" s="27"/>
      <x:c r="AJ1" s="27"/>
      <x:c r="AK1" s="27"/>
      <x:c r="AL1" s="27"/>
      <x:c r="AM1" s="27"/>
      <x:c r="AN1" s="27"/>
      <x:c r="AO1" s="27"/>
      <x:c r="AP1" s="27"/>
      <x:c r="AQ1" s="27"/>
      <x:c r="AR1" s="27"/>
      <x:c r="AS1" s="27"/>
      <x:c r="AT1" s="27"/>
      <x:c r="AU1" s="27"/>
      <x:c r="AV1" s="27"/>
      <x:c r="AW1" s="27"/>
      <x:c r="AX1" s="27"/>
      <x:c r="AY1" s="27"/>
      <x:c r="AZ1" s="27"/>
    </x:row>
    <x:row r="2" ht="34" customHeight="1">
      <x:c r="A2" s="28" t="str">
        <x:v>Versioned models only. Do not overwrite old models; add a new row/version when assumptions or weights change.</x:v>
      </x:c>
      <x:c r="B2" s="28"/>
      <x:c r="C2" s="28"/>
      <x:c r="D2" s="28"/>
      <x:c r="E2" s="28"/>
      <x:c r="F2" s="28"/>
      <x:c r="G2" s="28"/>
      <x:c r="H2" s="28"/>
      <x:c r="I2" s="28"/>
      <x:c r="J2" s="27"/>
      <x:c r="K2" s="27"/>
      <x:c r="L2" s="27"/>
      <x:c r="M2" s="27"/>
      <x:c r="N2" s="27"/>
      <x:c r="O2" s="27"/>
      <x:c r="P2" s="27"/>
      <x:c r="Q2" s="27"/>
      <x:c r="R2" s="27"/>
      <x:c r="S2" s="27"/>
      <x:c r="T2" s="27"/>
      <x:c r="U2" s="27"/>
      <x:c r="V2" s="27"/>
      <x:c r="W2" s="27"/>
      <x:c r="X2" s="27"/>
      <x:c r="Y2" s="27"/>
      <x:c r="Z2" s="27"/>
      <x:c r="AA2" s="27"/>
      <x:c r="AB2" s="27"/>
      <x:c r="AC2" s="27"/>
      <x:c r="AD2" s="27"/>
      <x:c r="AE2" s="27"/>
      <x:c r="AF2" s="27"/>
      <x:c r="AG2" s="27"/>
      <x:c r="AH2" s="27"/>
      <x:c r="AI2" s="27"/>
      <x:c r="AJ2" s="27"/>
      <x:c r="AK2" s="27"/>
      <x:c r="AL2" s="27"/>
      <x:c r="AM2" s="27"/>
      <x:c r="AN2" s="27"/>
      <x:c r="AO2" s="27"/>
      <x:c r="AP2" s="27"/>
      <x:c r="AQ2" s="27"/>
      <x:c r="AR2" s="27"/>
      <x:c r="AS2" s="27"/>
      <x:c r="AT2" s="27"/>
      <x:c r="AU2" s="27"/>
      <x:c r="AV2" s="27"/>
      <x:c r="AW2" s="27"/>
      <x:c r="AX2" s="27"/>
      <x:c r="AY2" s="27"/>
      <x:c r="AZ2" s="27"/>
    </x:row>
    <x:row r="3">
      <x:c r="A3" s="27"/>
      <x:c r="B3" s="27"/>
      <x:c r="C3" s="27"/>
      <x:c r="D3" s="27"/>
      <x:c r="E3" s="27"/>
      <x:c r="F3" s="27"/>
      <x:c r="G3" s="27"/>
      <x:c r="H3" s="27"/>
      <x:c r="I3" s="27"/>
      <x:c r="J3" s="27"/>
      <x:c r="K3" s="27"/>
      <x:c r="L3" s="27"/>
      <x:c r="M3" s="27"/>
      <x:c r="N3" s="27"/>
      <x:c r="O3" s="27"/>
      <x:c r="P3" s="27"/>
      <x:c r="Q3" s="27"/>
      <x:c r="R3" s="27"/>
      <x:c r="S3" s="27"/>
      <x:c r="T3" s="27"/>
      <x:c r="U3" s="27"/>
      <x:c r="V3" s="27"/>
      <x:c r="W3" s="27"/>
      <x:c r="X3" s="27"/>
      <x:c r="Y3" s="27"/>
      <x:c r="Z3" s="27"/>
      <x:c r="AA3" s="27"/>
      <x:c r="AB3" s="27"/>
      <x:c r="AC3" s="27"/>
      <x:c r="AD3" s="27"/>
      <x:c r="AE3" s="27"/>
      <x:c r="AF3" s="27"/>
      <x:c r="AG3" s="27"/>
      <x:c r="AH3" s="27"/>
      <x:c r="AI3" s="27"/>
      <x:c r="AJ3" s="27"/>
      <x:c r="AK3" s="27"/>
      <x:c r="AL3" s="27"/>
      <x:c r="AM3" s="27"/>
      <x:c r="AN3" s="27"/>
      <x:c r="AO3" s="27"/>
      <x:c r="AP3" s="27"/>
      <x:c r="AQ3" s="27"/>
      <x:c r="AR3" s="27"/>
      <x:c r="AS3" s="27"/>
      <x:c r="AT3" s="27"/>
      <x:c r="AU3" s="27"/>
      <x:c r="AV3" s="27"/>
      <x:c r="AW3" s="27"/>
      <x:c r="AX3" s="27"/>
      <x:c r="AY3" s="27"/>
      <x:c r="AZ3" s="27"/>
    </x:row>
    <x:row r="4" ht="30" customHeight="1">
      <x:c r="A4" s="29" t="str">
        <x:v>Model_ID</x:v>
      </x:c>
      <x:c r="B4" s="29" t="str">
        <x:v>Position</x:v>
      </x:c>
      <x:c r="C4" s="29" t="str">
        <x:v>Archetype</x:v>
      </x:c>
      <x:c r="D4" s="29" t="str">
        <x:v>Version</x:v>
      </x:c>
      <x:c r="E4" s="29" t="str">
        <x:v>Status</x:v>
      </x:c>
      <x:c r="F4" s="29" t="str">
        <x:v>Formula_or_Method</x:v>
      </x:c>
      <x:c r="G4" s="29" t="str">
        <x:v>Training_Set</x:v>
      </x:c>
      <x:c r="H4" s="29" t="str">
        <x:v>Validation_Set</x:v>
      </x:c>
      <x:c r="I4" s="29" t="str">
        <x:v>Notes</x:v>
      </x:c>
      <x:c r="J4" s="27"/>
      <x:c r="K4" s="27"/>
      <x:c r="L4" s="27"/>
      <x:c r="M4" s="27"/>
      <x:c r="N4" s="27"/>
      <x:c r="O4" s="27"/>
      <x:c r="P4" s="27"/>
      <x:c r="Q4" s="27"/>
      <x:c r="R4" s="27"/>
      <x:c r="S4" s="27"/>
      <x:c r="T4" s="27"/>
      <x:c r="U4" s="27"/>
      <x:c r="V4" s="27"/>
      <x:c r="W4" s="27"/>
      <x:c r="X4" s="27"/>
      <x:c r="Y4" s="27"/>
      <x:c r="Z4" s="27"/>
      <x:c r="AA4" s="27"/>
      <x:c r="AB4" s="27"/>
      <x:c r="AC4" s="27"/>
      <x:c r="AD4" s="27"/>
      <x:c r="AE4" s="27"/>
      <x:c r="AF4" s="27"/>
      <x:c r="AG4" s="27"/>
      <x:c r="AH4" s="27"/>
      <x:c r="AI4" s="27"/>
      <x:c r="AJ4" s="27"/>
      <x:c r="AK4" s="27"/>
      <x:c r="AL4" s="27"/>
      <x:c r="AM4" s="27"/>
      <x:c r="AN4" s="27"/>
      <x:c r="AO4" s="27"/>
      <x:c r="AP4" s="27"/>
      <x:c r="AQ4" s="27"/>
      <x:c r="AR4" s="27"/>
      <x:c r="AS4" s="27"/>
      <x:c r="AT4" s="27"/>
      <x:c r="AU4" s="27"/>
      <x:c r="AV4" s="27"/>
      <x:c r="AW4" s="27"/>
      <x:c r="AX4" s="27"/>
      <x:c r="AY4" s="27"/>
      <x:c r="AZ4" s="27"/>
    </x:row>
    <x:row r="5">
      <x:c r="A5" s="30" t="str">
        <x:v>TE-MODEL-000</x:v>
      </x:c>
      <x:c r="B5" s="30" t="str">
        <x:v>TE</x:v>
      </x:c>
      <x:c r="C5" s="30" t="str">
        <x:v>All</x:v>
      </x:c>
      <x:c r="D5" s="30" t="str">
        <x:v>pre-v1</x:v>
      </x:c>
      <x:c r="E5" s="30" t="str">
        <x:v>Researching</x:v>
      </x:c>
      <x:c r="F5" s="30" t="str">
        <x:v>No final formula frozen yet.</x:v>
      </x:c>
      <x:c r="G5" s="30" t="str">
        <x:v>Prior TE comparisons + progression evidence</x:v>
      </x:c>
      <x:c r="H5" s="30" t="str">
        <x:v>TE_Cards v1.0</x:v>
      </x:c>
      <x:c r="I5" s="30" t="str">
        <x:v>Candidate architecture: weighted attributes + conversion curve/banding.</x:v>
      </x:c>
      <x:c r="J5" s="27"/>
      <x:c r="K5" s="27"/>
      <x:c r="L5" s="27"/>
      <x:c r="M5" s="27"/>
      <x:c r="N5" s="27"/>
      <x:c r="O5" s="27"/>
      <x:c r="P5" s="27"/>
      <x:c r="Q5" s="27"/>
      <x:c r="R5" s="27"/>
      <x:c r="S5" s="27"/>
      <x:c r="T5" s="27"/>
      <x:c r="U5" s="27"/>
      <x:c r="V5" s="27"/>
      <x:c r="W5" s="27"/>
      <x:c r="X5" s="27"/>
      <x:c r="Y5" s="27"/>
      <x:c r="Z5" s="27"/>
      <x:c r="AA5" s="27"/>
      <x:c r="AB5" s="27"/>
      <x:c r="AC5" s="27"/>
      <x:c r="AD5" s="27"/>
      <x:c r="AE5" s="27"/>
      <x:c r="AF5" s="27"/>
      <x:c r="AG5" s="27"/>
      <x:c r="AH5" s="27"/>
      <x:c r="AI5" s="27"/>
      <x:c r="AJ5" s="27"/>
      <x:c r="AK5" s="27"/>
      <x:c r="AL5" s="27"/>
      <x:c r="AM5" s="27"/>
      <x:c r="AN5" s="27"/>
      <x:c r="AO5" s="27"/>
      <x:c r="AP5" s="27"/>
      <x:c r="AQ5" s="27"/>
      <x:c r="AR5" s="27"/>
      <x:c r="AS5" s="27"/>
      <x:c r="AT5" s="27"/>
      <x:c r="AU5" s="27"/>
      <x:c r="AV5" s="27"/>
      <x:c r="AW5" s="27"/>
      <x:c r="AX5" s="27"/>
      <x:c r="AY5" s="27"/>
      <x:c r="AZ5" s="27"/>
    </x:row>
    <x:row r="6">
      <x:c r="A6" s="30" t="str">
        <x:v>M19-REF-TE-B</x:v>
      </x:c>
      <x:c r="B6" s="30" t="str">
        <x:v>TE</x:v>
      </x:c>
      <x:c r="C6" s="30" t="str">
        <x:v>Blocking</x:v>
      </x:c>
      <x:c r="D6" s="30" t="str">
        <x:v>Madden19 reference</x:v>
      </x:c>
      <x:c r="E6" s="30" t="str">
        <x:v>External reference</x:v>
      </x:c>
      <x:c r="F6" s="30" t="str">
        <x:v>XML-derived weights in Madden19_TE_Weights; displayed OVR used additional curve.</x:v>
      </x:c>
      <x:c r="G6" s="30" t="str">
        <x:v>Madden 19 XML</x:v>
      </x:c>
      <x:c r="H6" s="30" t="str"/>
      <x:c r="I6" s="30" t="str">
        <x:v>Reference only.</x:v>
      </x:c>
      <x:c r="J6" s="27"/>
      <x:c r="K6" s="27"/>
      <x:c r="L6" s="27"/>
      <x:c r="M6" s="27"/>
      <x:c r="N6" s="27"/>
      <x:c r="O6" s="27"/>
      <x:c r="P6" s="27"/>
      <x:c r="Q6" s="27"/>
      <x:c r="R6" s="27"/>
      <x:c r="S6" s="27"/>
      <x:c r="T6" s="27"/>
      <x:c r="U6" s="27"/>
      <x:c r="V6" s="27"/>
      <x:c r="W6" s="27"/>
      <x:c r="X6" s="27"/>
      <x:c r="Y6" s="27"/>
      <x:c r="Z6" s="27"/>
      <x:c r="AA6" s="27"/>
      <x:c r="AB6" s="27"/>
      <x:c r="AC6" s="27"/>
      <x:c r="AD6" s="27"/>
      <x:c r="AE6" s="27"/>
      <x:c r="AF6" s="27"/>
      <x:c r="AG6" s="27"/>
      <x:c r="AH6" s="27"/>
      <x:c r="AI6" s="27"/>
      <x:c r="AJ6" s="27"/>
      <x:c r="AK6" s="27"/>
      <x:c r="AL6" s="27"/>
      <x:c r="AM6" s="27"/>
      <x:c r="AN6" s="27"/>
      <x:c r="AO6" s="27"/>
      <x:c r="AP6" s="27"/>
      <x:c r="AQ6" s="27"/>
      <x:c r="AR6" s="27"/>
      <x:c r="AS6" s="27"/>
      <x:c r="AT6" s="27"/>
      <x:c r="AU6" s="27"/>
      <x:c r="AV6" s="27"/>
      <x:c r="AW6" s="27"/>
      <x:c r="AX6" s="27"/>
      <x:c r="AY6" s="27"/>
      <x:c r="AZ6" s="27"/>
    </x:row>
    <x:row r="7">
      <x:c r="A7" s="30" t="str">
        <x:v>M19-REF-TE-P</x:v>
      </x:c>
      <x:c r="B7" s="30" t="str">
        <x:v>TE</x:v>
      </x:c>
      <x:c r="C7" s="30" t="str">
        <x:v>Possession</x:v>
      </x:c>
      <x:c r="D7" s="30" t="str">
        <x:v>Madden19 reference</x:v>
      </x:c>
      <x:c r="E7" s="30" t="str">
        <x:v>External reference</x:v>
      </x:c>
      <x:c r="F7" s="30" t="str">
        <x:v>XML-derived weights in Madden19_TE_Weights; displayed OVR used additional curve.</x:v>
      </x:c>
      <x:c r="G7" s="30" t="str">
        <x:v>Madden 19 XML</x:v>
      </x:c>
      <x:c r="H7" s="30" t="str"/>
      <x:c r="I7" s="30" t="str">
        <x:v>Reference only.</x:v>
      </x:c>
      <x:c r="J7" s="27"/>
      <x:c r="K7" s="27"/>
      <x:c r="L7" s="27"/>
      <x:c r="M7" s="27"/>
      <x:c r="N7" s="27"/>
      <x:c r="O7" s="27"/>
      <x:c r="P7" s="27"/>
      <x:c r="Q7" s="27"/>
      <x:c r="R7" s="27"/>
      <x:c r="S7" s="27"/>
      <x:c r="T7" s="27"/>
      <x:c r="U7" s="27"/>
      <x:c r="V7" s="27"/>
      <x:c r="W7" s="27"/>
      <x:c r="X7" s="27"/>
      <x:c r="Y7" s="27"/>
      <x:c r="Z7" s="27"/>
      <x:c r="AA7" s="27"/>
      <x:c r="AB7" s="27"/>
      <x:c r="AC7" s="27"/>
      <x:c r="AD7" s="27"/>
      <x:c r="AE7" s="27"/>
      <x:c r="AF7" s="27"/>
      <x:c r="AG7" s="27"/>
      <x:c r="AH7" s="27"/>
      <x:c r="AI7" s="27"/>
      <x:c r="AJ7" s="27"/>
      <x:c r="AK7" s="27"/>
      <x:c r="AL7" s="27"/>
      <x:c r="AM7" s="27"/>
      <x:c r="AN7" s="27"/>
      <x:c r="AO7" s="27"/>
      <x:c r="AP7" s="27"/>
      <x:c r="AQ7" s="27"/>
      <x:c r="AR7" s="27"/>
      <x:c r="AS7" s="27"/>
      <x:c r="AT7" s="27"/>
      <x:c r="AU7" s="27"/>
      <x:c r="AV7" s="27"/>
      <x:c r="AW7" s="27"/>
      <x:c r="AX7" s="27"/>
      <x:c r="AY7" s="27"/>
      <x:c r="AZ7" s="27"/>
    </x:row>
    <x:row r="8">
      <x:c r="A8" s="30" t="str">
        <x:v>M19-REF-TE-V</x:v>
      </x:c>
      <x:c r="B8" s="30" t="str">
        <x:v>TE</x:v>
      </x:c>
      <x:c r="C8" s="30" t="str">
        <x:v>Vertical Threat</x:v>
      </x:c>
      <x:c r="D8" s="30" t="str">
        <x:v>Madden19 reference</x:v>
      </x:c>
      <x:c r="E8" s="30" t="str">
        <x:v>External reference</x:v>
      </x:c>
      <x:c r="F8" s="30" t="str">
        <x:v>XML-derived weights in Madden19_TE_Weights; displayed OVR used additional curve.</x:v>
      </x:c>
      <x:c r="G8" s="30" t="str">
        <x:v>Madden 19 XML</x:v>
      </x:c>
      <x:c r="H8" s="30" t="str"/>
      <x:c r="I8" s="30" t="str">
        <x:v>Reference only.</x:v>
      </x:c>
      <x:c r="J8" s="27"/>
      <x:c r="K8" s="27"/>
      <x:c r="L8" s="27"/>
      <x:c r="M8" s="27"/>
      <x:c r="N8" s="27"/>
      <x:c r="O8" s="27"/>
      <x:c r="P8" s="27"/>
      <x:c r="Q8" s="27"/>
      <x:c r="R8" s="27"/>
      <x:c r="S8" s="27"/>
      <x:c r="T8" s="27"/>
      <x:c r="U8" s="27"/>
      <x:c r="V8" s="27"/>
      <x:c r="W8" s="27"/>
      <x:c r="X8" s="27"/>
      <x:c r="Y8" s="27"/>
      <x:c r="Z8" s="27"/>
      <x:c r="AA8" s="27"/>
      <x:c r="AB8" s="27"/>
      <x:c r="AC8" s="27"/>
      <x:c r="AD8" s="27"/>
      <x:c r="AE8" s="27"/>
      <x:c r="AF8" s="27"/>
      <x:c r="AG8" s="27"/>
      <x:c r="AH8" s="27"/>
      <x:c r="AI8" s="27"/>
      <x:c r="AJ8" s="27"/>
      <x:c r="AK8" s="27"/>
      <x:c r="AL8" s="27"/>
      <x:c r="AM8" s="27"/>
      <x:c r="AN8" s="27"/>
      <x:c r="AO8" s="27"/>
      <x:c r="AP8" s="27"/>
      <x:c r="AQ8" s="27"/>
      <x:c r="AR8" s="27"/>
      <x:c r="AS8" s="27"/>
      <x:c r="AT8" s="27"/>
      <x:c r="AU8" s="27"/>
      <x:c r="AV8" s="27"/>
      <x:c r="AW8" s="27"/>
      <x:c r="AX8" s="27"/>
      <x:c r="AY8" s="27"/>
      <x:c r="AZ8" s="27"/>
    </x:row>
    <x:row r="9">
      <x:c r="A9" s="27" t="str">
        <x:v>TE-MODEL-001</x:v>
      </x:c>
      <x:c r="B9" s="27" t="str">
        <x:v>TE</x:v>
      </x:c>
      <x:c r="C9" s="27" t="str">
        <x:v>Gritty Possession</x:v>
      </x:c>
      <x:c r="D9" s="27" t="str">
        <x:v>v1.1</x:v>
      </x:c>
      <x:c r="E9" s="27" t="str">
        <x:v>OPERATIONALLY SOLVED / FROZEN</x:v>
      </x:c>
      <x:c r="F9" s="27" t="str">
        <x:v>Madden 19 Possession attribute weights; CFB27 thresholds fitted only from observed score bands.</x:v>
      </x:c>
      <x:c r="G9" s="27" t="str">
        <x:v>7 structured Gritty cards (OVR 83–85)</x:v>
      </x:c>
      <x:c r="H9" s="27" t="str">
        <x:v>Blind/holdout-involved 82/83 (98.8%); all pairs 97/98 (99.0%)</x:v>
      </x:c>
      <x:c r="I9" s="27" t="str">
        <x:v>Meets ≥98% practical standard. One isolated 0.030 inversion retained; do not refit absent systematic prospective failures.</x:v>
      </x:c>
      <x:c r="J9" s="27"/>
      <x:c r="K9" s="27"/>
      <x:c r="L9" s="27"/>
      <x:c r="M9" s="27"/>
      <x:c r="N9" s="27"/>
      <x:c r="O9" s="27"/>
      <x:c r="P9" s="27"/>
      <x:c r="Q9" s="27"/>
      <x:c r="R9" s="27"/>
      <x:c r="S9" s="27"/>
      <x:c r="T9" s="27"/>
      <x:c r="U9" s="27"/>
      <x:c r="V9" s="27"/>
      <x:c r="W9" s="27"/>
      <x:c r="X9" s="27"/>
      <x:c r="Y9" s="27"/>
      <x:c r="Z9" s="27"/>
      <x:c r="AA9" s="27"/>
      <x:c r="AB9" s="27"/>
      <x:c r="AC9" s="27"/>
      <x:c r="AD9" s="27"/>
      <x:c r="AE9" s="27"/>
      <x:c r="AF9" s="27"/>
      <x:c r="AG9" s="27"/>
      <x:c r="AH9" s="27"/>
      <x:c r="AI9" s="27"/>
      <x:c r="AJ9" s="27"/>
      <x:c r="AK9" s="27"/>
      <x:c r="AL9" s="27"/>
      <x:c r="AM9" s="27"/>
      <x:c r="AN9" s="27"/>
      <x:c r="AO9" s="27"/>
      <x:c r="AP9" s="27"/>
      <x:c r="AQ9" s="27"/>
      <x:c r="AR9" s="27"/>
      <x:c r="AS9" s="27"/>
      <x:c r="AT9" s="27"/>
      <x:c r="AU9" s="27"/>
      <x:c r="AV9" s="27"/>
      <x:c r="AW9" s="27"/>
      <x:c r="AX9" s="27"/>
      <x:c r="AY9" s="27"/>
      <x:c r="AZ9" s="27"/>
    </x:row>
    <x:row r="10">
      <x:c r="A10" s="27" t="str">
        <x:v>TE-MODEL-002</x:v>
      </x:c>
      <x:c r="B10" s="27" t="str">
        <x:v>TE</x:v>
      </x:c>
      <x:c r="C10" s="27" t="str">
        <x:v>Vertical Threat</x:v>
      </x:c>
      <x:c r="D10" s="27" t="str">
        <x:v>v1.1</x:v>
      </x:c>
      <x:c r="E10" s="27" t="str">
        <x:v>Partially falsified as exact model</x:v>
      </x:c>
      <x:c r="F10" s="27" t="str">
        <x:v>Madden 19 Vertical Threat weights, with unavailable Elusiveness(2) omitted and remaining weights renormalized.</x:v>
      </x:c>
      <x:c r="G10" s="27" t="str">
        <x:v>5 structured VT cards (OVR 83–85)</x:v>
      </x:c>
      <x:c r="H10" s="27" t="str">
        <x:v>Blind: 124/133 correct pairs (93.2%)</x:v>
      </x:c>
      <x:c r="I10" s="27" t="str">
        <x:v>Weights unchanged during test. Predictive prior, but 9 blind inversions prove it is not the exact CFB27 VT formula.</x:v>
      </x:c>
      <x:c r="J10" s="27"/>
      <x:c r="K10" s="27"/>
      <x:c r="L10" s="27"/>
      <x:c r="M10" s="27"/>
      <x:c r="N10" s="27"/>
      <x:c r="O10" s="27"/>
      <x:c r="P10" s="27"/>
      <x:c r="Q10" s="27"/>
      <x:c r="R10" s="27"/>
      <x:c r="S10" s="27"/>
      <x:c r="T10" s="27"/>
      <x:c r="U10" s="27"/>
      <x:c r="V10" s="27"/>
      <x:c r="W10" s="27"/>
      <x:c r="X10" s="27"/>
      <x:c r="Y10" s="27"/>
      <x:c r="Z10" s="27"/>
      <x:c r="AA10" s="27"/>
      <x:c r="AB10" s="27"/>
      <x:c r="AC10" s="27"/>
      <x:c r="AD10" s="27"/>
      <x:c r="AE10" s="27"/>
      <x:c r="AF10" s="27"/>
      <x:c r="AG10" s="27"/>
      <x:c r="AH10" s="27"/>
      <x:c r="AI10" s="27"/>
      <x:c r="AJ10" s="27"/>
      <x:c r="AK10" s="27"/>
      <x:c r="AL10" s="27"/>
      <x:c r="AM10" s="27"/>
      <x:c r="AN10" s="27"/>
      <x:c r="AO10" s="27"/>
      <x:c r="AP10" s="27"/>
      <x:c r="AQ10" s="27"/>
      <x:c r="AR10" s="27"/>
      <x:c r="AS10" s="27"/>
      <x:c r="AT10" s="27"/>
      <x:c r="AU10" s="27"/>
      <x:c r="AV10" s="27"/>
      <x:c r="AW10" s="27"/>
      <x:c r="AX10" s="27"/>
      <x:c r="AY10" s="27"/>
      <x:c r="AZ10" s="27"/>
    </x:row>
    <x:row r="11">
      <x:c r="A11" s="27" t="str">
        <x:v>TE-MODEL-003</x:v>
      </x:c>
      <x:c r="B11" s="27" t="str">
        <x:v>TE</x:v>
      </x:c>
      <x:c r="C11" s="27" t="str">
        <x:v>Physical Route Runner</x:v>
      </x:c>
      <x:c r="D11" s="27" t="str">
        <x:v>v1.1</x:v>
      </x:c>
      <x:c r="E11" s="27" t="str">
        <x:v>OPERATIONALLY SOLVED / FROZEN</x:v>
      </x:c>
      <x:c r="F11" s="27" t="str">
        <x:v>71% Madden 19 Vertical Threat candidate score + 29% Madden 19 Possession candidate score.</x:v>
      </x:c>
      <x:c r="G11" s="27" t="str">
        <x:v>11 structured Physical Route Runner cards (OVR 83–85)</x:v>
      </x:c>
      <x:c r="H11" s="27" t="str">
        <x:v>Blind unique-profile holdout: 304/304 (100%); all specific-card cross-OVR pairs: 404/404 (100%)</x:v>
      </x:c>
      <x:c r="I11" s="27" t="str">
        <x:v>Operationally solved. Future PRR cards are prospective validation only.</x:v>
      </x:c>
      <x:c r="J11" s="27"/>
      <x:c r="K11" s="27"/>
      <x:c r="L11" s="27"/>
      <x:c r="M11" s="27"/>
      <x:c r="N11" s="27"/>
      <x:c r="O11" s="27"/>
      <x:c r="P11" s="27"/>
      <x:c r="Q11" s="27"/>
      <x:c r="R11" s="27"/>
      <x:c r="S11" s="27"/>
      <x:c r="T11" s="27"/>
      <x:c r="U11" s="27"/>
      <x:c r="V11" s="27"/>
      <x:c r="W11" s="27"/>
      <x:c r="X11" s="27"/>
      <x:c r="Y11" s="27"/>
      <x:c r="Z11" s="27"/>
      <x:c r="AA11" s="27"/>
      <x:c r="AB11" s="27"/>
      <x:c r="AC11" s="27"/>
      <x:c r="AD11" s="27"/>
      <x:c r="AE11" s="27"/>
      <x:c r="AF11" s="27"/>
      <x:c r="AG11" s="27"/>
      <x:c r="AH11" s="27"/>
      <x:c r="AI11" s="27"/>
      <x:c r="AJ11" s="27"/>
      <x:c r="AK11" s="27"/>
      <x:c r="AL11" s="27"/>
      <x:c r="AM11" s="27"/>
      <x:c r="AN11" s="27"/>
      <x:c r="AO11" s="27"/>
      <x:c r="AP11" s="27"/>
      <x:c r="AQ11" s="27"/>
      <x:c r="AR11" s="27"/>
      <x:c r="AS11" s="27"/>
      <x:c r="AT11" s="27"/>
      <x:c r="AU11" s="27"/>
      <x:c r="AV11" s="27"/>
      <x:c r="AW11" s="27"/>
      <x:c r="AX11" s="27"/>
      <x:c r="AY11" s="27"/>
      <x:c r="AZ11" s="27"/>
    </x:row>
    <x:row r="12">
      <x:c r="A12" s="27" t="str">
        <x:v>TE-MODEL-004</x:v>
      </x:c>
      <x:c r="B12" s="27" t="str">
        <x:v>TE</x:v>
      </x:c>
      <x:c r="C12" s="27" t="str">
        <x:v>Pure Blocker</x:v>
      </x:c>
      <x:c r="D12" s="27" t="str">
        <x:v>v1.1</x:v>
      </x:c>
      <x:c r="E12" s="27" t="str">
        <x:v>INSUFFICIENT EVIDENCE / EXCLUDED FROM MONEYBALL FORMULA SCORING</x:v>
      </x:c>
      <x:c r="F12" s="27" t="str">
        <x:v>Madden 19 Blocking weights retained as external prior only.</x:v>
      </x:c>
      <x:c r="G12" s="27" t="str">
        <x:v>1 structured Pure Blocker card</x:v>
      </x:c>
      <x:c r="H12" s="27" t="str">
        <x:v>No pairwise validation possible</x:v>
      </x:c>
      <x:c r="I12" s="27" t="str">
        <x:v>Need at least 5 additional Pure Blocker cards spanning at least three OVR tiers before model validation.</x:v>
      </x:c>
      <x:c r="J12" s="27"/>
      <x:c r="K12" s="27"/>
      <x:c r="L12" s="27"/>
      <x:c r="M12" s="27"/>
      <x:c r="N12" s="27"/>
      <x:c r="O12" s="27"/>
      <x:c r="P12" s="27"/>
      <x:c r="Q12" s="27"/>
      <x:c r="R12" s="27"/>
      <x:c r="S12" s="27"/>
      <x:c r="T12" s="27"/>
      <x:c r="U12" s="27"/>
      <x:c r="V12" s="27"/>
      <x:c r="W12" s="27"/>
      <x:c r="X12" s="27"/>
      <x:c r="Y12" s="27"/>
      <x:c r="Z12" s="27"/>
      <x:c r="AA12" s="27"/>
      <x:c r="AB12" s="27"/>
      <x:c r="AC12" s="27"/>
      <x:c r="AD12" s="27"/>
      <x:c r="AE12" s="27"/>
      <x:c r="AF12" s="27"/>
      <x:c r="AG12" s="27"/>
      <x:c r="AH12" s="27"/>
      <x:c r="AI12" s="27"/>
      <x:c r="AJ12" s="27"/>
      <x:c r="AK12" s="27"/>
      <x:c r="AL12" s="27"/>
      <x:c r="AM12" s="27"/>
      <x:c r="AN12" s="27"/>
      <x:c r="AO12" s="27"/>
      <x:c r="AP12" s="27"/>
      <x:c r="AQ12" s="27"/>
      <x:c r="AR12" s="27"/>
      <x:c r="AS12" s="27"/>
      <x:c r="AT12" s="27"/>
      <x:c r="AU12" s="27"/>
      <x:c r="AV12" s="27"/>
      <x:c r="AW12" s="27"/>
      <x:c r="AX12" s="27"/>
      <x:c r="AY12" s="27"/>
      <x:c r="AZ12" s="27"/>
    </x:row>
    <x:row r="13">
      <x:c r="A13" s="27" t="str">
        <x:v>TE-MODEL-005</x:v>
      </x:c>
      <x:c r="B13" s="27" t="str">
        <x:v>TE</x:v>
      </x:c>
      <x:c r="C13" s="27" t="str">
        <x:v>Vertical Threat</x:v>
      </x:c>
      <x:c r="D13" s="27" t="str">
        <x:v>v1.2</x:v>
      </x:c>
      <x:c r="E13" s="27" t="str">
        <x:v>REJECTED after independent validation</x:v>
      </x:c>
      <x:c r="F13" s="27" t="str">
        <x:v>v1.1 + 0.400×(CIT−75) + 0.400×(M19 Blocking Score−75)</x:v>
      </x:c>
      <x:c r="G13" s="27" t="str">
        <x:v>Nine frozen-v1.1 blind failure pairs only</x:v>
      </x:c>
      <x:c r="H13" s="27" t="str">
        <x:v>Player-disjoint validation: 13/17 (76.5%) vs v1.1 17/17 (100%)</x:v>
      </x:c>
      <x:c r="I13" s="27" t="str">
        <x:v>Useful diagnostic model, not the production/predictive replacement. v1.1 remains active historical candidate.</x:v>
      </x:c>
      <x:c r="J13" s="27"/>
      <x:c r="K13" s="27"/>
      <x:c r="L13" s="27"/>
      <x:c r="M13" s="27"/>
      <x:c r="N13" s="27"/>
      <x:c r="O13" s="27"/>
      <x:c r="P13" s="27"/>
      <x:c r="Q13" s="27"/>
      <x:c r="R13" s="27"/>
      <x:c r="S13" s="27"/>
      <x:c r="T13" s="27"/>
      <x:c r="U13" s="27"/>
      <x:c r="V13" s="27"/>
      <x:c r="W13" s="27"/>
      <x:c r="X13" s="27"/>
      <x:c r="Y13" s="27"/>
      <x:c r="Z13" s="27"/>
      <x:c r="AA13" s="27"/>
      <x:c r="AB13" s="27"/>
      <x:c r="AC13" s="27"/>
      <x:c r="AD13" s="27"/>
      <x:c r="AE13" s="27"/>
      <x:c r="AF13" s="27"/>
      <x:c r="AG13" s="27"/>
      <x:c r="AH13" s="27"/>
      <x:c r="AI13" s="27"/>
      <x:c r="AJ13" s="27"/>
      <x:c r="AK13" s="27"/>
      <x:c r="AL13" s="27"/>
      <x:c r="AM13" s="27"/>
      <x:c r="AN13" s="27"/>
      <x:c r="AO13" s="27"/>
      <x:c r="AP13" s="27"/>
      <x:c r="AQ13" s="27"/>
      <x:c r="AR13" s="27"/>
      <x:c r="AS13" s="27"/>
      <x:c r="AT13" s="27"/>
      <x:c r="AU13" s="27"/>
      <x:c r="AV13" s="27"/>
      <x:c r="AW13" s="27"/>
      <x:c r="AX13" s="27"/>
      <x:c r="AY13" s="27"/>
      <x:c r="AZ13" s="27"/>
    </x:row>
    <x:row r="14">
      <x:c r="A14" s="27" t="str">
        <x:v>TE-MODEL-006</x:v>
      </x:c>
      <x:c r="B14" s="27" t="str">
        <x:v>TE</x:v>
      </x:c>
      <x:c r="C14" s="27" t="str">
        <x:v>Vertical Threat</x:v>
      </x:c>
      <x:c r="D14" s="27" t="str">
        <x:v>v1.3</x:v>
      </x:c>
      <x:c r="E14" s="27" t="str">
        <x:v>OPERATIONALLY SOLVED / FROZEN</x:v>
      </x:c>
      <x:c r="F14" s="27" t="str">
        <x:v>M19 VT weights + 2 LBK + 3 IBL; weighted average over 103 visible weight points</x:v>
      </x:c>
      <x:c r="G14" s="27" t="str">
        <x:v>Nine frozen-v1.1 failure pairs; candidate selection used research set only</x:v>
      </x:c>
      <x:c r="H14" s="27" t="str">
        <x:v>Player-disjoint validation 17/17 (100%); all VT pairs 138/140 (98.6%)</x:v>
      </x:c>
      <x:c r="I14" s="27" t="str">
        <x:v>138/140 (98.6%) with 17/17 independent validation. Two isolated outliers retained; reopen only for systematic prospective failures.</x:v>
      </x:c>
      <x:c r="J14" s="27"/>
      <x:c r="K14" s="27"/>
      <x:c r="L14" s="27"/>
      <x:c r="M14" s="27"/>
      <x:c r="N14" s="27"/>
      <x:c r="O14" s="27"/>
      <x:c r="P14" s="27"/>
      <x:c r="Q14" s="27"/>
      <x:c r="R14" s="27"/>
      <x:c r="S14" s="27"/>
      <x:c r="T14" s="27"/>
      <x:c r="U14" s="27"/>
      <x:c r="V14" s="27"/>
      <x:c r="W14" s="27"/>
      <x:c r="X14" s="27"/>
      <x:c r="Y14" s="27"/>
      <x:c r="Z14" s="27"/>
      <x:c r="AA14" s="27"/>
      <x:c r="AB14" s="27"/>
      <x:c r="AC14" s="27"/>
      <x:c r="AD14" s="27"/>
      <x:c r="AE14" s="27"/>
      <x:c r="AF14" s="27"/>
      <x:c r="AG14" s="27"/>
      <x:c r="AH14" s="27"/>
      <x:c r="AI14" s="27"/>
      <x:c r="AJ14" s="27"/>
      <x:c r="AK14" s="27"/>
      <x:c r="AL14" s="27"/>
      <x:c r="AM14" s="27"/>
      <x:c r="AN14" s="27"/>
      <x:c r="AO14" s="27"/>
      <x:c r="AP14" s="27"/>
      <x:c r="AQ14" s="27"/>
      <x:c r="AR14" s="27"/>
      <x:c r="AS14" s="27"/>
      <x:c r="AT14" s="27"/>
      <x:c r="AU14" s="27"/>
      <x:c r="AV14" s="27"/>
      <x:c r="AW14" s="27"/>
      <x:c r="AX14" s="27"/>
      <x:c r="AY14" s="27"/>
      <x:c r="AZ14" s="27"/>
    </x:row>
    <x:row r="15">
      <x:c r="A15" s="27" t="str">
        <x:v>TE-MONEY-001</x:v>
      </x:c>
      <x:c r="B15" s="27" t="str">
        <x:v>TE</x:v>
      </x:c>
      <x:c r="C15" s="27" t="str">
        <x:v>All solved archetypes</x:v>
      </x:c>
      <x:c r="D15" s="27" t="str">
        <x:v>Moneyball v1.0</x:v>
      </x:c>
      <x:c r="E15" s="27" t="str">
        <x:v>PRELIMINARY / ACTIVE</x:v>
      </x:c>
      <x:c r="F15" s="27" t="str">
        <x:v>FUS = transparent weighted blend of six role scores; Moneyball Score = OVR-adjusted z-score of Utility Surplus.</x:v>
      </x:c>
      <x:c r="G15" s="27" t="str">
        <x:v>67 solved-archetype TE cards</x:v>
      </x:c>
      <x:c r="H15" s="27" t="str">
        <x:v>No gameplay/simulation validation yet</x:v>
      </x:c>
      <x:c r="I15" s="27" t="str">
        <x:v>Football value only; market price intentionally excluded until reliable price data exists.</x:v>
      </x:c>
      <x:c r="J15" s="27"/>
      <x:c r="K15" s="27"/>
      <x:c r="L15" s="27"/>
      <x:c r="M15" s="27"/>
      <x:c r="N15" s="27"/>
      <x:c r="O15" s="27"/>
      <x:c r="P15" s="27"/>
      <x:c r="Q15" s="27"/>
      <x:c r="R15" s="27"/>
      <x:c r="S15" s="27"/>
      <x:c r="T15" s="27"/>
      <x:c r="U15" s="27"/>
      <x:c r="V15" s="27"/>
      <x:c r="W15" s="27"/>
      <x:c r="X15" s="27"/>
      <x:c r="Y15" s="27"/>
      <x:c r="Z15" s="27"/>
      <x:c r="AA15" s="27"/>
      <x:c r="AB15" s="27"/>
      <x:c r="AC15" s="27"/>
      <x:c r="AD15" s="27"/>
      <x:c r="AE15" s="27"/>
      <x:c r="AF15" s="27"/>
      <x:c r="AG15" s="27"/>
      <x:c r="AH15" s="27"/>
      <x:c r="AI15" s="27"/>
      <x:c r="AJ15" s="27"/>
      <x:c r="AK15" s="27"/>
      <x:c r="AL15" s="27"/>
      <x:c r="AM15" s="27"/>
      <x:c r="AN15" s="27"/>
      <x:c r="AO15" s="27"/>
      <x:c r="AP15" s="27"/>
      <x:c r="AQ15" s="27"/>
      <x:c r="AR15" s="27"/>
      <x:c r="AS15" s="27"/>
      <x:c r="AT15" s="27"/>
      <x:c r="AU15" s="27"/>
      <x:c r="AV15" s="27"/>
      <x:c r="AW15" s="27"/>
      <x:c r="AX15" s="27"/>
      <x:c r="AY15" s="27"/>
      <x:c r="AZ15" s="27"/>
    </x:row>
    <x:row r="16">
      <x:c r="A16" s="27" t="str">
        <x:v>TE-ROLE-001</x:v>
      </x:c>
      <x:c r="B16" s="27" t="str">
        <x:v>TE</x:v>
      </x:c>
      <x:c r="C16" s="27" t="str">
        <x:v>All solved archetypes</x:v>
      </x:c>
      <x:c r="D16" s="27" t="str">
        <x:v>Role framework v1.0</x:v>
      </x:c>
      <x:c r="E16" s="27" t="str">
        <x:v>PRELIMINARY / ACTIVE</x:v>
      </x:c>
      <x:c r="F16" s="27" t="str">
        <x:v>Six explicit role-weight matrices: Receiving Threat, Possession Target, Blocker, Balanced In-Line, Mismatch Weapon, YAC / Move TE.</x:v>
      </x:c>
      <x:c r="G16" s="27" t="str">
        <x:v>67 cards</x:v>
      </x:c>
      <x:c r="H16" s="27" t="str">
        <x:v>Pending simulation/gameplay calibration</x:v>
      </x:c>
      <x:c r="I16" s="27" t="str">
        <x:v>All role weights visible in TE_Moneyball_Method; do not treat them as final gameplay truths.</x:v>
      </x:c>
      <x:c r="J16" s="27"/>
      <x:c r="K16" s="27"/>
      <x:c r="L16" s="27"/>
      <x:c r="M16" s="27"/>
      <x:c r="N16" s="27"/>
      <x:c r="O16" s="27"/>
      <x:c r="P16" s="27"/>
      <x:c r="Q16" s="27"/>
      <x:c r="R16" s="27"/>
      <x:c r="S16" s="27"/>
      <x:c r="T16" s="27"/>
      <x:c r="U16" s="27"/>
      <x:c r="V16" s="27"/>
      <x:c r="W16" s="27"/>
      <x:c r="X16" s="27"/>
      <x:c r="Y16" s="27"/>
      <x:c r="Z16" s="27"/>
      <x:c r="AA16" s="27"/>
      <x:c r="AB16" s="27"/>
      <x:c r="AC16" s="27"/>
      <x:c r="AD16" s="27"/>
      <x:c r="AE16" s="27"/>
      <x:c r="AF16" s="27"/>
      <x:c r="AG16" s="27"/>
      <x:c r="AH16" s="27"/>
      <x:c r="AI16" s="27"/>
      <x:c r="AJ16" s="27"/>
      <x:c r="AK16" s="27"/>
      <x:c r="AL16" s="27"/>
      <x:c r="AM16" s="27"/>
      <x:c r="AN16" s="27"/>
      <x:c r="AO16" s="27"/>
      <x:c r="AP16" s="27"/>
      <x:c r="AQ16" s="27"/>
      <x:c r="AR16" s="27"/>
      <x:c r="AS16" s="27"/>
      <x:c r="AT16" s="27"/>
      <x:c r="AU16" s="27"/>
      <x:c r="AV16" s="27"/>
      <x:c r="AW16" s="27"/>
      <x:c r="AX16" s="27"/>
      <x:c r="AY16" s="27"/>
      <x:c r="AZ16" s="27"/>
    </x:row>
    <x:row r="17">
      <x:c r="A17" s="27" t="str">
        <x:v>TE-MONEY-VAL-001</x:v>
      </x:c>
      <x:c r="B17" s="27" t="str">
        <x:v>TE</x:v>
      </x:c>
      <x:c r="C17" s="27" t="str">
        <x:v>All solved archetypes</x:v>
      </x:c>
      <x:c r="D17" s="27" t="str">
        <x:v>Moneyball Validation v1.1</x:v>
      </x:c>
      <x:c r="E17" s="27" t="str">
        <x:v>ACTIVE / DESIGN COMPLETE</x:v>
      </x:c>
      <x:c r="F17" s="27" t="str">
        <x:v>Controlled pairwise gameplay/simulation framework; v1.0 utility weights frozen; development and holdout evidence separated.</x:v>
      </x:c>
      <x:c r="G17" s="27" t="str">
        <x:v>12/12 target attributes have current high-information same-OVR pairings</x:v>
      </x:c>
      <x:c r="H17" s="27" t="str">
        <x:v>No outcome data yet</x:v>
      </x:c>
      <x:c r="I17" s="27" t="str">
        <x:v>Use TE_Gameplay_Log + TE_Sim_Summary; no role-weight promotion without independent holdout.</x:v>
      </x:c>
      <x:c r="J17" s="27"/>
      <x:c r="K17" s="27"/>
      <x:c r="L17" s="27"/>
      <x:c r="M17" s="27"/>
      <x:c r="N17" s="27"/>
      <x:c r="O17" s="27"/>
      <x:c r="P17" s="27"/>
      <x:c r="Q17" s="27"/>
      <x:c r="R17" s="27"/>
      <x:c r="S17" s="27"/>
      <x:c r="T17" s="27"/>
      <x:c r="U17" s="27"/>
      <x:c r="V17" s="27"/>
      <x:c r="W17" s="27"/>
      <x:c r="X17" s="27"/>
      <x:c r="Y17" s="27"/>
      <x:c r="Z17" s="27"/>
      <x:c r="AA17" s="27"/>
      <x:c r="AB17" s="27"/>
      <x:c r="AC17" s="27"/>
      <x:c r="AD17" s="27"/>
      <x:c r="AE17" s="27"/>
      <x:c r="AF17" s="27"/>
      <x:c r="AG17" s="27"/>
      <x:c r="AH17" s="27"/>
      <x:c r="AI17" s="27"/>
      <x:c r="AJ17" s="27"/>
      <x:c r="AK17" s="27"/>
      <x:c r="AL17" s="27"/>
      <x:c r="AM17" s="27"/>
      <x:c r="AN17" s="27"/>
      <x:c r="AO17" s="27"/>
      <x:c r="AP17" s="27"/>
      <x:c r="AQ17" s="27"/>
      <x:c r="AR17" s="27"/>
      <x:c r="AS17" s="27"/>
      <x:c r="AT17" s="27"/>
      <x:c r="AU17" s="27"/>
      <x:c r="AV17" s="27"/>
      <x:c r="AW17" s="27"/>
      <x:c r="AX17" s="27"/>
      <x:c r="AY17" s="27"/>
      <x:c r="AZ17" s="27"/>
    </x:row>
    <x:row r="18">
      <x:c r="A18" s="270" t="str">
        <x:v>QB-SHARED-001</x:v>
      </x:c>
      <x:c r="B18" s="270" t="str">
        <x:v>QB</x:v>
      </x:c>
      <x:c r="C18" s="270" t="str">
        <x:v>Pocket Passer / Backfield Creator / Dual Threat</x:v>
      </x:c>
      <x:c r="D18" s="270" t="str">
        <x:v>v1.0</x:v>
      </x:c>
      <x:c r="E18" s="270" t="str">
        <x:v>OPERATIONALLY SOLVED / FROZEN</x:v>
      </x:c>
      <x:c r="F18" s="270" t="str">
        <x:v>Shared weighted component: 3 SPD +1 ACC +8 AGI +10 AWR +18 THP +12 SAC +12 MAC +18 DAC +1 RUN +9 TUP +4 PAC +4 BSK; divide by 100.</x:v>
      </x:c>
      <x:c r="G18" s="270" t="str">
        <x:v>Player-disjoint development profiles only</x:v>
      </x:c>
      <x:c r="H18" s="270" t="str">
        <x:v>Global holdout-involved 929/936 (99.25%); full 2046/2057 (99.47%)</x:v>
      </x:c>
      <x:c r="I18" s="270" t="str">
        <x:v>Within-archetype validation is 100% for all three represented archetypes. Nonlinear/archetype banding retained.</x:v>
      </x:c>
      <x:c r="J18" s="27"/>
      <x:c r="K18" s="27"/>
      <x:c r="L18" s="27"/>
      <x:c r="M18" s="27"/>
      <x:c r="N18" s="27"/>
      <x:c r="O18" s="27"/>
      <x:c r="P18" s="27"/>
      <x:c r="Q18" s="27"/>
      <x:c r="R18" s="27"/>
      <x:c r="S18" s="27"/>
      <x:c r="T18" s="27"/>
      <x:c r="U18" s="27"/>
      <x:c r="V18" s="27"/>
      <x:c r="W18" s="27"/>
      <x:c r="X18" s="27"/>
      <x:c r="Y18" s="27"/>
      <x:c r="Z18" s="27"/>
      <x:c r="AA18" s="27"/>
      <x:c r="AB18" s="27"/>
      <x:c r="AC18" s="27"/>
      <x:c r="AD18" s="27"/>
      <x:c r="AE18" s="27"/>
      <x:c r="AF18" s="27"/>
      <x:c r="AG18" s="27"/>
      <x:c r="AH18" s="27"/>
      <x:c r="AI18" s="27"/>
      <x:c r="AJ18" s="27"/>
      <x:c r="AK18" s="27"/>
      <x:c r="AL18" s="27"/>
      <x:c r="AM18" s="27"/>
      <x:c r="AN18" s="27"/>
      <x:c r="AO18" s="27"/>
      <x:c r="AP18" s="27"/>
      <x:c r="AQ18" s="27"/>
      <x:c r="AR18" s="27"/>
      <x:c r="AS18" s="27"/>
      <x:c r="AT18" s="27"/>
      <x:c r="AU18" s="27"/>
      <x:c r="AV18" s="27"/>
      <x:c r="AW18" s="27"/>
      <x:c r="AX18" s="27"/>
      <x:c r="AY18" s="27"/>
      <x:c r="AZ18" s="27"/>
    </x:row>
    <x:row r="19">
      <x:c r="A19" s="267" t="str">
        <x:v>QB-ARCH-PP-001</x:v>
      </x:c>
      <x:c r="B19" s="267" t="str">
        <x:v>QB</x:v>
      </x:c>
      <x:c r="C19" s="267" t="str">
        <x:v>Pocket Passer</x:v>
      </x:c>
      <x:c r="D19" s="267" t="str">
        <x:v>development candidate</x:v>
      </x:c>
      <x:c r="E19" s="267" t="str">
        <x:v>NOT PROMOTED — PARSIMONY</x:v>
      </x:c>
      <x:c r="F19" s="267" t="str">
        <x:v>Pocket-Passer-only optimized weights.</x:v>
      </x:c>
      <x:c r="G19" s="267" t="str">
        <x:v>Development 622/622</x:v>
      </x:c>
      <x:c r="H19" s="267" t="str">
        <x:v>Validation 458/458</x:v>
      </x:c>
      <x:c r="I19" s="267" t="str">
        <x:v>Shared model matches validation and avoids unnecessary archetype modifiers.</x:v>
      </x:c>
      <x:c r="J19" s="27"/>
      <x:c r="K19" s="27"/>
      <x:c r="L19" s="27"/>
      <x:c r="M19" s="27"/>
      <x:c r="N19" s="27"/>
      <x:c r="O19" s="27"/>
      <x:c r="P19" s="27"/>
      <x:c r="Q19" s="27"/>
      <x:c r="R19" s="27"/>
      <x:c r="S19" s="27"/>
      <x:c r="T19" s="27"/>
      <x:c r="U19" s="27"/>
      <x:c r="V19" s="27"/>
      <x:c r="W19" s="27"/>
      <x:c r="X19" s="27"/>
      <x:c r="Y19" s="27"/>
      <x:c r="Z19" s="27"/>
      <x:c r="AA19" s="27"/>
      <x:c r="AB19" s="27"/>
      <x:c r="AC19" s="27"/>
      <x:c r="AD19" s="27"/>
      <x:c r="AE19" s="27"/>
      <x:c r="AF19" s="27"/>
      <x:c r="AG19" s="27"/>
      <x:c r="AH19" s="27"/>
      <x:c r="AI19" s="27"/>
      <x:c r="AJ19" s="27"/>
      <x:c r="AK19" s="27"/>
      <x:c r="AL19" s="27"/>
      <x:c r="AM19" s="27"/>
      <x:c r="AN19" s="27"/>
      <x:c r="AO19" s="27"/>
      <x:c r="AP19" s="27"/>
      <x:c r="AQ19" s="27"/>
      <x:c r="AR19" s="27"/>
      <x:c r="AS19" s="27"/>
      <x:c r="AT19" s="27"/>
      <x:c r="AU19" s="27"/>
      <x:c r="AV19" s="27"/>
      <x:c r="AW19" s="27"/>
      <x:c r="AX19" s="27"/>
      <x:c r="AY19" s="27"/>
      <x:c r="AZ19" s="27"/>
    </x:row>
    <x:row r="20">
      <x:c r="A20" s="270" t="str">
        <x:v>QB-ARCH-BC-001</x:v>
      </x:c>
      <x:c r="B20" s="270" t="str">
        <x:v>QB</x:v>
      </x:c>
      <x:c r="C20" s="270" t="str">
        <x:v>Backfield Creator</x:v>
      </x:c>
      <x:c r="D20" s="270" t="str">
        <x:v>development candidate</x:v>
      </x:c>
      <x:c r="E20" s="270" t="str">
        <x:v>REJECTED AFTER INDEPENDENT VALIDATION</x:v>
      </x:c>
      <x:c r="F20" s="270" t="str">
        <x:v>Backfield-Creator-only optimized weights.</x:v>
      </x:c>
      <x:c r="G20" s="270" t="str">
        <x:v>Development 15/15</x:v>
      </x:c>
      <x:c r="H20" s="270" t="str">
        <x:v>Validation 17/18 (94.4%)</x:v>
      </x:c>
      <x:c r="I20" s="270" t="str">
        <x:v>Classic development overfit; preserved as failed hypothesis.</x:v>
      </x:c>
      <x:c r="J20" s="27"/>
      <x:c r="K20" s="27"/>
      <x:c r="L20" s="27"/>
      <x:c r="M20" s="27"/>
      <x:c r="N20" s="27"/>
      <x:c r="O20" s="27"/>
      <x:c r="P20" s="27"/>
      <x:c r="Q20" s="27"/>
      <x:c r="R20" s="27"/>
      <x:c r="S20" s="27"/>
      <x:c r="T20" s="27"/>
      <x:c r="U20" s="27"/>
      <x:c r="V20" s="27"/>
      <x:c r="W20" s="27"/>
      <x:c r="X20" s="27"/>
      <x:c r="Y20" s="27"/>
      <x:c r="Z20" s="27"/>
      <x:c r="AA20" s="27"/>
      <x:c r="AB20" s="27"/>
      <x:c r="AC20" s="27"/>
      <x:c r="AD20" s="27"/>
      <x:c r="AE20" s="27"/>
      <x:c r="AF20" s="27"/>
      <x:c r="AG20" s="27"/>
      <x:c r="AH20" s="27"/>
      <x:c r="AI20" s="27"/>
      <x:c r="AJ20" s="27"/>
      <x:c r="AK20" s="27"/>
      <x:c r="AL20" s="27"/>
      <x:c r="AM20" s="27"/>
      <x:c r="AN20" s="27"/>
      <x:c r="AO20" s="27"/>
      <x:c r="AP20" s="27"/>
      <x:c r="AQ20" s="27"/>
      <x:c r="AR20" s="27"/>
      <x:c r="AS20" s="27"/>
      <x:c r="AT20" s="27"/>
      <x:c r="AU20" s="27"/>
      <x:c r="AV20" s="27"/>
      <x:c r="AW20" s="27"/>
      <x:c r="AX20" s="27"/>
      <x:c r="AY20" s="27"/>
      <x:c r="AZ20" s="27"/>
    </x:row>
    <x:row r="21">
      <x:c r="A21" s="267" t="str">
        <x:v>QB-ARCH-DT-001</x:v>
      </x:c>
      <x:c r="B21" s="267" t="str">
        <x:v>QB</x:v>
      </x:c>
      <x:c r="C21" s="267" t="str">
        <x:v>Dual Threat</x:v>
      </x:c>
      <x:c r="D21" s="267" t="str">
        <x:v>development candidate</x:v>
      </x:c>
      <x:c r="E21" s="267" t="str">
        <x:v>REJECTED AFTER INDEPENDENT VALIDATION</x:v>
      </x:c>
      <x:c r="F21" s="267" t="str">
        <x:v>Dual-Threat-only optimized weights.</x:v>
      </x:c>
      <x:c r="G21" s="267" t="str">
        <x:v>Development 17/17</x:v>
      </x:c>
      <x:c r="H21" s="267" t="str">
        <x:v>Validation 18/20 (90.0%)</x:v>
      </x:c>
      <x:c r="I21" s="267" t="str">
        <x:v>Classic development overfit; preserved as failed hypothesis.</x:v>
      </x:c>
      <x:c r="J21" s="27"/>
      <x:c r="K21" s="27"/>
      <x:c r="L21" s="27"/>
      <x:c r="M21" s="27"/>
      <x:c r="N21" s="27"/>
      <x:c r="O21" s="27"/>
      <x:c r="P21" s="27"/>
      <x:c r="Q21" s="27"/>
      <x:c r="R21" s="27"/>
      <x:c r="S21" s="27"/>
      <x:c r="T21" s="27"/>
      <x:c r="U21" s="27"/>
      <x:c r="V21" s="27"/>
      <x:c r="W21" s="27"/>
      <x:c r="X21" s="27"/>
      <x:c r="Y21" s="27"/>
      <x:c r="Z21" s="27"/>
      <x:c r="AA21" s="27"/>
      <x:c r="AB21" s="27"/>
      <x:c r="AC21" s="27"/>
      <x:c r="AD21" s="27"/>
      <x:c r="AE21" s="27"/>
      <x:c r="AF21" s="27"/>
      <x:c r="AG21" s="27"/>
      <x:c r="AH21" s="27"/>
      <x:c r="AI21" s="27"/>
      <x:c r="AJ21" s="27"/>
      <x:c r="AK21" s="27"/>
      <x:c r="AL21" s="27"/>
      <x:c r="AM21" s="27"/>
      <x:c r="AN21" s="27"/>
      <x:c r="AO21" s="27"/>
      <x:c r="AP21" s="27"/>
      <x:c r="AQ21" s="27"/>
      <x:c r="AR21" s="27"/>
      <x:c r="AS21" s="27"/>
      <x:c r="AT21" s="27"/>
      <x:c r="AU21" s="27"/>
      <x:c r="AV21" s="27"/>
      <x:c r="AW21" s="27"/>
      <x:c r="AX21" s="27"/>
      <x:c r="AY21" s="27"/>
      <x:c r="AZ21" s="27"/>
    </x:row>
    <x:row r="22">
      <x:c r="A22" s="270" t="str">
        <x:v>QB-PR-REF-001</x:v>
      </x:c>
      <x:c r="B22" s="270" t="str">
        <x:v>QB</x:v>
      </x:c>
      <x:c r="C22" s="270" t="str">
        <x:v>Pure Runner</x:v>
      </x:c>
      <x:c r="D22" s="270" t="str">
        <x:v>Madden19 reference only</x:v>
      </x:c>
      <x:c r="E22" s="270" t="str">
        <x:v>INSUFFICIENT EVIDENCE / UNSOLVED</x:v>
      </x:c>
      <x:c r="F22" s="270" t="str">
        <x:v>Historical Scrambler weights only; no fitted CFB27 model.</x:v>
      </x:c>
      <x:c r="G22" s="270" t="str">
        <x:v>3 unique profiles / 2 OVR tiers</x:v>
      </x:c>
      <x:c r="H22" s="270" t="str">
        <x:v>0 independent pairs</x:v>
      </x:c>
      <x:c r="I22" s="270" t="str">
        <x:v>Excluded from solved coverage until minimum evidence assignment is completed.</x:v>
      </x:c>
      <x:c r="J22" s="27"/>
      <x:c r="K22" s="27"/>
      <x:c r="L22" s="27"/>
      <x:c r="M22" s="27"/>
      <x:c r="N22" s="27"/>
      <x:c r="O22" s="27"/>
      <x:c r="P22" s="27"/>
      <x:c r="Q22" s="27"/>
      <x:c r="R22" s="27"/>
      <x:c r="S22" s="27"/>
      <x:c r="T22" s="27"/>
      <x:c r="U22" s="27"/>
      <x:c r="V22" s="27"/>
      <x:c r="W22" s="27"/>
      <x:c r="X22" s="27"/>
      <x:c r="Y22" s="27"/>
      <x:c r="Z22" s="27"/>
      <x:c r="AA22" s="27"/>
      <x:c r="AB22" s="27"/>
      <x:c r="AC22" s="27"/>
      <x:c r="AD22" s="27"/>
      <x:c r="AE22" s="27"/>
      <x:c r="AF22" s="27"/>
      <x:c r="AG22" s="27"/>
      <x:c r="AH22" s="27"/>
      <x:c r="AI22" s="27"/>
      <x:c r="AJ22" s="27"/>
      <x:c r="AK22" s="27"/>
      <x:c r="AL22" s="27"/>
      <x:c r="AM22" s="27"/>
      <x:c r="AN22" s="27"/>
      <x:c r="AO22" s="27"/>
      <x:c r="AP22" s="27"/>
      <x:c r="AQ22" s="27"/>
      <x:c r="AR22" s="27"/>
      <x:c r="AS22" s="27"/>
      <x:c r="AT22" s="27"/>
      <x:c r="AU22" s="27"/>
      <x:c r="AV22" s="27"/>
      <x:c r="AW22" s="27"/>
      <x:c r="AX22" s="27"/>
      <x:c r="AY22" s="27"/>
      <x:c r="AZ22" s="27"/>
    </x:row>
    <x:row r="23">
      <x:c r="A23" s="27"/>
      <x:c r="B23" s="27"/>
      <x:c r="C23" s="27"/>
      <x:c r="D23" s="27"/>
      <x:c r="E23" s="27"/>
      <x:c r="F23" s="27"/>
      <x:c r="G23" s="27"/>
      <x:c r="H23" s="27"/>
      <x:c r="I23" s="27"/>
      <x:c r="J23" s="27"/>
      <x:c r="K23" s="27"/>
      <x:c r="L23" s="27"/>
      <x:c r="M23" s="27"/>
      <x:c r="N23" s="27"/>
      <x:c r="O23" s="27"/>
      <x:c r="P23" s="27"/>
      <x:c r="Q23" s="27"/>
      <x:c r="R23" s="27"/>
      <x:c r="S23" s="27"/>
      <x:c r="T23" s="27"/>
      <x:c r="U23" s="27"/>
      <x:c r="V23" s="27"/>
      <x:c r="W23" s="27"/>
      <x:c r="X23" s="27"/>
      <x:c r="Y23" s="27"/>
      <x:c r="Z23" s="27"/>
      <x:c r="AA23" s="27"/>
      <x:c r="AB23" s="27"/>
      <x:c r="AC23" s="27"/>
      <x:c r="AD23" s="27"/>
      <x:c r="AE23" s="27"/>
      <x:c r="AF23" s="27"/>
      <x:c r="AG23" s="27"/>
      <x:c r="AH23" s="27"/>
      <x:c r="AI23" s="27"/>
      <x:c r="AJ23" s="27"/>
      <x:c r="AK23" s="27"/>
      <x:c r="AL23" s="27"/>
      <x:c r="AM23" s="27"/>
      <x:c r="AN23" s="27"/>
      <x:c r="AO23" s="27"/>
      <x:c r="AP23" s="27"/>
      <x:c r="AQ23" s="27"/>
      <x:c r="AR23" s="27"/>
      <x:c r="AS23" s="27"/>
      <x:c r="AT23" s="27"/>
      <x:c r="AU23" s="27"/>
      <x:c r="AV23" s="27"/>
      <x:c r="AW23" s="27"/>
      <x:c r="AX23" s="27"/>
      <x:c r="AY23" s="27"/>
      <x:c r="AZ23" s="27"/>
    </x:row>
    <x:row r="24">
      <x:c r="A24" s="27"/>
      <x:c r="B24" s="27"/>
      <x:c r="C24" s="27"/>
      <x:c r="D24" s="27"/>
      <x:c r="E24" s="27"/>
      <x:c r="F24" s="27"/>
      <x:c r="G24" s="27"/>
      <x:c r="H24" s="27"/>
      <x:c r="I24" s="27"/>
      <x:c r="J24" s="27"/>
      <x:c r="K24" s="27"/>
      <x:c r="L24" s="27"/>
      <x:c r="M24" s="27"/>
      <x:c r="N24" s="27"/>
      <x:c r="O24" s="27"/>
      <x:c r="P24" s="27"/>
      <x:c r="Q24" s="27"/>
      <x:c r="R24" s="27"/>
      <x:c r="S24" s="27"/>
      <x:c r="T24" s="27"/>
      <x:c r="U24" s="27"/>
      <x:c r="V24" s="27"/>
      <x:c r="W24" s="27"/>
      <x:c r="X24" s="27"/>
      <x:c r="Y24" s="27"/>
      <x:c r="Z24" s="27"/>
      <x:c r="AA24" s="27"/>
      <x:c r="AB24" s="27"/>
      <x:c r="AC24" s="27"/>
      <x:c r="AD24" s="27"/>
      <x:c r="AE24" s="27"/>
      <x:c r="AF24" s="27"/>
      <x:c r="AG24" s="27"/>
      <x:c r="AH24" s="27"/>
      <x:c r="AI24" s="27"/>
      <x:c r="AJ24" s="27"/>
      <x:c r="AK24" s="27"/>
      <x:c r="AL24" s="27"/>
      <x:c r="AM24" s="27"/>
      <x:c r="AN24" s="27"/>
      <x:c r="AO24" s="27"/>
      <x:c r="AP24" s="27"/>
      <x:c r="AQ24" s="27"/>
      <x:c r="AR24" s="27"/>
      <x:c r="AS24" s="27"/>
      <x:c r="AT24" s="27"/>
      <x:c r="AU24" s="27"/>
      <x:c r="AV24" s="27"/>
      <x:c r="AW24" s="27"/>
      <x:c r="AX24" s="27"/>
      <x:c r="AY24" s="27"/>
      <x:c r="AZ24" s="27"/>
    </x:row>
    <x:row r="25">
      <x:c r="A25" s="27"/>
      <x:c r="B25" s="27"/>
      <x:c r="C25" s="27"/>
      <x:c r="D25" s="27"/>
      <x:c r="E25" s="27"/>
      <x:c r="F25" s="27"/>
      <x:c r="G25" s="27"/>
      <x:c r="H25" s="27"/>
      <x:c r="I25" s="27"/>
      <x:c r="J25" s="27"/>
      <x:c r="K25" s="27"/>
      <x:c r="L25" s="27"/>
      <x:c r="M25" s="27"/>
      <x:c r="N25" s="27"/>
      <x:c r="O25" s="27"/>
      <x:c r="P25" s="27"/>
      <x:c r="Q25" s="27"/>
      <x:c r="R25" s="27"/>
      <x:c r="S25" s="27"/>
      <x:c r="T25" s="27"/>
      <x:c r="U25" s="27"/>
      <x:c r="V25" s="27"/>
      <x:c r="W25" s="27"/>
      <x:c r="X25" s="27"/>
      <x:c r="Y25" s="27"/>
      <x:c r="Z25" s="27"/>
      <x:c r="AA25" s="27"/>
      <x:c r="AB25" s="27"/>
      <x:c r="AC25" s="27"/>
      <x:c r="AD25" s="27"/>
      <x:c r="AE25" s="27"/>
      <x:c r="AF25" s="27"/>
      <x:c r="AG25" s="27"/>
      <x:c r="AH25" s="27"/>
      <x:c r="AI25" s="27"/>
      <x:c r="AJ25" s="27"/>
      <x:c r="AK25" s="27"/>
      <x:c r="AL25" s="27"/>
      <x:c r="AM25" s="27"/>
      <x:c r="AN25" s="27"/>
      <x:c r="AO25" s="27"/>
      <x:c r="AP25" s="27"/>
      <x:c r="AQ25" s="27"/>
      <x:c r="AR25" s="27"/>
      <x:c r="AS25" s="27"/>
      <x:c r="AT25" s="27"/>
      <x:c r="AU25" s="27"/>
      <x:c r="AV25" s="27"/>
      <x:c r="AW25" s="27"/>
      <x:c r="AX25" s="27"/>
      <x:c r="AY25" s="27"/>
      <x:c r="AZ25" s="27"/>
    </x:row>
    <x:row r="26">
      <x:c r="A26" s="27"/>
      <x:c r="B26" s="27"/>
      <x:c r="C26" s="27"/>
      <x:c r="D26" s="27"/>
      <x:c r="E26" s="27"/>
      <x:c r="F26" s="27"/>
      <x:c r="G26" s="27"/>
      <x:c r="H26" s="27"/>
      <x:c r="I26" s="27"/>
      <x:c r="J26" s="27"/>
      <x:c r="K26" s="27"/>
      <x:c r="L26" s="27"/>
      <x:c r="M26" s="27"/>
      <x:c r="N26" s="27"/>
      <x:c r="O26" s="27"/>
      <x:c r="P26" s="27"/>
      <x:c r="Q26" s="27"/>
      <x:c r="R26" s="27"/>
      <x:c r="S26" s="27"/>
      <x:c r="T26" s="27"/>
      <x:c r="U26" s="27"/>
      <x:c r="V26" s="27"/>
      <x:c r="W26" s="27"/>
      <x:c r="X26" s="27"/>
      <x:c r="Y26" s="27"/>
      <x:c r="Z26" s="27"/>
      <x:c r="AA26" s="27"/>
      <x:c r="AB26" s="27"/>
      <x:c r="AC26" s="27"/>
      <x:c r="AD26" s="27"/>
      <x:c r="AE26" s="27"/>
      <x:c r="AF26" s="27"/>
      <x:c r="AG26" s="27"/>
      <x:c r="AH26" s="27"/>
      <x:c r="AI26" s="27"/>
      <x:c r="AJ26" s="27"/>
      <x:c r="AK26" s="27"/>
      <x:c r="AL26" s="27"/>
      <x:c r="AM26" s="27"/>
      <x:c r="AN26" s="27"/>
      <x:c r="AO26" s="27"/>
      <x:c r="AP26" s="27"/>
      <x:c r="AQ26" s="27"/>
      <x:c r="AR26" s="27"/>
      <x:c r="AS26" s="27"/>
      <x:c r="AT26" s="27"/>
      <x:c r="AU26" s="27"/>
      <x:c r="AV26" s="27"/>
      <x:c r="AW26" s="27"/>
      <x:c r="AX26" s="27"/>
      <x:c r="AY26" s="27"/>
      <x:c r="AZ26" s="27"/>
    </x:row>
    <x:row r="27">
      <x:c r="A27" s="27"/>
      <x:c r="B27" s="27"/>
      <x:c r="C27" s="27"/>
      <x:c r="D27" s="27"/>
      <x:c r="E27" s="27"/>
      <x:c r="F27" s="27"/>
      <x:c r="G27" s="27"/>
      <x:c r="H27" s="27"/>
      <x:c r="I27" s="27"/>
      <x:c r="J27" s="27"/>
      <x:c r="K27" s="27"/>
      <x:c r="L27" s="27"/>
      <x:c r="M27" s="27"/>
      <x:c r="N27" s="27"/>
      <x:c r="O27" s="27"/>
      <x:c r="P27" s="27"/>
      <x:c r="Q27" s="27"/>
      <x:c r="R27" s="27"/>
      <x:c r="S27" s="27"/>
      <x:c r="T27" s="27"/>
      <x:c r="U27" s="27"/>
      <x:c r="V27" s="27"/>
      <x:c r="W27" s="27"/>
      <x:c r="X27" s="27"/>
      <x:c r="Y27" s="27"/>
      <x:c r="Z27" s="27"/>
      <x:c r="AA27" s="27"/>
      <x:c r="AB27" s="27"/>
      <x:c r="AC27" s="27"/>
      <x:c r="AD27" s="27"/>
      <x:c r="AE27" s="27"/>
      <x:c r="AF27" s="27"/>
      <x:c r="AG27" s="27"/>
      <x:c r="AH27" s="27"/>
      <x:c r="AI27" s="27"/>
      <x:c r="AJ27" s="27"/>
      <x:c r="AK27" s="27"/>
      <x:c r="AL27" s="27"/>
      <x:c r="AM27" s="27"/>
      <x:c r="AN27" s="27"/>
      <x:c r="AO27" s="27"/>
      <x:c r="AP27" s="27"/>
      <x:c r="AQ27" s="27"/>
      <x:c r="AR27" s="27"/>
      <x:c r="AS27" s="27"/>
      <x:c r="AT27" s="27"/>
      <x:c r="AU27" s="27"/>
      <x:c r="AV27" s="27"/>
      <x:c r="AW27" s="27"/>
      <x:c r="AX27" s="27"/>
      <x:c r="AY27" s="27"/>
      <x:c r="AZ27" s="27"/>
    </x:row>
    <x:row r="28">
      <x:c r="A28" s="27"/>
      <x:c r="B28" s="27"/>
      <x:c r="C28" s="27"/>
      <x:c r="D28" s="27"/>
      <x:c r="E28" s="27"/>
      <x:c r="F28" s="27"/>
      <x:c r="G28" s="27"/>
      <x:c r="H28" s="27"/>
      <x:c r="I28" s="27"/>
      <x:c r="J28" s="27"/>
      <x:c r="K28" s="27"/>
      <x:c r="L28" s="27"/>
      <x:c r="M28" s="27"/>
      <x:c r="N28" s="27"/>
      <x:c r="O28" s="27"/>
      <x:c r="P28" s="27"/>
      <x:c r="Q28" s="27"/>
      <x:c r="R28" s="27"/>
      <x:c r="S28" s="27"/>
      <x:c r="T28" s="27"/>
      <x:c r="U28" s="27"/>
      <x:c r="V28" s="27"/>
      <x:c r="W28" s="27"/>
      <x:c r="X28" s="27"/>
      <x:c r="Y28" s="27"/>
      <x:c r="Z28" s="27"/>
      <x:c r="AA28" s="27"/>
      <x:c r="AB28" s="27"/>
      <x:c r="AC28" s="27"/>
      <x:c r="AD28" s="27"/>
      <x:c r="AE28" s="27"/>
      <x:c r="AF28" s="27"/>
      <x:c r="AG28" s="27"/>
      <x:c r="AH28" s="27"/>
      <x:c r="AI28" s="27"/>
      <x:c r="AJ28" s="27"/>
      <x:c r="AK28" s="27"/>
      <x:c r="AL28" s="27"/>
      <x:c r="AM28" s="27"/>
      <x:c r="AN28" s="27"/>
      <x:c r="AO28" s="27"/>
      <x:c r="AP28" s="27"/>
      <x:c r="AQ28" s="27"/>
      <x:c r="AR28" s="27"/>
      <x:c r="AS28" s="27"/>
      <x:c r="AT28" s="27"/>
      <x:c r="AU28" s="27"/>
      <x:c r="AV28" s="27"/>
      <x:c r="AW28" s="27"/>
      <x:c r="AX28" s="27"/>
      <x:c r="AY28" s="27"/>
      <x:c r="AZ28" s="27"/>
    </x:row>
    <x:row r="29">
      <x:c r="A29" s="27"/>
      <x:c r="B29" s="27"/>
      <x:c r="C29" s="27"/>
      <x:c r="D29" s="27"/>
      <x:c r="E29" s="27"/>
      <x:c r="F29" s="27"/>
      <x:c r="G29" s="27"/>
      <x:c r="H29" s="27"/>
      <x:c r="I29" s="27"/>
      <x:c r="J29" s="27"/>
      <x:c r="K29" s="27"/>
      <x:c r="L29" s="27"/>
      <x:c r="M29" s="27"/>
      <x:c r="N29" s="27"/>
      <x:c r="O29" s="27"/>
      <x:c r="P29" s="27"/>
      <x:c r="Q29" s="27"/>
      <x:c r="R29" s="27"/>
      <x:c r="S29" s="27"/>
      <x:c r="T29" s="27"/>
      <x:c r="U29" s="27"/>
      <x:c r="V29" s="27"/>
      <x:c r="W29" s="27"/>
      <x:c r="X29" s="27"/>
      <x:c r="Y29" s="27"/>
      <x:c r="Z29" s="27"/>
      <x:c r="AA29" s="27"/>
      <x:c r="AB29" s="27"/>
      <x:c r="AC29" s="27"/>
      <x:c r="AD29" s="27"/>
      <x:c r="AE29" s="27"/>
      <x:c r="AF29" s="27"/>
      <x:c r="AG29" s="27"/>
      <x:c r="AH29" s="27"/>
      <x:c r="AI29" s="27"/>
      <x:c r="AJ29" s="27"/>
      <x:c r="AK29" s="27"/>
      <x:c r="AL29" s="27"/>
      <x:c r="AM29" s="27"/>
      <x:c r="AN29" s="27"/>
      <x:c r="AO29" s="27"/>
      <x:c r="AP29" s="27"/>
      <x:c r="AQ29" s="27"/>
      <x:c r="AR29" s="27"/>
      <x:c r="AS29" s="27"/>
      <x:c r="AT29" s="27"/>
      <x:c r="AU29" s="27"/>
      <x:c r="AV29" s="27"/>
      <x:c r="AW29" s="27"/>
      <x:c r="AX29" s="27"/>
      <x:c r="AY29" s="27"/>
      <x:c r="AZ29" s="27"/>
    </x:row>
    <x:row r="30">
      <x:c r="A30" s="27"/>
      <x:c r="B30" s="27"/>
      <x:c r="C30" s="27"/>
      <x:c r="D30" s="27"/>
      <x:c r="E30" s="27"/>
      <x:c r="F30" s="27"/>
      <x:c r="G30" s="27"/>
      <x:c r="H30" s="27"/>
      <x:c r="I30" s="27"/>
      <x:c r="J30" s="27"/>
      <x:c r="K30" s="27"/>
      <x:c r="L30" s="27"/>
      <x:c r="M30" s="27"/>
      <x:c r="N30" s="27"/>
      <x:c r="O30" s="27"/>
      <x:c r="P30" s="27"/>
      <x:c r="Q30" s="27"/>
      <x:c r="R30" s="27"/>
      <x:c r="S30" s="27"/>
      <x:c r="T30" s="27"/>
      <x:c r="U30" s="27"/>
      <x:c r="V30" s="27"/>
      <x:c r="W30" s="27"/>
      <x:c r="X30" s="27"/>
      <x:c r="Y30" s="27"/>
      <x:c r="Z30" s="27"/>
      <x:c r="AA30" s="27"/>
      <x:c r="AB30" s="27"/>
      <x:c r="AC30" s="27"/>
      <x:c r="AD30" s="27"/>
      <x:c r="AE30" s="27"/>
      <x:c r="AF30" s="27"/>
      <x:c r="AG30" s="27"/>
      <x:c r="AH30" s="27"/>
      <x:c r="AI30" s="27"/>
      <x:c r="AJ30" s="27"/>
      <x:c r="AK30" s="27"/>
      <x:c r="AL30" s="27"/>
      <x:c r="AM30" s="27"/>
      <x:c r="AN30" s="27"/>
      <x:c r="AO30" s="27"/>
      <x:c r="AP30" s="27"/>
      <x:c r="AQ30" s="27"/>
      <x:c r="AR30" s="27"/>
      <x:c r="AS30" s="27"/>
      <x:c r="AT30" s="27"/>
      <x:c r="AU30" s="27"/>
      <x:c r="AV30" s="27"/>
      <x:c r="AW30" s="27"/>
      <x:c r="AX30" s="27"/>
      <x:c r="AY30" s="27"/>
      <x:c r="AZ30" s="27"/>
    </x:row>
    <x:row r="31">
      <x:c r="A31" s="27"/>
      <x:c r="B31" s="27"/>
      <x:c r="C31" s="27"/>
      <x:c r="D31" s="27"/>
      <x:c r="E31" s="27"/>
      <x:c r="F31" s="27"/>
      <x:c r="G31" s="27"/>
      <x:c r="H31" s="27"/>
      <x:c r="I31" s="27"/>
      <x:c r="J31" s="27"/>
      <x:c r="K31" s="27"/>
      <x:c r="L31" s="27"/>
      <x:c r="M31" s="27"/>
      <x:c r="N31" s="27"/>
      <x:c r="O31" s="27"/>
      <x:c r="P31" s="27"/>
      <x:c r="Q31" s="27"/>
      <x:c r="R31" s="27"/>
      <x:c r="S31" s="27"/>
      <x:c r="T31" s="27"/>
      <x:c r="U31" s="27"/>
      <x:c r="V31" s="27"/>
      <x:c r="W31" s="27"/>
      <x:c r="X31" s="27"/>
      <x:c r="Y31" s="27"/>
      <x:c r="Z31" s="27"/>
      <x:c r="AA31" s="27"/>
      <x:c r="AB31" s="27"/>
      <x:c r="AC31" s="27"/>
      <x:c r="AD31" s="27"/>
      <x:c r="AE31" s="27"/>
      <x:c r="AF31" s="27"/>
      <x:c r="AG31" s="27"/>
      <x:c r="AH31" s="27"/>
      <x:c r="AI31" s="27"/>
      <x:c r="AJ31" s="27"/>
      <x:c r="AK31" s="27"/>
      <x:c r="AL31" s="27"/>
      <x:c r="AM31" s="27"/>
      <x:c r="AN31" s="27"/>
      <x:c r="AO31" s="27"/>
      <x:c r="AP31" s="27"/>
      <x:c r="AQ31" s="27"/>
      <x:c r="AR31" s="27"/>
      <x:c r="AS31" s="27"/>
      <x:c r="AT31" s="27"/>
      <x:c r="AU31" s="27"/>
      <x:c r="AV31" s="27"/>
      <x:c r="AW31" s="27"/>
      <x:c r="AX31" s="27"/>
      <x:c r="AY31" s="27"/>
      <x:c r="AZ31" s="27"/>
    </x:row>
    <x:row r="32">
      <x:c r="A32" s="27"/>
      <x:c r="B32" s="27"/>
      <x:c r="C32" s="27"/>
      <x:c r="D32" s="27"/>
      <x:c r="E32" s="27"/>
      <x:c r="F32" s="27"/>
      <x:c r="G32" s="27"/>
      <x:c r="H32" s="27"/>
      <x:c r="I32" s="27"/>
      <x:c r="J32" s="27"/>
      <x:c r="K32" s="27"/>
      <x:c r="L32" s="27"/>
      <x:c r="M32" s="27"/>
      <x:c r="N32" s="27"/>
      <x:c r="O32" s="27"/>
      <x:c r="P32" s="27"/>
      <x:c r="Q32" s="27"/>
      <x:c r="R32" s="27"/>
      <x:c r="S32" s="27"/>
      <x:c r="T32" s="27"/>
      <x:c r="U32" s="27"/>
      <x:c r="V32" s="27"/>
      <x:c r="W32" s="27"/>
      <x:c r="X32" s="27"/>
      <x:c r="Y32" s="27"/>
      <x:c r="Z32" s="27"/>
      <x:c r="AA32" s="27"/>
      <x:c r="AB32" s="27"/>
      <x:c r="AC32" s="27"/>
      <x:c r="AD32" s="27"/>
      <x:c r="AE32" s="27"/>
      <x:c r="AF32" s="27"/>
      <x:c r="AG32" s="27"/>
      <x:c r="AH32" s="27"/>
      <x:c r="AI32" s="27"/>
      <x:c r="AJ32" s="27"/>
      <x:c r="AK32" s="27"/>
      <x:c r="AL32" s="27"/>
      <x:c r="AM32" s="27"/>
      <x:c r="AN32" s="27"/>
      <x:c r="AO32" s="27"/>
      <x:c r="AP32" s="27"/>
      <x:c r="AQ32" s="27"/>
      <x:c r="AR32" s="27"/>
      <x:c r="AS32" s="27"/>
      <x:c r="AT32" s="27"/>
      <x:c r="AU32" s="27"/>
      <x:c r="AV32" s="27"/>
      <x:c r="AW32" s="27"/>
      <x:c r="AX32" s="27"/>
      <x:c r="AY32" s="27"/>
      <x:c r="AZ32" s="27"/>
    </x:row>
    <x:row r="33">
      <x:c r="A33" s="27"/>
      <x:c r="B33" s="27"/>
      <x:c r="C33" s="27"/>
      <x:c r="D33" s="27"/>
      <x:c r="E33" s="27"/>
      <x:c r="F33" s="27"/>
      <x:c r="G33" s="27"/>
      <x:c r="H33" s="27"/>
      <x:c r="I33" s="27"/>
      <x:c r="J33" s="27"/>
      <x:c r="K33" s="27"/>
      <x:c r="L33" s="27"/>
      <x:c r="M33" s="27"/>
      <x:c r="N33" s="27"/>
      <x:c r="O33" s="27"/>
      <x:c r="P33" s="27"/>
      <x:c r="Q33" s="27"/>
      <x:c r="R33" s="27"/>
      <x:c r="S33" s="27"/>
      <x:c r="T33" s="27"/>
      <x:c r="U33" s="27"/>
      <x:c r="V33" s="27"/>
      <x:c r="W33" s="27"/>
      <x:c r="X33" s="27"/>
      <x:c r="Y33" s="27"/>
      <x:c r="Z33" s="27"/>
      <x:c r="AA33" s="27"/>
      <x:c r="AB33" s="27"/>
      <x:c r="AC33" s="27"/>
      <x:c r="AD33" s="27"/>
      <x:c r="AE33" s="27"/>
      <x:c r="AF33" s="27"/>
      <x:c r="AG33" s="27"/>
      <x:c r="AH33" s="27"/>
      <x:c r="AI33" s="27"/>
      <x:c r="AJ33" s="27"/>
      <x:c r="AK33" s="27"/>
      <x:c r="AL33" s="27"/>
      <x:c r="AM33" s="27"/>
      <x:c r="AN33" s="27"/>
      <x:c r="AO33" s="27"/>
      <x:c r="AP33" s="27"/>
      <x:c r="AQ33" s="27"/>
      <x:c r="AR33" s="27"/>
      <x:c r="AS33" s="27"/>
      <x:c r="AT33" s="27"/>
      <x:c r="AU33" s="27"/>
      <x:c r="AV33" s="27"/>
      <x:c r="AW33" s="27"/>
      <x:c r="AX33" s="27"/>
      <x:c r="AY33" s="27"/>
      <x:c r="AZ33" s="27"/>
    </x:row>
    <x:row r="34">
      <x:c r="A34" s="27"/>
      <x:c r="B34" s="27"/>
      <x:c r="C34" s="27"/>
      <x:c r="D34" s="27"/>
      <x:c r="E34" s="27"/>
      <x:c r="F34" s="27"/>
      <x:c r="G34" s="27"/>
      <x:c r="H34" s="27"/>
      <x:c r="I34" s="27"/>
      <x:c r="J34" s="27"/>
      <x:c r="K34" s="27"/>
      <x:c r="L34" s="27"/>
      <x:c r="M34" s="27"/>
      <x:c r="N34" s="27"/>
      <x:c r="O34" s="27"/>
      <x:c r="P34" s="27"/>
      <x:c r="Q34" s="27"/>
      <x:c r="R34" s="27"/>
      <x:c r="S34" s="27"/>
      <x:c r="T34" s="27"/>
      <x:c r="U34" s="27"/>
      <x:c r="V34" s="27"/>
      <x:c r="W34" s="27"/>
      <x:c r="X34" s="27"/>
      <x:c r="Y34" s="27"/>
      <x:c r="Z34" s="27"/>
      <x:c r="AA34" s="27"/>
      <x:c r="AB34" s="27"/>
      <x:c r="AC34" s="27"/>
      <x:c r="AD34" s="27"/>
      <x:c r="AE34" s="27"/>
      <x:c r="AF34" s="27"/>
      <x:c r="AG34" s="27"/>
      <x:c r="AH34" s="27"/>
      <x:c r="AI34" s="27"/>
      <x:c r="AJ34" s="27"/>
      <x:c r="AK34" s="27"/>
      <x:c r="AL34" s="27"/>
      <x:c r="AM34" s="27"/>
      <x:c r="AN34" s="27"/>
      <x:c r="AO34" s="27"/>
      <x:c r="AP34" s="27"/>
      <x:c r="AQ34" s="27"/>
      <x:c r="AR34" s="27"/>
      <x:c r="AS34" s="27"/>
      <x:c r="AT34" s="27"/>
      <x:c r="AU34" s="27"/>
      <x:c r="AV34" s="27"/>
      <x:c r="AW34" s="27"/>
      <x:c r="AX34" s="27"/>
      <x:c r="AY34" s="27"/>
      <x:c r="AZ34" s="27"/>
    </x:row>
    <x:row r="35">
      <x:c r="A35" s="27"/>
      <x:c r="B35" s="27"/>
      <x:c r="C35" s="27"/>
      <x:c r="D35" s="27"/>
      <x:c r="E35" s="27"/>
      <x:c r="F35" s="27"/>
      <x:c r="G35" s="27"/>
      <x:c r="H35" s="27"/>
      <x:c r="I35" s="27"/>
      <x:c r="J35" s="27"/>
      <x:c r="K35" s="27"/>
      <x:c r="L35" s="27"/>
      <x:c r="M35" s="27"/>
      <x:c r="N35" s="27"/>
      <x:c r="O35" s="27"/>
      <x:c r="P35" s="27"/>
      <x:c r="Q35" s="27"/>
      <x:c r="R35" s="27"/>
      <x:c r="S35" s="27"/>
      <x:c r="T35" s="27"/>
      <x:c r="U35" s="27"/>
      <x:c r="V35" s="27"/>
      <x:c r="W35" s="27"/>
      <x:c r="X35" s="27"/>
      <x:c r="Y35" s="27"/>
      <x:c r="Z35" s="27"/>
      <x:c r="AA35" s="27"/>
      <x:c r="AB35" s="27"/>
      <x:c r="AC35" s="27"/>
      <x:c r="AD35" s="27"/>
      <x:c r="AE35" s="27"/>
      <x:c r="AF35" s="27"/>
      <x:c r="AG35" s="27"/>
      <x:c r="AH35" s="27"/>
      <x:c r="AI35" s="27"/>
      <x:c r="AJ35" s="27"/>
      <x:c r="AK35" s="27"/>
      <x:c r="AL35" s="27"/>
      <x:c r="AM35" s="27"/>
      <x:c r="AN35" s="27"/>
      <x:c r="AO35" s="27"/>
      <x:c r="AP35" s="27"/>
      <x:c r="AQ35" s="27"/>
      <x:c r="AR35" s="27"/>
      <x:c r="AS35" s="27"/>
      <x:c r="AT35" s="27"/>
      <x:c r="AU35" s="27"/>
      <x:c r="AV35" s="27"/>
      <x:c r="AW35" s="27"/>
      <x:c r="AX35" s="27"/>
      <x:c r="AY35" s="27"/>
      <x:c r="AZ35" s="27"/>
    </x:row>
    <x:row r="36">
      <x:c r="A36" s="27"/>
      <x:c r="B36" s="27"/>
      <x:c r="C36" s="27"/>
      <x:c r="D36" s="27"/>
      <x:c r="E36" s="27"/>
      <x:c r="F36" s="27"/>
      <x:c r="G36" s="27"/>
      <x:c r="H36" s="27"/>
      <x:c r="I36" s="27"/>
      <x:c r="J36" s="27"/>
      <x:c r="K36" s="27"/>
      <x:c r="L36" s="27"/>
      <x:c r="M36" s="27"/>
      <x:c r="N36" s="27"/>
      <x:c r="O36" s="27"/>
      <x:c r="P36" s="27"/>
      <x:c r="Q36" s="27"/>
      <x:c r="R36" s="27"/>
      <x:c r="S36" s="27"/>
      <x:c r="T36" s="27"/>
      <x:c r="U36" s="27"/>
      <x:c r="V36" s="27"/>
      <x:c r="W36" s="27"/>
      <x:c r="X36" s="27"/>
      <x:c r="Y36" s="27"/>
      <x:c r="Z36" s="27"/>
      <x:c r="AA36" s="27"/>
      <x:c r="AB36" s="27"/>
      <x:c r="AC36" s="27"/>
      <x:c r="AD36" s="27"/>
      <x:c r="AE36" s="27"/>
      <x:c r="AF36" s="27"/>
      <x:c r="AG36" s="27"/>
      <x:c r="AH36" s="27"/>
      <x:c r="AI36" s="27"/>
      <x:c r="AJ36" s="27"/>
      <x:c r="AK36" s="27"/>
      <x:c r="AL36" s="27"/>
      <x:c r="AM36" s="27"/>
      <x:c r="AN36" s="27"/>
      <x:c r="AO36" s="27"/>
      <x:c r="AP36" s="27"/>
      <x:c r="AQ36" s="27"/>
      <x:c r="AR36" s="27"/>
      <x:c r="AS36" s="27"/>
      <x:c r="AT36" s="27"/>
      <x:c r="AU36" s="27"/>
      <x:c r="AV36" s="27"/>
      <x:c r="AW36" s="27"/>
      <x:c r="AX36" s="27"/>
      <x:c r="AY36" s="27"/>
      <x:c r="AZ36" s="27"/>
    </x:row>
    <x:row r="37">
      <x:c r="A37" s="27"/>
      <x:c r="B37" s="27"/>
      <x:c r="C37" s="27"/>
      <x:c r="D37" s="27"/>
      <x:c r="E37" s="27"/>
      <x:c r="F37" s="27"/>
      <x:c r="G37" s="27"/>
      <x:c r="H37" s="27"/>
      <x:c r="I37" s="27"/>
      <x:c r="J37" s="27"/>
      <x:c r="K37" s="27"/>
      <x:c r="L37" s="27"/>
      <x:c r="M37" s="27"/>
      <x:c r="N37" s="27"/>
      <x:c r="O37" s="27"/>
      <x:c r="P37" s="27"/>
      <x:c r="Q37" s="27"/>
      <x:c r="R37" s="27"/>
      <x:c r="S37" s="27"/>
      <x:c r="T37" s="27"/>
      <x:c r="U37" s="27"/>
      <x:c r="V37" s="27"/>
      <x:c r="W37" s="27"/>
      <x:c r="X37" s="27"/>
      <x:c r="Y37" s="27"/>
      <x:c r="Z37" s="27"/>
      <x:c r="AA37" s="27"/>
      <x:c r="AB37" s="27"/>
      <x:c r="AC37" s="27"/>
      <x:c r="AD37" s="27"/>
      <x:c r="AE37" s="27"/>
      <x:c r="AF37" s="27"/>
      <x:c r="AG37" s="27"/>
      <x:c r="AH37" s="27"/>
      <x:c r="AI37" s="27"/>
      <x:c r="AJ37" s="27"/>
      <x:c r="AK37" s="27"/>
      <x:c r="AL37" s="27"/>
      <x:c r="AM37" s="27"/>
      <x:c r="AN37" s="27"/>
      <x:c r="AO37" s="27"/>
      <x:c r="AP37" s="27"/>
      <x:c r="AQ37" s="27"/>
      <x:c r="AR37" s="27"/>
      <x:c r="AS37" s="27"/>
      <x:c r="AT37" s="27"/>
      <x:c r="AU37" s="27"/>
      <x:c r="AV37" s="27"/>
      <x:c r="AW37" s="27"/>
      <x:c r="AX37" s="27"/>
      <x:c r="AY37" s="27"/>
      <x:c r="AZ37" s="27"/>
    </x:row>
    <x:row r="38">
      <x:c r="A38" s="27"/>
      <x:c r="B38" s="27"/>
      <x:c r="C38" s="27"/>
      <x:c r="D38" s="27"/>
      <x:c r="E38" s="27"/>
      <x:c r="F38" s="27"/>
      <x:c r="G38" s="27"/>
      <x:c r="H38" s="27"/>
      <x:c r="I38" s="27"/>
      <x:c r="J38" s="27"/>
      <x:c r="K38" s="27"/>
      <x:c r="L38" s="27"/>
      <x:c r="M38" s="27"/>
      <x:c r="N38" s="27"/>
      <x:c r="O38" s="27"/>
      <x:c r="P38" s="27"/>
      <x:c r="Q38" s="27"/>
      <x:c r="R38" s="27"/>
      <x:c r="S38" s="27"/>
      <x:c r="T38" s="27"/>
      <x:c r="U38" s="27"/>
      <x:c r="V38" s="27"/>
      <x:c r="W38" s="27"/>
      <x:c r="X38" s="27"/>
      <x:c r="Y38" s="27"/>
      <x:c r="Z38" s="27"/>
      <x:c r="AA38" s="27"/>
      <x:c r="AB38" s="27"/>
      <x:c r="AC38" s="27"/>
      <x:c r="AD38" s="27"/>
      <x:c r="AE38" s="27"/>
      <x:c r="AF38" s="27"/>
      <x:c r="AG38" s="27"/>
      <x:c r="AH38" s="27"/>
      <x:c r="AI38" s="27"/>
      <x:c r="AJ38" s="27"/>
      <x:c r="AK38" s="27"/>
      <x:c r="AL38" s="27"/>
      <x:c r="AM38" s="27"/>
      <x:c r="AN38" s="27"/>
      <x:c r="AO38" s="27"/>
      <x:c r="AP38" s="27"/>
      <x:c r="AQ38" s="27"/>
      <x:c r="AR38" s="27"/>
      <x:c r="AS38" s="27"/>
      <x:c r="AT38" s="27"/>
      <x:c r="AU38" s="27"/>
      <x:c r="AV38" s="27"/>
      <x:c r="AW38" s="27"/>
      <x:c r="AX38" s="27"/>
      <x:c r="AY38" s="27"/>
      <x:c r="AZ38" s="27"/>
    </x:row>
    <x:row r="39">
      <x:c r="A39" s="27"/>
      <x:c r="B39" s="27"/>
      <x:c r="C39" s="27"/>
      <x:c r="D39" s="27"/>
      <x:c r="E39" s="27"/>
      <x:c r="F39" s="27"/>
      <x:c r="G39" s="27"/>
      <x:c r="H39" s="27"/>
      <x:c r="I39" s="27"/>
      <x:c r="J39" s="27"/>
      <x:c r="K39" s="27"/>
      <x:c r="L39" s="27"/>
      <x:c r="M39" s="27"/>
      <x:c r="N39" s="27"/>
      <x:c r="O39" s="27"/>
      <x:c r="P39" s="27"/>
      <x:c r="Q39" s="27"/>
      <x:c r="R39" s="27"/>
      <x:c r="S39" s="27"/>
      <x:c r="T39" s="27"/>
      <x:c r="U39" s="27"/>
      <x:c r="V39" s="27"/>
      <x:c r="W39" s="27"/>
      <x:c r="X39" s="27"/>
      <x:c r="Y39" s="27"/>
      <x:c r="Z39" s="27"/>
      <x:c r="AA39" s="27"/>
      <x:c r="AB39" s="27"/>
      <x:c r="AC39" s="27"/>
      <x:c r="AD39" s="27"/>
      <x:c r="AE39" s="27"/>
      <x:c r="AF39" s="27"/>
      <x:c r="AG39" s="27"/>
      <x:c r="AH39" s="27"/>
      <x:c r="AI39" s="27"/>
      <x:c r="AJ39" s="27"/>
      <x:c r="AK39" s="27"/>
      <x:c r="AL39" s="27"/>
      <x:c r="AM39" s="27"/>
      <x:c r="AN39" s="27"/>
      <x:c r="AO39" s="27"/>
      <x:c r="AP39" s="27"/>
      <x:c r="AQ39" s="27"/>
      <x:c r="AR39" s="27"/>
      <x:c r="AS39" s="27"/>
      <x:c r="AT39" s="27"/>
      <x:c r="AU39" s="27"/>
      <x:c r="AV39" s="27"/>
      <x:c r="AW39" s="27"/>
      <x:c r="AX39" s="27"/>
      <x:c r="AY39" s="27"/>
      <x:c r="AZ39" s="27"/>
    </x:row>
    <x:row r="40">
      <x:c r="A40" s="27"/>
      <x:c r="B40" s="27"/>
      <x:c r="C40" s="27"/>
      <x:c r="D40" s="27"/>
      <x:c r="E40" s="27"/>
      <x:c r="F40" s="27"/>
      <x:c r="G40" s="27"/>
      <x:c r="H40" s="27"/>
      <x:c r="I40" s="27"/>
      <x:c r="J40" s="27"/>
      <x:c r="K40" s="27"/>
      <x:c r="L40" s="27"/>
      <x:c r="M40" s="27"/>
      <x:c r="N40" s="27"/>
      <x:c r="O40" s="27"/>
      <x:c r="P40" s="27"/>
      <x:c r="Q40" s="27"/>
      <x:c r="R40" s="27"/>
      <x:c r="S40" s="27"/>
      <x:c r="T40" s="27"/>
      <x:c r="U40" s="27"/>
      <x:c r="V40" s="27"/>
      <x:c r="W40" s="27"/>
      <x:c r="X40" s="27"/>
      <x:c r="Y40" s="27"/>
      <x:c r="Z40" s="27"/>
      <x:c r="AA40" s="27"/>
      <x:c r="AB40" s="27"/>
      <x:c r="AC40" s="27"/>
      <x:c r="AD40" s="27"/>
      <x:c r="AE40" s="27"/>
      <x:c r="AF40" s="27"/>
      <x:c r="AG40" s="27"/>
      <x:c r="AH40" s="27"/>
      <x:c r="AI40" s="27"/>
      <x:c r="AJ40" s="27"/>
      <x:c r="AK40" s="27"/>
      <x:c r="AL40" s="27"/>
      <x:c r="AM40" s="27"/>
      <x:c r="AN40" s="27"/>
      <x:c r="AO40" s="27"/>
      <x:c r="AP40" s="27"/>
      <x:c r="AQ40" s="27"/>
      <x:c r="AR40" s="27"/>
      <x:c r="AS40" s="27"/>
      <x:c r="AT40" s="27"/>
      <x:c r="AU40" s="27"/>
      <x:c r="AV40" s="27"/>
      <x:c r="AW40" s="27"/>
      <x:c r="AX40" s="27"/>
      <x:c r="AY40" s="27"/>
      <x:c r="AZ40" s="27"/>
    </x:row>
    <x:row r="41">
      <x:c r="A41" s="27"/>
      <x:c r="B41" s="27"/>
      <x:c r="C41" s="27"/>
      <x:c r="D41" s="27"/>
      <x:c r="E41" s="27"/>
      <x:c r="F41" s="27"/>
      <x:c r="G41" s="27"/>
      <x:c r="H41" s="27"/>
      <x:c r="I41" s="27"/>
      <x:c r="J41" s="27"/>
      <x:c r="K41" s="27"/>
      <x:c r="L41" s="27"/>
      <x:c r="M41" s="27"/>
      <x:c r="N41" s="27"/>
      <x:c r="O41" s="27"/>
      <x:c r="P41" s="27"/>
      <x:c r="Q41" s="27"/>
      <x:c r="R41" s="27"/>
      <x:c r="S41" s="27"/>
      <x:c r="T41" s="27"/>
      <x:c r="U41" s="27"/>
      <x:c r="V41" s="27"/>
      <x:c r="W41" s="27"/>
      <x:c r="X41" s="27"/>
      <x:c r="Y41" s="27"/>
      <x:c r="Z41" s="27"/>
      <x:c r="AA41" s="27"/>
      <x:c r="AB41" s="27"/>
      <x:c r="AC41" s="27"/>
      <x:c r="AD41" s="27"/>
      <x:c r="AE41" s="27"/>
      <x:c r="AF41" s="27"/>
      <x:c r="AG41" s="27"/>
      <x:c r="AH41" s="27"/>
      <x:c r="AI41" s="27"/>
      <x:c r="AJ41" s="27"/>
      <x:c r="AK41" s="27"/>
      <x:c r="AL41" s="27"/>
      <x:c r="AM41" s="27"/>
      <x:c r="AN41" s="27"/>
      <x:c r="AO41" s="27"/>
      <x:c r="AP41" s="27"/>
      <x:c r="AQ41" s="27"/>
      <x:c r="AR41" s="27"/>
      <x:c r="AS41" s="27"/>
      <x:c r="AT41" s="27"/>
      <x:c r="AU41" s="27"/>
      <x:c r="AV41" s="27"/>
      <x:c r="AW41" s="27"/>
      <x:c r="AX41" s="27"/>
      <x:c r="AY41" s="27"/>
      <x:c r="AZ41" s="27"/>
    </x:row>
    <x:row r="42">
      <x:c r="A42" s="27"/>
      <x:c r="B42" s="27"/>
      <x:c r="C42" s="27"/>
      <x:c r="D42" s="27"/>
      <x:c r="E42" s="27"/>
      <x:c r="F42" s="27"/>
      <x:c r="G42" s="27"/>
      <x:c r="H42" s="27"/>
      <x:c r="I42" s="27"/>
      <x:c r="J42" s="27"/>
      <x:c r="K42" s="27"/>
      <x:c r="L42" s="27"/>
      <x:c r="M42" s="27"/>
      <x:c r="N42" s="27"/>
      <x:c r="O42" s="27"/>
      <x:c r="P42" s="27"/>
      <x:c r="Q42" s="27"/>
      <x:c r="R42" s="27"/>
      <x:c r="S42" s="27"/>
      <x:c r="T42" s="27"/>
      <x:c r="U42" s="27"/>
      <x:c r="V42" s="27"/>
      <x:c r="W42" s="27"/>
      <x:c r="X42" s="27"/>
      <x:c r="Y42" s="27"/>
      <x:c r="Z42" s="27"/>
      <x:c r="AA42" s="27"/>
      <x:c r="AB42" s="27"/>
      <x:c r="AC42" s="27"/>
      <x:c r="AD42" s="27"/>
      <x:c r="AE42" s="27"/>
      <x:c r="AF42" s="27"/>
      <x:c r="AG42" s="27"/>
      <x:c r="AH42" s="27"/>
      <x:c r="AI42" s="27"/>
      <x:c r="AJ42" s="27"/>
      <x:c r="AK42" s="27"/>
      <x:c r="AL42" s="27"/>
      <x:c r="AM42" s="27"/>
      <x:c r="AN42" s="27"/>
      <x:c r="AO42" s="27"/>
      <x:c r="AP42" s="27"/>
      <x:c r="AQ42" s="27"/>
      <x:c r="AR42" s="27"/>
      <x:c r="AS42" s="27"/>
      <x:c r="AT42" s="27"/>
      <x:c r="AU42" s="27"/>
      <x:c r="AV42" s="27"/>
      <x:c r="AW42" s="27"/>
      <x:c r="AX42" s="27"/>
      <x:c r="AY42" s="27"/>
      <x:c r="AZ42" s="27"/>
    </x:row>
    <x:row r="43">
      <x:c r="A43" s="27"/>
      <x:c r="B43" s="27"/>
      <x:c r="C43" s="27"/>
      <x:c r="D43" s="27"/>
      <x:c r="E43" s="27"/>
      <x:c r="F43" s="27"/>
      <x:c r="G43" s="27"/>
      <x:c r="H43" s="27"/>
      <x:c r="I43" s="27"/>
      <x:c r="J43" s="27"/>
      <x:c r="K43" s="27"/>
      <x:c r="L43" s="27"/>
      <x:c r="M43" s="27"/>
      <x:c r="N43" s="27"/>
      <x:c r="O43" s="27"/>
      <x:c r="P43" s="27"/>
      <x:c r="Q43" s="27"/>
      <x:c r="R43" s="27"/>
      <x:c r="S43" s="27"/>
      <x:c r="T43" s="27"/>
      <x:c r="U43" s="27"/>
      <x:c r="V43" s="27"/>
      <x:c r="W43" s="27"/>
      <x:c r="X43" s="27"/>
      <x:c r="Y43" s="27"/>
      <x:c r="Z43" s="27"/>
      <x:c r="AA43" s="27"/>
      <x:c r="AB43" s="27"/>
      <x:c r="AC43" s="27"/>
      <x:c r="AD43" s="27"/>
      <x:c r="AE43" s="27"/>
      <x:c r="AF43" s="27"/>
      <x:c r="AG43" s="27"/>
      <x:c r="AH43" s="27"/>
      <x:c r="AI43" s="27"/>
      <x:c r="AJ43" s="27"/>
      <x:c r="AK43" s="27"/>
      <x:c r="AL43" s="27"/>
      <x:c r="AM43" s="27"/>
      <x:c r="AN43" s="27"/>
      <x:c r="AO43" s="27"/>
      <x:c r="AP43" s="27"/>
      <x:c r="AQ43" s="27"/>
      <x:c r="AR43" s="27"/>
      <x:c r="AS43" s="27"/>
      <x:c r="AT43" s="27"/>
      <x:c r="AU43" s="27"/>
      <x:c r="AV43" s="27"/>
      <x:c r="AW43" s="27"/>
      <x:c r="AX43" s="27"/>
      <x:c r="AY43" s="27"/>
      <x:c r="AZ43" s="27"/>
    </x:row>
    <x:row r="44">
      <x:c r="A44" s="27"/>
      <x:c r="B44" s="27"/>
      <x:c r="C44" s="27"/>
      <x:c r="D44" s="27"/>
      <x:c r="E44" s="27"/>
      <x:c r="F44" s="27"/>
      <x:c r="G44" s="27"/>
      <x:c r="H44" s="27"/>
      <x:c r="I44" s="27"/>
      <x:c r="J44" s="27"/>
      <x:c r="K44" s="27"/>
      <x:c r="L44" s="27"/>
      <x:c r="M44" s="27"/>
      <x:c r="N44" s="27"/>
      <x:c r="O44" s="27"/>
      <x:c r="P44" s="27"/>
      <x:c r="Q44" s="27"/>
      <x:c r="R44" s="27"/>
      <x:c r="S44" s="27"/>
      <x:c r="T44" s="27"/>
      <x:c r="U44" s="27"/>
      <x:c r="V44" s="27"/>
      <x:c r="W44" s="27"/>
      <x:c r="X44" s="27"/>
      <x:c r="Y44" s="27"/>
      <x:c r="Z44" s="27"/>
      <x:c r="AA44" s="27"/>
      <x:c r="AB44" s="27"/>
      <x:c r="AC44" s="27"/>
      <x:c r="AD44" s="27"/>
      <x:c r="AE44" s="27"/>
      <x:c r="AF44" s="27"/>
      <x:c r="AG44" s="27"/>
      <x:c r="AH44" s="27"/>
      <x:c r="AI44" s="27"/>
      <x:c r="AJ44" s="27"/>
      <x:c r="AK44" s="27"/>
      <x:c r="AL44" s="27"/>
      <x:c r="AM44" s="27"/>
      <x:c r="AN44" s="27"/>
      <x:c r="AO44" s="27"/>
      <x:c r="AP44" s="27"/>
      <x:c r="AQ44" s="27"/>
      <x:c r="AR44" s="27"/>
      <x:c r="AS44" s="27"/>
      <x:c r="AT44" s="27"/>
      <x:c r="AU44" s="27"/>
      <x:c r="AV44" s="27"/>
      <x:c r="AW44" s="27"/>
      <x:c r="AX44" s="27"/>
      <x:c r="AY44" s="27"/>
      <x:c r="AZ44" s="27"/>
    </x:row>
    <x:row r="45">
      <x:c r="A45" s="27"/>
      <x:c r="B45" s="27"/>
      <x:c r="C45" s="27"/>
      <x:c r="D45" s="27"/>
      <x:c r="E45" s="27"/>
      <x:c r="F45" s="27"/>
      <x:c r="G45" s="27"/>
      <x:c r="H45" s="27"/>
      <x:c r="I45" s="27"/>
      <x:c r="J45" s="27"/>
      <x:c r="K45" s="27"/>
      <x:c r="L45" s="27"/>
      <x:c r="M45" s="27"/>
      <x:c r="N45" s="27"/>
      <x:c r="O45" s="27"/>
      <x:c r="P45" s="27"/>
      <x:c r="Q45" s="27"/>
      <x:c r="R45" s="27"/>
      <x:c r="S45" s="27"/>
      <x:c r="T45" s="27"/>
      <x:c r="U45" s="27"/>
      <x:c r="V45" s="27"/>
      <x:c r="W45" s="27"/>
      <x:c r="X45" s="27"/>
      <x:c r="Y45" s="27"/>
      <x:c r="Z45" s="27"/>
      <x:c r="AA45" s="27"/>
      <x:c r="AB45" s="27"/>
      <x:c r="AC45" s="27"/>
      <x:c r="AD45" s="27"/>
      <x:c r="AE45" s="27"/>
      <x:c r="AF45" s="27"/>
      <x:c r="AG45" s="27"/>
      <x:c r="AH45" s="27"/>
      <x:c r="AI45" s="27"/>
      <x:c r="AJ45" s="27"/>
      <x:c r="AK45" s="27"/>
      <x:c r="AL45" s="27"/>
      <x:c r="AM45" s="27"/>
      <x:c r="AN45" s="27"/>
      <x:c r="AO45" s="27"/>
      <x:c r="AP45" s="27"/>
      <x:c r="AQ45" s="27"/>
      <x:c r="AR45" s="27"/>
      <x:c r="AS45" s="27"/>
      <x:c r="AT45" s="27"/>
      <x:c r="AU45" s="27"/>
      <x:c r="AV45" s="27"/>
      <x:c r="AW45" s="27"/>
      <x:c r="AX45" s="27"/>
      <x:c r="AY45" s="27"/>
      <x:c r="AZ45" s="27"/>
    </x:row>
    <x:row r="46">
      <x:c r="A46" s="27"/>
      <x:c r="B46" s="27"/>
      <x:c r="C46" s="27"/>
      <x:c r="D46" s="27"/>
      <x:c r="E46" s="27"/>
      <x:c r="F46" s="27"/>
      <x:c r="G46" s="27"/>
      <x:c r="H46" s="27"/>
      <x:c r="I46" s="27"/>
      <x:c r="J46" s="27"/>
      <x:c r="K46" s="27"/>
      <x:c r="L46" s="27"/>
      <x:c r="M46" s="27"/>
      <x:c r="N46" s="27"/>
      <x:c r="O46" s="27"/>
      <x:c r="P46" s="27"/>
      <x:c r="Q46" s="27"/>
      <x:c r="R46" s="27"/>
      <x:c r="S46" s="27"/>
      <x:c r="T46" s="27"/>
      <x:c r="U46" s="27"/>
      <x:c r="V46" s="27"/>
      <x:c r="W46" s="27"/>
      <x:c r="X46" s="27"/>
      <x:c r="Y46" s="27"/>
      <x:c r="Z46" s="27"/>
      <x:c r="AA46" s="27"/>
      <x:c r="AB46" s="27"/>
      <x:c r="AC46" s="27"/>
      <x:c r="AD46" s="27"/>
      <x:c r="AE46" s="27"/>
      <x:c r="AF46" s="27"/>
      <x:c r="AG46" s="27"/>
      <x:c r="AH46" s="27"/>
      <x:c r="AI46" s="27"/>
      <x:c r="AJ46" s="27"/>
      <x:c r="AK46" s="27"/>
      <x:c r="AL46" s="27"/>
      <x:c r="AM46" s="27"/>
      <x:c r="AN46" s="27"/>
      <x:c r="AO46" s="27"/>
      <x:c r="AP46" s="27"/>
      <x:c r="AQ46" s="27"/>
      <x:c r="AR46" s="27"/>
      <x:c r="AS46" s="27"/>
      <x:c r="AT46" s="27"/>
      <x:c r="AU46" s="27"/>
      <x:c r="AV46" s="27"/>
      <x:c r="AW46" s="27"/>
      <x:c r="AX46" s="27"/>
      <x:c r="AY46" s="27"/>
      <x:c r="AZ46" s="27"/>
    </x:row>
    <x:row r="47">
      <x:c r="A47" s="27"/>
      <x:c r="B47" s="27"/>
      <x:c r="C47" s="27"/>
      <x:c r="D47" s="27"/>
      <x:c r="E47" s="27"/>
      <x:c r="F47" s="27"/>
      <x:c r="G47" s="27"/>
      <x:c r="H47" s="27"/>
      <x:c r="I47" s="27"/>
      <x:c r="J47" s="27"/>
      <x:c r="K47" s="27"/>
      <x:c r="L47" s="27"/>
      <x:c r="M47" s="27"/>
      <x:c r="N47" s="27"/>
      <x:c r="O47" s="27"/>
      <x:c r="P47" s="27"/>
      <x:c r="Q47" s="27"/>
      <x:c r="R47" s="27"/>
      <x:c r="S47" s="27"/>
      <x:c r="T47" s="27"/>
      <x:c r="U47" s="27"/>
      <x:c r="V47" s="27"/>
      <x:c r="W47" s="27"/>
      <x:c r="X47" s="27"/>
      <x:c r="Y47" s="27"/>
      <x:c r="Z47" s="27"/>
      <x:c r="AA47" s="27"/>
      <x:c r="AB47" s="27"/>
      <x:c r="AC47" s="27"/>
      <x:c r="AD47" s="27"/>
      <x:c r="AE47" s="27"/>
      <x:c r="AF47" s="27"/>
      <x:c r="AG47" s="27"/>
      <x:c r="AH47" s="27"/>
      <x:c r="AI47" s="27"/>
      <x:c r="AJ47" s="27"/>
      <x:c r="AK47" s="27"/>
      <x:c r="AL47" s="27"/>
      <x:c r="AM47" s="27"/>
      <x:c r="AN47" s="27"/>
      <x:c r="AO47" s="27"/>
      <x:c r="AP47" s="27"/>
      <x:c r="AQ47" s="27"/>
      <x:c r="AR47" s="27"/>
      <x:c r="AS47" s="27"/>
      <x:c r="AT47" s="27"/>
      <x:c r="AU47" s="27"/>
      <x:c r="AV47" s="27"/>
      <x:c r="AW47" s="27"/>
      <x:c r="AX47" s="27"/>
      <x:c r="AY47" s="27"/>
      <x:c r="AZ47" s="27"/>
    </x:row>
    <x:row r="48">
      <x:c r="A48" s="27"/>
      <x:c r="B48" s="27"/>
      <x:c r="C48" s="27"/>
      <x:c r="D48" s="27"/>
      <x:c r="E48" s="27"/>
      <x:c r="F48" s="27"/>
      <x:c r="G48" s="27"/>
      <x:c r="H48" s="27"/>
      <x:c r="I48" s="27"/>
      <x:c r="J48" s="27"/>
      <x:c r="K48" s="27"/>
      <x:c r="L48" s="27"/>
      <x:c r="M48" s="27"/>
      <x:c r="N48" s="27"/>
      <x:c r="O48" s="27"/>
      <x:c r="P48" s="27"/>
      <x:c r="Q48" s="27"/>
      <x:c r="R48" s="27"/>
      <x:c r="S48" s="27"/>
      <x:c r="T48" s="27"/>
      <x:c r="U48" s="27"/>
      <x:c r="V48" s="27"/>
      <x:c r="W48" s="27"/>
      <x:c r="X48" s="27"/>
      <x:c r="Y48" s="27"/>
      <x:c r="Z48" s="27"/>
      <x:c r="AA48" s="27"/>
      <x:c r="AB48" s="27"/>
      <x:c r="AC48" s="27"/>
      <x:c r="AD48" s="27"/>
      <x:c r="AE48" s="27"/>
      <x:c r="AF48" s="27"/>
      <x:c r="AG48" s="27"/>
      <x:c r="AH48" s="27"/>
      <x:c r="AI48" s="27"/>
      <x:c r="AJ48" s="27"/>
      <x:c r="AK48" s="27"/>
      <x:c r="AL48" s="27"/>
      <x:c r="AM48" s="27"/>
      <x:c r="AN48" s="27"/>
      <x:c r="AO48" s="27"/>
      <x:c r="AP48" s="27"/>
      <x:c r="AQ48" s="27"/>
      <x:c r="AR48" s="27"/>
      <x:c r="AS48" s="27"/>
      <x:c r="AT48" s="27"/>
      <x:c r="AU48" s="27"/>
      <x:c r="AV48" s="27"/>
      <x:c r="AW48" s="27"/>
      <x:c r="AX48" s="27"/>
      <x:c r="AY48" s="27"/>
      <x:c r="AZ48" s="27"/>
    </x:row>
    <x:row r="49">
      <x:c r="A49" s="27"/>
      <x:c r="B49" s="27"/>
      <x:c r="C49" s="27"/>
      <x:c r="D49" s="27"/>
      <x:c r="E49" s="27"/>
      <x:c r="F49" s="27"/>
      <x:c r="G49" s="27"/>
      <x:c r="H49" s="27"/>
      <x:c r="I49" s="27"/>
      <x:c r="J49" s="27"/>
      <x:c r="K49" s="27"/>
      <x:c r="L49" s="27"/>
      <x:c r="M49" s="27"/>
      <x:c r="N49" s="27"/>
      <x:c r="O49" s="27"/>
      <x:c r="P49" s="27"/>
      <x:c r="Q49" s="27"/>
      <x:c r="R49" s="27"/>
      <x:c r="S49" s="27"/>
      <x:c r="T49" s="27"/>
      <x:c r="U49" s="27"/>
      <x:c r="V49" s="27"/>
      <x:c r="W49" s="27"/>
      <x:c r="X49" s="27"/>
      <x:c r="Y49" s="27"/>
      <x:c r="Z49" s="27"/>
      <x:c r="AA49" s="27"/>
      <x:c r="AB49" s="27"/>
      <x:c r="AC49" s="27"/>
      <x:c r="AD49" s="27"/>
      <x:c r="AE49" s="27"/>
      <x:c r="AF49" s="27"/>
      <x:c r="AG49" s="27"/>
      <x:c r="AH49" s="27"/>
      <x:c r="AI49" s="27"/>
      <x:c r="AJ49" s="27"/>
      <x:c r="AK49" s="27"/>
      <x:c r="AL49" s="27"/>
      <x:c r="AM49" s="27"/>
      <x:c r="AN49" s="27"/>
      <x:c r="AO49" s="27"/>
      <x:c r="AP49" s="27"/>
      <x:c r="AQ49" s="27"/>
      <x:c r="AR49" s="27"/>
      <x:c r="AS49" s="27"/>
      <x:c r="AT49" s="27"/>
      <x:c r="AU49" s="27"/>
      <x:c r="AV49" s="27"/>
      <x:c r="AW49" s="27"/>
      <x:c r="AX49" s="27"/>
      <x:c r="AY49" s="27"/>
      <x:c r="AZ49" s="27"/>
    </x:row>
    <x:row r="50">
      <x:c r="A50" s="27"/>
      <x:c r="B50" s="27"/>
      <x:c r="C50" s="27"/>
      <x:c r="D50" s="27"/>
      <x:c r="E50" s="27"/>
      <x:c r="F50" s="27"/>
      <x:c r="G50" s="27"/>
      <x:c r="H50" s="27"/>
      <x:c r="I50" s="27"/>
      <x:c r="J50" s="27"/>
      <x:c r="K50" s="27"/>
      <x:c r="L50" s="27"/>
      <x:c r="M50" s="27"/>
      <x:c r="N50" s="27"/>
      <x:c r="O50" s="27"/>
      <x:c r="P50" s="27"/>
      <x:c r="Q50" s="27"/>
      <x:c r="R50" s="27"/>
      <x:c r="S50" s="27"/>
      <x:c r="T50" s="27"/>
      <x:c r="U50" s="27"/>
      <x:c r="V50" s="27"/>
      <x:c r="W50" s="27"/>
      <x:c r="X50" s="27"/>
      <x:c r="Y50" s="27"/>
      <x:c r="Z50" s="27"/>
      <x:c r="AA50" s="27"/>
      <x:c r="AB50" s="27"/>
      <x:c r="AC50" s="27"/>
      <x:c r="AD50" s="27"/>
      <x:c r="AE50" s="27"/>
      <x:c r="AF50" s="27"/>
      <x:c r="AG50" s="27"/>
      <x:c r="AH50" s="27"/>
      <x:c r="AI50" s="27"/>
      <x:c r="AJ50" s="27"/>
      <x:c r="AK50" s="27"/>
      <x:c r="AL50" s="27"/>
      <x:c r="AM50" s="27"/>
      <x:c r="AN50" s="27"/>
      <x:c r="AO50" s="27"/>
      <x:c r="AP50" s="27"/>
      <x:c r="AQ50" s="27"/>
      <x:c r="AR50" s="27"/>
      <x:c r="AS50" s="27"/>
      <x:c r="AT50" s="27"/>
      <x:c r="AU50" s="27"/>
      <x:c r="AV50" s="27"/>
      <x:c r="AW50" s="27"/>
      <x:c r="AX50" s="27"/>
      <x:c r="AY50" s="27"/>
      <x:c r="AZ50" s="27"/>
    </x:row>
    <x:row r="51">
      <x:c r="A51" s="27"/>
      <x:c r="B51" s="27"/>
      <x:c r="C51" s="27"/>
      <x:c r="D51" s="27"/>
      <x:c r="E51" s="27"/>
      <x:c r="F51" s="27"/>
      <x:c r="G51" s="27"/>
      <x:c r="H51" s="27"/>
      <x:c r="I51" s="27"/>
      <x:c r="J51" s="27"/>
      <x:c r="K51" s="27"/>
      <x:c r="L51" s="27"/>
      <x:c r="M51" s="27"/>
      <x:c r="N51" s="27"/>
      <x:c r="O51" s="27"/>
      <x:c r="P51" s="27"/>
      <x:c r="Q51" s="27"/>
      <x:c r="R51" s="27"/>
      <x:c r="S51" s="27"/>
      <x:c r="T51" s="27"/>
      <x:c r="U51" s="27"/>
      <x:c r="V51" s="27"/>
      <x:c r="W51" s="27"/>
      <x:c r="X51" s="27"/>
      <x:c r="Y51" s="27"/>
      <x:c r="Z51" s="27"/>
      <x:c r="AA51" s="27"/>
      <x:c r="AB51" s="27"/>
      <x:c r="AC51" s="27"/>
      <x:c r="AD51" s="27"/>
      <x:c r="AE51" s="27"/>
      <x:c r="AF51" s="27"/>
      <x:c r="AG51" s="27"/>
      <x:c r="AH51" s="27"/>
      <x:c r="AI51" s="27"/>
      <x:c r="AJ51" s="27"/>
      <x:c r="AK51" s="27"/>
      <x:c r="AL51" s="27"/>
      <x:c r="AM51" s="27"/>
      <x:c r="AN51" s="27"/>
      <x:c r="AO51" s="27"/>
      <x:c r="AP51" s="27"/>
      <x:c r="AQ51" s="27"/>
      <x:c r="AR51" s="27"/>
      <x:c r="AS51" s="27"/>
      <x:c r="AT51" s="27"/>
      <x:c r="AU51" s="27"/>
      <x:c r="AV51" s="27"/>
      <x:c r="AW51" s="27"/>
      <x:c r="AX51" s="27"/>
      <x:c r="AY51" s="27"/>
      <x:c r="AZ51" s="27"/>
    </x:row>
    <x:row r="52">
      <x:c r="A52" s="27"/>
      <x:c r="B52" s="27"/>
      <x:c r="C52" s="27"/>
      <x:c r="D52" s="27"/>
      <x:c r="E52" s="27"/>
      <x:c r="F52" s="27"/>
      <x:c r="G52" s="27"/>
      <x:c r="H52" s="27"/>
      <x:c r="I52" s="27"/>
      <x:c r="J52" s="27"/>
      <x:c r="K52" s="27"/>
      <x:c r="L52" s="27"/>
      <x:c r="M52" s="27"/>
      <x:c r="N52" s="27"/>
      <x:c r="O52" s="27"/>
      <x:c r="P52" s="27"/>
      <x:c r="Q52" s="27"/>
      <x:c r="R52" s="27"/>
      <x:c r="S52" s="27"/>
      <x:c r="T52" s="27"/>
      <x:c r="U52" s="27"/>
      <x:c r="V52" s="27"/>
      <x:c r="W52" s="27"/>
      <x:c r="X52" s="27"/>
      <x:c r="Y52" s="27"/>
      <x:c r="Z52" s="27"/>
      <x:c r="AA52" s="27"/>
      <x:c r="AB52" s="27"/>
      <x:c r="AC52" s="27"/>
      <x:c r="AD52" s="27"/>
      <x:c r="AE52" s="27"/>
      <x:c r="AF52" s="27"/>
      <x:c r="AG52" s="27"/>
      <x:c r="AH52" s="27"/>
      <x:c r="AI52" s="27"/>
      <x:c r="AJ52" s="27"/>
      <x:c r="AK52" s="27"/>
      <x:c r="AL52" s="27"/>
      <x:c r="AM52" s="27"/>
      <x:c r="AN52" s="27"/>
      <x:c r="AO52" s="27"/>
      <x:c r="AP52" s="27"/>
      <x:c r="AQ52" s="27"/>
      <x:c r="AR52" s="27"/>
      <x:c r="AS52" s="27"/>
      <x:c r="AT52" s="27"/>
      <x:c r="AU52" s="27"/>
      <x:c r="AV52" s="27"/>
      <x:c r="AW52" s="27"/>
      <x:c r="AX52" s="27"/>
      <x:c r="AY52" s="27"/>
      <x:c r="AZ52" s="27"/>
    </x:row>
    <x:row r="53">
      <x:c r="A53" s="27"/>
      <x:c r="B53" s="27"/>
      <x:c r="C53" s="27"/>
      <x:c r="D53" s="27"/>
      <x:c r="E53" s="27"/>
      <x:c r="F53" s="27"/>
      <x:c r="G53" s="27"/>
      <x:c r="H53" s="27"/>
      <x:c r="I53" s="27"/>
      <x:c r="J53" s="27"/>
      <x:c r="K53" s="27"/>
      <x:c r="L53" s="27"/>
      <x:c r="M53" s="27"/>
      <x:c r="N53" s="27"/>
      <x:c r="O53" s="27"/>
      <x:c r="P53" s="27"/>
      <x:c r="Q53" s="27"/>
      <x:c r="R53" s="27"/>
      <x:c r="S53" s="27"/>
      <x:c r="T53" s="27"/>
      <x:c r="U53" s="27"/>
      <x:c r="V53" s="27"/>
      <x:c r="W53" s="27"/>
      <x:c r="X53" s="27"/>
      <x:c r="Y53" s="27"/>
      <x:c r="Z53" s="27"/>
      <x:c r="AA53" s="27"/>
      <x:c r="AB53" s="27"/>
      <x:c r="AC53" s="27"/>
      <x:c r="AD53" s="27"/>
      <x:c r="AE53" s="27"/>
      <x:c r="AF53" s="27"/>
      <x:c r="AG53" s="27"/>
      <x:c r="AH53" s="27"/>
      <x:c r="AI53" s="27"/>
      <x:c r="AJ53" s="27"/>
      <x:c r="AK53" s="27"/>
      <x:c r="AL53" s="27"/>
      <x:c r="AM53" s="27"/>
      <x:c r="AN53" s="27"/>
      <x:c r="AO53" s="27"/>
      <x:c r="AP53" s="27"/>
      <x:c r="AQ53" s="27"/>
      <x:c r="AR53" s="27"/>
      <x:c r="AS53" s="27"/>
      <x:c r="AT53" s="27"/>
      <x:c r="AU53" s="27"/>
      <x:c r="AV53" s="27"/>
      <x:c r="AW53" s="27"/>
      <x:c r="AX53" s="27"/>
      <x:c r="AY53" s="27"/>
      <x:c r="AZ53" s="27"/>
    </x:row>
    <x:row r="54">
      <x:c r="A54" s="27"/>
      <x:c r="B54" s="27"/>
      <x:c r="C54" s="27"/>
      <x:c r="D54" s="27"/>
      <x:c r="E54" s="27"/>
      <x:c r="F54" s="27"/>
      <x:c r="G54" s="27"/>
      <x:c r="H54" s="27"/>
      <x:c r="I54" s="27"/>
      <x:c r="J54" s="27"/>
      <x:c r="K54" s="27"/>
      <x:c r="L54" s="27"/>
      <x:c r="M54" s="27"/>
      <x:c r="N54" s="27"/>
      <x:c r="O54" s="27"/>
      <x:c r="P54" s="27"/>
      <x:c r="Q54" s="27"/>
      <x:c r="R54" s="27"/>
      <x:c r="S54" s="27"/>
      <x:c r="T54" s="27"/>
      <x:c r="U54" s="27"/>
      <x:c r="V54" s="27"/>
      <x:c r="W54" s="27"/>
      <x:c r="X54" s="27"/>
      <x:c r="Y54" s="27"/>
      <x:c r="Z54" s="27"/>
      <x:c r="AA54" s="27"/>
      <x:c r="AB54" s="27"/>
      <x:c r="AC54" s="27"/>
      <x:c r="AD54" s="27"/>
      <x:c r="AE54" s="27"/>
      <x:c r="AF54" s="27"/>
      <x:c r="AG54" s="27"/>
      <x:c r="AH54" s="27"/>
      <x:c r="AI54" s="27"/>
      <x:c r="AJ54" s="27"/>
      <x:c r="AK54" s="27"/>
      <x:c r="AL54" s="27"/>
      <x:c r="AM54" s="27"/>
      <x:c r="AN54" s="27"/>
      <x:c r="AO54" s="27"/>
      <x:c r="AP54" s="27"/>
      <x:c r="AQ54" s="27"/>
      <x:c r="AR54" s="27"/>
      <x:c r="AS54" s="27"/>
      <x:c r="AT54" s="27"/>
      <x:c r="AU54" s="27"/>
      <x:c r="AV54" s="27"/>
      <x:c r="AW54" s="27"/>
      <x:c r="AX54" s="27"/>
      <x:c r="AY54" s="27"/>
      <x:c r="AZ54" s="27"/>
    </x:row>
    <x:row r="55">
      <x:c r="A55" s="27"/>
      <x:c r="B55" s="27"/>
      <x:c r="C55" s="27"/>
      <x:c r="D55" s="27"/>
      <x:c r="E55" s="27"/>
      <x:c r="F55" s="27"/>
      <x:c r="G55" s="27"/>
      <x:c r="H55" s="27"/>
      <x:c r="I55" s="27"/>
      <x:c r="J55" s="27"/>
      <x:c r="K55" s="27"/>
      <x:c r="L55" s="27"/>
      <x:c r="M55" s="27"/>
      <x:c r="N55" s="27"/>
      <x:c r="O55" s="27"/>
      <x:c r="P55" s="27"/>
      <x:c r="Q55" s="27"/>
      <x:c r="R55" s="27"/>
      <x:c r="S55" s="27"/>
      <x:c r="T55" s="27"/>
      <x:c r="U55" s="27"/>
      <x:c r="V55" s="27"/>
      <x:c r="W55" s="27"/>
      <x:c r="X55" s="27"/>
      <x:c r="Y55" s="27"/>
      <x:c r="Z55" s="27"/>
      <x:c r="AA55" s="27"/>
      <x:c r="AB55" s="27"/>
      <x:c r="AC55" s="27"/>
      <x:c r="AD55" s="27"/>
      <x:c r="AE55" s="27"/>
      <x:c r="AF55" s="27"/>
      <x:c r="AG55" s="27"/>
      <x:c r="AH55" s="27"/>
      <x:c r="AI55" s="27"/>
      <x:c r="AJ55" s="27"/>
      <x:c r="AK55" s="27"/>
      <x:c r="AL55" s="27"/>
      <x:c r="AM55" s="27"/>
      <x:c r="AN55" s="27"/>
      <x:c r="AO55" s="27"/>
      <x:c r="AP55" s="27"/>
      <x:c r="AQ55" s="27"/>
      <x:c r="AR55" s="27"/>
      <x:c r="AS55" s="27"/>
      <x:c r="AT55" s="27"/>
      <x:c r="AU55" s="27"/>
      <x:c r="AV55" s="27"/>
      <x:c r="AW55" s="27"/>
      <x:c r="AX55" s="27"/>
      <x:c r="AY55" s="27"/>
      <x:c r="AZ55" s="27"/>
    </x:row>
    <x:row r="56">
      <x:c r="A56" s="27"/>
      <x:c r="B56" s="27"/>
      <x:c r="C56" s="27"/>
      <x:c r="D56" s="27"/>
      <x:c r="E56" s="27"/>
      <x:c r="F56" s="27"/>
      <x:c r="G56" s="27"/>
      <x:c r="H56" s="27"/>
      <x:c r="I56" s="27"/>
      <x:c r="J56" s="27"/>
      <x:c r="K56" s="27"/>
      <x:c r="L56" s="27"/>
      <x:c r="M56" s="27"/>
      <x:c r="N56" s="27"/>
      <x:c r="O56" s="27"/>
      <x:c r="P56" s="27"/>
      <x:c r="Q56" s="27"/>
      <x:c r="R56" s="27"/>
      <x:c r="S56" s="27"/>
      <x:c r="T56" s="27"/>
      <x:c r="U56" s="27"/>
      <x:c r="V56" s="27"/>
      <x:c r="W56" s="27"/>
      <x:c r="X56" s="27"/>
      <x:c r="Y56" s="27"/>
      <x:c r="Z56" s="27"/>
      <x:c r="AA56" s="27"/>
      <x:c r="AB56" s="27"/>
      <x:c r="AC56" s="27"/>
      <x:c r="AD56" s="27"/>
      <x:c r="AE56" s="27"/>
      <x:c r="AF56" s="27"/>
      <x:c r="AG56" s="27"/>
      <x:c r="AH56" s="27"/>
      <x:c r="AI56" s="27"/>
      <x:c r="AJ56" s="27"/>
      <x:c r="AK56" s="27"/>
      <x:c r="AL56" s="27"/>
      <x:c r="AM56" s="27"/>
      <x:c r="AN56" s="27"/>
      <x:c r="AO56" s="27"/>
      <x:c r="AP56" s="27"/>
      <x:c r="AQ56" s="27"/>
      <x:c r="AR56" s="27"/>
      <x:c r="AS56" s="27"/>
      <x:c r="AT56" s="27"/>
      <x:c r="AU56" s="27"/>
      <x:c r="AV56" s="27"/>
      <x:c r="AW56" s="27"/>
      <x:c r="AX56" s="27"/>
      <x:c r="AY56" s="27"/>
      <x:c r="AZ56" s="27"/>
    </x:row>
    <x:row r="57">
      <x:c r="A57" s="27"/>
      <x:c r="B57" s="27"/>
      <x:c r="C57" s="27"/>
      <x:c r="D57" s="27"/>
      <x:c r="E57" s="27"/>
      <x:c r="F57" s="27"/>
      <x:c r="G57" s="27"/>
      <x:c r="H57" s="27"/>
      <x:c r="I57" s="27"/>
      <x:c r="J57" s="27"/>
      <x:c r="K57" s="27"/>
      <x:c r="L57" s="27"/>
      <x:c r="M57" s="27"/>
      <x:c r="N57" s="27"/>
      <x:c r="O57" s="27"/>
      <x:c r="P57" s="27"/>
      <x:c r="Q57" s="27"/>
      <x:c r="R57" s="27"/>
      <x:c r="S57" s="27"/>
      <x:c r="T57" s="27"/>
      <x:c r="U57" s="27"/>
      <x:c r="V57" s="27"/>
      <x:c r="W57" s="27"/>
      <x:c r="X57" s="27"/>
      <x:c r="Y57" s="27"/>
      <x:c r="Z57" s="27"/>
      <x:c r="AA57" s="27"/>
      <x:c r="AB57" s="27"/>
      <x:c r="AC57" s="27"/>
      <x:c r="AD57" s="27"/>
      <x:c r="AE57" s="27"/>
      <x:c r="AF57" s="27"/>
      <x:c r="AG57" s="27"/>
      <x:c r="AH57" s="27"/>
      <x:c r="AI57" s="27"/>
      <x:c r="AJ57" s="27"/>
      <x:c r="AK57" s="27"/>
      <x:c r="AL57" s="27"/>
      <x:c r="AM57" s="27"/>
      <x:c r="AN57" s="27"/>
      <x:c r="AO57" s="27"/>
      <x:c r="AP57" s="27"/>
      <x:c r="AQ57" s="27"/>
      <x:c r="AR57" s="27"/>
      <x:c r="AS57" s="27"/>
      <x:c r="AT57" s="27"/>
      <x:c r="AU57" s="27"/>
      <x:c r="AV57" s="27"/>
      <x:c r="AW57" s="27"/>
      <x:c r="AX57" s="27"/>
      <x:c r="AY57" s="27"/>
      <x:c r="AZ57" s="27"/>
    </x:row>
    <x:row r="58">
      <x:c r="A58" s="27"/>
      <x:c r="B58" s="27"/>
      <x:c r="C58" s="27"/>
      <x:c r="D58" s="27"/>
      <x:c r="E58" s="27"/>
      <x:c r="F58" s="27"/>
      <x:c r="G58" s="27"/>
      <x:c r="H58" s="27"/>
      <x:c r="I58" s="27"/>
      <x:c r="J58" s="27"/>
      <x:c r="K58" s="27"/>
      <x:c r="L58" s="27"/>
      <x:c r="M58" s="27"/>
      <x:c r="N58" s="27"/>
      <x:c r="O58" s="27"/>
      <x:c r="P58" s="27"/>
      <x:c r="Q58" s="27"/>
      <x:c r="R58" s="27"/>
      <x:c r="S58" s="27"/>
      <x:c r="T58" s="27"/>
      <x:c r="U58" s="27"/>
      <x:c r="V58" s="27"/>
      <x:c r="W58" s="27"/>
      <x:c r="X58" s="27"/>
      <x:c r="Y58" s="27"/>
      <x:c r="Z58" s="27"/>
      <x:c r="AA58" s="27"/>
      <x:c r="AB58" s="27"/>
      <x:c r="AC58" s="27"/>
      <x:c r="AD58" s="27"/>
      <x:c r="AE58" s="27"/>
      <x:c r="AF58" s="27"/>
      <x:c r="AG58" s="27"/>
      <x:c r="AH58" s="27"/>
      <x:c r="AI58" s="27"/>
      <x:c r="AJ58" s="27"/>
      <x:c r="AK58" s="27"/>
      <x:c r="AL58" s="27"/>
      <x:c r="AM58" s="27"/>
      <x:c r="AN58" s="27"/>
      <x:c r="AO58" s="27"/>
      <x:c r="AP58" s="27"/>
      <x:c r="AQ58" s="27"/>
      <x:c r="AR58" s="27"/>
      <x:c r="AS58" s="27"/>
      <x:c r="AT58" s="27"/>
      <x:c r="AU58" s="27"/>
      <x:c r="AV58" s="27"/>
      <x:c r="AW58" s="27"/>
      <x:c r="AX58" s="27"/>
      <x:c r="AY58" s="27"/>
      <x:c r="AZ58" s="27"/>
    </x:row>
    <x:row r="59">
      <x:c r="A59" s="27"/>
      <x:c r="B59" s="27"/>
      <x:c r="C59" s="27"/>
      <x:c r="D59" s="27"/>
      <x:c r="E59" s="27"/>
      <x:c r="F59" s="27"/>
      <x:c r="G59" s="27"/>
      <x:c r="H59" s="27"/>
      <x:c r="I59" s="27"/>
      <x:c r="J59" s="27"/>
      <x:c r="K59" s="27"/>
      <x:c r="L59" s="27"/>
      <x:c r="M59" s="27"/>
      <x:c r="N59" s="27"/>
      <x:c r="O59" s="27"/>
      <x:c r="P59" s="27"/>
      <x:c r="Q59" s="27"/>
      <x:c r="R59" s="27"/>
      <x:c r="S59" s="27"/>
      <x:c r="T59" s="27"/>
      <x:c r="U59" s="27"/>
      <x:c r="V59" s="27"/>
      <x:c r="W59" s="27"/>
      <x:c r="X59" s="27"/>
      <x:c r="Y59" s="27"/>
      <x:c r="Z59" s="27"/>
      <x:c r="AA59" s="27"/>
      <x:c r="AB59" s="27"/>
      <x:c r="AC59" s="27"/>
      <x:c r="AD59" s="27"/>
      <x:c r="AE59" s="27"/>
      <x:c r="AF59" s="27"/>
      <x:c r="AG59" s="27"/>
      <x:c r="AH59" s="27"/>
      <x:c r="AI59" s="27"/>
      <x:c r="AJ59" s="27"/>
      <x:c r="AK59" s="27"/>
      <x:c r="AL59" s="27"/>
      <x:c r="AM59" s="27"/>
      <x:c r="AN59" s="27"/>
      <x:c r="AO59" s="27"/>
      <x:c r="AP59" s="27"/>
      <x:c r="AQ59" s="27"/>
      <x:c r="AR59" s="27"/>
      <x:c r="AS59" s="27"/>
      <x:c r="AT59" s="27"/>
      <x:c r="AU59" s="27"/>
      <x:c r="AV59" s="27"/>
      <x:c r="AW59" s="27"/>
      <x:c r="AX59" s="27"/>
      <x:c r="AY59" s="27"/>
      <x:c r="AZ59" s="27"/>
    </x:row>
    <x:row r="60">
      <x:c r="A60" s="27"/>
      <x:c r="B60" s="27"/>
      <x:c r="C60" s="27"/>
      <x:c r="D60" s="27"/>
      <x:c r="E60" s="27"/>
      <x:c r="F60" s="27"/>
      <x:c r="G60" s="27"/>
      <x:c r="H60" s="27"/>
      <x:c r="I60" s="27"/>
      <x:c r="J60" s="27"/>
      <x:c r="K60" s="27"/>
      <x:c r="L60" s="27"/>
      <x:c r="M60" s="27"/>
      <x:c r="N60" s="27"/>
      <x:c r="O60" s="27"/>
      <x:c r="P60" s="27"/>
      <x:c r="Q60" s="27"/>
      <x:c r="R60" s="27"/>
      <x:c r="S60" s="27"/>
      <x:c r="T60" s="27"/>
      <x:c r="U60" s="27"/>
      <x:c r="V60" s="27"/>
      <x:c r="W60" s="27"/>
      <x:c r="X60" s="27"/>
      <x:c r="Y60" s="27"/>
      <x:c r="Z60" s="27"/>
      <x:c r="AA60" s="27"/>
      <x:c r="AB60" s="27"/>
      <x:c r="AC60" s="27"/>
      <x:c r="AD60" s="27"/>
      <x:c r="AE60" s="27"/>
      <x:c r="AF60" s="27"/>
      <x:c r="AG60" s="27"/>
      <x:c r="AH60" s="27"/>
      <x:c r="AI60" s="27"/>
      <x:c r="AJ60" s="27"/>
      <x:c r="AK60" s="27"/>
      <x:c r="AL60" s="27"/>
      <x:c r="AM60" s="27"/>
      <x:c r="AN60" s="27"/>
      <x:c r="AO60" s="27"/>
      <x:c r="AP60" s="27"/>
      <x:c r="AQ60" s="27"/>
      <x:c r="AR60" s="27"/>
      <x:c r="AS60" s="27"/>
      <x:c r="AT60" s="27"/>
      <x:c r="AU60" s="27"/>
      <x:c r="AV60" s="27"/>
      <x:c r="AW60" s="27"/>
      <x:c r="AX60" s="27"/>
      <x:c r="AY60" s="27"/>
      <x:c r="AZ60" s="27"/>
    </x:row>
    <x:row r="61">
      <x:c r="A61" s="27"/>
      <x:c r="B61" s="27"/>
      <x:c r="C61" s="27"/>
      <x:c r="D61" s="27"/>
      <x:c r="E61" s="27"/>
      <x:c r="F61" s="27"/>
      <x:c r="G61" s="27"/>
      <x:c r="H61" s="27"/>
      <x:c r="I61" s="27"/>
      <x:c r="J61" s="27"/>
      <x:c r="K61" s="27"/>
      <x:c r="L61" s="27"/>
      <x:c r="M61" s="27"/>
      <x:c r="N61" s="27"/>
      <x:c r="O61" s="27"/>
      <x:c r="P61" s="27"/>
      <x:c r="Q61" s="27"/>
      <x:c r="R61" s="27"/>
      <x:c r="S61" s="27"/>
      <x:c r="T61" s="27"/>
      <x:c r="U61" s="27"/>
      <x:c r="V61" s="27"/>
      <x:c r="W61" s="27"/>
      <x:c r="X61" s="27"/>
      <x:c r="Y61" s="27"/>
      <x:c r="Z61" s="27"/>
      <x:c r="AA61" s="27"/>
      <x:c r="AB61" s="27"/>
      <x:c r="AC61" s="27"/>
      <x:c r="AD61" s="27"/>
      <x:c r="AE61" s="27"/>
      <x:c r="AF61" s="27"/>
      <x:c r="AG61" s="27"/>
      <x:c r="AH61" s="27"/>
      <x:c r="AI61" s="27"/>
      <x:c r="AJ61" s="27"/>
      <x:c r="AK61" s="27"/>
      <x:c r="AL61" s="27"/>
      <x:c r="AM61" s="27"/>
      <x:c r="AN61" s="27"/>
      <x:c r="AO61" s="27"/>
      <x:c r="AP61" s="27"/>
      <x:c r="AQ61" s="27"/>
      <x:c r="AR61" s="27"/>
      <x:c r="AS61" s="27"/>
      <x:c r="AT61" s="27"/>
      <x:c r="AU61" s="27"/>
      <x:c r="AV61" s="27"/>
      <x:c r="AW61" s="27"/>
      <x:c r="AX61" s="27"/>
      <x:c r="AY61" s="27"/>
      <x:c r="AZ61" s="27"/>
    </x:row>
    <x:row r="62">
      <x:c r="A62" s="27"/>
      <x:c r="B62" s="27"/>
      <x:c r="C62" s="27"/>
      <x:c r="D62" s="27"/>
      <x:c r="E62" s="27"/>
      <x:c r="F62" s="27"/>
      <x:c r="G62" s="27"/>
      <x:c r="H62" s="27"/>
      <x:c r="I62" s="27"/>
      <x:c r="J62" s="27"/>
      <x:c r="K62" s="27"/>
      <x:c r="L62" s="27"/>
      <x:c r="M62" s="27"/>
      <x:c r="N62" s="27"/>
      <x:c r="O62" s="27"/>
      <x:c r="P62" s="27"/>
      <x:c r="Q62" s="27"/>
      <x:c r="R62" s="27"/>
      <x:c r="S62" s="27"/>
      <x:c r="T62" s="27"/>
      <x:c r="U62" s="27"/>
      <x:c r="V62" s="27"/>
      <x:c r="W62" s="27"/>
      <x:c r="X62" s="27"/>
      <x:c r="Y62" s="27"/>
      <x:c r="Z62" s="27"/>
      <x:c r="AA62" s="27"/>
      <x:c r="AB62" s="27"/>
      <x:c r="AC62" s="27"/>
      <x:c r="AD62" s="27"/>
      <x:c r="AE62" s="27"/>
      <x:c r="AF62" s="27"/>
      <x:c r="AG62" s="27"/>
      <x:c r="AH62" s="27"/>
      <x:c r="AI62" s="27"/>
      <x:c r="AJ62" s="27"/>
      <x:c r="AK62" s="27"/>
      <x:c r="AL62" s="27"/>
      <x:c r="AM62" s="27"/>
      <x:c r="AN62" s="27"/>
      <x:c r="AO62" s="27"/>
      <x:c r="AP62" s="27"/>
      <x:c r="AQ62" s="27"/>
      <x:c r="AR62" s="27"/>
      <x:c r="AS62" s="27"/>
      <x:c r="AT62" s="27"/>
      <x:c r="AU62" s="27"/>
      <x:c r="AV62" s="27"/>
      <x:c r="AW62" s="27"/>
      <x:c r="AX62" s="27"/>
      <x:c r="AY62" s="27"/>
      <x:c r="AZ62" s="27"/>
    </x:row>
    <x:row r="63">
      <x:c r="A63" s="27"/>
      <x:c r="B63" s="27"/>
      <x:c r="C63" s="27"/>
      <x:c r="D63" s="27"/>
      <x:c r="E63" s="27"/>
      <x:c r="F63" s="27"/>
      <x:c r="G63" s="27"/>
      <x:c r="H63" s="27"/>
      <x:c r="I63" s="27"/>
      <x:c r="J63" s="27"/>
      <x:c r="K63" s="27"/>
      <x:c r="L63" s="27"/>
      <x:c r="M63" s="27"/>
      <x:c r="N63" s="27"/>
      <x:c r="O63" s="27"/>
      <x:c r="P63" s="27"/>
      <x:c r="Q63" s="27"/>
      <x:c r="R63" s="27"/>
      <x:c r="S63" s="27"/>
      <x:c r="T63" s="27"/>
      <x:c r="U63" s="27"/>
      <x:c r="V63" s="27"/>
      <x:c r="W63" s="27"/>
      <x:c r="X63" s="27"/>
      <x:c r="Y63" s="27"/>
      <x:c r="Z63" s="27"/>
      <x:c r="AA63" s="27"/>
      <x:c r="AB63" s="27"/>
      <x:c r="AC63" s="27"/>
      <x:c r="AD63" s="27"/>
      <x:c r="AE63" s="27"/>
      <x:c r="AF63" s="27"/>
      <x:c r="AG63" s="27"/>
      <x:c r="AH63" s="27"/>
      <x:c r="AI63" s="27"/>
      <x:c r="AJ63" s="27"/>
      <x:c r="AK63" s="27"/>
      <x:c r="AL63" s="27"/>
      <x:c r="AM63" s="27"/>
      <x:c r="AN63" s="27"/>
      <x:c r="AO63" s="27"/>
      <x:c r="AP63" s="27"/>
      <x:c r="AQ63" s="27"/>
      <x:c r="AR63" s="27"/>
      <x:c r="AS63" s="27"/>
      <x:c r="AT63" s="27"/>
      <x:c r="AU63" s="27"/>
      <x:c r="AV63" s="27"/>
      <x:c r="AW63" s="27"/>
      <x:c r="AX63" s="27"/>
      <x:c r="AY63" s="27"/>
      <x:c r="AZ63" s="27"/>
    </x:row>
    <x:row r="64">
      <x:c r="A64" s="27"/>
      <x:c r="B64" s="27"/>
      <x:c r="C64" s="27"/>
      <x:c r="D64" s="27"/>
      <x:c r="E64" s="27"/>
      <x:c r="F64" s="27"/>
      <x:c r="G64" s="27"/>
      <x:c r="H64" s="27"/>
      <x:c r="I64" s="27"/>
      <x:c r="J64" s="27"/>
      <x:c r="K64" s="27"/>
      <x:c r="L64" s="27"/>
      <x:c r="M64" s="27"/>
      <x:c r="N64" s="27"/>
      <x:c r="O64" s="27"/>
      <x:c r="P64" s="27"/>
      <x:c r="Q64" s="27"/>
      <x:c r="R64" s="27"/>
      <x:c r="S64" s="27"/>
      <x:c r="T64" s="27"/>
      <x:c r="U64" s="27"/>
      <x:c r="V64" s="27"/>
      <x:c r="W64" s="27"/>
      <x:c r="X64" s="27"/>
      <x:c r="Y64" s="27"/>
      <x:c r="Z64" s="27"/>
      <x:c r="AA64" s="27"/>
      <x:c r="AB64" s="27"/>
      <x:c r="AC64" s="27"/>
      <x:c r="AD64" s="27"/>
      <x:c r="AE64" s="27"/>
      <x:c r="AF64" s="27"/>
      <x:c r="AG64" s="27"/>
      <x:c r="AH64" s="27"/>
      <x:c r="AI64" s="27"/>
      <x:c r="AJ64" s="27"/>
      <x:c r="AK64" s="27"/>
      <x:c r="AL64" s="27"/>
      <x:c r="AM64" s="27"/>
      <x:c r="AN64" s="27"/>
      <x:c r="AO64" s="27"/>
      <x:c r="AP64" s="27"/>
      <x:c r="AQ64" s="27"/>
      <x:c r="AR64" s="27"/>
      <x:c r="AS64" s="27"/>
      <x:c r="AT64" s="27"/>
      <x:c r="AU64" s="27"/>
      <x:c r="AV64" s="27"/>
      <x:c r="AW64" s="27"/>
      <x:c r="AX64" s="27"/>
      <x:c r="AY64" s="27"/>
      <x:c r="AZ64" s="27"/>
    </x:row>
    <x:row r="65">
      <x:c r="A65" s="27"/>
      <x:c r="B65" s="27"/>
      <x:c r="C65" s="27"/>
      <x:c r="D65" s="27"/>
      <x:c r="E65" s="27"/>
      <x:c r="F65" s="27"/>
      <x:c r="G65" s="27"/>
      <x:c r="H65" s="27"/>
      <x:c r="I65" s="27"/>
      <x:c r="J65" s="27"/>
      <x:c r="K65" s="27"/>
      <x:c r="L65" s="27"/>
      <x:c r="M65" s="27"/>
      <x:c r="N65" s="27"/>
      <x:c r="O65" s="27"/>
      <x:c r="P65" s="27"/>
      <x:c r="Q65" s="27"/>
      <x:c r="R65" s="27"/>
      <x:c r="S65" s="27"/>
      <x:c r="T65" s="27"/>
      <x:c r="U65" s="27"/>
      <x:c r="V65" s="27"/>
      <x:c r="W65" s="27"/>
      <x:c r="X65" s="27"/>
      <x:c r="Y65" s="27"/>
      <x:c r="Z65" s="27"/>
      <x:c r="AA65" s="27"/>
      <x:c r="AB65" s="27"/>
      <x:c r="AC65" s="27"/>
      <x:c r="AD65" s="27"/>
      <x:c r="AE65" s="27"/>
      <x:c r="AF65" s="27"/>
      <x:c r="AG65" s="27"/>
      <x:c r="AH65" s="27"/>
      <x:c r="AI65" s="27"/>
      <x:c r="AJ65" s="27"/>
      <x:c r="AK65" s="27"/>
      <x:c r="AL65" s="27"/>
      <x:c r="AM65" s="27"/>
      <x:c r="AN65" s="27"/>
      <x:c r="AO65" s="27"/>
      <x:c r="AP65" s="27"/>
      <x:c r="AQ65" s="27"/>
      <x:c r="AR65" s="27"/>
      <x:c r="AS65" s="27"/>
      <x:c r="AT65" s="27"/>
      <x:c r="AU65" s="27"/>
      <x:c r="AV65" s="27"/>
      <x:c r="AW65" s="27"/>
      <x:c r="AX65" s="27"/>
      <x:c r="AY65" s="27"/>
      <x:c r="AZ65" s="27"/>
    </x:row>
    <x:row r="66">
      <x:c r="A66" s="27"/>
      <x:c r="B66" s="27"/>
      <x:c r="C66" s="27"/>
      <x:c r="D66" s="27"/>
      <x:c r="E66" s="27"/>
      <x:c r="F66" s="27"/>
      <x:c r="G66" s="27"/>
      <x:c r="H66" s="27"/>
      <x:c r="I66" s="27"/>
      <x:c r="J66" s="27"/>
      <x:c r="K66" s="27"/>
      <x:c r="L66" s="27"/>
      <x:c r="M66" s="27"/>
      <x:c r="N66" s="27"/>
      <x:c r="O66" s="27"/>
      <x:c r="P66" s="27"/>
      <x:c r="Q66" s="27"/>
      <x:c r="R66" s="27"/>
      <x:c r="S66" s="27"/>
      <x:c r="T66" s="27"/>
      <x:c r="U66" s="27"/>
      <x:c r="V66" s="27"/>
      <x:c r="W66" s="27"/>
      <x:c r="X66" s="27"/>
      <x:c r="Y66" s="27"/>
      <x:c r="Z66" s="27"/>
      <x:c r="AA66" s="27"/>
      <x:c r="AB66" s="27"/>
      <x:c r="AC66" s="27"/>
      <x:c r="AD66" s="27"/>
      <x:c r="AE66" s="27"/>
      <x:c r="AF66" s="27"/>
      <x:c r="AG66" s="27"/>
      <x:c r="AH66" s="27"/>
      <x:c r="AI66" s="27"/>
      <x:c r="AJ66" s="27"/>
      <x:c r="AK66" s="27"/>
      <x:c r="AL66" s="27"/>
      <x:c r="AM66" s="27"/>
      <x:c r="AN66" s="27"/>
      <x:c r="AO66" s="27"/>
      <x:c r="AP66" s="27"/>
      <x:c r="AQ66" s="27"/>
      <x:c r="AR66" s="27"/>
      <x:c r="AS66" s="27"/>
      <x:c r="AT66" s="27"/>
      <x:c r="AU66" s="27"/>
      <x:c r="AV66" s="27"/>
      <x:c r="AW66" s="27"/>
      <x:c r="AX66" s="27"/>
      <x:c r="AY66" s="27"/>
      <x:c r="AZ66" s="27"/>
    </x:row>
    <x:row r="67">
      <x:c r="A67" s="27"/>
      <x:c r="B67" s="27"/>
      <x:c r="C67" s="27"/>
      <x:c r="D67" s="27"/>
      <x:c r="E67" s="27"/>
      <x:c r="F67" s="27"/>
      <x:c r="G67" s="27"/>
      <x:c r="H67" s="27"/>
      <x:c r="I67" s="27"/>
      <x:c r="J67" s="27"/>
      <x:c r="K67" s="27"/>
      <x:c r="L67" s="27"/>
      <x:c r="M67" s="27"/>
      <x:c r="N67" s="27"/>
      <x:c r="O67" s="27"/>
      <x:c r="P67" s="27"/>
      <x:c r="Q67" s="27"/>
      <x:c r="R67" s="27"/>
      <x:c r="S67" s="27"/>
      <x:c r="T67" s="27"/>
      <x:c r="U67" s="27"/>
      <x:c r="V67" s="27"/>
      <x:c r="W67" s="27"/>
      <x:c r="X67" s="27"/>
      <x:c r="Y67" s="27"/>
      <x:c r="Z67" s="27"/>
      <x:c r="AA67" s="27"/>
      <x:c r="AB67" s="27"/>
      <x:c r="AC67" s="27"/>
      <x:c r="AD67" s="27"/>
      <x:c r="AE67" s="27"/>
      <x:c r="AF67" s="27"/>
      <x:c r="AG67" s="27"/>
      <x:c r="AH67" s="27"/>
      <x:c r="AI67" s="27"/>
      <x:c r="AJ67" s="27"/>
      <x:c r="AK67" s="27"/>
      <x:c r="AL67" s="27"/>
      <x:c r="AM67" s="27"/>
      <x:c r="AN67" s="27"/>
      <x:c r="AO67" s="27"/>
      <x:c r="AP67" s="27"/>
      <x:c r="AQ67" s="27"/>
      <x:c r="AR67" s="27"/>
      <x:c r="AS67" s="27"/>
      <x:c r="AT67" s="27"/>
      <x:c r="AU67" s="27"/>
      <x:c r="AV67" s="27"/>
      <x:c r="AW67" s="27"/>
      <x:c r="AX67" s="27"/>
      <x:c r="AY67" s="27"/>
      <x:c r="AZ67" s="27"/>
    </x:row>
    <x:row r="68">
      <x:c r="A68" s="27"/>
      <x:c r="B68" s="27"/>
      <x:c r="C68" s="27"/>
      <x:c r="D68" s="27"/>
      <x:c r="E68" s="27"/>
      <x:c r="F68" s="27"/>
      <x:c r="G68" s="27"/>
      <x:c r="H68" s="27"/>
      <x:c r="I68" s="27"/>
      <x:c r="J68" s="27"/>
      <x:c r="K68" s="27"/>
      <x:c r="L68" s="27"/>
      <x:c r="M68" s="27"/>
      <x:c r="N68" s="27"/>
      <x:c r="O68" s="27"/>
      <x:c r="P68" s="27"/>
      <x:c r="Q68" s="27"/>
      <x:c r="R68" s="27"/>
      <x:c r="S68" s="27"/>
      <x:c r="T68" s="27"/>
      <x:c r="U68" s="27"/>
      <x:c r="V68" s="27"/>
      <x:c r="W68" s="27"/>
      <x:c r="X68" s="27"/>
      <x:c r="Y68" s="27"/>
      <x:c r="Z68" s="27"/>
      <x:c r="AA68" s="27"/>
      <x:c r="AB68" s="27"/>
      <x:c r="AC68" s="27"/>
      <x:c r="AD68" s="27"/>
      <x:c r="AE68" s="27"/>
      <x:c r="AF68" s="27"/>
      <x:c r="AG68" s="27"/>
      <x:c r="AH68" s="27"/>
      <x:c r="AI68" s="27"/>
      <x:c r="AJ68" s="27"/>
      <x:c r="AK68" s="27"/>
      <x:c r="AL68" s="27"/>
      <x:c r="AM68" s="27"/>
      <x:c r="AN68" s="27"/>
      <x:c r="AO68" s="27"/>
      <x:c r="AP68" s="27"/>
      <x:c r="AQ68" s="27"/>
      <x:c r="AR68" s="27"/>
      <x:c r="AS68" s="27"/>
      <x:c r="AT68" s="27"/>
      <x:c r="AU68" s="27"/>
      <x:c r="AV68" s="27"/>
      <x:c r="AW68" s="27"/>
      <x:c r="AX68" s="27"/>
      <x:c r="AY68" s="27"/>
      <x:c r="AZ68" s="27"/>
    </x:row>
    <x:row r="69">
      <x:c r="A69" s="27"/>
      <x:c r="B69" s="27"/>
      <x:c r="C69" s="27"/>
      <x:c r="D69" s="27"/>
      <x:c r="E69" s="27"/>
      <x:c r="F69" s="27"/>
      <x:c r="G69" s="27"/>
      <x:c r="H69" s="27"/>
      <x:c r="I69" s="27"/>
      <x:c r="J69" s="27"/>
      <x:c r="K69" s="27"/>
      <x:c r="L69" s="27"/>
      <x:c r="M69" s="27"/>
      <x:c r="N69" s="27"/>
      <x:c r="O69" s="27"/>
      <x:c r="P69" s="27"/>
      <x:c r="Q69" s="27"/>
      <x:c r="R69" s="27"/>
      <x:c r="S69" s="27"/>
      <x:c r="T69" s="27"/>
      <x:c r="U69" s="27"/>
      <x:c r="V69" s="27"/>
      <x:c r="W69" s="27"/>
      <x:c r="X69" s="27"/>
      <x:c r="Y69" s="27"/>
      <x:c r="Z69" s="27"/>
      <x:c r="AA69" s="27"/>
      <x:c r="AB69" s="27"/>
      <x:c r="AC69" s="27"/>
      <x:c r="AD69" s="27"/>
      <x:c r="AE69" s="27"/>
      <x:c r="AF69" s="27"/>
      <x:c r="AG69" s="27"/>
      <x:c r="AH69" s="27"/>
      <x:c r="AI69" s="27"/>
      <x:c r="AJ69" s="27"/>
      <x:c r="AK69" s="27"/>
      <x:c r="AL69" s="27"/>
      <x:c r="AM69" s="27"/>
      <x:c r="AN69" s="27"/>
      <x:c r="AO69" s="27"/>
      <x:c r="AP69" s="27"/>
      <x:c r="AQ69" s="27"/>
      <x:c r="AR69" s="27"/>
      <x:c r="AS69" s="27"/>
      <x:c r="AT69" s="27"/>
      <x:c r="AU69" s="27"/>
      <x:c r="AV69" s="27"/>
      <x:c r="AW69" s="27"/>
      <x:c r="AX69" s="27"/>
      <x:c r="AY69" s="27"/>
      <x:c r="AZ69" s="27"/>
    </x:row>
    <x:row r="70">
      <x:c r="A70" s="27"/>
      <x:c r="B70" s="27"/>
      <x:c r="C70" s="27"/>
      <x:c r="D70" s="27"/>
      <x:c r="E70" s="27"/>
      <x:c r="F70" s="27"/>
      <x:c r="G70" s="27"/>
      <x:c r="H70" s="27"/>
      <x:c r="I70" s="27"/>
      <x:c r="J70" s="27"/>
      <x:c r="K70" s="27"/>
      <x:c r="L70" s="27"/>
      <x:c r="M70" s="27"/>
      <x:c r="N70" s="27"/>
      <x:c r="O70" s="27"/>
      <x:c r="P70" s="27"/>
      <x:c r="Q70" s="27"/>
      <x:c r="R70" s="27"/>
      <x:c r="S70" s="27"/>
      <x:c r="T70" s="27"/>
      <x:c r="U70" s="27"/>
      <x:c r="V70" s="27"/>
      <x:c r="W70" s="27"/>
      <x:c r="X70" s="27"/>
      <x:c r="Y70" s="27"/>
      <x:c r="Z70" s="27"/>
      <x:c r="AA70" s="27"/>
      <x:c r="AB70" s="27"/>
      <x:c r="AC70" s="27"/>
      <x:c r="AD70" s="27"/>
      <x:c r="AE70" s="27"/>
      <x:c r="AF70" s="27"/>
      <x:c r="AG70" s="27"/>
      <x:c r="AH70" s="27"/>
      <x:c r="AI70" s="27"/>
      <x:c r="AJ70" s="27"/>
      <x:c r="AK70" s="27"/>
      <x:c r="AL70" s="27"/>
      <x:c r="AM70" s="27"/>
      <x:c r="AN70" s="27"/>
      <x:c r="AO70" s="27"/>
      <x:c r="AP70" s="27"/>
      <x:c r="AQ70" s="27"/>
      <x:c r="AR70" s="27"/>
      <x:c r="AS70" s="27"/>
      <x:c r="AT70" s="27"/>
      <x:c r="AU70" s="27"/>
      <x:c r="AV70" s="27"/>
      <x:c r="AW70" s="27"/>
      <x:c r="AX70" s="27"/>
      <x:c r="AY70" s="27"/>
      <x:c r="AZ70" s="27"/>
    </x:row>
    <x:row r="71">
      <x:c r="A71" s="27"/>
      <x:c r="B71" s="27"/>
      <x:c r="C71" s="27"/>
      <x:c r="D71" s="27"/>
      <x:c r="E71" s="27"/>
      <x:c r="F71" s="27"/>
      <x:c r="G71" s="27"/>
      <x:c r="H71" s="27"/>
      <x:c r="I71" s="27"/>
      <x:c r="J71" s="27"/>
      <x:c r="K71" s="27"/>
      <x:c r="L71" s="27"/>
      <x:c r="M71" s="27"/>
      <x:c r="N71" s="27"/>
      <x:c r="O71" s="27"/>
      <x:c r="P71" s="27"/>
      <x:c r="Q71" s="27"/>
      <x:c r="R71" s="27"/>
      <x:c r="S71" s="27"/>
      <x:c r="T71" s="27"/>
      <x:c r="U71" s="27"/>
      <x:c r="V71" s="27"/>
      <x:c r="W71" s="27"/>
      <x:c r="X71" s="27"/>
      <x:c r="Y71" s="27"/>
      <x:c r="Z71" s="27"/>
      <x:c r="AA71" s="27"/>
      <x:c r="AB71" s="27"/>
      <x:c r="AC71" s="27"/>
      <x:c r="AD71" s="27"/>
      <x:c r="AE71" s="27"/>
      <x:c r="AF71" s="27"/>
      <x:c r="AG71" s="27"/>
      <x:c r="AH71" s="27"/>
      <x:c r="AI71" s="27"/>
      <x:c r="AJ71" s="27"/>
      <x:c r="AK71" s="27"/>
      <x:c r="AL71" s="27"/>
      <x:c r="AM71" s="27"/>
      <x:c r="AN71" s="27"/>
      <x:c r="AO71" s="27"/>
      <x:c r="AP71" s="27"/>
      <x:c r="AQ71" s="27"/>
      <x:c r="AR71" s="27"/>
      <x:c r="AS71" s="27"/>
      <x:c r="AT71" s="27"/>
      <x:c r="AU71" s="27"/>
      <x:c r="AV71" s="27"/>
      <x:c r="AW71" s="27"/>
      <x:c r="AX71" s="27"/>
      <x:c r="AY71" s="27"/>
      <x:c r="AZ71" s="27"/>
    </x:row>
    <x:row r="72">
      <x:c r="A72" s="27"/>
      <x:c r="B72" s="27"/>
      <x:c r="C72" s="27"/>
      <x:c r="D72" s="27"/>
      <x:c r="E72" s="27"/>
      <x:c r="F72" s="27"/>
      <x:c r="G72" s="27"/>
      <x:c r="H72" s="27"/>
      <x:c r="I72" s="27"/>
      <x:c r="J72" s="27"/>
      <x:c r="K72" s="27"/>
      <x:c r="L72" s="27"/>
      <x:c r="M72" s="27"/>
      <x:c r="N72" s="27"/>
      <x:c r="O72" s="27"/>
      <x:c r="P72" s="27"/>
      <x:c r="Q72" s="27"/>
      <x:c r="R72" s="27"/>
      <x:c r="S72" s="27"/>
      <x:c r="T72" s="27"/>
      <x:c r="U72" s="27"/>
      <x:c r="V72" s="27"/>
      <x:c r="W72" s="27"/>
      <x:c r="X72" s="27"/>
      <x:c r="Y72" s="27"/>
      <x:c r="Z72" s="27"/>
      <x:c r="AA72" s="27"/>
      <x:c r="AB72" s="27"/>
      <x:c r="AC72" s="27"/>
      <x:c r="AD72" s="27"/>
      <x:c r="AE72" s="27"/>
      <x:c r="AF72" s="27"/>
      <x:c r="AG72" s="27"/>
      <x:c r="AH72" s="27"/>
      <x:c r="AI72" s="27"/>
      <x:c r="AJ72" s="27"/>
      <x:c r="AK72" s="27"/>
      <x:c r="AL72" s="27"/>
      <x:c r="AM72" s="27"/>
      <x:c r="AN72" s="27"/>
      <x:c r="AO72" s="27"/>
      <x:c r="AP72" s="27"/>
      <x:c r="AQ72" s="27"/>
      <x:c r="AR72" s="27"/>
      <x:c r="AS72" s="27"/>
      <x:c r="AT72" s="27"/>
      <x:c r="AU72" s="27"/>
      <x:c r="AV72" s="27"/>
      <x:c r="AW72" s="27"/>
      <x:c r="AX72" s="27"/>
      <x:c r="AY72" s="27"/>
      <x:c r="AZ72" s="27"/>
    </x:row>
    <x:row r="73">
      <x:c r="A73" s="27"/>
      <x:c r="B73" s="27"/>
      <x:c r="C73" s="27"/>
      <x:c r="D73" s="27"/>
      <x:c r="E73" s="27"/>
      <x:c r="F73" s="27"/>
      <x:c r="G73" s="27"/>
      <x:c r="H73" s="27"/>
      <x:c r="I73" s="27"/>
      <x:c r="J73" s="27"/>
      <x:c r="K73" s="27"/>
      <x:c r="L73" s="27"/>
      <x:c r="M73" s="27"/>
      <x:c r="N73" s="27"/>
      <x:c r="O73" s="27"/>
      <x:c r="P73" s="27"/>
      <x:c r="Q73" s="27"/>
      <x:c r="R73" s="27"/>
      <x:c r="S73" s="27"/>
      <x:c r="T73" s="27"/>
      <x:c r="U73" s="27"/>
      <x:c r="V73" s="27"/>
      <x:c r="W73" s="27"/>
      <x:c r="X73" s="27"/>
      <x:c r="Y73" s="27"/>
      <x:c r="Z73" s="27"/>
      <x:c r="AA73" s="27"/>
      <x:c r="AB73" s="27"/>
      <x:c r="AC73" s="27"/>
      <x:c r="AD73" s="27"/>
      <x:c r="AE73" s="27"/>
      <x:c r="AF73" s="27"/>
      <x:c r="AG73" s="27"/>
      <x:c r="AH73" s="27"/>
      <x:c r="AI73" s="27"/>
      <x:c r="AJ73" s="27"/>
      <x:c r="AK73" s="27"/>
      <x:c r="AL73" s="27"/>
      <x:c r="AM73" s="27"/>
      <x:c r="AN73" s="27"/>
      <x:c r="AO73" s="27"/>
      <x:c r="AP73" s="27"/>
      <x:c r="AQ73" s="27"/>
      <x:c r="AR73" s="27"/>
      <x:c r="AS73" s="27"/>
      <x:c r="AT73" s="27"/>
      <x:c r="AU73" s="27"/>
      <x:c r="AV73" s="27"/>
      <x:c r="AW73" s="27"/>
      <x:c r="AX73" s="27"/>
      <x:c r="AY73" s="27"/>
      <x:c r="AZ73" s="27"/>
    </x:row>
    <x:row r="74">
      <x:c r="A74" s="27"/>
      <x:c r="B74" s="27"/>
      <x:c r="C74" s="27"/>
      <x:c r="D74" s="27"/>
      <x:c r="E74" s="27"/>
      <x:c r="F74" s="27"/>
      <x:c r="G74" s="27"/>
      <x:c r="H74" s="27"/>
      <x:c r="I74" s="27"/>
      <x:c r="J74" s="27"/>
      <x:c r="K74" s="27"/>
      <x:c r="L74" s="27"/>
      <x:c r="M74" s="27"/>
      <x:c r="N74" s="27"/>
      <x:c r="O74" s="27"/>
      <x:c r="P74" s="27"/>
      <x:c r="Q74" s="27"/>
      <x:c r="R74" s="27"/>
      <x:c r="S74" s="27"/>
      <x:c r="T74" s="27"/>
      <x:c r="U74" s="27"/>
      <x:c r="V74" s="27"/>
      <x:c r="W74" s="27"/>
      <x:c r="X74" s="27"/>
      <x:c r="Y74" s="27"/>
      <x:c r="Z74" s="27"/>
      <x:c r="AA74" s="27"/>
      <x:c r="AB74" s="27"/>
      <x:c r="AC74" s="27"/>
      <x:c r="AD74" s="27"/>
      <x:c r="AE74" s="27"/>
      <x:c r="AF74" s="27"/>
      <x:c r="AG74" s="27"/>
      <x:c r="AH74" s="27"/>
      <x:c r="AI74" s="27"/>
      <x:c r="AJ74" s="27"/>
      <x:c r="AK74" s="27"/>
      <x:c r="AL74" s="27"/>
      <x:c r="AM74" s="27"/>
      <x:c r="AN74" s="27"/>
      <x:c r="AO74" s="27"/>
      <x:c r="AP74" s="27"/>
      <x:c r="AQ74" s="27"/>
      <x:c r="AR74" s="27"/>
      <x:c r="AS74" s="27"/>
      <x:c r="AT74" s="27"/>
      <x:c r="AU74" s="27"/>
      <x:c r="AV74" s="27"/>
      <x:c r="AW74" s="27"/>
      <x:c r="AX74" s="27"/>
      <x:c r="AY74" s="27"/>
      <x:c r="AZ74" s="27"/>
    </x:row>
    <x:row r="75">
      <x:c r="A75" s="27"/>
      <x:c r="B75" s="27"/>
      <x:c r="C75" s="27"/>
      <x:c r="D75" s="27"/>
      <x:c r="E75" s="27"/>
      <x:c r="F75" s="27"/>
      <x:c r="G75" s="27"/>
      <x:c r="H75" s="27"/>
      <x:c r="I75" s="27"/>
      <x:c r="J75" s="27"/>
      <x:c r="K75" s="27"/>
      <x:c r="L75" s="27"/>
      <x:c r="M75" s="27"/>
      <x:c r="N75" s="27"/>
      <x:c r="O75" s="27"/>
      <x:c r="P75" s="27"/>
      <x:c r="Q75" s="27"/>
      <x:c r="R75" s="27"/>
      <x:c r="S75" s="27"/>
      <x:c r="T75" s="27"/>
      <x:c r="U75" s="27"/>
      <x:c r="V75" s="27"/>
      <x:c r="W75" s="27"/>
      <x:c r="X75" s="27"/>
      <x:c r="Y75" s="27"/>
      <x:c r="Z75" s="27"/>
      <x:c r="AA75" s="27"/>
      <x:c r="AB75" s="27"/>
      <x:c r="AC75" s="27"/>
      <x:c r="AD75" s="27"/>
      <x:c r="AE75" s="27"/>
      <x:c r="AF75" s="27"/>
      <x:c r="AG75" s="27"/>
      <x:c r="AH75" s="27"/>
      <x:c r="AI75" s="27"/>
      <x:c r="AJ75" s="27"/>
      <x:c r="AK75" s="27"/>
      <x:c r="AL75" s="27"/>
      <x:c r="AM75" s="27"/>
      <x:c r="AN75" s="27"/>
      <x:c r="AO75" s="27"/>
      <x:c r="AP75" s="27"/>
      <x:c r="AQ75" s="27"/>
      <x:c r="AR75" s="27"/>
      <x:c r="AS75" s="27"/>
      <x:c r="AT75" s="27"/>
      <x:c r="AU75" s="27"/>
      <x:c r="AV75" s="27"/>
      <x:c r="AW75" s="27"/>
      <x:c r="AX75" s="27"/>
      <x:c r="AY75" s="27"/>
      <x:c r="AZ75" s="27"/>
    </x:row>
    <x:row r="76">
      <x:c r="A76" s="27"/>
      <x:c r="B76" s="27"/>
      <x:c r="C76" s="27"/>
      <x:c r="D76" s="27"/>
      <x:c r="E76" s="27"/>
      <x:c r="F76" s="27"/>
      <x:c r="G76" s="27"/>
      <x:c r="H76" s="27"/>
      <x:c r="I76" s="27"/>
      <x:c r="J76" s="27"/>
      <x:c r="K76" s="27"/>
      <x:c r="L76" s="27"/>
      <x:c r="M76" s="27"/>
      <x:c r="N76" s="27"/>
      <x:c r="O76" s="27"/>
      <x:c r="P76" s="27"/>
      <x:c r="Q76" s="27"/>
      <x:c r="R76" s="27"/>
      <x:c r="S76" s="27"/>
      <x:c r="T76" s="27"/>
      <x:c r="U76" s="27"/>
      <x:c r="V76" s="27"/>
      <x:c r="W76" s="27"/>
      <x:c r="X76" s="27"/>
      <x:c r="Y76" s="27"/>
      <x:c r="Z76" s="27"/>
      <x:c r="AA76" s="27"/>
      <x:c r="AB76" s="27"/>
      <x:c r="AC76" s="27"/>
      <x:c r="AD76" s="27"/>
      <x:c r="AE76" s="27"/>
      <x:c r="AF76" s="27"/>
      <x:c r="AG76" s="27"/>
      <x:c r="AH76" s="27"/>
      <x:c r="AI76" s="27"/>
      <x:c r="AJ76" s="27"/>
      <x:c r="AK76" s="27"/>
      <x:c r="AL76" s="27"/>
      <x:c r="AM76" s="27"/>
      <x:c r="AN76" s="27"/>
      <x:c r="AO76" s="27"/>
      <x:c r="AP76" s="27"/>
      <x:c r="AQ76" s="27"/>
      <x:c r="AR76" s="27"/>
      <x:c r="AS76" s="27"/>
      <x:c r="AT76" s="27"/>
      <x:c r="AU76" s="27"/>
      <x:c r="AV76" s="27"/>
      <x:c r="AW76" s="27"/>
      <x:c r="AX76" s="27"/>
      <x:c r="AY76" s="27"/>
      <x:c r="AZ76" s="27"/>
    </x:row>
    <x:row r="77">
      <x:c r="A77" s="27"/>
      <x:c r="B77" s="27"/>
      <x:c r="C77" s="27"/>
      <x:c r="D77" s="27"/>
      <x:c r="E77" s="27"/>
      <x:c r="F77" s="27"/>
      <x:c r="G77" s="27"/>
      <x:c r="H77" s="27"/>
      <x:c r="I77" s="27"/>
      <x:c r="J77" s="27"/>
      <x:c r="K77" s="27"/>
      <x:c r="L77" s="27"/>
      <x:c r="M77" s="27"/>
      <x:c r="N77" s="27"/>
      <x:c r="O77" s="27"/>
      <x:c r="P77" s="27"/>
      <x:c r="Q77" s="27"/>
      <x:c r="R77" s="27"/>
      <x:c r="S77" s="27"/>
      <x:c r="T77" s="27"/>
      <x:c r="U77" s="27"/>
      <x:c r="V77" s="27"/>
      <x:c r="W77" s="27"/>
      <x:c r="X77" s="27"/>
      <x:c r="Y77" s="27"/>
      <x:c r="Z77" s="27"/>
      <x:c r="AA77" s="27"/>
      <x:c r="AB77" s="27"/>
      <x:c r="AC77" s="27"/>
      <x:c r="AD77" s="27"/>
      <x:c r="AE77" s="27"/>
      <x:c r="AF77" s="27"/>
      <x:c r="AG77" s="27"/>
      <x:c r="AH77" s="27"/>
      <x:c r="AI77" s="27"/>
      <x:c r="AJ77" s="27"/>
      <x:c r="AK77" s="27"/>
      <x:c r="AL77" s="27"/>
      <x:c r="AM77" s="27"/>
      <x:c r="AN77" s="27"/>
      <x:c r="AO77" s="27"/>
      <x:c r="AP77" s="27"/>
      <x:c r="AQ77" s="27"/>
      <x:c r="AR77" s="27"/>
      <x:c r="AS77" s="27"/>
      <x:c r="AT77" s="27"/>
      <x:c r="AU77" s="27"/>
      <x:c r="AV77" s="27"/>
      <x:c r="AW77" s="27"/>
      <x:c r="AX77" s="27"/>
      <x:c r="AY77" s="27"/>
      <x:c r="AZ77" s="27"/>
    </x:row>
    <x:row r="78">
      <x:c r="A78" s="27"/>
      <x:c r="B78" s="27"/>
      <x:c r="C78" s="27"/>
      <x:c r="D78" s="27"/>
      <x:c r="E78" s="27"/>
      <x:c r="F78" s="27"/>
      <x:c r="G78" s="27"/>
      <x:c r="H78" s="27"/>
      <x:c r="I78" s="27"/>
      <x:c r="J78" s="27"/>
      <x:c r="K78" s="27"/>
      <x:c r="L78" s="27"/>
      <x:c r="M78" s="27"/>
      <x:c r="N78" s="27"/>
      <x:c r="O78" s="27"/>
      <x:c r="P78" s="27"/>
      <x:c r="Q78" s="27"/>
      <x:c r="R78" s="27"/>
      <x:c r="S78" s="27"/>
      <x:c r="T78" s="27"/>
      <x:c r="U78" s="27"/>
      <x:c r="V78" s="27"/>
      <x:c r="W78" s="27"/>
      <x:c r="X78" s="27"/>
      <x:c r="Y78" s="27"/>
      <x:c r="Z78" s="27"/>
      <x:c r="AA78" s="27"/>
      <x:c r="AB78" s="27"/>
      <x:c r="AC78" s="27"/>
      <x:c r="AD78" s="27"/>
      <x:c r="AE78" s="27"/>
      <x:c r="AF78" s="27"/>
      <x:c r="AG78" s="27"/>
      <x:c r="AH78" s="27"/>
      <x:c r="AI78" s="27"/>
      <x:c r="AJ78" s="27"/>
      <x:c r="AK78" s="27"/>
      <x:c r="AL78" s="27"/>
      <x:c r="AM78" s="27"/>
      <x:c r="AN78" s="27"/>
      <x:c r="AO78" s="27"/>
      <x:c r="AP78" s="27"/>
      <x:c r="AQ78" s="27"/>
      <x:c r="AR78" s="27"/>
      <x:c r="AS78" s="27"/>
      <x:c r="AT78" s="27"/>
      <x:c r="AU78" s="27"/>
      <x:c r="AV78" s="27"/>
      <x:c r="AW78" s="27"/>
      <x:c r="AX78" s="27"/>
      <x:c r="AY78" s="27"/>
      <x:c r="AZ78" s="27"/>
    </x:row>
    <x:row r="79">
      <x:c r="A79" s="27"/>
      <x:c r="B79" s="27"/>
      <x:c r="C79" s="27"/>
      <x:c r="D79" s="27"/>
      <x:c r="E79" s="27"/>
      <x:c r="F79" s="27"/>
      <x:c r="G79" s="27"/>
      <x:c r="H79" s="27"/>
      <x:c r="I79" s="27"/>
      <x:c r="J79" s="27"/>
      <x:c r="K79" s="27"/>
      <x:c r="L79" s="27"/>
      <x:c r="M79" s="27"/>
      <x:c r="N79" s="27"/>
      <x:c r="O79" s="27"/>
      <x:c r="P79" s="27"/>
      <x:c r="Q79" s="27"/>
      <x:c r="R79" s="27"/>
      <x:c r="S79" s="27"/>
      <x:c r="T79" s="27"/>
      <x:c r="U79" s="27"/>
      <x:c r="V79" s="27"/>
      <x:c r="W79" s="27"/>
      <x:c r="X79" s="27"/>
      <x:c r="Y79" s="27"/>
      <x:c r="Z79" s="27"/>
      <x:c r="AA79" s="27"/>
      <x:c r="AB79" s="27"/>
      <x:c r="AC79" s="27"/>
      <x:c r="AD79" s="27"/>
      <x:c r="AE79" s="27"/>
      <x:c r="AF79" s="27"/>
      <x:c r="AG79" s="27"/>
      <x:c r="AH79" s="27"/>
      <x:c r="AI79" s="27"/>
      <x:c r="AJ79" s="27"/>
      <x:c r="AK79" s="27"/>
      <x:c r="AL79" s="27"/>
      <x:c r="AM79" s="27"/>
      <x:c r="AN79" s="27"/>
      <x:c r="AO79" s="27"/>
      <x:c r="AP79" s="27"/>
      <x:c r="AQ79" s="27"/>
      <x:c r="AR79" s="27"/>
      <x:c r="AS79" s="27"/>
      <x:c r="AT79" s="27"/>
      <x:c r="AU79" s="27"/>
      <x:c r="AV79" s="27"/>
      <x:c r="AW79" s="27"/>
      <x:c r="AX79" s="27"/>
      <x:c r="AY79" s="27"/>
      <x:c r="AZ79" s="27"/>
    </x:row>
    <x:row r="80">
      <x:c r="A80" s="27"/>
      <x:c r="B80" s="27"/>
      <x:c r="C80" s="27"/>
      <x:c r="D80" s="27"/>
      <x:c r="E80" s="27"/>
      <x:c r="F80" s="27"/>
      <x:c r="G80" s="27"/>
      <x:c r="H80" s="27"/>
      <x:c r="I80" s="27"/>
      <x:c r="J80" s="27"/>
      <x:c r="K80" s="27"/>
      <x:c r="L80" s="27"/>
      <x:c r="M80" s="27"/>
      <x:c r="N80" s="27"/>
      <x:c r="O80" s="27"/>
      <x:c r="P80" s="27"/>
      <x:c r="Q80" s="27"/>
      <x:c r="R80" s="27"/>
      <x:c r="S80" s="27"/>
      <x:c r="T80" s="27"/>
      <x:c r="U80" s="27"/>
      <x:c r="V80" s="27"/>
      <x:c r="W80" s="27"/>
      <x:c r="X80" s="27"/>
      <x:c r="Y80" s="27"/>
      <x:c r="Z80" s="27"/>
      <x:c r="AA80" s="27"/>
      <x:c r="AB80" s="27"/>
      <x:c r="AC80" s="27"/>
      <x:c r="AD80" s="27"/>
      <x:c r="AE80" s="27"/>
      <x:c r="AF80" s="27"/>
      <x:c r="AG80" s="27"/>
      <x:c r="AH80" s="27"/>
      <x:c r="AI80" s="27"/>
      <x:c r="AJ80" s="27"/>
      <x:c r="AK80" s="27"/>
      <x:c r="AL80" s="27"/>
      <x:c r="AM80" s="27"/>
      <x:c r="AN80" s="27"/>
      <x:c r="AO80" s="27"/>
      <x:c r="AP80" s="27"/>
      <x:c r="AQ80" s="27"/>
      <x:c r="AR80" s="27"/>
      <x:c r="AS80" s="27"/>
      <x:c r="AT80" s="27"/>
      <x:c r="AU80" s="27"/>
      <x:c r="AV80" s="27"/>
      <x:c r="AW80" s="27"/>
      <x:c r="AX80" s="27"/>
      <x:c r="AY80" s="27"/>
      <x:c r="AZ80" s="27"/>
    </x:row>
    <x:row r="81">
      <x:c r="A81" s="27"/>
      <x:c r="B81" s="27"/>
      <x:c r="C81" s="27"/>
      <x:c r="D81" s="27"/>
      <x:c r="E81" s="27"/>
      <x:c r="F81" s="27"/>
      <x:c r="G81" s="27"/>
      <x:c r="H81" s="27"/>
      <x:c r="I81" s="27"/>
      <x:c r="J81" s="27"/>
      <x:c r="K81" s="27"/>
      <x:c r="L81" s="27"/>
      <x:c r="M81" s="27"/>
      <x:c r="N81" s="27"/>
      <x:c r="O81" s="27"/>
      <x:c r="P81" s="27"/>
      <x:c r="Q81" s="27"/>
      <x:c r="R81" s="27"/>
      <x:c r="S81" s="27"/>
      <x:c r="T81" s="27"/>
      <x:c r="U81" s="27"/>
      <x:c r="V81" s="27"/>
      <x:c r="W81" s="27"/>
      <x:c r="X81" s="27"/>
      <x:c r="Y81" s="27"/>
      <x:c r="Z81" s="27"/>
      <x:c r="AA81" s="27"/>
      <x:c r="AB81" s="27"/>
      <x:c r="AC81" s="27"/>
      <x:c r="AD81" s="27"/>
      <x:c r="AE81" s="27"/>
      <x:c r="AF81" s="27"/>
      <x:c r="AG81" s="27"/>
      <x:c r="AH81" s="27"/>
      <x:c r="AI81" s="27"/>
      <x:c r="AJ81" s="27"/>
      <x:c r="AK81" s="27"/>
      <x:c r="AL81" s="27"/>
      <x:c r="AM81" s="27"/>
      <x:c r="AN81" s="27"/>
      <x:c r="AO81" s="27"/>
      <x:c r="AP81" s="27"/>
      <x:c r="AQ81" s="27"/>
      <x:c r="AR81" s="27"/>
      <x:c r="AS81" s="27"/>
      <x:c r="AT81" s="27"/>
      <x:c r="AU81" s="27"/>
      <x:c r="AV81" s="27"/>
      <x:c r="AW81" s="27"/>
      <x:c r="AX81" s="27"/>
      <x:c r="AY81" s="27"/>
      <x:c r="AZ81" s="27"/>
    </x:row>
    <x:row r="82">
      <x:c r="A82" s="27"/>
      <x:c r="B82" s="27"/>
      <x:c r="C82" s="27"/>
      <x:c r="D82" s="27"/>
      <x:c r="E82" s="27"/>
      <x:c r="F82" s="27"/>
      <x:c r="G82" s="27"/>
      <x:c r="H82" s="27"/>
      <x:c r="I82" s="27"/>
      <x:c r="J82" s="27"/>
      <x:c r="K82" s="27"/>
      <x:c r="L82" s="27"/>
      <x:c r="M82" s="27"/>
      <x:c r="N82" s="27"/>
      <x:c r="O82" s="27"/>
      <x:c r="P82" s="27"/>
      <x:c r="Q82" s="27"/>
      <x:c r="R82" s="27"/>
      <x:c r="S82" s="27"/>
      <x:c r="T82" s="27"/>
      <x:c r="U82" s="27"/>
      <x:c r="V82" s="27"/>
      <x:c r="W82" s="27"/>
      <x:c r="X82" s="27"/>
      <x:c r="Y82" s="27"/>
      <x:c r="Z82" s="27"/>
      <x:c r="AA82" s="27"/>
      <x:c r="AB82" s="27"/>
      <x:c r="AC82" s="27"/>
      <x:c r="AD82" s="27"/>
      <x:c r="AE82" s="27"/>
      <x:c r="AF82" s="27"/>
      <x:c r="AG82" s="27"/>
      <x:c r="AH82" s="27"/>
      <x:c r="AI82" s="27"/>
      <x:c r="AJ82" s="27"/>
      <x:c r="AK82" s="27"/>
      <x:c r="AL82" s="27"/>
      <x:c r="AM82" s="27"/>
      <x:c r="AN82" s="27"/>
      <x:c r="AO82" s="27"/>
      <x:c r="AP82" s="27"/>
      <x:c r="AQ82" s="27"/>
      <x:c r="AR82" s="27"/>
      <x:c r="AS82" s="27"/>
      <x:c r="AT82" s="27"/>
      <x:c r="AU82" s="27"/>
      <x:c r="AV82" s="27"/>
      <x:c r="AW82" s="27"/>
      <x:c r="AX82" s="27"/>
      <x:c r="AY82" s="27"/>
      <x:c r="AZ82" s="27"/>
    </x:row>
    <x:row r="83">
      <x:c r="A83" s="27"/>
      <x:c r="B83" s="27"/>
      <x:c r="C83" s="27"/>
      <x:c r="D83" s="27"/>
      <x:c r="E83" s="27"/>
      <x:c r="F83" s="27"/>
      <x:c r="G83" s="27"/>
      <x:c r="H83" s="27"/>
      <x:c r="I83" s="27"/>
      <x:c r="J83" s="27"/>
      <x:c r="K83" s="27"/>
      <x:c r="L83" s="27"/>
      <x:c r="M83" s="27"/>
      <x:c r="N83" s="27"/>
      <x:c r="O83" s="27"/>
      <x:c r="P83" s="27"/>
      <x:c r="Q83" s="27"/>
      <x:c r="R83" s="27"/>
      <x:c r="S83" s="27"/>
      <x:c r="T83" s="27"/>
      <x:c r="U83" s="27"/>
      <x:c r="V83" s="27"/>
      <x:c r="W83" s="27"/>
      <x:c r="X83" s="27"/>
      <x:c r="Y83" s="27"/>
      <x:c r="Z83" s="27"/>
      <x:c r="AA83" s="27"/>
      <x:c r="AB83" s="27"/>
      <x:c r="AC83" s="27"/>
      <x:c r="AD83" s="27"/>
      <x:c r="AE83" s="27"/>
      <x:c r="AF83" s="27"/>
      <x:c r="AG83" s="27"/>
      <x:c r="AH83" s="27"/>
      <x:c r="AI83" s="27"/>
      <x:c r="AJ83" s="27"/>
      <x:c r="AK83" s="27"/>
      <x:c r="AL83" s="27"/>
      <x:c r="AM83" s="27"/>
      <x:c r="AN83" s="27"/>
      <x:c r="AO83" s="27"/>
      <x:c r="AP83" s="27"/>
      <x:c r="AQ83" s="27"/>
      <x:c r="AR83" s="27"/>
      <x:c r="AS83" s="27"/>
      <x:c r="AT83" s="27"/>
      <x:c r="AU83" s="27"/>
      <x:c r="AV83" s="27"/>
      <x:c r="AW83" s="27"/>
      <x:c r="AX83" s="27"/>
      <x:c r="AY83" s="27"/>
      <x:c r="AZ83" s="27"/>
    </x:row>
    <x:row r="84">
      <x:c r="A84" s="27"/>
      <x:c r="B84" s="27"/>
      <x:c r="C84" s="27"/>
      <x:c r="D84" s="27"/>
      <x:c r="E84" s="27"/>
      <x:c r="F84" s="27"/>
      <x:c r="G84" s="27"/>
      <x:c r="H84" s="27"/>
      <x:c r="I84" s="27"/>
      <x:c r="J84" s="27"/>
      <x:c r="K84" s="27"/>
      <x:c r="L84" s="27"/>
      <x:c r="M84" s="27"/>
      <x:c r="N84" s="27"/>
      <x:c r="O84" s="27"/>
      <x:c r="P84" s="27"/>
      <x:c r="Q84" s="27"/>
      <x:c r="R84" s="27"/>
      <x:c r="S84" s="27"/>
      <x:c r="T84" s="27"/>
      <x:c r="U84" s="27"/>
      <x:c r="V84" s="27"/>
      <x:c r="W84" s="27"/>
      <x:c r="X84" s="27"/>
      <x:c r="Y84" s="27"/>
      <x:c r="Z84" s="27"/>
      <x:c r="AA84" s="27"/>
      <x:c r="AB84" s="27"/>
      <x:c r="AC84" s="27"/>
      <x:c r="AD84" s="27"/>
      <x:c r="AE84" s="27"/>
      <x:c r="AF84" s="27"/>
      <x:c r="AG84" s="27"/>
      <x:c r="AH84" s="27"/>
      <x:c r="AI84" s="27"/>
      <x:c r="AJ84" s="27"/>
      <x:c r="AK84" s="27"/>
      <x:c r="AL84" s="27"/>
      <x:c r="AM84" s="27"/>
      <x:c r="AN84" s="27"/>
      <x:c r="AO84" s="27"/>
      <x:c r="AP84" s="27"/>
      <x:c r="AQ84" s="27"/>
      <x:c r="AR84" s="27"/>
      <x:c r="AS84" s="27"/>
      <x:c r="AT84" s="27"/>
      <x:c r="AU84" s="27"/>
      <x:c r="AV84" s="27"/>
      <x:c r="AW84" s="27"/>
      <x:c r="AX84" s="27"/>
      <x:c r="AY84" s="27"/>
      <x:c r="AZ84" s="27"/>
    </x:row>
    <x:row r="85">
      <x:c r="A85" s="27"/>
      <x:c r="B85" s="27"/>
      <x:c r="C85" s="27"/>
      <x:c r="D85" s="27"/>
      <x:c r="E85" s="27"/>
      <x:c r="F85" s="27"/>
      <x:c r="G85" s="27"/>
      <x:c r="H85" s="27"/>
      <x:c r="I85" s="27"/>
      <x:c r="J85" s="27"/>
      <x:c r="K85" s="27"/>
      <x:c r="L85" s="27"/>
      <x:c r="M85" s="27"/>
      <x:c r="N85" s="27"/>
      <x:c r="O85" s="27"/>
      <x:c r="P85" s="27"/>
      <x:c r="Q85" s="27"/>
      <x:c r="R85" s="27"/>
      <x:c r="S85" s="27"/>
      <x:c r="T85" s="27"/>
      <x:c r="U85" s="27"/>
      <x:c r="V85" s="27"/>
      <x:c r="W85" s="27"/>
      <x:c r="X85" s="27"/>
      <x:c r="Y85" s="27"/>
      <x:c r="Z85" s="27"/>
      <x:c r="AA85" s="27"/>
      <x:c r="AB85" s="27"/>
      <x:c r="AC85" s="27"/>
      <x:c r="AD85" s="27"/>
      <x:c r="AE85" s="27"/>
      <x:c r="AF85" s="27"/>
      <x:c r="AG85" s="27"/>
      <x:c r="AH85" s="27"/>
      <x:c r="AI85" s="27"/>
      <x:c r="AJ85" s="27"/>
      <x:c r="AK85" s="27"/>
      <x:c r="AL85" s="27"/>
      <x:c r="AM85" s="27"/>
      <x:c r="AN85" s="27"/>
      <x:c r="AO85" s="27"/>
      <x:c r="AP85" s="27"/>
      <x:c r="AQ85" s="27"/>
      <x:c r="AR85" s="27"/>
      <x:c r="AS85" s="27"/>
      <x:c r="AT85" s="27"/>
      <x:c r="AU85" s="27"/>
      <x:c r="AV85" s="27"/>
      <x:c r="AW85" s="27"/>
      <x:c r="AX85" s="27"/>
      <x:c r="AY85" s="27"/>
      <x:c r="AZ85" s="27"/>
    </x:row>
    <x:row r="86">
      <x:c r="A86" s="27"/>
      <x:c r="B86" s="27"/>
      <x:c r="C86" s="27"/>
      <x:c r="D86" s="27"/>
      <x:c r="E86" s="27"/>
      <x:c r="F86" s="27"/>
      <x:c r="G86" s="27"/>
      <x:c r="H86" s="27"/>
      <x:c r="I86" s="27"/>
      <x:c r="J86" s="27"/>
      <x:c r="K86" s="27"/>
      <x:c r="L86" s="27"/>
      <x:c r="M86" s="27"/>
      <x:c r="N86" s="27"/>
      <x:c r="O86" s="27"/>
      <x:c r="P86" s="27"/>
      <x:c r="Q86" s="27"/>
      <x:c r="R86" s="27"/>
      <x:c r="S86" s="27"/>
      <x:c r="T86" s="27"/>
      <x:c r="U86" s="27"/>
      <x:c r="V86" s="27"/>
      <x:c r="W86" s="27"/>
      <x:c r="X86" s="27"/>
      <x:c r="Y86" s="27"/>
      <x:c r="Z86" s="27"/>
      <x:c r="AA86" s="27"/>
      <x:c r="AB86" s="27"/>
      <x:c r="AC86" s="27"/>
      <x:c r="AD86" s="27"/>
      <x:c r="AE86" s="27"/>
      <x:c r="AF86" s="27"/>
      <x:c r="AG86" s="27"/>
      <x:c r="AH86" s="27"/>
      <x:c r="AI86" s="27"/>
      <x:c r="AJ86" s="27"/>
      <x:c r="AK86" s="27"/>
      <x:c r="AL86" s="27"/>
      <x:c r="AM86" s="27"/>
      <x:c r="AN86" s="27"/>
      <x:c r="AO86" s="27"/>
      <x:c r="AP86" s="27"/>
      <x:c r="AQ86" s="27"/>
      <x:c r="AR86" s="27"/>
      <x:c r="AS86" s="27"/>
      <x:c r="AT86" s="27"/>
      <x:c r="AU86" s="27"/>
      <x:c r="AV86" s="27"/>
      <x:c r="AW86" s="27"/>
      <x:c r="AX86" s="27"/>
      <x:c r="AY86" s="27"/>
      <x:c r="AZ86" s="27"/>
    </x:row>
    <x:row r="87">
      <x:c r="A87" s="27"/>
      <x:c r="B87" s="27"/>
      <x:c r="C87" s="27"/>
      <x:c r="D87" s="27"/>
      <x:c r="E87" s="27"/>
      <x:c r="F87" s="27"/>
      <x:c r="G87" s="27"/>
      <x:c r="H87" s="27"/>
      <x:c r="I87" s="27"/>
      <x:c r="J87" s="27"/>
      <x:c r="K87" s="27"/>
      <x:c r="L87" s="27"/>
      <x:c r="M87" s="27"/>
      <x:c r="N87" s="27"/>
      <x:c r="O87" s="27"/>
      <x:c r="P87" s="27"/>
      <x:c r="Q87" s="27"/>
      <x:c r="R87" s="27"/>
      <x:c r="S87" s="27"/>
      <x:c r="T87" s="27"/>
      <x:c r="U87" s="27"/>
      <x:c r="V87" s="27"/>
      <x:c r="W87" s="27"/>
      <x:c r="X87" s="27"/>
      <x:c r="Y87" s="27"/>
      <x:c r="Z87" s="27"/>
      <x:c r="AA87" s="27"/>
      <x:c r="AB87" s="27"/>
      <x:c r="AC87" s="27"/>
      <x:c r="AD87" s="27"/>
      <x:c r="AE87" s="27"/>
      <x:c r="AF87" s="27"/>
      <x:c r="AG87" s="27"/>
      <x:c r="AH87" s="27"/>
      <x:c r="AI87" s="27"/>
      <x:c r="AJ87" s="27"/>
      <x:c r="AK87" s="27"/>
      <x:c r="AL87" s="27"/>
      <x:c r="AM87" s="27"/>
      <x:c r="AN87" s="27"/>
      <x:c r="AO87" s="27"/>
      <x:c r="AP87" s="27"/>
      <x:c r="AQ87" s="27"/>
      <x:c r="AR87" s="27"/>
      <x:c r="AS87" s="27"/>
      <x:c r="AT87" s="27"/>
      <x:c r="AU87" s="27"/>
      <x:c r="AV87" s="27"/>
      <x:c r="AW87" s="27"/>
      <x:c r="AX87" s="27"/>
      <x:c r="AY87" s="27"/>
      <x:c r="AZ87" s="27"/>
    </x:row>
    <x:row r="88">
      <x:c r="A88" s="27"/>
      <x:c r="B88" s="27"/>
      <x:c r="C88" s="27"/>
      <x:c r="D88" s="27"/>
      <x:c r="E88" s="27"/>
      <x:c r="F88" s="27"/>
      <x:c r="G88" s="27"/>
      <x:c r="H88" s="27"/>
      <x:c r="I88" s="27"/>
      <x:c r="J88" s="27"/>
      <x:c r="K88" s="27"/>
      <x:c r="L88" s="27"/>
      <x:c r="M88" s="27"/>
      <x:c r="N88" s="27"/>
      <x:c r="O88" s="27"/>
      <x:c r="P88" s="27"/>
      <x:c r="Q88" s="27"/>
      <x:c r="R88" s="27"/>
      <x:c r="S88" s="27"/>
      <x:c r="T88" s="27"/>
      <x:c r="U88" s="27"/>
      <x:c r="V88" s="27"/>
      <x:c r="W88" s="27"/>
      <x:c r="X88" s="27"/>
      <x:c r="Y88" s="27"/>
      <x:c r="Z88" s="27"/>
      <x:c r="AA88" s="27"/>
      <x:c r="AB88" s="27"/>
      <x:c r="AC88" s="27"/>
      <x:c r="AD88" s="27"/>
      <x:c r="AE88" s="27"/>
      <x:c r="AF88" s="27"/>
      <x:c r="AG88" s="27"/>
      <x:c r="AH88" s="27"/>
      <x:c r="AI88" s="27"/>
      <x:c r="AJ88" s="27"/>
      <x:c r="AK88" s="27"/>
      <x:c r="AL88" s="27"/>
      <x:c r="AM88" s="27"/>
      <x:c r="AN88" s="27"/>
      <x:c r="AO88" s="27"/>
      <x:c r="AP88" s="27"/>
      <x:c r="AQ88" s="27"/>
      <x:c r="AR88" s="27"/>
      <x:c r="AS88" s="27"/>
      <x:c r="AT88" s="27"/>
      <x:c r="AU88" s="27"/>
      <x:c r="AV88" s="27"/>
      <x:c r="AW88" s="27"/>
      <x:c r="AX88" s="27"/>
      <x:c r="AY88" s="27"/>
      <x:c r="AZ88" s="27"/>
    </x:row>
    <x:row r="89">
      <x:c r="A89" s="27"/>
      <x:c r="B89" s="27"/>
      <x:c r="C89" s="27"/>
      <x:c r="D89" s="27"/>
      <x:c r="E89" s="27"/>
      <x:c r="F89" s="27"/>
      <x:c r="G89" s="27"/>
      <x:c r="H89" s="27"/>
      <x:c r="I89" s="27"/>
      <x:c r="J89" s="27"/>
      <x:c r="K89" s="27"/>
      <x:c r="L89" s="27"/>
      <x:c r="M89" s="27"/>
      <x:c r="N89" s="27"/>
      <x:c r="O89" s="27"/>
      <x:c r="P89" s="27"/>
      <x:c r="Q89" s="27"/>
      <x:c r="R89" s="27"/>
      <x:c r="S89" s="27"/>
      <x:c r="T89" s="27"/>
      <x:c r="U89" s="27"/>
      <x:c r="V89" s="27"/>
      <x:c r="W89" s="27"/>
      <x:c r="X89" s="27"/>
      <x:c r="Y89" s="27"/>
      <x:c r="Z89" s="27"/>
      <x:c r="AA89" s="27"/>
      <x:c r="AB89" s="27"/>
      <x:c r="AC89" s="27"/>
      <x:c r="AD89" s="27"/>
      <x:c r="AE89" s="27"/>
      <x:c r="AF89" s="27"/>
      <x:c r="AG89" s="27"/>
      <x:c r="AH89" s="27"/>
      <x:c r="AI89" s="27"/>
      <x:c r="AJ89" s="27"/>
      <x:c r="AK89" s="27"/>
      <x:c r="AL89" s="27"/>
      <x:c r="AM89" s="27"/>
      <x:c r="AN89" s="27"/>
      <x:c r="AO89" s="27"/>
      <x:c r="AP89" s="27"/>
      <x:c r="AQ89" s="27"/>
      <x:c r="AR89" s="27"/>
      <x:c r="AS89" s="27"/>
      <x:c r="AT89" s="27"/>
      <x:c r="AU89" s="27"/>
      <x:c r="AV89" s="27"/>
      <x:c r="AW89" s="27"/>
      <x:c r="AX89" s="27"/>
      <x:c r="AY89" s="27"/>
      <x:c r="AZ89" s="27"/>
    </x:row>
    <x:row r="90">
      <x:c r="A90" s="27"/>
      <x:c r="B90" s="27"/>
      <x:c r="C90" s="27"/>
      <x:c r="D90" s="27"/>
      <x:c r="E90" s="27"/>
      <x:c r="F90" s="27"/>
      <x:c r="G90" s="27"/>
      <x:c r="H90" s="27"/>
      <x:c r="I90" s="27"/>
      <x:c r="J90" s="27"/>
      <x:c r="K90" s="27"/>
      <x:c r="L90" s="27"/>
      <x:c r="M90" s="27"/>
      <x:c r="N90" s="27"/>
      <x:c r="O90" s="27"/>
      <x:c r="P90" s="27"/>
      <x:c r="Q90" s="27"/>
      <x:c r="R90" s="27"/>
      <x:c r="S90" s="27"/>
      <x:c r="T90" s="27"/>
      <x:c r="U90" s="27"/>
      <x:c r="V90" s="27"/>
      <x:c r="W90" s="27"/>
      <x:c r="X90" s="27"/>
      <x:c r="Y90" s="27"/>
      <x:c r="Z90" s="27"/>
      <x:c r="AA90" s="27"/>
      <x:c r="AB90" s="27"/>
      <x:c r="AC90" s="27"/>
      <x:c r="AD90" s="27"/>
      <x:c r="AE90" s="27"/>
      <x:c r="AF90" s="27"/>
      <x:c r="AG90" s="27"/>
      <x:c r="AH90" s="27"/>
      <x:c r="AI90" s="27"/>
      <x:c r="AJ90" s="27"/>
      <x:c r="AK90" s="27"/>
      <x:c r="AL90" s="27"/>
      <x:c r="AM90" s="27"/>
      <x:c r="AN90" s="27"/>
      <x:c r="AO90" s="27"/>
      <x:c r="AP90" s="27"/>
      <x:c r="AQ90" s="27"/>
      <x:c r="AR90" s="27"/>
      <x:c r="AS90" s="27"/>
      <x:c r="AT90" s="27"/>
      <x:c r="AU90" s="27"/>
      <x:c r="AV90" s="27"/>
      <x:c r="AW90" s="27"/>
      <x:c r="AX90" s="27"/>
      <x:c r="AY90" s="27"/>
      <x:c r="AZ90" s="27"/>
    </x:row>
    <x:row r="91">
      <x:c r="A91" s="27"/>
      <x:c r="B91" s="27"/>
      <x:c r="C91" s="27"/>
      <x:c r="D91" s="27"/>
      <x:c r="E91" s="27"/>
      <x:c r="F91" s="27"/>
      <x:c r="G91" s="27"/>
      <x:c r="H91" s="27"/>
      <x:c r="I91" s="27"/>
      <x:c r="J91" s="27"/>
      <x:c r="K91" s="27"/>
      <x:c r="L91" s="27"/>
      <x:c r="M91" s="27"/>
      <x:c r="N91" s="27"/>
      <x:c r="O91" s="27"/>
      <x:c r="P91" s="27"/>
      <x:c r="Q91" s="27"/>
      <x:c r="R91" s="27"/>
      <x:c r="S91" s="27"/>
      <x:c r="T91" s="27"/>
      <x:c r="U91" s="27"/>
      <x:c r="V91" s="27"/>
      <x:c r="W91" s="27"/>
      <x:c r="X91" s="27"/>
      <x:c r="Y91" s="27"/>
      <x:c r="Z91" s="27"/>
      <x:c r="AA91" s="27"/>
      <x:c r="AB91" s="27"/>
      <x:c r="AC91" s="27"/>
      <x:c r="AD91" s="27"/>
      <x:c r="AE91" s="27"/>
      <x:c r="AF91" s="27"/>
      <x:c r="AG91" s="27"/>
      <x:c r="AH91" s="27"/>
      <x:c r="AI91" s="27"/>
      <x:c r="AJ91" s="27"/>
      <x:c r="AK91" s="27"/>
      <x:c r="AL91" s="27"/>
      <x:c r="AM91" s="27"/>
      <x:c r="AN91" s="27"/>
      <x:c r="AO91" s="27"/>
      <x:c r="AP91" s="27"/>
      <x:c r="AQ91" s="27"/>
      <x:c r="AR91" s="27"/>
      <x:c r="AS91" s="27"/>
      <x:c r="AT91" s="27"/>
      <x:c r="AU91" s="27"/>
      <x:c r="AV91" s="27"/>
      <x:c r="AW91" s="27"/>
      <x:c r="AX91" s="27"/>
      <x:c r="AY91" s="27"/>
      <x:c r="AZ91" s="27"/>
    </x:row>
    <x:row r="92">
      <x:c r="A92" s="27"/>
      <x:c r="B92" s="27"/>
      <x:c r="C92" s="27"/>
      <x:c r="D92" s="27"/>
      <x:c r="E92" s="27"/>
      <x:c r="F92" s="27"/>
      <x:c r="G92" s="27"/>
      <x:c r="H92" s="27"/>
      <x:c r="I92" s="27"/>
      <x:c r="J92" s="27"/>
      <x:c r="K92" s="27"/>
      <x:c r="L92" s="27"/>
      <x:c r="M92" s="27"/>
      <x:c r="N92" s="27"/>
      <x:c r="O92" s="27"/>
      <x:c r="P92" s="27"/>
      <x:c r="Q92" s="27"/>
      <x:c r="R92" s="27"/>
      <x:c r="S92" s="27"/>
      <x:c r="T92" s="27"/>
      <x:c r="U92" s="27"/>
      <x:c r="V92" s="27"/>
      <x:c r="W92" s="27"/>
      <x:c r="X92" s="27"/>
      <x:c r="Y92" s="27"/>
      <x:c r="Z92" s="27"/>
      <x:c r="AA92" s="27"/>
      <x:c r="AB92" s="27"/>
      <x:c r="AC92" s="27"/>
      <x:c r="AD92" s="27"/>
      <x:c r="AE92" s="27"/>
      <x:c r="AF92" s="27"/>
      <x:c r="AG92" s="27"/>
      <x:c r="AH92" s="27"/>
      <x:c r="AI92" s="27"/>
      <x:c r="AJ92" s="27"/>
      <x:c r="AK92" s="27"/>
      <x:c r="AL92" s="27"/>
      <x:c r="AM92" s="27"/>
      <x:c r="AN92" s="27"/>
      <x:c r="AO92" s="27"/>
      <x:c r="AP92" s="27"/>
      <x:c r="AQ92" s="27"/>
      <x:c r="AR92" s="27"/>
      <x:c r="AS92" s="27"/>
      <x:c r="AT92" s="27"/>
      <x:c r="AU92" s="27"/>
      <x:c r="AV92" s="27"/>
      <x:c r="AW92" s="27"/>
      <x:c r="AX92" s="27"/>
      <x:c r="AY92" s="27"/>
      <x:c r="AZ92" s="27"/>
    </x:row>
    <x:row r="93">
      <x:c r="A93" s="27"/>
      <x:c r="B93" s="27"/>
      <x:c r="C93" s="27"/>
      <x:c r="D93" s="27"/>
      <x:c r="E93" s="27"/>
      <x:c r="F93" s="27"/>
      <x:c r="G93" s="27"/>
      <x:c r="H93" s="27"/>
      <x:c r="I93" s="27"/>
      <x:c r="J93" s="27"/>
      <x:c r="K93" s="27"/>
      <x:c r="L93" s="27"/>
      <x:c r="M93" s="27"/>
      <x:c r="N93" s="27"/>
      <x:c r="O93" s="27"/>
      <x:c r="P93" s="27"/>
      <x:c r="Q93" s="27"/>
      <x:c r="R93" s="27"/>
      <x:c r="S93" s="27"/>
      <x:c r="T93" s="27"/>
      <x:c r="U93" s="27"/>
      <x:c r="V93" s="27"/>
      <x:c r="W93" s="27"/>
      <x:c r="X93" s="27"/>
      <x:c r="Y93" s="27"/>
      <x:c r="Z93" s="27"/>
      <x:c r="AA93" s="27"/>
      <x:c r="AB93" s="27"/>
      <x:c r="AC93" s="27"/>
      <x:c r="AD93" s="27"/>
      <x:c r="AE93" s="27"/>
      <x:c r="AF93" s="27"/>
      <x:c r="AG93" s="27"/>
      <x:c r="AH93" s="27"/>
      <x:c r="AI93" s="27"/>
      <x:c r="AJ93" s="27"/>
      <x:c r="AK93" s="27"/>
      <x:c r="AL93" s="27"/>
      <x:c r="AM93" s="27"/>
      <x:c r="AN93" s="27"/>
      <x:c r="AO93" s="27"/>
      <x:c r="AP93" s="27"/>
      <x:c r="AQ93" s="27"/>
      <x:c r="AR93" s="27"/>
      <x:c r="AS93" s="27"/>
      <x:c r="AT93" s="27"/>
      <x:c r="AU93" s="27"/>
      <x:c r="AV93" s="27"/>
      <x:c r="AW93" s="27"/>
      <x:c r="AX93" s="27"/>
      <x:c r="AY93" s="27"/>
      <x:c r="AZ93" s="27"/>
    </x:row>
    <x:row r="94">
      <x:c r="A94" s="27"/>
      <x:c r="B94" s="27"/>
      <x:c r="C94" s="27"/>
      <x:c r="D94" s="27"/>
      <x:c r="E94" s="27"/>
      <x:c r="F94" s="27"/>
      <x:c r="G94" s="27"/>
      <x:c r="H94" s="27"/>
      <x:c r="I94" s="27"/>
      <x:c r="J94" s="27"/>
      <x:c r="K94" s="27"/>
      <x:c r="L94" s="27"/>
      <x:c r="M94" s="27"/>
      <x:c r="N94" s="27"/>
      <x:c r="O94" s="27"/>
      <x:c r="P94" s="27"/>
      <x:c r="Q94" s="27"/>
      <x:c r="R94" s="27"/>
      <x:c r="S94" s="27"/>
      <x:c r="T94" s="27"/>
      <x:c r="U94" s="27"/>
      <x:c r="V94" s="27"/>
      <x:c r="W94" s="27"/>
      <x:c r="X94" s="27"/>
      <x:c r="Y94" s="27"/>
      <x:c r="Z94" s="27"/>
      <x:c r="AA94" s="27"/>
      <x:c r="AB94" s="27"/>
      <x:c r="AC94" s="27"/>
      <x:c r="AD94" s="27"/>
      <x:c r="AE94" s="27"/>
      <x:c r="AF94" s="27"/>
      <x:c r="AG94" s="27"/>
      <x:c r="AH94" s="27"/>
      <x:c r="AI94" s="27"/>
      <x:c r="AJ94" s="27"/>
      <x:c r="AK94" s="27"/>
      <x:c r="AL94" s="27"/>
      <x:c r="AM94" s="27"/>
      <x:c r="AN94" s="27"/>
      <x:c r="AO94" s="27"/>
      <x:c r="AP94" s="27"/>
      <x:c r="AQ94" s="27"/>
      <x:c r="AR94" s="27"/>
      <x:c r="AS94" s="27"/>
      <x:c r="AT94" s="27"/>
      <x:c r="AU94" s="27"/>
      <x:c r="AV94" s="27"/>
      <x:c r="AW94" s="27"/>
      <x:c r="AX94" s="27"/>
      <x:c r="AY94" s="27"/>
      <x:c r="AZ94" s="27"/>
    </x:row>
    <x:row r="95">
      <x:c r="A95" s="27"/>
      <x:c r="B95" s="27"/>
      <x:c r="C95" s="27"/>
      <x:c r="D95" s="27"/>
      <x:c r="E95" s="27"/>
      <x:c r="F95" s="27"/>
      <x:c r="G95" s="27"/>
      <x:c r="H95" s="27"/>
      <x:c r="I95" s="27"/>
      <x:c r="J95" s="27"/>
      <x:c r="K95" s="27"/>
      <x:c r="L95" s="27"/>
      <x:c r="M95" s="27"/>
      <x:c r="N95" s="27"/>
      <x:c r="O95" s="27"/>
      <x:c r="P95" s="27"/>
      <x:c r="Q95" s="27"/>
      <x:c r="R95" s="27"/>
      <x:c r="S95" s="27"/>
      <x:c r="T95" s="27"/>
      <x:c r="U95" s="27"/>
      <x:c r="V95" s="27"/>
      <x:c r="W95" s="27"/>
      <x:c r="X95" s="27"/>
      <x:c r="Y95" s="27"/>
      <x:c r="Z95" s="27"/>
      <x:c r="AA95" s="27"/>
      <x:c r="AB95" s="27"/>
      <x:c r="AC95" s="27"/>
      <x:c r="AD95" s="27"/>
      <x:c r="AE95" s="27"/>
      <x:c r="AF95" s="27"/>
      <x:c r="AG95" s="27"/>
      <x:c r="AH95" s="27"/>
      <x:c r="AI95" s="27"/>
      <x:c r="AJ95" s="27"/>
      <x:c r="AK95" s="27"/>
      <x:c r="AL95" s="27"/>
      <x:c r="AM95" s="27"/>
      <x:c r="AN95" s="27"/>
      <x:c r="AO95" s="27"/>
      <x:c r="AP95" s="27"/>
      <x:c r="AQ95" s="27"/>
      <x:c r="AR95" s="27"/>
      <x:c r="AS95" s="27"/>
      <x:c r="AT95" s="27"/>
      <x:c r="AU95" s="27"/>
      <x:c r="AV95" s="27"/>
      <x:c r="AW95" s="27"/>
      <x:c r="AX95" s="27"/>
      <x:c r="AY95" s="27"/>
      <x:c r="AZ95" s="27"/>
    </x:row>
    <x:row r="96">
      <x:c r="A96" s="27"/>
      <x:c r="B96" s="27"/>
      <x:c r="C96" s="27"/>
      <x:c r="D96" s="27"/>
      <x:c r="E96" s="27"/>
      <x:c r="F96" s="27"/>
      <x:c r="G96" s="27"/>
      <x:c r="H96" s="27"/>
      <x:c r="I96" s="27"/>
      <x:c r="J96" s="27"/>
      <x:c r="K96" s="27"/>
      <x:c r="L96" s="27"/>
      <x:c r="M96" s="27"/>
      <x:c r="N96" s="27"/>
      <x:c r="O96" s="27"/>
      <x:c r="P96" s="27"/>
      <x:c r="Q96" s="27"/>
      <x:c r="R96" s="27"/>
      <x:c r="S96" s="27"/>
      <x:c r="T96" s="27"/>
      <x:c r="U96" s="27"/>
      <x:c r="V96" s="27"/>
      <x:c r="W96" s="27"/>
      <x:c r="X96" s="27"/>
      <x:c r="Y96" s="27"/>
      <x:c r="Z96" s="27"/>
      <x:c r="AA96" s="27"/>
      <x:c r="AB96" s="27"/>
      <x:c r="AC96" s="27"/>
      <x:c r="AD96" s="27"/>
      <x:c r="AE96" s="27"/>
      <x:c r="AF96" s="27"/>
      <x:c r="AG96" s="27"/>
      <x:c r="AH96" s="27"/>
      <x:c r="AI96" s="27"/>
      <x:c r="AJ96" s="27"/>
      <x:c r="AK96" s="27"/>
      <x:c r="AL96" s="27"/>
      <x:c r="AM96" s="27"/>
      <x:c r="AN96" s="27"/>
      <x:c r="AO96" s="27"/>
      <x:c r="AP96" s="27"/>
      <x:c r="AQ96" s="27"/>
      <x:c r="AR96" s="27"/>
      <x:c r="AS96" s="27"/>
      <x:c r="AT96" s="27"/>
      <x:c r="AU96" s="27"/>
      <x:c r="AV96" s="27"/>
      <x:c r="AW96" s="27"/>
      <x:c r="AX96" s="27"/>
      <x:c r="AY96" s="27"/>
      <x:c r="AZ96" s="27"/>
    </x:row>
    <x:row r="97">
      <x:c r="A97" s="27"/>
      <x:c r="B97" s="27"/>
      <x:c r="C97" s="27"/>
      <x:c r="D97" s="27"/>
      <x:c r="E97" s="27"/>
      <x:c r="F97" s="27"/>
      <x:c r="G97" s="27"/>
      <x:c r="H97" s="27"/>
      <x:c r="I97" s="27"/>
      <x:c r="J97" s="27"/>
      <x:c r="K97" s="27"/>
      <x:c r="L97" s="27"/>
      <x:c r="M97" s="27"/>
      <x:c r="N97" s="27"/>
      <x:c r="O97" s="27"/>
      <x:c r="P97" s="27"/>
      <x:c r="Q97" s="27"/>
      <x:c r="R97" s="27"/>
      <x:c r="S97" s="27"/>
      <x:c r="T97" s="27"/>
      <x:c r="U97" s="27"/>
      <x:c r="V97" s="27"/>
      <x:c r="W97" s="27"/>
      <x:c r="X97" s="27"/>
      <x:c r="Y97" s="27"/>
      <x:c r="Z97" s="27"/>
      <x:c r="AA97" s="27"/>
      <x:c r="AB97" s="27"/>
      <x:c r="AC97" s="27"/>
      <x:c r="AD97" s="27"/>
      <x:c r="AE97" s="27"/>
      <x:c r="AF97" s="27"/>
      <x:c r="AG97" s="27"/>
      <x:c r="AH97" s="27"/>
      <x:c r="AI97" s="27"/>
      <x:c r="AJ97" s="27"/>
      <x:c r="AK97" s="27"/>
      <x:c r="AL97" s="27"/>
      <x:c r="AM97" s="27"/>
      <x:c r="AN97" s="27"/>
      <x:c r="AO97" s="27"/>
      <x:c r="AP97" s="27"/>
      <x:c r="AQ97" s="27"/>
      <x:c r="AR97" s="27"/>
      <x:c r="AS97" s="27"/>
      <x:c r="AT97" s="27"/>
      <x:c r="AU97" s="27"/>
      <x:c r="AV97" s="27"/>
      <x:c r="AW97" s="27"/>
      <x:c r="AX97" s="27"/>
      <x:c r="AY97" s="27"/>
      <x:c r="AZ97" s="27"/>
    </x:row>
    <x:row r="98">
      <x:c r="A98" s="27"/>
      <x:c r="B98" s="27"/>
      <x:c r="C98" s="27"/>
      <x:c r="D98" s="27"/>
      <x:c r="E98" s="27"/>
      <x:c r="F98" s="27"/>
      <x:c r="G98" s="27"/>
      <x:c r="H98" s="27"/>
      <x:c r="I98" s="27"/>
      <x:c r="J98" s="27"/>
      <x:c r="K98" s="27"/>
      <x:c r="L98" s="27"/>
      <x:c r="M98" s="27"/>
      <x:c r="N98" s="27"/>
      <x:c r="O98" s="27"/>
      <x:c r="P98" s="27"/>
      <x:c r="Q98" s="27"/>
      <x:c r="R98" s="27"/>
      <x:c r="S98" s="27"/>
      <x:c r="T98" s="27"/>
      <x:c r="U98" s="27"/>
      <x:c r="V98" s="27"/>
      <x:c r="W98" s="27"/>
      <x:c r="X98" s="27"/>
      <x:c r="Y98" s="27"/>
      <x:c r="Z98" s="27"/>
      <x:c r="AA98" s="27"/>
      <x:c r="AB98" s="27"/>
      <x:c r="AC98" s="27"/>
      <x:c r="AD98" s="27"/>
      <x:c r="AE98" s="27"/>
      <x:c r="AF98" s="27"/>
      <x:c r="AG98" s="27"/>
      <x:c r="AH98" s="27"/>
      <x:c r="AI98" s="27"/>
      <x:c r="AJ98" s="27"/>
      <x:c r="AK98" s="27"/>
      <x:c r="AL98" s="27"/>
      <x:c r="AM98" s="27"/>
      <x:c r="AN98" s="27"/>
      <x:c r="AO98" s="27"/>
      <x:c r="AP98" s="27"/>
      <x:c r="AQ98" s="27"/>
      <x:c r="AR98" s="27"/>
      <x:c r="AS98" s="27"/>
      <x:c r="AT98" s="27"/>
      <x:c r="AU98" s="27"/>
      <x:c r="AV98" s="27"/>
      <x:c r="AW98" s="27"/>
      <x:c r="AX98" s="27"/>
      <x:c r="AY98" s="27"/>
      <x:c r="AZ98" s="27"/>
    </x:row>
    <x:row r="99">
      <x:c r="A99" s="27"/>
      <x:c r="B99" s="27"/>
      <x:c r="C99" s="27"/>
      <x:c r="D99" s="27"/>
      <x:c r="E99" s="27"/>
      <x:c r="F99" s="27"/>
      <x:c r="G99" s="27"/>
      <x:c r="H99" s="27"/>
      <x:c r="I99" s="27"/>
      <x:c r="J99" s="27"/>
      <x:c r="K99" s="27"/>
      <x:c r="L99" s="27"/>
      <x:c r="M99" s="27"/>
      <x:c r="N99" s="27"/>
      <x:c r="O99" s="27"/>
      <x:c r="P99" s="27"/>
      <x:c r="Q99" s="27"/>
      <x:c r="R99" s="27"/>
      <x:c r="S99" s="27"/>
      <x:c r="T99" s="27"/>
      <x:c r="U99" s="27"/>
      <x:c r="V99" s="27"/>
      <x:c r="W99" s="27"/>
      <x:c r="X99" s="27"/>
      <x:c r="Y99" s="27"/>
      <x:c r="Z99" s="27"/>
      <x:c r="AA99" s="27"/>
      <x:c r="AB99" s="27"/>
      <x:c r="AC99" s="27"/>
      <x:c r="AD99" s="27"/>
      <x:c r="AE99" s="27"/>
      <x:c r="AF99" s="27"/>
      <x:c r="AG99" s="27"/>
      <x:c r="AH99" s="27"/>
      <x:c r="AI99" s="27"/>
      <x:c r="AJ99" s="27"/>
      <x:c r="AK99" s="27"/>
      <x:c r="AL99" s="27"/>
      <x:c r="AM99" s="27"/>
      <x:c r="AN99" s="27"/>
      <x:c r="AO99" s="27"/>
      <x:c r="AP99" s="27"/>
      <x:c r="AQ99" s="27"/>
      <x:c r="AR99" s="27"/>
      <x:c r="AS99" s="27"/>
      <x:c r="AT99" s="27"/>
      <x:c r="AU99" s="27"/>
      <x:c r="AV99" s="27"/>
      <x:c r="AW99" s="27"/>
      <x:c r="AX99" s="27"/>
      <x:c r="AY99" s="27"/>
      <x:c r="AZ99" s="27"/>
    </x:row>
    <x:row r="100">
      <x:c r="A100" s="27"/>
      <x:c r="B100" s="27"/>
      <x:c r="C100" s="27"/>
      <x:c r="D100" s="27"/>
      <x:c r="E100" s="27"/>
      <x:c r="F100" s="27"/>
      <x:c r="G100" s="27"/>
      <x:c r="H100" s="27"/>
      <x:c r="I100" s="27"/>
      <x:c r="J100" s="27"/>
      <x:c r="K100" s="27"/>
      <x:c r="L100" s="27"/>
      <x:c r="M100" s="27"/>
      <x:c r="N100" s="27"/>
      <x:c r="O100" s="27"/>
      <x:c r="P100" s="27"/>
      <x:c r="Q100" s="27"/>
      <x:c r="R100" s="27"/>
      <x:c r="S100" s="27"/>
      <x:c r="T100" s="27"/>
      <x:c r="U100" s="27"/>
      <x:c r="V100" s="27"/>
      <x:c r="W100" s="27"/>
      <x:c r="X100" s="27"/>
      <x:c r="Y100" s="27"/>
      <x:c r="Z100" s="27"/>
      <x:c r="AA100" s="27"/>
      <x:c r="AB100" s="27"/>
      <x:c r="AC100" s="27"/>
      <x:c r="AD100" s="27"/>
      <x:c r="AE100" s="27"/>
      <x:c r="AF100" s="27"/>
      <x:c r="AG100" s="27"/>
      <x:c r="AH100" s="27"/>
      <x:c r="AI100" s="27"/>
      <x:c r="AJ100" s="27"/>
      <x:c r="AK100" s="27"/>
      <x:c r="AL100" s="27"/>
      <x:c r="AM100" s="27"/>
      <x:c r="AN100" s="27"/>
      <x:c r="AO100" s="27"/>
      <x:c r="AP100" s="27"/>
      <x:c r="AQ100" s="27"/>
      <x:c r="AR100" s="27"/>
      <x:c r="AS100" s="27"/>
      <x:c r="AT100" s="27"/>
      <x:c r="AU100" s="27"/>
      <x:c r="AV100" s="27"/>
      <x:c r="AW100" s="27"/>
      <x:c r="AX100" s="27"/>
      <x:c r="AY100" s="27"/>
      <x:c r="AZ100" s="27"/>
    </x:row>
    <x:row r="101">
      <x:c r="A101" s="27"/>
      <x:c r="B101" s="27"/>
      <x:c r="C101" s="27"/>
      <x:c r="D101" s="27"/>
      <x:c r="E101" s="27"/>
      <x:c r="F101" s="27"/>
      <x:c r="G101" s="27"/>
      <x:c r="H101" s="27"/>
      <x:c r="I101" s="27"/>
      <x:c r="J101" s="27"/>
      <x:c r="K101" s="27"/>
      <x:c r="L101" s="27"/>
      <x:c r="M101" s="27"/>
      <x:c r="N101" s="27"/>
      <x:c r="O101" s="27"/>
      <x:c r="P101" s="27"/>
      <x:c r="Q101" s="27"/>
      <x:c r="R101" s="27"/>
      <x:c r="S101" s="27"/>
      <x:c r="T101" s="27"/>
      <x:c r="U101" s="27"/>
      <x:c r="V101" s="27"/>
      <x:c r="W101" s="27"/>
      <x:c r="X101" s="27"/>
      <x:c r="Y101" s="27"/>
      <x:c r="Z101" s="27"/>
      <x:c r="AA101" s="27"/>
      <x:c r="AB101" s="27"/>
      <x:c r="AC101" s="27"/>
      <x:c r="AD101" s="27"/>
      <x:c r="AE101" s="27"/>
      <x:c r="AF101" s="27"/>
      <x:c r="AG101" s="27"/>
      <x:c r="AH101" s="27"/>
      <x:c r="AI101" s="27"/>
      <x:c r="AJ101" s="27"/>
      <x:c r="AK101" s="27"/>
      <x:c r="AL101" s="27"/>
      <x:c r="AM101" s="27"/>
      <x:c r="AN101" s="27"/>
      <x:c r="AO101" s="27"/>
      <x:c r="AP101" s="27"/>
      <x:c r="AQ101" s="27"/>
      <x:c r="AR101" s="27"/>
      <x:c r="AS101" s="27"/>
      <x:c r="AT101" s="27"/>
      <x:c r="AU101" s="27"/>
      <x:c r="AV101" s="27"/>
      <x:c r="AW101" s="27"/>
      <x:c r="AX101" s="27"/>
      <x:c r="AY101" s="27"/>
      <x:c r="AZ101" s="27"/>
    </x:row>
    <x:row r="102">
      <x:c r="A102" s="27"/>
      <x:c r="B102" s="27"/>
      <x:c r="C102" s="27"/>
      <x:c r="D102" s="27"/>
      <x:c r="E102" s="27"/>
      <x:c r="F102" s="27"/>
      <x:c r="G102" s="27"/>
      <x:c r="H102" s="27"/>
      <x:c r="I102" s="27"/>
      <x:c r="J102" s="27"/>
      <x:c r="K102" s="27"/>
      <x:c r="L102" s="27"/>
      <x:c r="M102" s="27"/>
      <x:c r="N102" s="27"/>
      <x:c r="O102" s="27"/>
      <x:c r="P102" s="27"/>
      <x:c r="Q102" s="27"/>
      <x:c r="R102" s="27"/>
      <x:c r="S102" s="27"/>
      <x:c r="T102" s="27"/>
      <x:c r="U102" s="27"/>
      <x:c r="V102" s="27"/>
      <x:c r="W102" s="27"/>
      <x:c r="X102" s="27"/>
      <x:c r="Y102" s="27"/>
      <x:c r="Z102" s="27"/>
      <x:c r="AA102" s="27"/>
      <x:c r="AB102" s="27"/>
      <x:c r="AC102" s="27"/>
      <x:c r="AD102" s="27"/>
      <x:c r="AE102" s="27"/>
      <x:c r="AF102" s="27"/>
      <x:c r="AG102" s="27"/>
      <x:c r="AH102" s="27"/>
      <x:c r="AI102" s="27"/>
      <x:c r="AJ102" s="27"/>
      <x:c r="AK102" s="27"/>
      <x:c r="AL102" s="27"/>
      <x:c r="AM102" s="27"/>
      <x:c r="AN102" s="27"/>
      <x:c r="AO102" s="27"/>
      <x:c r="AP102" s="27"/>
      <x:c r="AQ102" s="27"/>
      <x:c r="AR102" s="27"/>
      <x:c r="AS102" s="27"/>
      <x:c r="AT102" s="27"/>
      <x:c r="AU102" s="27"/>
      <x:c r="AV102" s="27"/>
      <x:c r="AW102" s="27"/>
      <x:c r="AX102" s="27"/>
      <x:c r="AY102" s="27"/>
      <x:c r="AZ102" s="27"/>
    </x:row>
    <x:row r="103">
      <x:c r="A103" s="27"/>
      <x:c r="B103" s="27"/>
      <x:c r="C103" s="27"/>
      <x:c r="D103" s="27"/>
      <x:c r="E103" s="27"/>
      <x:c r="F103" s="27"/>
      <x:c r="G103" s="27"/>
      <x:c r="H103" s="27"/>
      <x:c r="I103" s="27"/>
      <x:c r="J103" s="27"/>
      <x:c r="K103" s="27"/>
      <x:c r="L103" s="27"/>
      <x:c r="M103" s="27"/>
      <x:c r="N103" s="27"/>
      <x:c r="O103" s="27"/>
      <x:c r="P103" s="27"/>
      <x:c r="Q103" s="27"/>
      <x:c r="R103" s="27"/>
      <x:c r="S103" s="27"/>
      <x:c r="T103" s="27"/>
      <x:c r="U103" s="27"/>
      <x:c r="V103" s="27"/>
      <x:c r="W103" s="27"/>
      <x:c r="X103" s="27"/>
      <x:c r="Y103" s="27"/>
      <x:c r="Z103" s="27"/>
      <x:c r="AA103" s="27"/>
      <x:c r="AB103" s="27"/>
      <x:c r="AC103" s="27"/>
      <x:c r="AD103" s="27"/>
      <x:c r="AE103" s="27"/>
      <x:c r="AF103" s="27"/>
      <x:c r="AG103" s="27"/>
      <x:c r="AH103" s="27"/>
      <x:c r="AI103" s="27"/>
      <x:c r="AJ103" s="27"/>
      <x:c r="AK103" s="27"/>
      <x:c r="AL103" s="27"/>
      <x:c r="AM103" s="27"/>
      <x:c r="AN103" s="27"/>
      <x:c r="AO103" s="27"/>
      <x:c r="AP103" s="27"/>
      <x:c r="AQ103" s="27"/>
      <x:c r="AR103" s="27"/>
      <x:c r="AS103" s="27"/>
      <x:c r="AT103" s="27"/>
      <x:c r="AU103" s="27"/>
      <x:c r="AV103" s="27"/>
      <x:c r="AW103" s="27"/>
      <x:c r="AX103" s="27"/>
      <x:c r="AY103" s="27"/>
      <x:c r="AZ103" s="27"/>
    </x:row>
    <x:row r="104">
      <x:c r="A104" s="27"/>
      <x:c r="B104" s="27"/>
      <x:c r="C104" s="27"/>
      <x:c r="D104" s="27"/>
      <x:c r="E104" s="27"/>
      <x:c r="F104" s="27"/>
      <x:c r="G104" s="27"/>
      <x:c r="H104" s="27"/>
      <x:c r="I104" s="27"/>
      <x:c r="J104" s="27"/>
      <x:c r="K104" s="27"/>
      <x:c r="L104" s="27"/>
      <x:c r="M104" s="27"/>
      <x:c r="N104" s="27"/>
      <x:c r="O104" s="27"/>
      <x:c r="P104" s="27"/>
      <x:c r="Q104" s="27"/>
      <x:c r="R104" s="27"/>
      <x:c r="S104" s="27"/>
      <x:c r="T104" s="27"/>
      <x:c r="U104" s="27"/>
      <x:c r="V104" s="27"/>
      <x:c r="W104" s="27"/>
      <x:c r="X104" s="27"/>
      <x:c r="Y104" s="27"/>
      <x:c r="Z104" s="27"/>
      <x:c r="AA104" s="27"/>
      <x:c r="AB104" s="27"/>
      <x:c r="AC104" s="27"/>
      <x:c r="AD104" s="27"/>
      <x:c r="AE104" s="27"/>
      <x:c r="AF104" s="27"/>
      <x:c r="AG104" s="27"/>
      <x:c r="AH104" s="27"/>
      <x:c r="AI104" s="27"/>
      <x:c r="AJ104" s="27"/>
      <x:c r="AK104" s="27"/>
      <x:c r="AL104" s="27"/>
      <x:c r="AM104" s="27"/>
      <x:c r="AN104" s="27"/>
      <x:c r="AO104" s="27"/>
      <x:c r="AP104" s="27"/>
      <x:c r="AQ104" s="27"/>
      <x:c r="AR104" s="27"/>
      <x:c r="AS104" s="27"/>
      <x:c r="AT104" s="27"/>
      <x:c r="AU104" s="27"/>
      <x:c r="AV104" s="27"/>
      <x:c r="AW104" s="27"/>
      <x:c r="AX104" s="27"/>
      <x:c r="AY104" s="27"/>
      <x:c r="AZ104" s="27"/>
    </x:row>
    <x:row r="105">
      <x:c r="A105" s="27"/>
      <x:c r="B105" s="27"/>
      <x:c r="C105" s="27"/>
      <x:c r="D105" s="27"/>
      <x:c r="E105" s="27"/>
      <x:c r="F105" s="27"/>
      <x:c r="G105" s="27"/>
      <x:c r="H105" s="27"/>
      <x:c r="I105" s="27"/>
      <x:c r="J105" s="27"/>
      <x:c r="K105" s="27"/>
      <x:c r="L105" s="27"/>
      <x:c r="M105" s="27"/>
      <x:c r="N105" s="27"/>
      <x:c r="O105" s="27"/>
      <x:c r="P105" s="27"/>
      <x:c r="Q105" s="27"/>
      <x:c r="R105" s="27"/>
      <x:c r="S105" s="27"/>
      <x:c r="T105" s="27"/>
      <x:c r="U105" s="27"/>
      <x:c r="V105" s="27"/>
      <x:c r="W105" s="27"/>
      <x:c r="X105" s="27"/>
      <x:c r="Y105" s="27"/>
      <x:c r="Z105" s="27"/>
      <x:c r="AA105" s="27"/>
      <x:c r="AB105" s="27"/>
      <x:c r="AC105" s="27"/>
      <x:c r="AD105" s="27"/>
      <x:c r="AE105" s="27"/>
      <x:c r="AF105" s="27"/>
      <x:c r="AG105" s="27"/>
      <x:c r="AH105" s="27"/>
      <x:c r="AI105" s="27"/>
      <x:c r="AJ105" s="27"/>
      <x:c r="AK105" s="27"/>
      <x:c r="AL105" s="27"/>
      <x:c r="AM105" s="27"/>
      <x:c r="AN105" s="27"/>
      <x:c r="AO105" s="27"/>
      <x:c r="AP105" s="27"/>
      <x:c r="AQ105" s="27"/>
      <x:c r="AR105" s="27"/>
      <x:c r="AS105" s="27"/>
      <x:c r="AT105" s="27"/>
      <x:c r="AU105" s="27"/>
      <x:c r="AV105" s="27"/>
      <x:c r="AW105" s="27"/>
      <x:c r="AX105" s="27"/>
      <x:c r="AY105" s="27"/>
      <x:c r="AZ105" s="27"/>
    </x:row>
    <x:row r="106">
      <x:c r="A106" s="27"/>
      <x:c r="B106" s="27"/>
      <x:c r="C106" s="27"/>
      <x:c r="D106" s="27"/>
      <x:c r="E106" s="27"/>
      <x:c r="F106" s="27"/>
      <x:c r="G106" s="27"/>
      <x:c r="H106" s="27"/>
      <x:c r="I106" s="27"/>
      <x:c r="J106" s="27"/>
      <x:c r="K106" s="27"/>
      <x:c r="L106" s="27"/>
      <x:c r="M106" s="27"/>
      <x:c r="N106" s="27"/>
      <x:c r="O106" s="27"/>
      <x:c r="P106" s="27"/>
      <x:c r="Q106" s="27"/>
      <x:c r="R106" s="27"/>
      <x:c r="S106" s="27"/>
      <x:c r="T106" s="27"/>
      <x:c r="U106" s="27"/>
      <x:c r="V106" s="27"/>
      <x:c r="W106" s="27"/>
      <x:c r="X106" s="27"/>
      <x:c r="Y106" s="27"/>
      <x:c r="Z106" s="27"/>
      <x:c r="AA106" s="27"/>
      <x:c r="AB106" s="27"/>
      <x:c r="AC106" s="27"/>
      <x:c r="AD106" s="27"/>
      <x:c r="AE106" s="27"/>
      <x:c r="AF106" s="27"/>
      <x:c r="AG106" s="27"/>
      <x:c r="AH106" s="27"/>
      <x:c r="AI106" s="27"/>
      <x:c r="AJ106" s="27"/>
      <x:c r="AK106" s="27"/>
      <x:c r="AL106" s="27"/>
      <x:c r="AM106" s="27"/>
      <x:c r="AN106" s="27"/>
      <x:c r="AO106" s="27"/>
      <x:c r="AP106" s="27"/>
      <x:c r="AQ106" s="27"/>
      <x:c r="AR106" s="27"/>
      <x:c r="AS106" s="27"/>
      <x:c r="AT106" s="27"/>
      <x:c r="AU106" s="27"/>
      <x:c r="AV106" s="27"/>
      <x:c r="AW106" s="27"/>
      <x:c r="AX106" s="27"/>
      <x:c r="AY106" s="27"/>
      <x:c r="AZ106" s="27"/>
    </x:row>
    <x:row r="107">
      <x:c r="A107" s="27"/>
      <x:c r="B107" s="27"/>
      <x:c r="C107" s="27"/>
      <x:c r="D107" s="27"/>
      <x:c r="E107" s="27"/>
      <x:c r="F107" s="27"/>
      <x:c r="G107" s="27"/>
      <x:c r="H107" s="27"/>
      <x:c r="I107" s="27"/>
      <x:c r="J107" s="27"/>
      <x:c r="K107" s="27"/>
      <x:c r="L107" s="27"/>
      <x:c r="M107" s="27"/>
      <x:c r="N107" s="27"/>
      <x:c r="O107" s="27"/>
      <x:c r="P107" s="27"/>
      <x:c r="Q107" s="27"/>
      <x:c r="R107" s="27"/>
      <x:c r="S107" s="27"/>
      <x:c r="T107" s="27"/>
      <x:c r="U107" s="27"/>
      <x:c r="V107" s="27"/>
      <x:c r="W107" s="27"/>
      <x:c r="X107" s="27"/>
      <x:c r="Y107" s="27"/>
      <x:c r="Z107" s="27"/>
      <x:c r="AA107" s="27"/>
      <x:c r="AB107" s="27"/>
      <x:c r="AC107" s="27"/>
      <x:c r="AD107" s="27"/>
      <x:c r="AE107" s="27"/>
      <x:c r="AF107" s="27"/>
      <x:c r="AG107" s="27"/>
      <x:c r="AH107" s="27"/>
      <x:c r="AI107" s="27"/>
      <x:c r="AJ107" s="27"/>
      <x:c r="AK107" s="27"/>
      <x:c r="AL107" s="27"/>
      <x:c r="AM107" s="27"/>
      <x:c r="AN107" s="27"/>
      <x:c r="AO107" s="27"/>
      <x:c r="AP107" s="27"/>
      <x:c r="AQ107" s="27"/>
      <x:c r="AR107" s="27"/>
      <x:c r="AS107" s="27"/>
      <x:c r="AT107" s="27"/>
      <x:c r="AU107" s="27"/>
      <x:c r="AV107" s="27"/>
      <x:c r="AW107" s="27"/>
      <x:c r="AX107" s="27"/>
      <x:c r="AY107" s="27"/>
      <x:c r="AZ107" s="27"/>
    </x:row>
    <x:row r="108">
      <x:c r="A108" s="27"/>
      <x:c r="B108" s="27"/>
      <x:c r="C108" s="27"/>
      <x:c r="D108" s="27"/>
      <x:c r="E108" s="27"/>
      <x:c r="F108" s="27"/>
      <x:c r="G108" s="27"/>
      <x:c r="H108" s="27"/>
      <x:c r="I108" s="27"/>
      <x:c r="J108" s="27"/>
      <x:c r="K108" s="27"/>
      <x:c r="L108" s="27"/>
      <x:c r="M108" s="27"/>
      <x:c r="N108" s="27"/>
      <x:c r="O108" s="27"/>
      <x:c r="P108" s="27"/>
      <x:c r="Q108" s="27"/>
      <x:c r="R108" s="27"/>
      <x:c r="S108" s="27"/>
      <x:c r="T108" s="27"/>
      <x:c r="U108" s="27"/>
      <x:c r="V108" s="27"/>
      <x:c r="W108" s="27"/>
      <x:c r="X108" s="27"/>
      <x:c r="Y108" s="27"/>
      <x:c r="Z108" s="27"/>
      <x:c r="AA108" s="27"/>
      <x:c r="AB108" s="27"/>
      <x:c r="AC108" s="27"/>
      <x:c r="AD108" s="27"/>
      <x:c r="AE108" s="27"/>
      <x:c r="AF108" s="27"/>
      <x:c r="AG108" s="27"/>
      <x:c r="AH108" s="27"/>
      <x:c r="AI108" s="27"/>
      <x:c r="AJ108" s="27"/>
      <x:c r="AK108" s="27"/>
      <x:c r="AL108" s="27"/>
      <x:c r="AM108" s="27"/>
      <x:c r="AN108" s="27"/>
      <x:c r="AO108" s="27"/>
      <x:c r="AP108" s="27"/>
      <x:c r="AQ108" s="27"/>
      <x:c r="AR108" s="27"/>
      <x:c r="AS108" s="27"/>
      <x:c r="AT108" s="27"/>
      <x:c r="AU108" s="27"/>
      <x:c r="AV108" s="27"/>
      <x:c r="AW108" s="27"/>
      <x:c r="AX108" s="27"/>
      <x:c r="AY108" s="27"/>
      <x:c r="AZ108" s="27"/>
    </x:row>
    <x:row r="109">
      <x:c r="A109" s="27"/>
      <x:c r="B109" s="27"/>
      <x:c r="C109" s="27"/>
      <x:c r="D109" s="27"/>
      <x:c r="E109" s="27"/>
      <x:c r="F109" s="27"/>
      <x:c r="G109" s="27"/>
      <x:c r="H109" s="27"/>
      <x:c r="I109" s="27"/>
      <x:c r="J109" s="27"/>
      <x:c r="K109" s="27"/>
      <x:c r="L109" s="27"/>
      <x:c r="M109" s="27"/>
      <x:c r="N109" s="27"/>
      <x:c r="O109" s="27"/>
      <x:c r="P109" s="27"/>
      <x:c r="Q109" s="27"/>
      <x:c r="R109" s="27"/>
      <x:c r="S109" s="27"/>
      <x:c r="T109" s="27"/>
      <x:c r="U109" s="27"/>
      <x:c r="V109" s="27"/>
      <x:c r="W109" s="27"/>
      <x:c r="X109" s="27"/>
      <x:c r="Y109" s="27"/>
      <x:c r="Z109" s="27"/>
      <x:c r="AA109" s="27"/>
      <x:c r="AB109" s="27"/>
      <x:c r="AC109" s="27"/>
      <x:c r="AD109" s="27"/>
      <x:c r="AE109" s="27"/>
      <x:c r="AF109" s="27"/>
      <x:c r="AG109" s="27"/>
      <x:c r="AH109" s="27"/>
      <x:c r="AI109" s="27"/>
      <x:c r="AJ109" s="27"/>
      <x:c r="AK109" s="27"/>
      <x:c r="AL109" s="27"/>
      <x:c r="AM109" s="27"/>
      <x:c r="AN109" s="27"/>
      <x:c r="AO109" s="27"/>
      <x:c r="AP109" s="27"/>
      <x:c r="AQ109" s="27"/>
      <x:c r="AR109" s="27"/>
      <x:c r="AS109" s="27"/>
      <x:c r="AT109" s="27"/>
      <x:c r="AU109" s="27"/>
      <x:c r="AV109" s="27"/>
      <x:c r="AW109" s="27"/>
      <x:c r="AX109" s="27"/>
      <x:c r="AY109" s="27"/>
      <x:c r="AZ109" s="27"/>
    </x:row>
    <x:row r="110">
      <x:c r="A110" s="27"/>
      <x:c r="B110" s="27"/>
      <x:c r="C110" s="27"/>
      <x:c r="D110" s="27"/>
      <x:c r="E110" s="27"/>
      <x:c r="F110" s="27"/>
      <x:c r="G110" s="27"/>
      <x:c r="H110" s="27"/>
      <x:c r="I110" s="27"/>
      <x:c r="J110" s="27"/>
      <x:c r="K110" s="27"/>
      <x:c r="L110" s="27"/>
      <x:c r="M110" s="27"/>
      <x:c r="N110" s="27"/>
      <x:c r="O110" s="27"/>
      <x:c r="P110" s="27"/>
      <x:c r="Q110" s="27"/>
      <x:c r="R110" s="27"/>
      <x:c r="S110" s="27"/>
      <x:c r="T110" s="27"/>
      <x:c r="U110" s="27"/>
      <x:c r="V110" s="27"/>
      <x:c r="W110" s="27"/>
      <x:c r="X110" s="27"/>
      <x:c r="Y110" s="27"/>
      <x:c r="Z110" s="27"/>
      <x:c r="AA110" s="27"/>
      <x:c r="AB110" s="27"/>
      <x:c r="AC110" s="27"/>
      <x:c r="AD110" s="27"/>
      <x:c r="AE110" s="27"/>
      <x:c r="AF110" s="27"/>
      <x:c r="AG110" s="27"/>
      <x:c r="AH110" s="27"/>
      <x:c r="AI110" s="27"/>
      <x:c r="AJ110" s="27"/>
      <x:c r="AK110" s="27"/>
      <x:c r="AL110" s="27"/>
      <x:c r="AM110" s="27"/>
      <x:c r="AN110" s="27"/>
      <x:c r="AO110" s="27"/>
      <x:c r="AP110" s="27"/>
      <x:c r="AQ110" s="27"/>
      <x:c r="AR110" s="27"/>
      <x:c r="AS110" s="27"/>
      <x:c r="AT110" s="27"/>
      <x:c r="AU110" s="27"/>
      <x:c r="AV110" s="27"/>
      <x:c r="AW110" s="27"/>
      <x:c r="AX110" s="27"/>
      <x:c r="AY110" s="27"/>
      <x:c r="AZ110" s="27"/>
    </x:row>
    <x:row r="111">
      <x:c r="A111" s="27"/>
      <x:c r="B111" s="27"/>
      <x:c r="C111" s="27"/>
      <x:c r="D111" s="27"/>
      <x:c r="E111" s="27"/>
      <x:c r="F111" s="27"/>
      <x:c r="G111" s="27"/>
      <x:c r="H111" s="27"/>
      <x:c r="I111" s="27"/>
      <x:c r="J111" s="27"/>
      <x:c r="K111" s="27"/>
      <x:c r="L111" s="27"/>
      <x:c r="M111" s="27"/>
      <x:c r="N111" s="27"/>
      <x:c r="O111" s="27"/>
      <x:c r="P111" s="27"/>
      <x:c r="Q111" s="27"/>
      <x:c r="R111" s="27"/>
      <x:c r="S111" s="27"/>
      <x:c r="T111" s="27"/>
      <x:c r="U111" s="27"/>
      <x:c r="V111" s="27"/>
      <x:c r="W111" s="27"/>
      <x:c r="X111" s="27"/>
      <x:c r="Y111" s="27"/>
      <x:c r="Z111" s="27"/>
      <x:c r="AA111" s="27"/>
      <x:c r="AB111" s="27"/>
      <x:c r="AC111" s="27"/>
      <x:c r="AD111" s="27"/>
      <x:c r="AE111" s="27"/>
      <x:c r="AF111" s="27"/>
      <x:c r="AG111" s="27"/>
      <x:c r="AH111" s="27"/>
      <x:c r="AI111" s="27"/>
      <x:c r="AJ111" s="27"/>
      <x:c r="AK111" s="27"/>
      <x:c r="AL111" s="27"/>
      <x:c r="AM111" s="27"/>
      <x:c r="AN111" s="27"/>
      <x:c r="AO111" s="27"/>
      <x:c r="AP111" s="27"/>
      <x:c r="AQ111" s="27"/>
      <x:c r="AR111" s="27"/>
      <x:c r="AS111" s="27"/>
      <x:c r="AT111" s="27"/>
      <x:c r="AU111" s="27"/>
      <x:c r="AV111" s="27"/>
      <x:c r="AW111" s="27"/>
      <x:c r="AX111" s="27"/>
      <x:c r="AY111" s="27"/>
      <x:c r="AZ111" s="27"/>
    </x:row>
    <x:row r="112">
      <x:c r="A112" s="27"/>
      <x:c r="B112" s="27"/>
      <x:c r="C112" s="27"/>
      <x:c r="D112" s="27"/>
      <x:c r="E112" s="27"/>
      <x:c r="F112" s="27"/>
      <x:c r="G112" s="27"/>
      <x:c r="H112" s="27"/>
      <x:c r="I112" s="27"/>
      <x:c r="J112" s="27"/>
      <x:c r="K112" s="27"/>
      <x:c r="L112" s="27"/>
      <x:c r="M112" s="27"/>
      <x:c r="N112" s="27"/>
      <x:c r="O112" s="27"/>
      <x:c r="P112" s="27"/>
      <x:c r="Q112" s="27"/>
      <x:c r="R112" s="27"/>
      <x:c r="S112" s="27"/>
      <x:c r="T112" s="27"/>
      <x:c r="U112" s="27"/>
      <x:c r="V112" s="27"/>
      <x:c r="W112" s="27"/>
      <x:c r="X112" s="27"/>
      <x:c r="Y112" s="27"/>
      <x:c r="Z112" s="27"/>
      <x:c r="AA112" s="27"/>
      <x:c r="AB112" s="27"/>
      <x:c r="AC112" s="27"/>
      <x:c r="AD112" s="27"/>
      <x:c r="AE112" s="27"/>
      <x:c r="AF112" s="27"/>
      <x:c r="AG112" s="27"/>
      <x:c r="AH112" s="27"/>
      <x:c r="AI112" s="27"/>
      <x:c r="AJ112" s="27"/>
      <x:c r="AK112" s="27"/>
      <x:c r="AL112" s="27"/>
      <x:c r="AM112" s="27"/>
      <x:c r="AN112" s="27"/>
      <x:c r="AO112" s="27"/>
      <x:c r="AP112" s="27"/>
      <x:c r="AQ112" s="27"/>
      <x:c r="AR112" s="27"/>
      <x:c r="AS112" s="27"/>
      <x:c r="AT112" s="27"/>
      <x:c r="AU112" s="27"/>
      <x:c r="AV112" s="27"/>
      <x:c r="AW112" s="27"/>
      <x:c r="AX112" s="27"/>
      <x:c r="AY112" s="27"/>
      <x:c r="AZ112" s="27"/>
    </x:row>
    <x:row r="113">
      <x:c r="A113" s="27"/>
      <x:c r="B113" s="27"/>
      <x:c r="C113" s="27"/>
      <x:c r="D113" s="27"/>
      <x:c r="E113" s="27"/>
      <x:c r="F113" s="27"/>
      <x:c r="G113" s="27"/>
      <x:c r="H113" s="27"/>
      <x:c r="I113" s="27"/>
      <x:c r="J113" s="27"/>
      <x:c r="K113" s="27"/>
      <x:c r="L113" s="27"/>
      <x:c r="M113" s="27"/>
      <x:c r="N113" s="27"/>
      <x:c r="O113" s="27"/>
      <x:c r="P113" s="27"/>
      <x:c r="Q113" s="27"/>
      <x:c r="R113" s="27"/>
      <x:c r="S113" s="27"/>
      <x:c r="T113" s="27"/>
      <x:c r="U113" s="27"/>
      <x:c r="V113" s="27"/>
      <x:c r="W113" s="27"/>
      <x:c r="X113" s="27"/>
      <x:c r="Y113" s="27"/>
      <x:c r="Z113" s="27"/>
      <x:c r="AA113" s="27"/>
      <x:c r="AB113" s="27"/>
      <x:c r="AC113" s="27"/>
      <x:c r="AD113" s="27"/>
      <x:c r="AE113" s="27"/>
      <x:c r="AF113" s="27"/>
      <x:c r="AG113" s="27"/>
      <x:c r="AH113" s="27"/>
      <x:c r="AI113" s="27"/>
      <x:c r="AJ113" s="27"/>
      <x:c r="AK113" s="27"/>
      <x:c r="AL113" s="27"/>
      <x:c r="AM113" s="27"/>
      <x:c r="AN113" s="27"/>
      <x:c r="AO113" s="27"/>
      <x:c r="AP113" s="27"/>
      <x:c r="AQ113" s="27"/>
      <x:c r="AR113" s="27"/>
      <x:c r="AS113" s="27"/>
      <x:c r="AT113" s="27"/>
      <x:c r="AU113" s="27"/>
      <x:c r="AV113" s="27"/>
      <x:c r="AW113" s="27"/>
      <x:c r="AX113" s="27"/>
      <x:c r="AY113" s="27"/>
      <x:c r="AZ113" s="27"/>
    </x:row>
    <x:row r="114">
      <x:c r="A114" s="27"/>
      <x:c r="B114" s="27"/>
      <x:c r="C114" s="27"/>
      <x:c r="D114" s="27"/>
      <x:c r="E114" s="27"/>
      <x:c r="F114" s="27"/>
      <x:c r="G114" s="27"/>
      <x:c r="H114" s="27"/>
      <x:c r="I114" s="27"/>
      <x:c r="J114" s="27"/>
      <x:c r="K114" s="27"/>
      <x:c r="L114" s="27"/>
      <x:c r="M114" s="27"/>
      <x:c r="N114" s="27"/>
      <x:c r="O114" s="27"/>
      <x:c r="P114" s="27"/>
      <x:c r="Q114" s="27"/>
      <x:c r="R114" s="27"/>
      <x:c r="S114" s="27"/>
      <x:c r="T114" s="27"/>
      <x:c r="U114" s="27"/>
      <x:c r="V114" s="27"/>
      <x:c r="W114" s="27"/>
      <x:c r="X114" s="27"/>
      <x:c r="Y114" s="27"/>
      <x:c r="Z114" s="27"/>
      <x:c r="AA114" s="27"/>
      <x:c r="AB114" s="27"/>
      <x:c r="AC114" s="27"/>
      <x:c r="AD114" s="27"/>
      <x:c r="AE114" s="27"/>
      <x:c r="AF114" s="27"/>
      <x:c r="AG114" s="27"/>
      <x:c r="AH114" s="27"/>
      <x:c r="AI114" s="27"/>
      <x:c r="AJ114" s="27"/>
      <x:c r="AK114" s="27"/>
      <x:c r="AL114" s="27"/>
      <x:c r="AM114" s="27"/>
      <x:c r="AN114" s="27"/>
      <x:c r="AO114" s="27"/>
      <x:c r="AP114" s="27"/>
      <x:c r="AQ114" s="27"/>
      <x:c r="AR114" s="27"/>
      <x:c r="AS114" s="27"/>
      <x:c r="AT114" s="27"/>
      <x:c r="AU114" s="27"/>
      <x:c r="AV114" s="27"/>
      <x:c r="AW114" s="27"/>
      <x:c r="AX114" s="27"/>
      <x:c r="AY114" s="27"/>
      <x:c r="AZ114" s="27"/>
    </x:row>
    <x:row r="115">
      <x:c r="A115" s="27"/>
      <x:c r="B115" s="27"/>
      <x:c r="C115" s="27"/>
      <x:c r="D115" s="27"/>
      <x:c r="E115" s="27"/>
      <x:c r="F115" s="27"/>
      <x:c r="G115" s="27"/>
      <x:c r="H115" s="27"/>
      <x:c r="I115" s="27"/>
      <x:c r="J115" s="27"/>
      <x:c r="K115" s="27"/>
      <x:c r="L115" s="27"/>
      <x:c r="M115" s="27"/>
      <x:c r="N115" s="27"/>
      <x:c r="O115" s="27"/>
      <x:c r="P115" s="27"/>
      <x:c r="Q115" s="27"/>
      <x:c r="R115" s="27"/>
      <x:c r="S115" s="27"/>
      <x:c r="T115" s="27"/>
      <x:c r="U115" s="27"/>
      <x:c r="V115" s="27"/>
      <x:c r="W115" s="27"/>
      <x:c r="X115" s="27"/>
      <x:c r="Y115" s="27"/>
      <x:c r="Z115" s="27"/>
      <x:c r="AA115" s="27"/>
      <x:c r="AB115" s="27"/>
      <x:c r="AC115" s="27"/>
      <x:c r="AD115" s="27"/>
      <x:c r="AE115" s="27"/>
      <x:c r="AF115" s="27"/>
      <x:c r="AG115" s="27"/>
      <x:c r="AH115" s="27"/>
      <x:c r="AI115" s="27"/>
      <x:c r="AJ115" s="27"/>
      <x:c r="AK115" s="27"/>
      <x:c r="AL115" s="27"/>
      <x:c r="AM115" s="27"/>
      <x:c r="AN115" s="27"/>
      <x:c r="AO115" s="27"/>
      <x:c r="AP115" s="27"/>
      <x:c r="AQ115" s="27"/>
      <x:c r="AR115" s="27"/>
      <x:c r="AS115" s="27"/>
      <x:c r="AT115" s="27"/>
      <x:c r="AU115" s="27"/>
      <x:c r="AV115" s="27"/>
      <x:c r="AW115" s="27"/>
      <x:c r="AX115" s="27"/>
      <x:c r="AY115" s="27"/>
      <x:c r="AZ115" s="27"/>
    </x:row>
    <x:row r="116">
      <x:c r="A116" s="27"/>
      <x:c r="B116" s="27"/>
      <x:c r="C116" s="27"/>
      <x:c r="D116" s="27"/>
      <x:c r="E116" s="27"/>
      <x:c r="F116" s="27"/>
      <x:c r="G116" s="27"/>
      <x:c r="H116" s="27"/>
      <x:c r="I116" s="27"/>
      <x:c r="J116" s="27"/>
      <x:c r="K116" s="27"/>
      <x:c r="L116" s="27"/>
      <x:c r="M116" s="27"/>
      <x:c r="N116" s="27"/>
      <x:c r="O116" s="27"/>
      <x:c r="P116" s="27"/>
      <x:c r="Q116" s="27"/>
      <x:c r="R116" s="27"/>
      <x:c r="S116" s="27"/>
      <x:c r="T116" s="27"/>
      <x:c r="U116" s="27"/>
      <x:c r="V116" s="27"/>
      <x:c r="W116" s="27"/>
      <x:c r="X116" s="27"/>
      <x:c r="Y116" s="27"/>
      <x:c r="Z116" s="27"/>
      <x:c r="AA116" s="27"/>
      <x:c r="AB116" s="27"/>
      <x:c r="AC116" s="27"/>
      <x:c r="AD116" s="27"/>
      <x:c r="AE116" s="27"/>
      <x:c r="AF116" s="27"/>
      <x:c r="AG116" s="27"/>
      <x:c r="AH116" s="27"/>
      <x:c r="AI116" s="27"/>
      <x:c r="AJ116" s="27"/>
      <x:c r="AK116" s="27"/>
      <x:c r="AL116" s="27"/>
      <x:c r="AM116" s="27"/>
      <x:c r="AN116" s="27"/>
      <x:c r="AO116" s="27"/>
      <x:c r="AP116" s="27"/>
      <x:c r="AQ116" s="27"/>
      <x:c r="AR116" s="27"/>
      <x:c r="AS116" s="27"/>
      <x:c r="AT116" s="27"/>
      <x:c r="AU116" s="27"/>
      <x:c r="AV116" s="27"/>
      <x:c r="AW116" s="27"/>
      <x:c r="AX116" s="27"/>
      <x:c r="AY116" s="27"/>
      <x:c r="AZ116" s="27"/>
    </x:row>
    <x:row r="117">
      <x:c r="A117" s="27"/>
      <x:c r="B117" s="27"/>
      <x:c r="C117" s="27"/>
      <x:c r="D117" s="27"/>
      <x:c r="E117" s="27"/>
      <x:c r="F117" s="27"/>
      <x:c r="G117" s="27"/>
      <x:c r="H117" s="27"/>
      <x:c r="I117" s="27"/>
      <x:c r="J117" s="27"/>
      <x:c r="K117" s="27"/>
      <x:c r="L117" s="27"/>
      <x:c r="M117" s="27"/>
      <x:c r="N117" s="27"/>
      <x:c r="O117" s="27"/>
      <x:c r="P117" s="27"/>
      <x:c r="Q117" s="27"/>
      <x:c r="R117" s="27"/>
      <x:c r="S117" s="27"/>
      <x:c r="T117" s="27"/>
      <x:c r="U117" s="27"/>
      <x:c r="V117" s="27"/>
      <x:c r="W117" s="27"/>
      <x:c r="X117" s="27"/>
      <x:c r="Y117" s="27"/>
      <x:c r="Z117" s="27"/>
      <x:c r="AA117" s="27"/>
      <x:c r="AB117" s="27"/>
      <x:c r="AC117" s="27"/>
      <x:c r="AD117" s="27"/>
      <x:c r="AE117" s="27"/>
      <x:c r="AF117" s="27"/>
      <x:c r="AG117" s="27"/>
      <x:c r="AH117" s="27"/>
      <x:c r="AI117" s="27"/>
      <x:c r="AJ117" s="27"/>
      <x:c r="AK117" s="27"/>
      <x:c r="AL117" s="27"/>
      <x:c r="AM117" s="27"/>
      <x:c r="AN117" s="27"/>
      <x:c r="AO117" s="27"/>
      <x:c r="AP117" s="27"/>
      <x:c r="AQ117" s="27"/>
      <x:c r="AR117" s="27"/>
      <x:c r="AS117" s="27"/>
      <x:c r="AT117" s="27"/>
      <x:c r="AU117" s="27"/>
      <x:c r="AV117" s="27"/>
      <x:c r="AW117" s="27"/>
      <x:c r="AX117" s="27"/>
      <x:c r="AY117" s="27"/>
      <x:c r="AZ117" s="27"/>
    </x:row>
    <x:row r="118">
      <x:c r="A118" s="27"/>
      <x:c r="B118" s="27"/>
      <x:c r="C118" s="27"/>
      <x:c r="D118" s="27"/>
      <x:c r="E118" s="27"/>
      <x:c r="F118" s="27"/>
      <x:c r="G118" s="27"/>
      <x:c r="H118" s="27"/>
      <x:c r="I118" s="27"/>
      <x:c r="J118" s="27"/>
      <x:c r="K118" s="27"/>
      <x:c r="L118" s="27"/>
      <x:c r="M118" s="27"/>
      <x:c r="N118" s="27"/>
      <x:c r="O118" s="27"/>
      <x:c r="P118" s="27"/>
      <x:c r="Q118" s="27"/>
      <x:c r="R118" s="27"/>
      <x:c r="S118" s="27"/>
      <x:c r="T118" s="27"/>
      <x:c r="U118" s="27"/>
      <x:c r="V118" s="27"/>
      <x:c r="W118" s="27"/>
      <x:c r="X118" s="27"/>
      <x:c r="Y118" s="27"/>
      <x:c r="Z118" s="27"/>
      <x:c r="AA118" s="27"/>
      <x:c r="AB118" s="27"/>
      <x:c r="AC118" s="27"/>
      <x:c r="AD118" s="27"/>
      <x:c r="AE118" s="27"/>
      <x:c r="AF118" s="27"/>
      <x:c r="AG118" s="27"/>
      <x:c r="AH118" s="27"/>
      <x:c r="AI118" s="27"/>
      <x:c r="AJ118" s="27"/>
      <x:c r="AK118" s="27"/>
      <x:c r="AL118" s="27"/>
      <x:c r="AM118" s="27"/>
      <x:c r="AN118" s="27"/>
      <x:c r="AO118" s="27"/>
      <x:c r="AP118" s="27"/>
      <x:c r="AQ118" s="27"/>
      <x:c r="AR118" s="27"/>
      <x:c r="AS118" s="27"/>
      <x:c r="AT118" s="27"/>
      <x:c r="AU118" s="27"/>
      <x:c r="AV118" s="27"/>
      <x:c r="AW118" s="27"/>
      <x:c r="AX118" s="27"/>
      <x:c r="AY118" s="27"/>
      <x:c r="AZ118" s="27"/>
    </x:row>
    <x:row r="119">
      <x:c r="A119" s="27"/>
      <x:c r="B119" s="27"/>
      <x:c r="C119" s="27"/>
      <x:c r="D119" s="27"/>
      <x:c r="E119" s="27"/>
      <x:c r="F119" s="27"/>
      <x:c r="G119" s="27"/>
      <x:c r="H119" s="27"/>
      <x:c r="I119" s="27"/>
      <x:c r="J119" s="27"/>
      <x:c r="K119" s="27"/>
      <x:c r="L119" s="27"/>
      <x:c r="M119" s="27"/>
      <x:c r="N119" s="27"/>
      <x:c r="O119" s="27"/>
      <x:c r="P119" s="27"/>
      <x:c r="Q119" s="27"/>
      <x:c r="R119" s="27"/>
      <x:c r="S119" s="27"/>
      <x:c r="T119" s="27"/>
      <x:c r="U119" s="27"/>
      <x:c r="V119" s="27"/>
      <x:c r="W119" s="27"/>
      <x:c r="X119" s="27"/>
      <x:c r="Y119" s="27"/>
      <x:c r="Z119" s="27"/>
      <x:c r="AA119" s="27"/>
      <x:c r="AB119" s="27"/>
      <x:c r="AC119" s="27"/>
      <x:c r="AD119" s="27"/>
      <x:c r="AE119" s="27"/>
      <x:c r="AF119" s="27"/>
      <x:c r="AG119" s="27"/>
      <x:c r="AH119" s="27"/>
      <x:c r="AI119" s="27"/>
      <x:c r="AJ119" s="27"/>
      <x:c r="AK119" s="27"/>
      <x:c r="AL119" s="27"/>
      <x:c r="AM119" s="27"/>
      <x:c r="AN119" s="27"/>
      <x:c r="AO119" s="27"/>
      <x:c r="AP119" s="27"/>
      <x:c r="AQ119" s="27"/>
      <x:c r="AR119" s="27"/>
      <x:c r="AS119" s="27"/>
      <x:c r="AT119" s="27"/>
      <x:c r="AU119" s="27"/>
      <x:c r="AV119" s="27"/>
      <x:c r="AW119" s="27"/>
      <x:c r="AX119" s="27"/>
      <x:c r="AY119" s="27"/>
      <x:c r="AZ119" s="27"/>
    </x:row>
    <x:row r="120">
      <x:c r="A120" s="27"/>
      <x:c r="B120" s="27"/>
      <x:c r="C120" s="27"/>
      <x:c r="D120" s="27"/>
      <x:c r="E120" s="27"/>
      <x:c r="F120" s="27"/>
      <x:c r="G120" s="27"/>
      <x:c r="H120" s="27"/>
      <x:c r="I120" s="27"/>
      <x:c r="J120" s="27"/>
      <x:c r="K120" s="27"/>
      <x:c r="L120" s="27"/>
      <x:c r="M120" s="27"/>
      <x:c r="N120" s="27"/>
      <x:c r="O120" s="27"/>
      <x:c r="P120" s="27"/>
      <x:c r="Q120" s="27"/>
      <x:c r="R120" s="27"/>
      <x:c r="S120" s="27"/>
      <x:c r="T120" s="27"/>
      <x:c r="U120" s="27"/>
      <x:c r="V120" s="27"/>
      <x:c r="W120" s="27"/>
      <x:c r="X120" s="27"/>
      <x:c r="Y120" s="27"/>
      <x:c r="Z120" s="27"/>
      <x:c r="AA120" s="27"/>
      <x:c r="AB120" s="27"/>
      <x:c r="AC120" s="27"/>
      <x:c r="AD120" s="27"/>
      <x:c r="AE120" s="27"/>
      <x:c r="AF120" s="27"/>
      <x:c r="AG120" s="27"/>
      <x:c r="AH120" s="27"/>
      <x:c r="AI120" s="27"/>
      <x:c r="AJ120" s="27"/>
      <x:c r="AK120" s="27"/>
      <x:c r="AL120" s="27"/>
      <x:c r="AM120" s="27"/>
      <x:c r="AN120" s="27"/>
      <x:c r="AO120" s="27"/>
      <x:c r="AP120" s="27"/>
      <x:c r="AQ120" s="27"/>
      <x:c r="AR120" s="27"/>
      <x:c r="AS120" s="27"/>
      <x:c r="AT120" s="27"/>
      <x:c r="AU120" s="27"/>
      <x:c r="AV120" s="27"/>
      <x:c r="AW120" s="27"/>
      <x:c r="AX120" s="27"/>
      <x:c r="AY120" s="27"/>
      <x:c r="AZ120" s="27"/>
    </x:row>
    <x:row r="121">
      <x:c r="A121" s="27"/>
      <x:c r="B121" s="27"/>
      <x:c r="C121" s="27"/>
      <x:c r="D121" s="27"/>
      <x:c r="E121" s="27"/>
      <x:c r="F121" s="27"/>
      <x:c r="G121" s="27"/>
      <x:c r="H121" s="27"/>
      <x:c r="I121" s="27"/>
      <x:c r="J121" s="27"/>
      <x:c r="K121" s="27"/>
      <x:c r="L121" s="27"/>
      <x:c r="M121" s="27"/>
      <x:c r="N121" s="27"/>
      <x:c r="O121" s="27"/>
      <x:c r="P121" s="27"/>
      <x:c r="Q121" s="27"/>
      <x:c r="R121" s="27"/>
      <x:c r="S121" s="27"/>
      <x:c r="T121" s="27"/>
      <x:c r="U121" s="27"/>
      <x:c r="V121" s="27"/>
      <x:c r="W121" s="27"/>
      <x:c r="X121" s="27"/>
      <x:c r="Y121" s="27"/>
      <x:c r="Z121" s="27"/>
      <x:c r="AA121" s="27"/>
      <x:c r="AB121" s="27"/>
      <x:c r="AC121" s="27"/>
      <x:c r="AD121" s="27"/>
      <x:c r="AE121" s="27"/>
      <x:c r="AF121" s="27"/>
      <x:c r="AG121" s="27"/>
      <x:c r="AH121" s="27"/>
      <x:c r="AI121" s="27"/>
      <x:c r="AJ121" s="27"/>
      <x:c r="AK121" s="27"/>
      <x:c r="AL121" s="27"/>
      <x:c r="AM121" s="27"/>
      <x:c r="AN121" s="27"/>
      <x:c r="AO121" s="27"/>
      <x:c r="AP121" s="27"/>
      <x:c r="AQ121" s="27"/>
      <x:c r="AR121" s="27"/>
      <x:c r="AS121" s="27"/>
      <x:c r="AT121" s="27"/>
      <x:c r="AU121" s="27"/>
      <x:c r="AV121" s="27"/>
      <x:c r="AW121" s="27"/>
      <x:c r="AX121" s="27"/>
      <x:c r="AY121" s="27"/>
      <x:c r="AZ121" s="27"/>
    </x:row>
    <x:row r="122">
      <x:c r="A122" s="27"/>
      <x:c r="B122" s="27"/>
      <x:c r="C122" s="27"/>
      <x:c r="D122" s="27"/>
      <x:c r="E122" s="27"/>
      <x:c r="F122" s="27"/>
      <x:c r="G122" s="27"/>
      <x:c r="H122" s="27"/>
      <x:c r="I122" s="27"/>
      <x:c r="J122" s="27"/>
      <x:c r="K122" s="27"/>
      <x:c r="L122" s="27"/>
      <x:c r="M122" s="27"/>
      <x:c r="N122" s="27"/>
      <x:c r="O122" s="27"/>
      <x:c r="P122" s="27"/>
      <x:c r="Q122" s="27"/>
      <x:c r="R122" s="27"/>
      <x:c r="S122" s="27"/>
      <x:c r="T122" s="27"/>
      <x:c r="U122" s="27"/>
      <x:c r="V122" s="27"/>
      <x:c r="W122" s="27"/>
      <x:c r="X122" s="27"/>
      <x:c r="Y122" s="27"/>
      <x:c r="Z122" s="27"/>
      <x:c r="AA122" s="27"/>
      <x:c r="AB122" s="27"/>
      <x:c r="AC122" s="27"/>
      <x:c r="AD122" s="27"/>
      <x:c r="AE122" s="27"/>
      <x:c r="AF122" s="27"/>
      <x:c r="AG122" s="27"/>
      <x:c r="AH122" s="27"/>
      <x:c r="AI122" s="27"/>
      <x:c r="AJ122" s="27"/>
      <x:c r="AK122" s="27"/>
      <x:c r="AL122" s="27"/>
      <x:c r="AM122" s="27"/>
      <x:c r="AN122" s="27"/>
      <x:c r="AO122" s="27"/>
      <x:c r="AP122" s="27"/>
      <x:c r="AQ122" s="27"/>
      <x:c r="AR122" s="27"/>
      <x:c r="AS122" s="27"/>
      <x:c r="AT122" s="27"/>
      <x:c r="AU122" s="27"/>
      <x:c r="AV122" s="27"/>
      <x:c r="AW122" s="27"/>
      <x:c r="AX122" s="27"/>
      <x:c r="AY122" s="27"/>
      <x:c r="AZ122" s="27"/>
    </x:row>
    <x:row r="123">
      <x:c r="A123" s="27"/>
      <x:c r="B123" s="27"/>
      <x:c r="C123" s="27"/>
      <x:c r="D123" s="27"/>
      <x:c r="E123" s="27"/>
      <x:c r="F123" s="27"/>
      <x:c r="G123" s="27"/>
      <x:c r="H123" s="27"/>
      <x:c r="I123" s="27"/>
      <x:c r="J123" s="27"/>
      <x:c r="K123" s="27"/>
      <x:c r="L123" s="27"/>
      <x:c r="M123" s="27"/>
      <x:c r="N123" s="27"/>
      <x:c r="O123" s="27"/>
      <x:c r="P123" s="27"/>
      <x:c r="Q123" s="27"/>
      <x:c r="R123" s="27"/>
      <x:c r="S123" s="27"/>
      <x:c r="T123" s="27"/>
      <x:c r="U123" s="27"/>
      <x:c r="V123" s="27"/>
      <x:c r="W123" s="27"/>
      <x:c r="X123" s="27"/>
      <x:c r="Y123" s="27"/>
      <x:c r="Z123" s="27"/>
      <x:c r="AA123" s="27"/>
      <x:c r="AB123" s="27"/>
      <x:c r="AC123" s="27"/>
      <x:c r="AD123" s="27"/>
      <x:c r="AE123" s="27"/>
      <x:c r="AF123" s="27"/>
      <x:c r="AG123" s="27"/>
      <x:c r="AH123" s="27"/>
      <x:c r="AI123" s="27"/>
      <x:c r="AJ123" s="27"/>
      <x:c r="AK123" s="27"/>
      <x:c r="AL123" s="27"/>
      <x:c r="AM123" s="27"/>
      <x:c r="AN123" s="27"/>
      <x:c r="AO123" s="27"/>
      <x:c r="AP123" s="27"/>
      <x:c r="AQ123" s="27"/>
      <x:c r="AR123" s="27"/>
      <x:c r="AS123" s="27"/>
      <x:c r="AT123" s="27"/>
      <x:c r="AU123" s="27"/>
      <x:c r="AV123" s="27"/>
      <x:c r="AW123" s="27"/>
      <x:c r="AX123" s="27"/>
      <x:c r="AY123" s="27"/>
      <x:c r="AZ123" s="27"/>
    </x:row>
    <x:row r="124">
      <x:c r="A124" s="27"/>
      <x:c r="B124" s="27"/>
      <x:c r="C124" s="27"/>
      <x:c r="D124" s="27"/>
      <x:c r="E124" s="27"/>
      <x:c r="F124" s="27"/>
      <x:c r="G124" s="27"/>
      <x:c r="H124" s="27"/>
      <x:c r="I124" s="27"/>
      <x:c r="J124" s="27"/>
      <x:c r="K124" s="27"/>
      <x:c r="L124" s="27"/>
      <x:c r="M124" s="27"/>
      <x:c r="N124" s="27"/>
      <x:c r="O124" s="27"/>
      <x:c r="P124" s="27"/>
      <x:c r="Q124" s="27"/>
      <x:c r="R124" s="27"/>
      <x:c r="S124" s="27"/>
      <x:c r="T124" s="27"/>
      <x:c r="U124" s="27"/>
      <x:c r="V124" s="27"/>
      <x:c r="W124" s="27"/>
      <x:c r="X124" s="27"/>
      <x:c r="Y124" s="27"/>
      <x:c r="Z124" s="27"/>
      <x:c r="AA124" s="27"/>
      <x:c r="AB124" s="27"/>
      <x:c r="AC124" s="27"/>
      <x:c r="AD124" s="27"/>
      <x:c r="AE124" s="27"/>
      <x:c r="AF124" s="27"/>
      <x:c r="AG124" s="27"/>
      <x:c r="AH124" s="27"/>
      <x:c r="AI124" s="27"/>
      <x:c r="AJ124" s="27"/>
      <x:c r="AK124" s="27"/>
      <x:c r="AL124" s="27"/>
      <x:c r="AM124" s="27"/>
      <x:c r="AN124" s="27"/>
      <x:c r="AO124" s="27"/>
      <x:c r="AP124" s="27"/>
      <x:c r="AQ124" s="27"/>
      <x:c r="AR124" s="27"/>
      <x:c r="AS124" s="27"/>
      <x:c r="AT124" s="27"/>
      <x:c r="AU124" s="27"/>
      <x:c r="AV124" s="27"/>
      <x:c r="AW124" s="27"/>
      <x:c r="AX124" s="27"/>
      <x:c r="AY124" s="27"/>
      <x:c r="AZ124" s="27"/>
    </x:row>
    <x:row r="125">
      <x:c r="A125" s="27"/>
      <x:c r="B125" s="27"/>
      <x:c r="C125" s="27"/>
      <x:c r="D125" s="27"/>
      <x:c r="E125" s="27"/>
      <x:c r="F125" s="27"/>
      <x:c r="G125" s="27"/>
      <x:c r="H125" s="27"/>
      <x:c r="I125" s="27"/>
      <x:c r="J125" s="27"/>
      <x:c r="K125" s="27"/>
      <x:c r="L125" s="27"/>
      <x:c r="M125" s="27"/>
      <x:c r="N125" s="27"/>
      <x:c r="O125" s="27"/>
      <x:c r="P125" s="27"/>
      <x:c r="Q125" s="27"/>
      <x:c r="R125" s="27"/>
      <x:c r="S125" s="27"/>
      <x:c r="T125" s="27"/>
      <x:c r="U125" s="27"/>
      <x:c r="V125" s="27"/>
      <x:c r="W125" s="27"/>
      <x:c r="X125" s="27"/>
      <x:c r="Y125" s="27"/>
      <x:c r="Z125" s="27"/>
      <x:c r="AA125" s="27"/>
      <x:c r="AB125" s="27"/>
      <x:c r="AC125" s="27"/>
      <x:c r="AD125" s="27"/>
      <x:c r="AE125" s="27"/>
      <x:c r="AF125" s="27"/>
      <x:c r="AG125" s="27"/>
      <x:c r="AH125" s="27"/>
      <x:c r="AI125" s="27"/>
      <x:c r="AJ125" s="27"/>
      <x:c r="AK125" s="27"/>
      <x:c r="AL125" s="27"/>
      <x:c r="AM125" s="27"/>
      <x:c r="AN125" s="27"/>
      <x:c r="AO125" s="27"/>
      <x:c r="AP125" s="27"/>
      <x:c r="AQ125" s="27"/>
      <x:c r="AR125" s="27"/>
      <x:c r="AS125" s="27"/>
      <x:c r="AT125" s="27"/>
      <x:c r="AU125" s="27"/>
      <x:c r="AV125" s="27"/>
      <x:c r="AW125" s="27"/>
      <x:c r="AX125" s="27"/>
      <x:c r="AY125" s="27"/>
      <x:c r="AZ125" s="27"/>
    </x:row>
    <x:row r="126">
      <x:c r="A126" s="27"/>
      <x:c r="B126" s="27"/>
      <x:c r="C126" s="27"/>
      <x:c r="D126" s="27"/>
      <x:c r="E126" s="27"/>
      <x:c r="F126" s="27"/>
      <x:c r="G126" s="27"/>
      <x:c r="H126" s="27"/>
      <x:c r="I126" s="27"/>
      <x:c r="J126" s="27"/>
      <x:c r="K126" s="27"/>
      <x:c r="L126" s="27"/>
      <x:c r="M126" s="27"/>
      <x:c r="N126" s="27"/>
      <x:c r="O126" s="27"/>
      <x:c r="P126" s="27"/>
      <x:c r="Q126" s="27"/>
      <x:c r="R126" s="27"/>
      <x:c r="S126" s="27"/>
      <x:c r="T126" s="27"/>
      <x:c r="U126" s="27"/>
      <x:c r="V126" s="27"/>
      <x:c r="W126" s="27"/>
      <x:c r="X126" s="27"/>
      <x:c r="Y126" s="27"/>
      <x:c r="Z126" s="27"/>
      <x:c r="AA126" s="27"/>
      <x:c r="AB126" s="27"/>
      <x:c r="AC126" s="27"/>
      <x:c r="AD126" s="27"/>
      <x:c r="AE126" s="27"/>
      <x:c r="AF126" s="27"/>
      <x:c r="AG126" s="27"/>
      <x:c r="AH126" s="27"/>
      <x:c r="AI126" s="27"/>
      <x:c r="AJ126" s="27"/>
      <x:c r="AK126" s="27"/>
      <x:c r="AL126" s="27"/>
      <x:c r="AM126" s="27"/>
      <x:c r="AN126" s="27"/>
      <x:c r="AO126" s="27"/>
      <x:c r="AP126" s="27"/>
      <x:c r="AQ126" s="27"/>
      <x:c r="AR126" s="27"/>
      <x:c r="AS126" s="27"/>
      <x:c r="AT126" s="27"/>
      <x:c r="AU126" s="27"/>
      <x:c r="AV126" s="27"/>
      <x:c r="AW126" s="27"/>
      <x:c r="AX126" s="27"/>
      <x:c r="AY126" s="27"/>
      <x:c r="AZ126" s="27"/>
    </x:row>
    <x:row r="127">
      <x:c r="A127" s="27"/>
      <x:c r="B127" s="27"/>
      <x:c r="C127" s="27"/>
      <x:c r="D127" s="27"/>
      <x:c r="E127" s="27"/>
      <x:c r="F127" s="27"/>
      <x:c r="G127" s="27"/>
      <x:c r="H127" s="27"/>
      <x:c r="I127" s="27"/>
      <x:c r="J127" s="27"/>
      <x:c r="K127" s="27"/>
      <x:c r="L127" s="27"/>
      <x:c r="M127" s="27"/>
      <x:c r="N127" s="27"/>
      <x:c r="O127" s="27"/>
      <x:c r="P127" s="27"/>
      <x:c r="Q127" s="27"/>
      <x:c r="R127" s="27"/>
      <x:c r="S127" s="27"/>
      <x:c r="T127" s="27"/>
      <x:c r="U127" s="27"/>
      <x:c r="V127" s="27"/>
      <x:c r="W127" s="27"/>
      <x:c r="X127" s="27"/>
      <x:c r="Y127" s="27"/>
      <x:c r="Z127" s="27"/>
      <x:c r="AA127" s="27"/>
      <x:c r="AB127" s="27"/>
      <x:c r="AC127" s="27"/>
      <x:c r="AD127" s="27"/>
      <x:c r="AE127" s="27"/>
      <x:c r="AF127" s="27"/>
      <x:c r="AG127" s="27"/>
      <x:c r="AH127" s="27"/>
      <x:c r="AI127" s="27"/>
      <x:c r="AJ127" s="27"/>
      <x:c r="AK127" s="27"/>
      <x:c r="AL127" s="27"/>
      <x:c r="AM127" s="27"/>
      <x:c r="AN127" s="27"/>
      <x:c r="AO127" s="27"/>
      <x:c r="AP127" s="27"/>
      <x:c r="AQ127" s="27"/>
      <x:c r="AR127" s="27"/>
      <x:c r="AS127" s="27"/>
      <x:c r="AT127" s="27"/>
      <x:c r="AU127" s="27"/>
      <x:c r="AV127" s="27"/>
      <x:c r="AW127" s="27"/>
      <x:c r="AX127" s="27"/>
      <x:c r="AY127" s="27"/>
      <x:c r="AZ127" s="27"/>
    </x:row>
    <x:row r="128">
      <x:c r="A128" s="27"/>
      <x:c r="B128" s="27"/>
      <x:c r="C128" s="27"/>
      <x:c r="D128" s="27"/>
      <x:c r="E128" s="27"/>
      <x:c r="F128" s="27"/>
      <x:c r="G128" s="27"/>
      <x:c r="H128" s="27"/>
      <x:c r="I128" s="27"/>
      <x:c r="J128" s="27"/>
      <x:c r="K128" s="27"/>
      <x:c r="L128" s="27"/>
      <x:c r="M128" s="27"/>
      <x:c r="N128" s="27"/>
      <x:c r="O128" s="27"/>
      <x:c r="P128" s="27"/>
      <x:c r="Q128" s="27"/>
      <x:c r="R128" s="27"/>
      <x:c r="S128" s="27"/>
      <x:c r="T128" s="27"/>
      <x:c r="U128" s="27"/>
      <x:c r="V128" s="27"/>
      <x:c r="W128" s="27"/>
      <x:c r="X128" s="27"/>
      <x:c r="Y128" s="27"/>
      <x:c r="Z128" s="27"/>
      <x:c r="AA128" s="27"/>
      <x:c r="AB128" s="27"/>
      <x:c r="AC128" s="27"/>
      <x:c r="AD128" s="27"/>
      <x:c r="AE128" s="27"/>
      <x:c r="AF128" s="27"/>
      <x:c r="AG128" s="27"/>
      <x:c r="AH128" s="27"/>
      <x:c r="AI128" s="27"/>
      <x:c r="AJ128" s="27"/>
      <x:c r="AK128" s="27"/>
      <x:c r="AL128" s="27"/>
      <x:c r="AM128" s="27"/>
      <x:c r="AN128" s="27"/>
      <x:c r="AO128" s="27"/>
      <x:c r="AP128" s="27"/>
      <x:c r="AQ128" s="27"/>
      <x:c r="AR128" s="27"/>
      <x:c r="AS128" s="27"/>
      <x:c r="AT128" s="27"/>
      <x:c r="AU128" s="27"/>
      <x:c r="AV128" s="27"/>
      <x:c r="AW128" s="27"/>
      <x:c r="AX128" s="27"/>
      <x:c r="AY128" s="27"/>
      <x:c r="AZ128" s="27"/>
    </x:row>
    <x:row r="129">
      <x:c r="A129" s="27"/>
      <x:c r="B129" s="27"/>
      <x:c r="C129" s="27"/>
      <x:c r="D129" s="27"/>
      <x:c r="E129" s="27"/>
      <x:c r="F129" s="27"/>
      <x:c r="G129" s="27"/>
      <x:c r="H129" s="27"/>
      <x:c r="I129" s="27"/>
      <x:c r="J129" s="27"/>
      <x:c r="K129" s="27"/>
      <x:c r="L129" s="27"/>
      <x:c r="M129" s="27"/>
      <x:c r="N129" s="27"/>
      <x:c r="O129" s="27"/>
      <x:c r="P129" s="27"/>
      <x:c r="Q129" s="27"/>
      <x:c r="R129" s="27"/>
      <x:c r="S129" s="27"/>
      <x:c r="T129" s="27"/>
      <x:c r="U129" s="27"/>
      <x:c r="V129" s="27"/>
      <x:c r="W129" s="27"/>
      <x:c r="X129" s="27"/>
      <x:c r="Y129" s="27"/>
      <x:c r="Z129" s="27"/>
      <x:c r="AA129" s="27"/>
      <x:c r="AB129" s="27"/>
      <x:c r="AC129" s="27"/>
      <x:c r="AD129" s="27"/>
      <x:c r="AE129" s="27"/>
      <x:c r="AF129" s="27"/>
      <x:c r="AG129" s="27"/>
      <x:c r="AH129" s="27"/>
      <x:c r="AI129" s="27"/>
      <x:c r="AJ129" s="27"/>
      <x:c r="AK129" s="27"/>
      <x:c r="AL129" s="27"/>
      <x:c r="AM129" s="27"/>
      <x:c r="AN129" s="27"/>
      <x:c r="AO129" s="27"/>
      <x:c r="AP129" s="27"/>
      <x:c r="AQ129" s="27"/>
      <x:c r="AR129" s="27"/>
      <x:c r="AS129" s="27"/>
      <x:c r="AT129" s="27"/>
      <x:c r="AU129" s="27"/>
      <x:c r="AV129" s="27"/>
      <x:c r="AW129" s="27"/>
      <x:c r="AX129" s="27"/>
      <x:c r="AY129" s="27"/>
      <x:c r="AZ129" s="27"/>
    </x:row>
    <x:row r="130">
      <x:c r="A130" s="27"/>
      <x:c r="B130" s="27"/>
      <x:c r="C130" s="27"/>
      <x:c r="D130" s="27"/>
      <x:c r="E130" s="27"/>
      <x:c r="F130" s="27"/>
      <x:c r="G130" s="27"/>
      <x:c r="H130" s="27"/>
      <x:c r="I130" s="27"/>
      <x:c r="J130" s="27"/>
      <x:c r="K130" s="27"/>
      <x:c r="L130" s="27"/>
      <x:c r="M130" s="27"/>
      <x:c r="N130" s="27"/>
      <x:c r="O130" s="27"/>
      <x:c r="P130" s="27"/>
      <x:c r="Q130" s="27"/>
      <x:c r="R130" s="27"/>
      <x:c r="S130" s="27"/>
      <x:c r="T130" s="27"/>
      <x:c r="U130" s="27"/>
      <x:c r="V130" s="27"/>
      <x:c r="W130" s="27"/>
      <x:c r="X130" s="27"/>
      <x:c r="Y130" s="27"/>
      <x:c r="Z130" s="27"/>
      <x:c r="AA130" s="27"/>
      <x:c r="AB130" s="27"/>
      <x:c r="AC130" s="27"/>
      <x:c r="AD130" s="27"/>
      <x:c r="AE130" s="27"/>
      <x:c r="AF130" s="27"/>
      <x:c r="AG130" s="27"/>
      <x:c r="AH130" s="27"/>
      <x:c r="AI130" s="27"/>
      <x:c r="AJ130" s="27"/>
      <x:c r="AK130" s="27"/>
      <x:c r="AL130" s="27"/>
      <x:c r="AM130" s="27"/>
      <x:c r="AN130" s="27"/>
      <x:c r="AO130" s="27"/>
      <x:c r="AP130" s="27"/>
      <x:c r="AQ130" s="27"/>
      <x:c r="AR130" s="27"/>
      <x:c r="AS130" s="27"/>
      <x:c r="AT130" s="27"/>
      <x:c r="AU130" s="27"/>
      <x:c r="AV130" s="27"/>
      <x:c r="AW130" s="27"/>
      <x:c r="AX130" s="27"/>
      <x:c r="AY130" s="27"/>
      <x:c r="AZ130" s="27"/>
    </x:row>
    <x:row r="131">
      <x:c r="A131" s="27"/>
      <x:c r="B131" s="27"/>
      <x:c r="C131" s="27"/>
      <x:c r="D131" s="27"/>
      <x:c r="E131" s="27"/>
      <x:c r="F131" s="27"/>
      <x:c r="G131" s="27"/>
      <x:c r="H131" s="27"/>
      <x:c r="I131" s="27"/>
      <x:c r="J131" s="27"/>
      <x:c r="K131" s="27"/>
      <x:c r="L131" s="27"/>
      <x:c r="M131" s="27"/>
      <x:c r="N131" s="27"/>
      <x:c r="O131" s="27"/>
      <x:c r="P131" s="27"/>
      <x:c r="Q131" s="27"/>
      <x:c r="R131" s="27"/>
      <x:c r="S131" s="27"/>
      <x:c r="T131" s="27"/>
      <x:c r="U131" s="27"/>
      <x:c r="V131" s="27"/>
      <x:c r="W131" s="27"/>
      <x:c r="X131" s="27"/>
      <x:c r="Y131" s="27"/>
      <x:c r="Z131" s="27"/>
      <x:c r="AA131" s="27"/>
      <x:c r="AB131" s="27"/>
      <x:c r="AC131" s="27"/>
      <x:c r="AD131" s="27"/>
      <x:c r="AE131" s="27"/>
      <x:c r="AF131" s="27"/>
      <x:c r="AG131" s="27"/>
      <x:c r="AH131" s="27"/>
      <x:c r="AI131" s="27"/>
      <x:c r="AJ131" s="27"/>
      <x:c r="AK131" s="27"/>
      <x:c r="AL131" s="27"/>
      <x:c r="AM131" s="27"/>
      <x:c r="AN131" s="27"/>
      <x:c r="AO131" s="27"/>
      <x:c r="AP131" s="27"/>
      <x:c r="AQ131" s="27"/>
      <x:c r="AR131" s="27"/>
      <x:c r="AS131" s="27"/>
      <x:c r="AT131" s="27"/>
      <x:c r="AU131" s="27"/>
      <x:c r="AV131" s="27"/>
      <x:c r="AW131" s="27"/>
      <x:c r="AX131" s="27"/>
      <x:c r="AY131" s="27"/>
      <x:c r="AZ131" s="27"/>
    </x:row>
    <x:row r="132">
      <x:c r="A132" s="27"/>
      <x:c r="B132" s="27"/>
      <x:c r="C132" s="27"/>
      <x:c r="D132" s="27"/>
      <x:c r="E132" s="27"/>
      <x:c r="F132" s="27"/>
      <x:c r="G132" s="27"/>
      <x:c r="H132" s="27"/>
      <x:c r="I132" s="27"/>
      <x:c r="J132" s="27"/>
      <x:c r="K132" s="27"/>
      <x:c r="L132" s="27"/>
      <x:c r="M132" s="27"/>
      <x:c r="N132" s="27"/>
      <x:c r="O132" s="27"/>
      <x:c r="P132" s="27"/>
      <x:c r="Q132" s="27"/>
      <x:c r="R132" s="27"/>
      <x:c r="S132" s="27"/>
      <x:c r="T132" s="27"/>
      <x:c r="U132" s="27"/>
      <x:c r="V132" s="27"/>
      <x:c r="W132" s="27"/>
      <x:c r="X132" s="27"/>
      <x:c r="Y132" s="27"/>
      <x:c r="Z132" s="27"/>
      <x:c r="AA132" s="27"/>
      <x:c r="AB132" s="27"/>
      <x:c r="AC132" s="27"/>
      <x:c r="AD132" s="27"/>
      <x:c r="AE132" s="27"/>
      <x:c r="AF132" s="27"/>
      <x:c r="AG132" s="27"/>
      <x:c r="AH132" s="27"/>
      <x:c r="AI132" s="27"/>
      <x:c r="AJ132" s="27"/>
      <x:c r="AK132" s="27"/>
      <x:c r="AL132" s="27"/>
      <x:c r="AM132" s="27"/>
      <x:c r="AN132" s="27"/>
      <x:c r="AO132" s="27"/>
      <x:c r="AP132" s="27"/>
      <x:c r="AQ132" s="27"/>
      <x:c r="AR132" s="27"/>
      <x:c r="AS132" s="27"/>
      <x:c r="AT132" s="27"/>
      <x:c r="AU132" s="27"/>
      <x:c r="AV132" s="27"/>
      <x:c r="AW132" s="27"/>
      <x:c r="AX132" s="27"/>
      <x:c r="AY132" s="27"/>
      <x:c r="AZ132" s="27"/>
    </x:row>
    <x:row r="133">
      <x:c r="A133" s="27"/>
      <x:c r="B133" s="27"/>
      <x:c r="C133" s="27"/>
      <x:c r="D133" s="27"/>
      <x:c r="E133" s="27"/>
      <x:c r="F133" s="27"/>
      <x:c r="G133" s="27"/>
      <x:c r="H133" s="27"/>
      <x:c r="I133" s="27"/>
      <x:c r="J133" s="27"/>
      <x:c r="K133" s="27"/>
      <x:c r="L133" s="27"/>
      <x:c r="M133" s="27"/>
      <x:c r="N133" s="27"/>
      <x:c r="O133" s="27"/>
      <x:c r="P133" s="27"/>
      <x:c r="Q133" s="27"/>
      <x:c r="R133" s="27"/>
      <x:c r="S133" s="27"/>
      <x:c r="T133" s="27"/>
      <x:c r="U133" s="27"/>
      <x:c r="V133" s="27"/>
      <x:c r="W133" s="27"/>
      <x:c r="X133" s="27"/>
      <x:c r="Y133" s="27"/>
      <x:c r="Z133" s="27"/>
      <x:c r="AA133" s="27"/>
      <x:c r="AB133" s="27"/>
      <x:c r="AC133" s="27"/>
      <x:c r="AD133" s="27"/>
      <x:c r="AE133" s="27"/>
      <x:c r="AF133" s="27"/>
      <x:c r="AG133" s="27"/>
      <x:c r="AH133" s="27"/>
      <x:c r="AI133" s="27"/>
      <x:c r="AJ133" s="27"/>
      <x:c r="AK133" s="27"/>
      <x:c r="AL133" s="27"/>
      <x:c r="AM133" s="27"/>
      <x:c r="AN133" s="27"/>
      <x:c r="AO133" s="27"/>
      <x:c r="AP133" s="27"/>
      <x:c r="AQ133" s="27"/>
      <x:c r="AR133" s="27"/>
      <x:c r="AS133" s="27"/>
      <x:c r="AT133" s="27"/>
      <x:c r="AU133" s="27"/>
      <x:c r="AV133" s="27"/>
      <x:c r="AW133" s="27"/>
      <x:c r="AX133" s="27"/>
      <x:c r="AY133" s="27"/>
      <x:c r="AZ133" s="27"/>
    </x:row>
    <x:row r="134">
      <x:c r="A134" s="27"/>
      <x:c r="B134" s="27"/>
      <x:c r="C134" s="27"/>
      <x:c r="D134" s="27"/>
      <x:c r="E134" s="27"/>
      <x:c r="F134" s="27"/>
      <x:c r="G134" s="27"/>
      <x:c r="H134" s="27"/>
      <x:c r="I134" s="27"/>
      <x:c r="J134" s="27"/>
      <x:c r="K134" s="27"/>
      <x:c r="L134" s="27"/>
      <x:c r="M134" s="27"/>
      <x:c r="N134" s="27"/>
      <x:c r="O134" s="27"/>
      <x:c r="P134" s="27"/>
      <x:c r="Q134" s="27"/>
      <x:c r="R134" s="27"/>
      <x:c r="S134" s="27"/>
      <x:c r="T134" s="27"/>
      <x:c r="U134" s="27"/>
      <x:c r="V134" s="27"/>
      <x:c r="W134" s="27"/>
      <x:c r="X134" s="27"/>
      <x:c r="Y134" s="27"/>
      <x:c r="Z134" s="27"/>
      <x:c r="AA134" s="27"/>
      <x:c r="AB134" s="27"/>
      <x:c r="AC134" s="27"/>
      <x:c r="AD134" s="27"/>
      <x:c r="AE134" s="27"/>
      <x:c r="AF134" s="27"/>
      <x:c r="AG134" s="27"/>
      <x:c r="AH134" s="27"/>
      <x:c r="AI134" s="27"/>
      <x:c r="AJ134" s="27"/>
      <x:c r="AK134" s="27"/>
      <x:c r="AL134" s="27"/>
      <x:c r="AM134" s="27"/>
      <x:c r="AN134" s="27"/>
      <x:c r="AO134" s="27"/>
      <x:c r="AP134" s="27"/>
      <x:c r="AQ134" s="27"/>
      <x:c r="AR134" s="27"/>
      <x:c r="AS134" s="27"/>
      <x:c r="AT134" s="27"/>
      <x:c r="AU134" s="27"/>
      <x:c r="AV134" s="27"/>
      <x:c r="AW134" s="27"/>
      <x:c r="AX134" s="27"/>
      <x:c r="AY134" s="27"/>
      <x:c r="AZ134" s="27"/>
    </x:row>
    <x:row r="135">
      <x:c r="A135" s="27"/>
      <x:c r="B135" s="27"/>
      <x:c r="C135" s="27"/>
      <x:c r="D135" s="27"/>
      <x:c r="E135" s="27"/>
      <x:c r="F135" s="27"/>
      <x:c r="G135" s="27"/>
      <x:c r="H135" s="27"/>
      <x:c r="I135" s="27"/>
      <x:c r="J135" s="27"/>
      <x:c r="K135" s="27"/>
      <x:c r="L135" s="27"/>
      <x:c r="M135" s="27"/>
      <x:c r="N135" s="27"/>
      <x:c r="O135" s="27"/>
      <x:c r="P135" s="27"/>
      <x:c r="Q135" s="27"/>
      <x:c r="R135" s="27"/>
      <x:c r="S135" s="27"/>
      <x:c r="T135" s="27"/>
      <x:c r="U135" s="27"/>
      <x:c r="V135" s="27"/>
      <x:c r="W135" s="27"/>
      <x:c r="X135" s="27"/>
      <x:c r="Y135" s="27"/>
      <x:c r="Z135" s="27"/>
      <x:c r="AA135" s="27"/>
      <x:c r="AB135" s="27"/>
      <x:c r="AC135" s="27"/>
      <x:c r="AD135" s="27"/>
      <x:c r="AE135" s="27"/>
      <x:c r="AF135" s="27"/>
      <x:c r="AG135" s="27"/>
      <x:c r="AH135" s="27"/>
      <x:c r="AI135" s="27"/>
      <x:c r="AJ135" s="27"/>
      <x:c r="AK135" s="27"/>
      <x:c r="AL135" s="27"/>
      <x:c r="AM135" s="27"/>
      <x:c r="AN135" s="27"/>
      <x:c r="AO135" s="27"/>
      <x:c r="AP135" s="27"/>
      <x:c r="AQ135" s="27"/>
      <x:c r="AR135" s="27"/>
      <x:c r="AS135" s="27"/>
      <x:c r="AT135" s="27"/>
      <x:c r="AU135" s="27"/>
      <x:c r="AV135" s="27"/>
      <x:c r="AW135" s="27"/>
      <x:c r="AX135" s="27"/>
      <x:c r="AY135" s="27"/>
      <x:c r="AZ135" s="27"/>
    </x:row>
    <x:row r="136">
      <x:c r="A136" s="27"/>
      <x:c r="B136" s="27"/>
      <x:c r="C136" s="27"/>
      <x:c r="D136" s="27"/>
      <x:c r="E136" s="27"/>
      <x:c r="F136" s="27"/>
      <x:c r="G136" s="27"/>
      <x:c r="H136" s="27"/>
      <x:c r="I136" s="27"/>
      <x:c r="J136" s="27"/>
      <x:c r="K136" s="27"/>
      <x:c r="L136" s="27"/>
      <x:c r="M136" s="27"/>
      <x:c r="N136" s="27"/>
      <x:c r="O136" s="27"/>
      <x:c r="P136" s="27"/>
      <x:c r="Q136" s="27"/>
      <x:c r="R136" s="27"/>
      <x:c r="S136" s="27"/>
      <x:c r="T136" s="27"/>
      <x:c r="U136" s="27"/>
      <x:c r="V136" s="27"/>
      <x:c r="W136" s="27"/>
      <x:c r="X136" s="27"/>
      <x:c r="Y136" s="27"/>
      <x:c r="Z136" s="27"/>
      <x:c r="AA136" s="27"/>
      <x:c r="AB136" s="27"/>
      <x:c r="AC136" s="27"/>
      <x:c r="AD136" s="27"/>
      <x:c r="AE136" s="27"/>
      <x:c r="AF136" s="27"/>
      <x:c r="AG136" s="27"/>
      <x:c r="AH136" s="27"/>
      <x:c r="AI136" s="27"/>
      <x:c r="AJ136" s="27"/>
      <x:c r="AK136" s="27"/>
      <x:c r="AL136" s="27"/>
      <x:c r="AM136" s="27"/>
      <x:c r="AN136" s="27"/>
      <x:c r="AO136" s="27"/>
      <x:c r="AP136" s="27"/>
      <x:c r="AQ136" s="27"/>
      <x:c r="AR136" s="27"/>
      <x:c r="AS136" s="27"/>
      <x:c r="AT136" s="27"/>
      <x:c r="AU136" s="27"/>
      <x:c r="AV136" s="27"/>
      <x:c r="AW136" s="27"/>
      <x:c r="AX136" s="27"/>
      <x:c r="AY136" s="27"/>
      <x:c r="AZ136" s="27"/>
    </x:row>
    <x:row r="137">
      <x:c r="A137" s="27"/>
      <x:c r="B137" s="27"/>
      <x:c r="C137" s="27"/>
      <x:c r="D137" s="27"/>
      <x:c r="E137" s="27"/>
      <x:c r="F137" s="27"/>
      <x:c r="G137" s="27"/>
      <x:c r="H137" s="27"/>
      <x:c r="I137" s="27"/>
      <x:c r="J137" s="27"/>
      <x:c r="K137" s="27"/>
      <x:c r="L137" s="27"/>
      <x:c r="M137" s="27"/>
      <x:c r="N137" s="27"/>
      <x:c r="O137" s="27"/>
      <x:c r="P137" s="27"/>
      <x:c r="Q137" s="27"/>
      <x:c r="R137" s="27"/>
      <x:c r="S137" s="27"/>
      <x:c r="T137" s="27"/>
      <x:c r="U137" s="27"/>
      <x:c r="V137" s="27"/>
      <x:c r="W137" s="27"/>
      <x:c r="X137" s="27"/>
      <x:c r="Y137" s="27"/>
      <x:c r="Z137" s="27"/>
      <x:c r="AA137" s="27"/>
      <x:c r="AB137" s="27"/>
      <x:c r="AC137" s="27"/>
      <x:c r="AD137" s="27"/>
      <x:c r="AE137" s="27"/>
      <x:c r="AF137" s="27"/>
      <x:c r="AG137" s="27"/>
      <x:c r="AH137" s="27"/>
      <x:c r="AI137" s="27"/>
      <x:c r="AJ137" s="27"/>
      <x:c r="AK137" s="27"/>
      <x:c r="AL137" s="27"/>
      <x:c r="AM137" s="27"/>
      <x:c r="AN137" s="27"/>
      <x:c r="AO137" s="27"/>
      <x:c r="AP137" s="27"/>
      <x:c r="AQ137" s="27"/>
      <x:c r="AR137" s="27"/>
      <x:c r="AS137" s="27"/>
      <x:c r="AT137" s="27"/>
      <x:c r="AU137" s="27"/>
      <x:c r="AV137" s="27"/>
      <x:c r="AW137" s="27"/>
      <x:c r="AX137" s="27"/>
      <x:c r="AY137" s="27"/>
      <x:c r="AZ137" s="27"/>
    </x:row>
    <x:row r="138">
      <x:c r="A138" s="27"/>
      <x:c r="B138" s="27"/>
      <x:c r="C138" s="27"/>
      <x:c r="D138" s="27"/>
      <x:c r="E138" s="27"/>
      <x:c r="F138" s="27"/>
      <x:c r="G138" s="27"/>
      <x:c r="H138" s="27"/>
      <x:c r="I138" s="27"/>
      <x:c r="J138" s="27"/>
      <x:c r="K138" s="27"/>
      <x:c r="L138" s="27"/>
      <x:c r="M138" s="27"/>
      <x:c r="N138" s="27"/>
      <x:c r="O138" s="27"/>
      <x:c r="P138" s="27"/>
      <x:c r="Q138" s="27"/>
      <x:c r="R138" s="27"/>
      <x:c r="S138" s="27"/>
      <x:c r="T138" s="27"/>
      <x:c r="U138" s="27"/>
      <x:c r="V138" s="27"/>
      <x:c r="W138" s="27"/>
      <x:c r="X138" s="27"/>
      <x:c r="Y138" s="27"/>
      <x:c r="Z138" s="27"/>
      <x:c r="AA138" s="27"/>
      <x:c r="AB138" s="27"/>
      <x:c r="AC138" s="27"/>
      <x:c r="AD138" s="27"/>
      <x:c r="AE138" s="27"/>
      <x:c r="AF138" s="27"/>
      <x:c r="AG138" s="27"/>
      <x:c r="AH138" s="27"/>
      <x:c r="AI138" s="27"/>
      <x:c r="AJ138" s="27"/>
      <x:c r="AK138" s="27"/>
      <x:c r="AL138" s="27"/>
      <x:c r="AM138" s="27"/>
      <x:c r="AN138" s="27"/>
      <x:c r="AO138" s="27"/>
      <x:c r="AP138" s="27"/>
      <x:c r="AQ138" s="27"/>
      <x:c r="AR138" s="27"/>
      <x:c r="AS138" s="27"/>
      <x:c r="AT138" s="27"/>
      <x:c r="AU138" s="27"/>
      <x:c r="AV138" s="27"/>
      <x:c r="AW138" s="27"/>
      <x:c r="AX138" s="27"/>
      <x:c r="AY138" s="27"/>
      <x:c r="AZ138" s="27"/>
    </x:row>
    <x:row r="139">
      <x:c r="A139" s="27"/>
      <x:c r="B139" s="27"/>
      <x:c r="C139" s="27"/>
      <x:c r="D139" s="27"/>
      <x:c r="E139" s="27"/>
      <x:c r="F139" s="27"/>
      <x:c r="G139" s="27"/>
      <x:c r="H139" s="27"/>
      <x:c r="I139" s="27"/>
      <x:c r="J139" s="27"/>
      <x:c r="K139" s="27"/>
      <x:c r="L139" s="27"/>
      <x:c r="M139" s="27"/>
      <x:c r="N139" s="27"/>
      <x:c r="O139" s="27"/>
      <x:c r="P139" s="27"/>
      <x:c r="Q139" s="27"/>
      <x:c r="R139" s="27"/>
      <x:c r="S139" s="27"/>
      <x:c r="T139" s="27"/>
      <x:c r="U139" s="27"/>
      <x:c r="V139" s="27"/>
      <x:c r="W139" s="27"/>
      <x:c r="X139" s="27"/>
      <x:c r="Y139" s="27"/>
      <x:c r="Z139" s="27"/>
      <x:c r="AA139" s="27"/>
      <x:c r="AB139" s="27"/>
      <x:c r="AC139" s="27"/>
      <x:c r="AD139" s="27"/>
      <x:c r="AE139" s="27"/>
      <x:c r="AF139" s="27"/>
      <x:c r="AG139" s="27"/>
      <x:c r="AH139" s="27"/>
      <x:c r="AI139" s="27"/>
      <x:c r="AJ139" s="27"/>
      <x:c r="AK139" s="27"/>
      <x:c r="AL139" s="27"/>
      <x:c r="AM139" s="27"/>
      <x:c r="AN139" s="27"/>
      <x:c r="AO139" s="27"/>
      <x:c r="AP139" s="27"/>
      <x:c r="AQ139" s="27"/>
      <x:c r="AR139" s="27"/>
      <x:c r="AS139" s="27"/>
      <x:c r="AT139" s="27"/>
      <x:c r="AU139" s="27"/>
      <x:c r="AV139" s="27"/>
      <x:c r="AW139" s="27"/>
      <x:c r="AX139" s="27"/>
      <x:c r="AY139" s="27"/>
      <x:c r="AZ139" s="27"/>
    </x:row>
    <x:row r="140">
      <x:c r="A140" s="27"/>
      <x:c r="B140" s="27"/>
      <x:c r="C140" s="27"/>
      <x:c r="D140" s="27"/>
      <x:c r="E140" s="27"/>
      <x:c r="F140" s="27"/>
      <x:c r="G140" s="27"/>
      <x:c r="H140" s="27"/>
      <x:c r="I140" s="27"/>
      <x:c r="J140" s="27"/>
      <x:c r="K140" s="27"/>
      <x:c r="L140" s="27"/>
      <x:c r="M140" s="27"/>
      <x:c r="N140" s="27"/>
      <x:c r="O140" s="27"/>
      <x:c r="P140" s="27"/>
      <x:c r="Q140" s="27"/>
      <x:c r="R140" s="27"/>
      <x:c r="S140" s="27"/>
      <x:c r="T140" s="27"/>
      <x:c r="U140" s="27"/>
      <x:c r="V140" s="27"/>
      <x:c r="W140" s="27"/>
      <x:c r="X140" s="27"/>
      <x:c r="Y140" s="27"/>
      <x:c r="Z140" s="27"/>
      <x:c r="AA140" s="27"/>
      <x:c r="AB140" s="27"/>
      <x:c r="AC140" s="27"/>
      <x:c r="AD140" s="27"/>
      <x:c r="AE140" s="27"/>
      <x:c r="AF140" s="27"/>
      <x:c r="AG140" s="27"/>
      <x:c r="AH140" s="27"/>
      <x:c r="AI140" s="27"/>
      <x:c r="AJ140" s="27"/>
      <x:c r="AK140" s="27"/>
      <x:c r="AL140" s="27"/>
      <x:c r="AM140" s="27"/>
      <x:c r="AN140" s="27"/>
      <x:c r="AO140" s="27"/>
      <x:c r="AP140" s="27"/>
      <x:c r="AQ140" s="27"/>
      <x:c r="AR140" s="27"/>
      <x:c r="AS140" s="27"/>
      <x:c r="AT140" s="27"/>
      <x:c r="AU140" s="27"/>
      <x:c r="AV140" s="27"/>
      <x:c r="AW140" s="27"/>
      <x:c r="AX140" s="27"/>
      <x:c r="AY140" s="27"/>
      <x:c r="AZ140" s="27"/>
    </x:row>
    <x:row r="141">
      <x:c r="A141" s="27"/>
      <x:c r="B141" s="27"/>
      <x:c r="C141" s="27"/>
      <x:c r="D141" s="27"/>
      <x:c r="E141" s="27"/>
      <x:c r="F141" s="27"/>
      <x:c r="G141" s="27"/>
      <x:c r="H141" s="27"/>
      <x:c r="I141" s="27"/>
      <x:c r="J141" s="27"/>
      <x:c r="K141" s="27"/>
      <x:c r="L141" s="27"/>
      <x:c r="M141" s="27"/>
      <x:c r="N141" s="27"/>
      <x:c r="O141" s="27"/>
      <x:c r="P141" s="27"/>
      <x:c r="Q141" s="27"/>
      <x:c r="R141" s="27"/>
      <x:c r="S141" s="27"/>
      <x:c r="T141" s="27"/>
      <x:c r="U141" s="27"/>
      <x:c r="V141" s="27"/>
      <x:c r="W141" s="27"/>
      <x:c r="X141" s="27"/>
      <x:c r="Y141" s="27"/>
      <x:c r="Z141" s="27"/>
      <x:c r="AA141" s="27"/>
      <x:c r="AB141" s="27"/>
      <x:c r="AC141" s="27"/>
      <x:c r="AD141" s="27"/>
      <x:c r="AE141" s="27"/>
      <x:c r="AF141" s="27"/>
      <x:c r="AG141" s="27"/>
      <x:c r="AH141" s="27"/>
      <x:c r="AI141" s="27"/>
      <x:c r="AJ141" s="27"/>
      <x:c r="AK141" s="27"/>
      <x:c r="AL141" s="27"/>
      <x:c r="AM141" s="27"/>
      <x:c r="AN141" s="27"/>
      <x:c r="AO141" s="27"/>
      <x:c r="AP141" s="27"/>
      <x:c r="AQ141" s="27"/>
      <x:c r="AR141" s="27"/>
      <x:c r="AS141" s="27"/>
      <x:c r="AT141" s="27"/>
      <x:c r="AU141" s="27"/>
      <x:c r="AV141" s="27"/>
      <x:c r="AW141" s="27"/>
      <x:c r="AX141" s="27"/>
      <x:c r="AY141" s="27"/>
      <x:c r="AZ141" s="27"/>
    </x:row>
    <x:row r="142">
      <x:c r="A142" s="27"/>
      <x:c r="B142" s="27"/>
      <x:c r="C142" s="27"/>
      <x:c r="D142" s="27"/>
      <x:c r="E142" s="27"/>
      <x:c r="F142" s="27"/>
      <x:c r="G142" s="27"/>
      <x:c r="H142" s="27"/>
      <x:c r="I142" s="27"/>
      <x:c r="J142" s="27"/>
      <x:c r="K142" s="27"/>
      <x:c r="L142" s="27"/>
      <x:c r="M142" s="27"/>
      <x:c r="N142" s="27"/>
      <x:c r="O142" s="27"/>
      <x:c r="P142" s="27"/>
      <x:c r="Q142" s="27"/>
      <x:c r="R142" s="27"/>
      <x:c r="S142" s="27"/>
      <x:c r="T142" s="27"/>
      <x:c r="U142" s="27"/>
      <x:c r="V142" s="27"/>
      <x:c r="W142" s="27"/>
      <x:c r="X142" s="27"/>
      <x:c r="Y142" s="27"/>
      <x:c r="Z142" s="27"/>
      <x:c r="AA142" s="27"/>
      <x:c r="AB142" s="27"/>
      <x:c r="AC142" s="27"/>
      <x:c r="AD142" s="27"/>
      <x:c r="AE142" s="27"/>
      <x:c r="AF142" s="27"/>
      <x:c r="AG142" s="27"/>
      <x:c r="AH142" s="27"/>
      <x:c r="AI142" s="27"/>
      <x:c r="AJ142" s="27"/>
      <x:c r="AK142" s="27"/>
      <x:c r="AL142" s="27"/>
      <x:c r="AM142" s="27"/>
      <x:c r="AN142" s="27"/>
      <x:c r="AO142" s="27"/>
      <x:c r="AP142" s="27"/>
      <x:c r="AQ142" s="27"/>
      <x:c r="AR142" s="27"/>
      <x:c r="AS142" s="27"/>
      <x:c r="AT142" s="27"/>
      <x:c r="AU142" s="27"/>
      <x:c r="AV142" s="27"/>
      <x:c r="AW142" s="27"/>
      <x:c r="AX142" s="27"/>
      <x:c r="AY142" s="27"/>
      <x:c r="AZ142" s="27"/>
    </x:row>
    <x:row r="143">
      <x:c r="A143" s="27"/>
      <x:c r="B143" s="27"/>
      <x:c r="C143" s="27"/>
      <x:c r="D143" s="27"/>
      <x:c r="E143" s="27"/>
      <x:c r="F143" s="27"/>
      <x:c r="G143" s="27"/>
      <x:c r="H143" s="27"/>
      <x:c r="I143" s="27"/>
      <x:c r="J143" s="27"/>
      <x:c r="K143" s="27"/>
      <x:c r="L143" s="27"/>
      <x:c r="M143" s="27"/>
      <x:c r="N143" s="27"/>
      <x:c r="O143" s="27"/>
      <x:c r="P143" s="27"/>
      <x:c r="Q143" s="27"/>
      <x:c r="R143" s="27"/>
      <x:c r="S143" s="27"/>
      <x:c r="T143" s="27"/>
      <x:c r="U143" s="27"/>
      <x:c r="V143" s="27"/>
      <x:c r="W143" s="27"/>
      <x:c r="X143" s="27"/>
      <x:c r="Y143" s="27"/>
      <x:c r="Z143" s="27"/>
      <x:c r="AA143" s="27"/>
      <x:c r="AB143" s="27"/>
      <x:c r="AC143" s="27"/>
      <x:c r="AD143" s="27"/>
      <x:c r="AE143" s="27"/>
      <x:c r="AF143" s="27"/>
      <x:c r="AG143" s="27"/>
      <x:c r="AH143" s="27"/>
      <x:c r="AI143" s="27"/>
      <x:c r="AJ143" s="27"/>
      <x:c r="AK143" s="27"/>
      <x:c r="AL143" s="27"/>
      <x:c r="AM143" s="27"/>
      <x:c r="AN143" s="27"/>
      <x:c r="AO143" s="27"/>
      <x:c r="AP143" s="27"/>
      <x:c r="AQ143" s="27"/>
      <x:c r="AR143" s="27"/>
      <x:c r="AS143" s="27"/>
      <x:c r="AT143" s="27"/>
      <x:c r="AU143" s="27"/>
      <x:c r="AV143" s="27"/>
      <x:c r="AW143" s="27"/>
      <x:c r="AX143" s="27"/>
      <x:c r="AY143" s="27"/>
      <x:c r="AZ143" s="27"/>
    </x:row>
    <x:row r="144">
      <x:c r="A144" s="27"/>
      <x:c r="B144" s="27"/>
      <x:c r="C144" s="27"/>
      <x:c r="D144" s="27"/>
      <x:c r="E144" s="27"/>
      <x:c r="F144" s="27"/>
      <x:c r="G144" s="27"/>
      <x:c r="H144" s="27"/>
      <x:c r="I144" s="27"/>
      <x:c r="J144" s="27"/>
      <x:c r="K144" s="27"/>
      <x:c r="L144" s="27"/>
      <x:c r="M144" s="27"/>
      <x:c r="N144" s="27"/>
      <x:c r="O144" s="27"/>
      <x:c r="P144" s="27"/>
      <x:c r="Q144" s="27"/>
      <x:c r="R144" s="27"/>
      <x:c r="S144" s="27"/>
      <x:c r="T144" s="27"/>
      <x:c r="U144" s="27"/>
      <x:c r="V144" s="27"/>
      <x:c r="W144" s="27"/>
      <x:c r="X144" s="27"/>
      <x:c r="Y144" s="27"/>
      <x:c r="Z144" s="27"/>
      <x:c r="AA144" s="27"/>
      <x:c r="AB144" s="27"/>
      <x:c r="AC144" s="27"/>
      <x:c r="AD144" s="27"/>
      <x:c r="AE144" s="27"/>
      <x:c r="AF144" s="27"/>
      <x:c r="AG144" s="27"/>
      <x:c r="AH144" s="27"/>
      <x:c r="AI144" s="27"/>
      <x:c r="AJ144" s="27"/>
      <x:c r="AK144" s="27"/>
      <x:c r="AL144" s="27"/>
      <x:c r="AM144" s="27"/>
      <x:c r="AN144" s="27"/>
      <x:c r="AO144" s="27"/>
      <x:c r="AP144" s="27"/>
      <x:c r="AQ144" s="27"/>
      <x:c r="AR144" s="27"/>
      <x:c r="AS144" s="27"/>
      <x:c r="AT144" s="27"/>
      <x:c r="AU144" s="27"/>
      <x:c r="AV144" s="27"/>
      <x:c r="AW144" s="27"/>
      <x:c r="AX144" s="27"/>
      <x:c r="AY144" s="27"/>
      <x:c r="AZ144" s="27"/>
    </x:row>
    <x:row r="145">
      <x:c r="A145" s="27"/>
      <x:c r="B145" s="27"/>
      <x:c r="C145" s="27"/>
      <x:c r="D145" s="27"/>
      <x:c r="E145" s="27"/>
      <x:c r="F145" s="27"/>
      <x:c r="G145" s="27"/>
      <x:c r="H145" s="27"/>
      <x:c r="I145" s="27"/>
      <x:c r="J145" s="27"/>
      <x:c r="K145" s="27"/>
      <x:c r="L145" s="27"/>
      <x:c r="M145" s="27"/>
      <x:c r="N145" s="27"/>
      <x:c r="O145" s="27"/>
      <x:c r="P145" s="27"/>
      <x:c r="Q145" s="27"/>
      <x:c r="R145" s="27"/>
      <x:c r="S145" s="27"/>
      <x:c r="T145" s="27"/>
      <x:c r="U145" s="27"/>
      <x:c r="V145" s="27"/>
      <x:c r="W145" s="27"/>
      <x:c r="X145" s="27"/>
      <x:c r="Y145" s="27"/>
      <x:c r="Z145" s="27"/>
      <x:c r="AA145" s="27"/>
      <x:c r="AB145" s="27"/>
      <x:c r="AC145" s="27"/>
      <x:c r="AD145" s="27"/>
      <x:c r="AE145" s="27"/>
      <x:c r="AF145" s="27"/>
      <x:c r="AG145" s="27"/>
      <x:c r="AH145" s="27"/>
      <x:c r="AI145" s="27"/>
      <x:c r="AJ145" s="27"/>
      <x:c r="AK145" s="27"/>
      <x:c r="AL145" s="27"/>
      <x:c r="AM145" s="27"/>
      <x:c r="AN145" s="27"/>
      <x:c r="AO145" s="27"/>
      <x:c r="AP145" s="27"/>
      <x:c r="AQ145" s="27"/>
      <x:c r="AR145" s="27"/>
      <x:c r="AS145" s="27"/>
      <x:c r="AT145" s="27"/>
      <x:c r="AU145" s="27"/>
      <x:c r="AV145" s="27"/>
      <x:c r="AW145" s="27"/>
      <x:c r="AX145" s="27"/>
      <x:c r="AY145" s="27"/>
      <x:c r="AZ145" s="27"/>
    </x:row>
    <x:row r="146">
      <x:c r="A146" s="27"/>
      <x:c r="B146" s="27"/>
      <x:c r="C146" s="27"/>
      <x:c r="D146" s="27"/>
      <x:c r="E146" s="27"/>
      <x:c r="F146" s="27"/>
      <x:c r="G146" s="27"/>
      <x:c r="H146" s="27"/>
      <x:c r="I146" s="27"/>
      <x:c r="J146" s="27"/>
      <x:c r="K146" s="27"/>
      <x:c r="L146" s="27"/>
      <x:c r="M146" s="27"/>
      <x:c r="N146" s="27"/>
      <x:c r="O146" s="27"/>
      <x:c r="P146" s="27"/>
      <x:c r="Q146" s="27"/>
      <x:c r="R146" s="27"/>
      <x:c r="S146" s="27"/>
      <x:c r="T146" s="27"/>
      <x:c r="U146" s="27"/>
      <x:c r="V146" s="27"/>
      <x:c r="W146" s="27"/>
      <x:c r="X146" s="27"/>
      <x:c r="Y146" s="27"/>
      <x:c r="Z146" s="27"/>
      <x:c r="AA146" s="27"/>
      <x:c r="AB146" s="27"/>
      <x:c r="AC146" s="27"/>
      <x:c r="AD146" s="27"/>
      <x:c r="AE146" s="27"/>
      <x:c r="AF146" s="27"/>
      <x:c r="AG146" s="27"/>
      <x:c r="AH146" s="27"/>
      <x:c r="AI146" s="27"/>
      <x:c r="AJ146" s="27"/>
      <x:c r="AK146" s="27"/>
      <x:c r="AL146" s="27"/>
      <x:c r="AM146" s="27"/>
      <x:c r="AN146" s="27"/>
      <x:c r="AO146" s="27"/>
      <x:c r="AP146" s="27"/>
      <x:c r="AQ146" s="27"/>
      <x:c r="AR146" s="27"/>
      <x:c r="AS146" s="27"/>
      <x:c r="AT146" s="27"/>
      <x:c r="AU146" s="27"/>
      <x:c r="AV146" s="27"/>
      <x:c r="AW146" s="27"/>
      <x:c r="AX146" s="27"/>
      <x:c r="AY146" s="27"/>
      <x:c r="AZ146" s="27"/>
    </x:row>
    <x:row r="147">
      <x:c r="A147" s="27"/>
      <x:c r="B147" s="27"/>
      <x:c r="C147" s="27"/>
      <x:c r="D147" s="27"/>
      <x:c r="E147" s="27"/>
      <x:c r="F147" s="27"/>
      <x:c r="G147" s="27"/>
      <x:c r="H147" s="27"/>
      <x:c r="I147" s="27"/>
      <x:c r="J147" s="27"/>
      <x:c r="K147" s="27"/>
      <x:c r="L147" s="27"/>
      <x:c r="M147" s="27"/>
      <x:c r="N147" s="27"/>
      <x:c r="O147" s="27"/>
      <x:c r="P147" s="27"/>
      <x:c r="Q147" s="27"/>
      <x:c r="R147" s="27"/>
      <x:c r="S147" s="27"/>
      <x:c r="T147" s="27"/>
      <x:c r="U147" s="27"/>
      <x:c r="V147" s="27"/>
      <x:c r="W147" s="27"/>
      <x:c r="X147" s="27"/>
      <x:c r="Y147" s="27"/>
      <x:c r="Z147" s="27"/>
      <x:c r="AA147" s="27"/>
      <x:c r="AB147" s="27"/>
      <x:c r="AC147" s="27"/>
      <x:c r="AD147" s="27"/>
      <x:c r="AE147" s="27"/>
      <x:c r="AF147" s="27"/>
      <x:c r="AG147" s="27"/>
      <x:c r="AH147" s="27"/>
      <x:c r="AI147" s="27"/>
      <x:c r="AJ147" s="27"/>
      <x:c r="AK147" s="27"/>
      <x:c r="AL147" s="27"/>
      <x:c r="AM147" s="27"/>
      <x:c r="AN147" s="27"/>
      <x:c r="AO147" s="27"/>
      <x:c r="AP147" s="27"/>
      <x:c r="AQ147" s="27"/>
      <x:c r="AR147" s="27"/>
      <x:c r="AS147" s="27"/>
      <x:c r="AT147" s="27"/>
      <x:c r="AU147" s="27"/>
      <x:c r="AV147" s="27"/>
      <x:c r="AW147" s="27"/>
      <x:c r="AX147" s="27"/>
      <x:c r="AY147" s="27"/>
      <x:c r="AZ147" s="27"/>
    </x:row>
    <x:row r="148">
      <x:c r="A148" s="27"/>
      <x:c r="B148" s="27"/>
      <x:c r="C148" s="27"/>
      <x:c r="D148" s="27"/>
      <x:c r="E148" s="27"/>
      <x:c r="F148" s="27"/>
      <x:c r="G148" s="27"/>
      <x:c r="H148" s="27"/>
      <x:c r="I148" s="27"/>
      <x:c r="J148" s="27"/>
      <x:c r="K148" s="27"/>
      <x:c r="L148" s="27"/>
      <x:c r="M148" s="27"/>
      <x:c r="N148" s="27"/>
      <x:c r="O148" s="27"/>
      <x:c r="P148" s="27"/>
      <x:c r="Q148" s="27"/>
      <x:c r="R148" s="27"/>
      <x:c r="S148" s="27"/>
      <x:c r="T148" s="27"/>
      <x:c r="U148" s="27"/>
      <x:c r="V148" s="27"/>
      <x:c r="W148" s="27"/>
      <x:c r="X148" s="27"/>
      <x:c r="Y148" s="27"/>
      <x:c r="Z148" s="27"/>
      <x:c r="AA148" s="27"/>
      <x:c r="AB148" s="27"/>
      <x:c r="AC148" s="27"/>
      <x:c r="AD148" s="27"/>
      <x:c r="AE148" s="27"/>
      <x:c r="AF148" s="27"/>
      <x:c r="AG148" s="27"/>
      <x:c r="AH148" s="27"/>
      <x:c r="AI148" s="27"/>
      <x:c r="AJ148" s="27"/>
      <x:c r="AK148" s="27"/>
      <x:c r="AL148" s="27"/>
      <x:c r="AM148" s="27"/>
      <x:c r="AN148" s="27"/>
      <x:c r="AO148" s="27"/>
      <x:c r="AP148" s="27"/>
      <x:c r="AQ148" s="27"/>
      <x:c r="AR148" s="27"/>
      <x:c r="AS148" s="27"/>
      <x:c r="AT148" s="27"/>
      <x:c r="AU148" s="27"/>
      <x:c r="AV148" s="27"/>
      <x:c r="AW148" s="27"/>
      <x:c r="AX148" s="27"/>
      <x:c r="AY148" s="27"/>
      <x:c r="AZ148" s="27"/>
    </x:row>
    <x:row r="149">
      <x:c r="A149" s="27"/>
      <x:c r="B149" s="27"/>
      <x:c r="C149" s="27"/>
      <x:c r="D149" s="27"/>
      <x:c r="E149" s="27"/>
      <x:c r="F149" s="27"/>
      <x:c r="G149" s="27"/>
      <x:c r="H149" s="27"/>
      <x:c r="I149" s="27"/>
      <x:c r="J149" s="27"/>
      <x:c r="K149" s="27"/>
      <x:c r="L149" s="27"/>
      <x:c r="M149" s="27"/>
      <x:c r="N149" s="27"/>
      <x:c r="O149" s="27"/>
      <x:c r="P149" s="27"/>
      <x:c r="Q149" s="27"/>
      <x:c r="R149" s="27"/>
      <x:c r="S149" s="27"/>
      <x:c r="T149" s="27"/>
      <x:c r="U149" s="27"/>
      <x:c r="V149" s="27"/>
      <x:c r="W149" s="27"/>
      <x:c r="X149" s="27"/>
      <x:c r="Y149" s="27"/>
      <x:c r="Z149" s="27"/>
      <x:c r="AA149" s="27"/>
      <x:c r="AB149" s="27"/>
      <x:c r="AC149" s="27"/>
      <x:c r="AD149" s="27"/>
      <x:c r="AE149" s="27"/>
      <x:c r="AF149" s="27"/>
      <x:c r="AG149" s="27"/>
      <x:c r="AH149" s="27"/>
      <x:c r="AI149" s="27"/>
      <x:c r="AJ149" s="27"/>
      <x:c r="AK149" s="27"/>
      <x:c r="AL149" s="27"/>
      <x:c r="AM149" s="27"/>
      <x:c r="AN149" s="27"/>
      <x:c r="AO149" s="27"/>
      <x:c r="AP149" s="27"/>
      <x:c r="AQ149" s="27"/>
      <x:c r="AR149" s="27"/>
      <x:c r="AS149" s="27"/>
      <x:c r="AT149" s="27"/>
      <x:c r="AU149" s="27"/>
      <x:c r="AV149" s="27"/>
      <x:c r="AW149" s="27"/>
      <x:c r="AX149" s="27"/>
      <x:c r="AY149" s="27"/>
      <x:c r="AZ149" s="27"/>
    </x:row>
    <x:row r="150">
      <x:c r="A150" s="27"/>
      <x:c r="B150" s="27"/>
      <x:c r="C150" s="27"/>
      <x:c r="D150" s="27"/>
      <x:c r="E150" s="27"/>
      <x:c r="F150" s="27"/>
      <x:c r="G150" s="27"/>
      <x:c r="H150" s="27"/>
      <x:c r="I150" s="27"/>
      <x:c r="J150" s="27"/>
      <x:c r="K150" s="27"/>
      <x:c r="L150" s="27"/>
      <x:c r="M150" s="27"/>
      <x:c r="N150" s="27"/>
      <x:c r="O150" s="27"/>
      <x:c r="P150" s="27"/>
      <x:c r="Q150" s="27"/>
      <x:c r="R150" s="27"/>
      <x:c r="S150" s="27"/>
      <x:c r="T150" s="27"/>
      <x:c r="U150" s="27"/>
      <x:c r="V150" s="27"/>
      <x:c r="W150" s="27"/>
      <x:c r="X150" s="27"/>
      <x:c r="Y150" s="27"/>
      <x:c r="Z150" s="27"/>
      <x:c r="AA150" s="27"/>
      <x:c r="AB150" s="27"/>
      <x:c r="AC150" s="27"/>
      <x:c r="AD150" s="27"/>
      <x:c r="AE150" s="27"/>
      <x:c r="AF150" s="27"/>
      <x:c r="AG150" s="27"/>
      <x:c r="AH150" s="27"/>
      <x:c r="AI150" s="27"/>
      <x:c r="AJ150" s="27"/>
      <x:c r="AK150" s="27"/>
      <x:c r="AL150" s="27"/>
      <x:c r="AM150" s="27"/>
      <x:c r="AN150" s="27"/>
      <x:c r="AO150" s="27"/>
      <x:c r="AP150" s="27"/>
      <x:c r="AQ150" s="27"/>
      <x:c r="AR150" s="27"/>
      <x:c r="AS150" s="27"/>
      <x:c r="AT150" s="27"/>
      <x:c r="AU150" s="27"/>
      <x:c r="AV150" s="27"/>
      <x:c r="AW150" s="27"/>
      <x:c r="AX150" s="27"/>
      <x:c r="AY150" s="27"/>
      <x:c r="AZ150" s="27"/>
    </x:row>
    <x:row r="151">
      <x:c r="A151" s="27"/>
      <x:c r="B151" s="27"/>
      <x:c r="C151" s="27"/>
      <x:c r="D151" s="27"/>
      <x:c r="E151" s="27"/>
      <x:c r="F151" s="27"/>
      <x:c r="G151" s="27"/>
      <x:c r="H151" s="27"/>
      <x:c r="I151" s="27"/>
      <x:c r="J151" s="27"/>
      <x:c r="K151" s="27"/>
      <x:c r="L151" s="27"/>
      <x:c r="M151" s="27"/>
      <x:c r="N151" s="27"/>
      <x:c r="O151" s="27"/>
      <x:c r="P151" s="27"/>
      <x:c r="Q151" s="27"/>
      <x:c r="R151" s="27"/>
      <x:c r="S151" s="27"/>
      <x:c r="T151" s="27"/>
      <x:c r="U151" s="27"/>
      <x:c r="V151" s="27"/>
      <x:c r="W151" s="27"/>
      <x:c r="X151" s="27"/>
      <x:c r="Y151" s="27"/>
      <x:c r="Z151" s="27"/>
      <x:c r="AA151" s="27"/>
      <x:c r="AB151" s="27"/>
      <x:c r="AC151" s="27"/>
      <x:c r="AD151" s="27"/>
      <x:c r="AE151" s="27"/>
      <x:c r="AF151" s="27"/>
      <x:c r="AG151" s="27"/>
      <x:c r="AH151" s="27"/>
      <x:c r="AI151" s="27"/>
      <x:c r="AJ151" s="27"/>
      <x:c r="AK151" s="27"/>
      <x:c r="AL151" s="27"/>
      <x:c r="AM151" s="27"/>
      <x:c r="AN151" s="27"/>
      <x:c r="AO151" s="27"/>
      <x:c r="AP151" s="27"/>
      <x:c r="AQ151" s="27"/>
      <x:c r="AR151" s="27"/>
      <x:c r="AS151" s="27"/>
      <x:c r="AT151" s="27"/>
      <x:c r="AU151" s="27"/>
      <x:c r="AV151" s="27"/>
      <x:c r="AW151" s="27"/>
      <x:c r="AX151" s="27"/>
      <x:c r="AY151" s="27"/>
      <x:c r="AZ151" s="27"/>
    </x:row>
    <x:row r="152">
      <x:c r="A152" s="27"/>
      <x:c r="B152" s="27"/>
      <x:c r="C152" s="27"/>
      <x:c r="D152" s="27"/>
      <x:c r="E152" s="27"/>
      <x:c r="F152" s="27"/>
      <x:c r="G152" s="27"/>
      <x:c r="H152" s="27"/>
      <x:c r="I152" s="27"/>
      <x:c r="J152" s="27"/>
      <x:c r="K152" s="27"/>
      <x:c r="L152" s="27"/>
      <x:c r="M152" s="27"/>
      <x:c r="N152" s="27"/>
      <x:c r="O152" s="27"/>
      <x:c r="P152" s="27"/>
      <x:c r="Q152" s="27"/>
      <x:c r="R152" s="27"/>
      <x:c r="S152" s="27"/>
      <x:c r="T152" s="27"/>
      <x:c r="U152" s="27"/>
      <x:c r="V152" s="27"/>
      <x:c r="W152" s="27"/>
      <x:c r="X152" s="27"/>
      <x:c r="Y152" s="27"/>
      <x:c r="Z152" s="27"/>
      <x:c r="AA152" s="27"/>
      <x:c r="AB152" s="27"/>
      <x:c r="AC152" s="27"/>
      <x:c r="AD152" s="27"/>
      <x:c r="AE152" s="27"/>
      <x:c r="AF152" s="27"/>
      <x:c r="AG152" s="27"/>
      <x:c r="AH152" s="27"/>
      <x:c r="AI152" s="27"/>
      <x:c r="AJ152" s="27"/>
      <x:c r="AK152" s="27"/>
      <x:c r="AL152" s="27"/>
      <x:c r="AM152" s="27"/>
      <x:c r="AN152" s="27"/>
      <x:c r="AO152" s="27"/>
      <x:c r="AP152" s="27"/>
      <x:c r="AQ152" s="27"/>
      <x:c r="AR152" s="27"/>
      <x:c r="AS152" s="27"/>
      <x:c r="AT152" s="27"/>
      <x:c r="AU152" s="27"/>
      <x:c r="AV152" s="27"/>
      <x:c r="AW152" s="27"/>
      <x:c r="AX152" s="27"/>
      <x:c r="AY152" s="27"/>
      <x:c r="AZ152" s="27"/>
    </x:row>
    <x:row r="153">
      <x:c r="A153" s="27"/>
      <x:c r="B153" s="27"/>
      <x:c r="C153" s="27"/>
      <x:c r="D153" s="27"/>
      <x:c r="E153" s="27"/>
      <x:c r="F153" s="27"/>
      <x:c r="G153" s="27"/>
      <x:c r="H153" s="27"/>
      <x:c r="I153" s="27"/>
      <x:c r="J153" s="27"/>
      <x:c r="K153" s="27"/>
      <x:c r="L153" s="27"/>
      <x:c r="M153" s="27"/>
      <x:c r="N153" s="27"/>
      <x:c r="O153" s="27"/>
      <x:c r="P153" s="27"/>
      <x:c r="Q153" s="27"/>
      <x:c r="R153" s="27"/>
      <x:c r="S153" s="27"/>
      <x:c r="T153" s="27"/>
      <x:c r="U153" s="27"/>
      <x:c r="V153" s="27"/>
      <x:c r="W153" s="27"/>
      <x:c r="X153" s="27"/>
      <x:c r="Y153" s="27"/>
      <x:c r="Z153" s="27"/>
      <x:c r="AA153" s="27"/>
      <x:c r="AB153" s="27"/>
      <x:c r="AC153" s="27"/>
      <x:c r="AD153" s="27"/>
      <x:c r="AE153" s="27"/>
      <x:c r="AF153" s="27"/>
      <x:c r="AG153" s="27"/>
      <x:c r="AH153" s="27"/>
      <x:c r="AI153" s="27"/>
      <x:c r="AJ153" s="27"/>
      <x:c r="AK153" s="27"/>
      <x:c r="AL153" s="27"/>
      <x:c r="AM153" s="27"/>
      <x:c r="AN153" s="27"/>
      <x:c r="AO153" s="27"/>
      <x:c r="AP153" s="27"/>
      <x:c r="AQ153" s="27"/>
      <x:c r="AR153" s="27"/>
      <x:c r="AS153" s="27"/>
      <x:c r="AT153" s="27"/>
      <x:c r="AU153" s="27"/>
      <x:c r="AV153" s="27"/>
      <x:c r="AW153" s="27"/>
      <x:c r="AX153" s="27"/>
      <x:c r="AY153" s="27"/>
      <x:c r="AZ153" s="27"/>
    </x:row>
    <x:row r="154">
      <x:c r="A154" s="27"/>
      <x:c r="B154" s="27"/>
      <x:c r="C154" s="27"/>
      <x:c r="D154" s="27"/>
      <x:c r="E154" s="27"/>
      <x:c r="F154" s="27"/>
      <x:c r="G154" s="27"/>
      <x:c r="H154" s="27"/>
      <x:c r="I154" s="27"/>
      <x:c r="J154" s="27"/>
      <x:c r="K154" s="27"/>
      <x:c r="L154" s="27"/>
      <x:c r="M154" s="27"/>
      <x:c r="N154" s="27"/>
      <x:c r="O154" s="27"/>
      <x:c r="P154" s="27"/>
      <x:c r="Q154" s="27"/>
      <x:c r="R154" s="27"/>
      <x:c r="S154" s="27"/>
      <x:c r="T154" s="27"/>
      <x:c r="U154" s="27"/>
      <x:c r="V154" s="27"/>
      <x:c r="W154" s="27"/>
      <x:c r="X154" s="27"/>
      <x:c r="Y154" s="27"/>
      <x:c r="Z154" s="27"/>
      <x:c r="AA154" s="27"/>
      <x:c r="AB154" s="27"/>
      <x:c r="AC154" s="27"/>
      <x:c r="AD154" s="27"/>
      <x:c r="AE154" s="27"/>
      <x:c r="AF154" s="27"/>
      <x:c r="AG154" s="27"/>
      <x:c r="AH154" s="27"/>
      <x:c r="AI154" s="27"/>
      <x:c r="AJ154" s="27"/>
      <x:c r="AK154" s="27"/>
      <x:c r="AL154" s="27"/>
      <x:c r="AM154" s="27"/>
      <x:c r="AN154" s="27"/>
      <x:c r="AO154" s="27"/>
      <x:c r="AP154" s="27"/>
      <x:c r="AQ154" s="27"/>
      <x:c r="AR154" s="27"/>
      <x:c r="AS154" s="27"/>
      <x:c r="AT154" s="27"/>
      <x:c r="AU154" s="27"/>
      <x:c r="AV154" s="27"/>
      <x:c r="AW154" s="27"/>
      <x:c r="AX154" s="27"/>
      <x:c r="AY154" s="27"/>
      <x:c r="AZ154" s="27"/>
    </x:row>
    <x:row r="155">
      <x:c r="A155" s="27"/>
      <x:c r="B155" s="27"/>
      <x:c r="C155" s="27"/>
      <x:c r="D155" s="27"/>
      <x:c r="E155" s="27"/>
      <x:c r="F155" s="27"/>
      <x:c r="G155" s="27"/>
      <x:c r="H155" s="27"/>
      <x:c r="I155" s="27"/>
      <x:c r="J155" s="27"/>
      <x:c r="K155" s="27"/>
      <x:c r="L155" s="27"/>
      <x:c r="M155" s="27"/>
      <x:c r="N155" s="27"/>
      <x:c r="O155" s="27"/>
      <x:c r="P155" s="27"/>
      <x:c r="Q155" s="27"/>
      <x:c r="R155" s="27"/>
      <x:c r="S155" s="27"/>
      <x:c r="T155" s="27"/>
      <x:c r="U155" s="27"/>
      <x:c r="V155" s="27"/>
      <x:c r="W155" s="27"/>
      <x:c r="X155" s="27"/>
      <x:c r="Y155" s="27"/>
      <x:c r="Z155" s="27"/>
      <x:c r="AA155" s="27"/>
      <x:c r="AB155" s="27"/>
      <x:c r="AC155" s="27"/>
      <x:c r="AD155" s="27"/>
      <x:c r="AE155" s="27"/>
      <x:c r="AF155" s="27"/>
      <x:c r="AG155" s="27"/>
      <x:c r="AH155" s="27"/>
      <x:c r="AI155" s="27"/>
      <x:c r="AJ155" s="27"/>
      <x:c r="AK155" s="27"/>
      <x:c r="AL155" s="27"/>
      <x:c r="AM155" s="27"/>
      <x:c r="AN155" s="27"/>
      <x:c r="AO155" s="27"/>
      <x:c r="AP155" s="27"/>
      <x:c r="AQ155" s="27"/>
      <x:c r="AR155" s="27"/>
      <x:c r="AS155" s="27"/>
      <x:c r="AT155" s="27"/>
      <x:c r="AU155" s="27"/>
      <x:c r="AV155" s="27"/>
      <x:c r="AW155" s="27"/>
      <x:c r="AX155" s="27"/>
      <x:c r="AY155" s="27"/>
      <x:c r="AZ155" s="27"/>
    </x:row>
    <x:row r="156">
      <x:c r="A156" s="27"/>
      <x:c r="B156" s="27"/>
      <x:c r="C156" s="27"/>
      <x:c r="D156" s="27"/>
      <x:c r="E156" s="27"/>
      <x:c r="F156" s="27"/>
      <x:c r="G156" s="27"/>
      <x:c r="H156" s="27"/>
      <x:c r="I156" s="27"/>
      <x:c r="J156" s="27"/>
      <x:c r="K156" s="27"/>
      <x:c r="L156" s="27"/>
      <x:c r="M156" s="27"/>
      <x:c r="N156" s="27"/>
      <x:c r="O156" s="27"/>
      <x:c r="P156" s="27"/>
      <x:c r="Q156" s="27"/>
      <x:c r="R156" s="27"/>
      <x:c r="S156" s="27"/>
      <x:c r="T156" s="27"/>
      <x:c r="U156" s="27"/>
      <x:c r="V156" s="27"/>
      <x:c r="W156" s="27"/>
      <x:c r="X156" s="27"/>
      <x:c r="Y156" s="27"/>
      <x:c r="Z156" s="27"/>
      <x:c r="AA156" s="27"/>
      <x:c r="AB156" s="27"/>
      <x:c r="AC156" s="27"/>
      <x:c r="AD156" s="27"/>
      <x:c r="AE156" s="27"/>
      <x:c r="AF156" s="27"/>
      <x:c r="AG156" s="27"/>
      <x:c r="AH156" s="27"/>
      <x:c r="AI156" s="27"/>
      <x:c r="AJ156" s="27"/>
      <x:c r="AK156" s="27"/>
      <x:c r="AL156" s="27"/>
      <x:c r="AM156" s="27"/>
      <x:c r="AN156" s="27"/>
      <x:c r="AO156" s="27"/>
      <x:c r="AP156" s="27"/>
      <x:c r="AQ156" s="27"/>
      <x:c r="AR156" s="27"/>
      <x:c r="AS156" s="27"/>
      <x:c r="AT156" s="27"/>
      <x:c r="AU156" s="27"/>
      <x:c r="AV156" s="27"/>
      <x:c r="AW156" s="27"/>
      <x:c r="AX156" s="27"/>
      <x:c r="AY156" s="27"/>
      <x:c r="AZ156" s="27"/>
    </x:row>
    <x:row r="157">
      <x:c r="A157" s="27"/>
      <x:c r="B157" s="27"/>
      <x:c r="C157" s="27"/>
      <x:c r="D157" s="27"/>
      <x:c r="E157" s="27"/>
      <x:c r="F157" s="27"/>
      <x:c r="G157" s="27"/>
      <x:c r="H157" s="27"/>
      <x:c r="I157" s="27"/>
      <x:c r="J157" s="27"/>
      <x:c r="K157" s="27"/>
      <x:c r="L157" s="27"/>
      <x:c r="M157" s="27"/>
      <x:c r="N157" s="27"/>
      <x:c r="O157" s="27"/>
      <x:c r="P157" s="27"/>
      <x:c r="Q157" s="27"/>
      <x:c r="R157" s="27"/>
      <x:c r="S157" s="27"/>
      <x:c r="T157" s="27"/>
      <x:c r="U157" s="27"/>
      <x:c r="V157" s="27"/>
      <x:c r="W157" s="27"/>
      <x:c r="X157" s="27"/>
      <x:c r="Y157" s="27"/>
      <x:c r="Z157" s="27"/>
      <x:c r="AA157" s="27"/>
      <x:c r="AB157" s="27"/>
      <x:c r="AC157" s="27"/>
      <x:c r="AD157" s="27"/>
      <x:c r="AE157" s="27"/>
      <x:c r="AF157" s="27"/>
      <x:c r="AG157" s="27"/>
      <x:c r="AH157" s="27"/>
      <x:c r="AI157" s="27"/>
      <x:c r="AJ157" s="27"/>
      <x:c r="AK157" s="27"/>
      <x:c r="AL157" s="27"/>
      <x:c r="AM157" s="27"/>
      <x:c r="AN157" s="27"/>
      <x:c r="AO157" s="27"/>
      <x:c r="AP157" s="27"/>
      <x:c r="AQ157" s="27"/>
      <x:c r="AR157" s="27"/>
      <x:c r="AS157" s="27"/>
      <x:c r="AT157" s="27"/>
      <x:c r="AU157" s="27"/>
      <x:c r="AV157" s="27"/>
      <x:c r="AW157" s="27"/>
      <x:c r="AX157" s="27"/>
      <x:c r="AY157" s="27"/>
      <x:c r="AZ157" s="27"/>
    </x:row>
    <x:row r="158">
      <x:c r="A158" s="27"/>
      <x:c r="B158" s="27"/>
      <x:c r="C158" s="27"/>
      <x:c r="D158" s="27"/>
      <x:c r="E158" s="27"/>
      <x:c r="F158" s="27"/>
      <x:c r="G158" s="27"/>
      <x:c r="H158" s="27"/>
      <x:c r="I158" s="27"/>
      <x:c r="J158" s="27"/>
      <x:c r="K158" s="27"/>
      <x:c r="L158" s="27"/>
      <x:c r="M158" s="27"/>
      <x:c r="N158" s="27"/>
      <x:c r="O158" s="27"/>
      <x:c r="P158" s="27"/>
      <x:c r="Q158" s="27"/>
      <x:c r="R158" s="27"/>
      <x:c r="S158" s="27"/>
      <x:c r="T158" s="27"/>
      <x:c r="U158" s="27"/>
      <x:c r="V158" s="27"/>
      <x:c r="W158" s="27"/>
      <x:c r="X158" s="27"/>
      <x:c r="Y158" s="27"/>
      <x:c r="Z158" s="27"/>
      <x:c r="AA158" s="27"/>
      <x:c r="AB158" s="27"/>
      <x:c r="AC158" s="27"/>
      <x:c r="AD158" s="27"/>
      <x:c r="AE158" s="27"/>
      <x:c r="AF158" s="27"/>
      <x:c r="AG158" s="27"/>
      <x:c r="AH158" s="27"/>
      <x:c r="AI158" s="27"/>
      <x:c r="AJ158" s="27"/>
      <x:c r="AK158" s="27"/>
      <x:c r="AL158" s="27"/>
      <x:c r="AM158" s="27"/>
      <x:c r="AN158" s="27"/>
      <x:c r="AO158" s="27"/>
      <x:c r="AP158" s="27"/>
      <x:c r="AQ158" s="27"/>
      <x:c r="AR158" s="27"/>
      <x:c r="AS158" s="27"/>
      <x:c r="AT158" s="27"/>
      <x:c r="AU158" s="27"/>
      <x:c r="AV158" s="27"/>
      <x:c r="AW158" s="27"/>
      <x:c r="AX158" s="27"/>
      <x:c r="AY158" s="27"/>
      <x:c r="AZ158" s="27"/>
    </x:row>
    <x:row r="159">
      <x:c r="A159" s="27"/>
      <x:c r="B159" s="27"/>
      <x:c r="C159" s="27"/>
      <x:c r="D159" s="27"/>
      <x:c r="E159" s="27"/>
      <x:c r="F159" s="27"/>
      <x:c r="G159" s="27"/>
      <x:c r="H159" s="27"/>
      <x:c r="I159" s="27"/>
      <x:c r="J159" s="27"/>
      <x:c r="K159" s="27"/>
      <x:c r="L159" s="27"/>
      <x:c r="M159" s="27"/>
      <x:c r="N159" s="27"/>
      <x:c r="O159" s="27"/>
      <x:c r="P159" s="27"/>
      <x:c r="Q159" s="27"/>
      <x:c r="R159" s="27"/>
      <x:c r="S159" s="27"/>
      <x:c r="T159" s="27"/>
      <x:c r="U159" s="27"/>
      <x:c r="V159" s="27"/>
      <x:c r="W159" s="27"/>
      <x:c r="X159" s="27"/>
      <x:c r="Y159" s="27"/>
      <x:c r="Z159" s="27"/>
      <x:c r="AA159" s="27"/>
      <x:c r="AB159" s="27"/>
      <x:c r="AC159" s="27"/>
      <x:c r="AD159" s="27"/>
      <x:c r="AE159" s="27"/>
      <x:c r="AF159" s="27"/>
      <x:c r="AG159" s="27"/>
      <x:c r="AH159" s="27"/>
      <x:c r="AI159" s="27"/>
      <x:c r="AJ159" s="27"/>
      <x:c r="AK159" s="27"/>
      <x:c r="AL159" s="27"/>
      <x:c r="AM159" s="27"/>
      <x:c r="AN159" s="27"/>
      <x:c r="AO159" s="27"/>
      <x:c r="AP159" s="27"/>
      <x:c r="AQ159" s="27"/>
      <x:c r="AR159" s="27"/>
      <x:c r="AS159" s="27"/>
      <x:c r="AT159" s="27"/>
      <x:c r="AU159" s="27"/>
      <x:c r="AV159" s="27"/>
      <x:c r="AW159" s="27"/>
      <x:c r="AX159" s="27"/>
      <x:c r="AY159" s="27"/>
      <x:c r="AZ159" s="27"/>
    </x:row>
    <x:row r="160">
      <x:c r="A160" s="27"/>
      <x:c r="B160" s="27"/>
      <x:c r="C160" s="27"/>
      <x:c r="D160" s="27"/>
      <x:c r="E160" s="27"/>
      <x:c r="F160" s="27"/>
      <x:c r="G160" s="27"/>
      <x:c r="H160" s="27"/>
      <x:c r="I160" s="27"/>
      <x:c r="J160" s="27"/>
      <x:c r="K160" s="27"/>
      <x:c r="L160" s="27"/>
      <x:c r="M160" s="27"/>
      <x:c r="N160" s="27"/>
      <x:c r="O160" s="27"/>
      <x:c r="P160" s="27"/>
      <x:c r="Q160" s="27"/>
      <x:c r="R160" s="27"/>
      <x:c r="S160" s="27"/>
      <x:c r="T160" s="27"/>
      <x:c r="U160" s="27"/>
      <x:c r="V160" s="27"/>
      <x:c r="W160" s="27"/>
      <x:c r="X160" s="27"/>
      <x:c r="Y160" s="27"/>
      <x:c r="Z160" s="27"/>
      <x:c r="AA160" s="27"/>
      <x:c r="AB160" s="27"/>
      <x:c r="AC160" s="27"/>
      <x:c r="AD160" s="27"/>
      <x:c r="AE160" s="27"/>
      <x:c r="AF160" s="27"/>
      <x:c r="AG160" s="27"/>
      <x:c r="AH160" s="27"/>
      <x:c r="AI160" s="27"/>
      <x:c r="AJ160" s="27"/>
      <x:c r="AK160" s="27"/>
      <x:c r="AL160" s="27"/>
      <x:c r="AM160" s="27"/>
      <x:c r="AN160" s="27"/>
      <x:c r="AO160" s="27"/>
      <x:c r="AP160" s="27"/>
      <x:c r="AQ160" s="27"/>
      <x:c r="AR160" s="27"/>
      <x:c r="AS160" s="27"/>
      <x:c r="AT160" s="27"/>
      <x:c r="AU160" s="27"/>
      <x:c r="AV160" s="27"/>
      <x:c r="AW160" s="27"/>
      <x:c r="AX160" s="27"/>
      <x:c r="AY160" s="27"/>
      <x:c r="AZ160" s="27"/>
    </x:row>
    <x:row r="161">
      <x:c r="A161" s="27"/>
      <x:c r="B161" s="27"/>
      <x:c r="C161" s="27"/>
      <x:c r="D161" s="27"/>
      <x:c r="E161" s="27"/>
      <x:c r="F161" s="27"/>
      <x:c r="G161" s="27"/>
      <x:c r="H161" s="27"/>
      <x:c r="I161" s="27"/>
      <x:c r="J161" s="27"/>
      <x:c r="K161" s="27"/>
      <x:c r="L161" s="27"/>
      <x:c r="M161" s="27"/>
      <x:c r="N161" s="27"/>
      <x:c r="O161" s="27"/>
      <x:c r="P161" s="27"/>
      <x:c r="Q161" s="27"/>
      <x:c r="R161" s="27"/>
      <x:c r="S161" s="27"/>
      <x:c r="T161" s="27"/>
      <x:c r="U161" s="27"/>
      <x:c r="V161" s="27"/>
      <x:c r="W161" s="27"/>
      <x:c r="X161" s="27"/>
      <x:c r="Y161" s="27"/>
      <x:c r="Z161" s="27"/>
      <x:c r="AA161" s="27"/>
      <x:c r="AB161" s="27"/>
      <x:c r="AC161" s="27"/>
      <x:c r="AD161" s="27"/>
      <x:c r="AE161" s="27"/>
      <x:c r="AF161" s="27"/>
      <x:c r="AG161" s="27"/>
      <x:c r="AH161" s="27"/>
      <x:c r="AI161" s="27"/>
      <x:c r="AJ161" s="27"/>
      <x:c r="AK161" s="27"/>
      <x:c r="AL161" s="27"/>
      <x:c r="AM161" s="27"/>
      <x:c r="AN161" s="27"/>
      <x:c r="AO161" s="27"/>
      <x:c r="AP161" s="27"/>
      <x:c r="AQ161" s="27"/>
      <x:c r="AR161" s="27"/>
      <x:c r="AS161" s="27"/>
      <x:c r="AT161" s="27"/>
      <x:c r="AU161" s="27"/>
      <x:c r="AV161" s="27"/>
      <x:c r="AW161" s="27"/>
      <x:c r="AX161" s="27"/>
      <x:c r="AY161" s="27"/>
      <x:c r="AZ161" s="27"/>
    </x:row>
    <x:row r="162">
      <x:c r="A162" s="27"/>
      <x:c r="B162" s="27"/>
      <x:c r="C162" s="27"/>
      <x:c r="D162" s="27"/>
      <x:c r="E162" s="27"/>
      <x:c r="F162" s="27"/>
      <x:c r="G162" s="27"/>
      <x:c r="H162" s="27"/>
      <x:c r="I162" s="27"/>
      <x:c r="J162" s="27"/>
      <x:c r="K162" s="27"/>
      <x:c r="L162" s="27"/>
      <x:c r="M162" s="27"/>
      <x:c r="N162" s="27"/>
      <x:c r="O162" s="27"/>
      <x:c r="P162" s="27"/>
      <x:c r="Q162" s="27"/>
      <x:c r="R162" s="27"/>
      <x:c r="S162" s="27"/>
      <x:c r="T162" s="27"/>
      <x:c r="U162" s="27"/>
      <x:c r="V162" s="27"/>
      <x:c r="W162" s="27"/>
      <x:c r="X162" s="27"/>
      <x:c r="Y162" s="27"/>
      <x:c r="Z162" s="27"/>
      <x:c r="AA162" s="27"/>
      <x:c r="AB162" s="27"/>
      <x:c r="AC162" s="27"/>
      <x:c r="AD162" s="27"/>
      <x:c r="AE162" s="27"/>
      <x:c r="AF162" s="27"/>
      <x:c r="AG162" s="27"/>
      <x:c r="AH162" s="27"/>
      <x:c r="AI162" s="27"/>
      <x:c r="AJ162" s="27"/>
      <x:c r="AK162" s="27"/>
      <x:c r="AL162" s="27"/>
      <x:c r="AM162" s="27"/>
      <x:c r="AN162" s="27"/>
      <x:c r="AO162" s="27"/>
      <x:c r="AP162" s="27"/>
      <x:c r="AQ162" s="27"/>
      <x:c r="AR162" s="27"/>
      <x:c r="AS162" s="27"/>
      <x:c r="AT162" s="27"/>
      <x:c r="AU162" s="27"/>
      <x:c r="AV162" s="27"/>
      <x:c r="AW162" s="27"/>
      <x:c r="AX162" s="27"/>
      <x:c r="AY162" s="27"/>
      <x:c r="AZ162" s="27"/>
    </x:row>
    <x:row r="163">
      <x:c r="A163" s="27"/>
      <x:c r="B163" s="27"/>
      <x:c r="C163" s="27"/>
      <x:c r="D163" s="27"/>
      <x:c r="E163" s="27"/>
      <x:c r="F163" s="27"/>
      <x:c r="G163" s="27"/>
      <x:c r="H163" s="27"/>
      <x:c r="I163" s="27"/>
      <x:c r="J163" s="27"/>
      <x:c r="K163" s="27"/>
      <x:c r="L163" s="27"/>
      <x:c r="M163" s="27"/>
      <x:c r="N163" s="27"/>
      <x:c r="O163" s="27"/>
      <x:c r="P163" s="27"/>
      <x:c r="Q163" s="27"/>
      <x:c r="R163" s="27"/>
      <x:c r="S163" s="27"/>
      <x:c r="T163" s="27"/>
      <x:c r="U163" s="27"/>
      <x:c r="V163" s="27"/>
      <x:c r="W163" s="27"/>
      <x:c r="X163" s="27"/>
      <x:c r="Y163" s="27"/>
      <x:c r="Z163" s="27"/>
      <x:c r="AA163" s="27"/>
      <x:c r="AB163" s="27"/>
      <x:c r="AC163" s="27"/>
      <x:c r="AD163" s="27"/>
      <x:c r="AE163" s="27"/>
      <x:c r="AF163" s="27"/>
      <x:c r="AG163" s="27"/>
      <x:c r="AH163" s="27"/>
      <x:c r="AI163" s="27"/>
      <x:c r="AJ163" s="27"/>
      <x:c r="AK163" s="27"/>
      <x:c r="AL163" s="27"/>
      <x:c r="AM163" s="27"/>
      <x:c r="AN163" s="27"/>
      <x:c r="AO163" s="27"/>
      <x:c r="AP163" s="27"/>
      <x:c r="AQ163" s="27"/>
      <x:c r="AR163" s="27"/>
      <x:c r="AS163" s="27"/>
      <x:c r="AT163" s="27"/>
      <x:c r="AU163" s="27"/>
      <x:c r="AV163" s="27"/>
      <x:c r="AW163" s="27"/>
      <x:c r="AX163" s="27"/>
      <x:c r="AY163" s="27"/>
      <x:c r="AZ163" s="27"/>
    </x:row>
    <x:row r="164">
      <x:c r="A164" s="27"/>
      <x:c r="B164" s="27"/>
      <x:c r="C164" s="27"/>
      <x:c r="D164" s="27"/>
      <x:c r="E164" s="27"/>
      <x:c r="F164" s="27"/>
      <x:c r="G164" s="27"/>
      <x:c r="H164" s="27"/>
      <x:c r="I164" s="27"/>
      <x:c r="J164" s="27"/>
      <x:c r="K164" s="27"/>
      <x:c r="L164" s="27"/>
      <x:c r="M164" s="27"/>
      <x:c r="N164" s="27"/>
      <x:c r="O164" s="27"/>
      <x:c r="P164" s="27"/>
      <x:c r="Q164" s="27"/>
      <x:c r="R164" s="27"/>
      <x:c r="S164" s="27"/>
      <x:c r="T164" s="27"/>
      <x:c r="U164" s="27"/>
      <x:c r="V164" s="27"/>
      <x:c r="W164" s="27"/>
      <x:c r="X164" s="27"/>
      <x:c r="Y164" s="27"/>
      <x:c r="Z164" s="27"/>
      <x:c r="AA164" s="27"/>
      <x:c r="AB164" s="27"/>
      <x:c r="AC164" s="27"/>
      <x:c r="AD164" s="27"/>
      <x:c r="AE164" s="27"/>
      <x:c r="AF164" s="27"/>
      <x:c r="AG164" s="27"/>
      <x:c r="AH164" s="27"/>
      <x:c r="AI164" s="27"/>
      <x:c r="AJ164" s="27"/>
      <x:c r="AK164" s="27"/>
      <x:c r="AL164" s="27"/>
      <x:c r="AM164" s="27"/>
      <x:c r="AN164" s="27"/>
      <x:c r="AO164" s="27"/>
      <x:c r="AP164" s="27"/>
      <x:c r="AQ164" s="27"/>
      <x:c r="AR164" s="27"/>
      <x:c r="AS164" s="27"/>
      <x:c r="AT164" s="27"/>
      <x:c r="AU164" s="27"/>
      <x:c r="AV164" s="27"/>
      <x:c r="AW164" s="27"/>
      <x:c r="AX164" s="27"/>
      <x:c r="AY164" s="27"/>
      <x:c r="AZ164" s="27"/>
    </x:row>
    <x:row r="165">
      <x:c r="A165" s="27"/>
      <x:c r="B165" s="27"/>
      <x:c r="C165" s="27"/>
      <x:c r="D165" s="27"/>
      <x:c r="E165" s="27"/>
      <x:c r="F165" s="27"/>
      <x:c r="G165" s="27"/>
      <x:c r="H165" s="27"/>
      <x:c r="I165" s="27"/>
      <x:c r="J165" s="27"/>
      <x:c r="K165" s="27"/>
      <x:c r="L165" s="27"/>
      <x:c r="M165" s="27"/>
      <x:c r="N165" s="27"/>
      <x:c r="O165" s="27"/>
      <x:c r="P165" s="27"/>
      <x:c r="Q165" s="27"/>
      <x:c r="R165" s="27"/>
      <x:c r="S165" s="27"/>
      <x:c r="T165" s="27"/>
      <x:c r="U165" s="27"/>
      <x:c r="V165" s="27"/>
      <x:c r="W165" s="27"/>
      <x:c r="X165" s="27"/>
      <x:c r="Y165" s="27"/>
      <x:c r="Z165" s="27"/>
      <x:c r="AA165" s="27"/>
      <x:c r="AB165" s="27"/>
      <x:c r="AC165" s="27"/>
      <x:c r="AD165" s="27"/>
      <x:c r="AE165" s="27"/>
      <x:c r="AF165" s="27"/>
      <x:c r="AG165" s="27"/>
      <x:c r="AH165" s="27"/>
      <x:c r="AI165" s="27"/>
      <x:c r="AJ165" s="27"/>
      <x:c r="AK165" s="27"/>
      <x:c r="AL165" s="27"/>
      <x:c r="AM165" s="27"/>
      <x:c r="AN165" s="27"/>
      <x:c r="AO165" s="27"/>
      <x:c r="AP165" s="27"/>
      <x:c r="AQ165" s="27"/>
      <x:c r="AR165" s="27"/>
      <x:c r="AS165" s="27"/>
      <x:c r="AT165" s="27"/>
      <x:c r="AU165" s="27"/>
      <x:c r="AV165" s="27"/>
      <x:c r="AW165" s="27"/>
      <x:c r="AX165" s="27"/>
      <x:c r="AY165" s="27"/>
      <x:c r="AZ165" s="27"/>
    </x:row>
    <x:row r="166">
      <x:c r="A166" s="27"/>
      <x:c r="B166" s="27"/>
      <x:c r="C166" s="27"/>
      <x:c r="D166" s="27"/>
      <x:c r="E166" s="27"/>
      <x:c r="F166" s="27"/>
      <x:c r="G166" s="27"/>
      <x:c r="H166" s="27"/>
      <x:c r="I166" s="27"/>
      <x:c r="J166" s="27"/>
      <x:c r="K166" s="27"/>
      <x:c r="L166" s="27"/>
      <x:c r="M166" s="27"/>
      <x:c r="N166" s="27"/>
      <x:c r="O166" s="27"/>
      <x:c r="P166" s="27"/>
      <x:c r="Q166" s="27"/>
      <x:c r="R166" s="27"/>
      <x:c r="S166" s="27"/>
      <x:c r="T166" s="27"/>
      <x:c r="U166" s="27"/>
      <x:c r="V166" s="27"/>
      <x:c r="W166" s="27"/>
      <x:c r="X166" s="27"/>
      <x:c r="Y166" s="27"/>
      <x:c r="Z166" s="27"/>
      <x:c r="AA166" s="27"/>
      <x:c r="AB166" s="27"/>
      <x:c r="AC166" s="27"/>
      <x:c r="AD166" s="27"/>
      <x:c r="AE166" s="27"/>
      <x:c r="AF166" s="27"/>
      <x:c r="AG166" s="27"/>
      <x:c r="AH166" s="27"/>
      <x:c r="AI166" s="27"/>
      <x:c r="AJ166" s="27"/>
      <x:c r="AK166" s="27"/>
      <x:c r="AL166" s="27"/>
      <x:c r="AM166" s="27"/>
      <x:c r="AN166" s="27"/>
      <x:c r="AO166" s="27"/>
      <x:c r="AP166" s="27"/>
      <x:c r="AQ166" s="27"/>
      <x:c r="AR166" s="27"/>
      <x:c r="AS166" s="27"/>
      <x:c r="AT166" s="27"/>
      <x:c r="AU166" s="27"/>
      <x:c r="AV166" s="27"/>
      <x:c r="AW166" s="27"/>
      <x:c r="AX166" s="27"/>
      <x:c r="AY166" s="27"/>
      <x:c r="AZ166" s="27"/>
    </x:row>
    <x:row r="167">
      <x:c r="A167" s="27"/>
      <x:c r="B167" s="27"/>
      <x:c r="C167" s="27"/>
      <x:c r="D167" s="27"/>
      <x:c r="E167" s="27"/>
      <x:c r="F167" s="27"/>
      <x:c r="G167" s="27"/>
      <x:c r="H167" s="27"/>
      <x:c r="I167" s="27"/>
      <x:c r="J167" s="27"/>
      <x:c r="K167" s="27"/>
      <x:c r="L167" s="27"/>
      <x:c r="M167" s="27"/>
      <x:c r="N167" s="27"/>
      <x:c r="O167" s="27"/>
      <x:c r="P167" s="27"/>
      <x:c r="Q167" s="27"/>
      <x:c r="R167" s="27"/>
      <x:c r="S167" s="27"/>
      <x:c r="T167" s="27"/>
      <x:c r="U167" s="27"/>
      <x:c r="V167" s="27"/>
      <x:c r="W167" s="27"/>
      <x:c r="X167" s="27"/>
      <x:c r="Y167" s="27"/>
      <x:c r="Z167" s="27"/>
      <x:c r="AA167" s="27"/>
      <x:c r="AB167" s="27"/>
      <x:c r="AC167" s="27"/>
      <x:c r="AD167" s="27"/>
      <x:c r="AE167" s="27"/>
      <x:c r="AF167" s="27"/>
      <x:c r="AG167" s="27"/>
      <x:c r="AH167" s="27"/>
      <x:c r="AI167" s="27"/>
      <x:c r="AJ167" s="27"/>
      <x:c r="AK167" s="27"/>
      <x:c r="AL167" s="27"/>
      <x:c r="AM167" s="27"/>
      <x:c r="AN167" s="27"/>
      <x:c r="AO167" s="27"/>
      <x:c r="AP167" s="27"/>
      <x:c r="AQ167" s="27"/>
      <x:c r="AR167" s="27"/>
      <x:c r="AS167" s="27"/>
      <x:c r="AT167" s="27"/>
      <x:c r="AU167" s="27"/>
      <x:c r="AV167" s="27"/>
      <x:c r="AW167" s="27"/>
      <x:c r="AX167" s="27"/>
      <x:c r="AY167" s="27"/>
      <x:c r="AZ167" s="27"/>
    </x:row>
    <x:row r="168">
      <x:c r="A168" s="27"/>
      <x:c r="B168" s="27"/>
      <x:c r="C168" s="27"/>
      <x:c r="D168" s="27"/>
      <x:c r="E168" s="27"/>
      <x:c r="F168" s="27"/>
      <x:c r="G168" s="27"/>
      <x:c r="H168" s="27"/>
      <x:c r="I168" s="27"/>
      <x:c r="J168" s="27"/>
      <x:c r="K168" s="27"/>
      <x:c r="L168" s="27"/>
      <x:c r="M168" s="27"/>
      <x:c r="N168" s="27"/>
      <x:c r="O168" s="27"/>
      <x:c r="P168" s="27"/>
      <x:c r="Q168" s="27"/>
      <x:c r="R168" s="27"/>
      <x:c r="S168" s="27"/>
      <x:c r="T168" s="27"/>
      <x:c r="U168" s="27"/>
      <x:c r="V168" s="27"/>
      <x:c r="W168" s="27"/>
      <x:c r="X168" s="27"/>
      <x:c r="Y168" s="27"/>
      <x:c r="Z168" s="27"/>
      <x:c r="AA168" s="27"/>
      <x:c r="AB168" s="27"/>
      <x:c r="AC168" s="27"/>
      <x:c r="AD168" s="27"/>
      <x:c r="AE168" s="27"/>
      <x:c r="AF168" s="27"/>
      <x:c r="AG168" s="27"/>
      <x:c r="AH168" s="27"/>
      <x:c r="AI168" s="27"/>
      <x:c r="AJ168" s="27"/>
      <x:c r="AK168" s="27"/>
      <x:c r="AL168" s="27"/>
      <x:c r="AM168" s="27"/>
      <x:c r="AN168" s="27"/>
      <x:c r="AO168" s="27"/>
      <x:c r="AP168" s="27"/>
      <x:c r="AQ168" s="27"/>
      <x:c r="AR168" s="27"/>
      <x:c r="AS168" s="27"/>
      <x:c r="AT168" s="27"/>
      <x:c r="AU168" s="27"/>
      <x:c r="AV168" s="27"/>
      <x:c r="AW168" s="27"/>
      <x:c r="AX168" s="27"/>
      <x:c r="AY168" s="27"/>
      <x:c r="AZ168" s="27"/>
    </x:row>
    <x:row r="169">
      <x:c r="A169" s="27"/>
      <x:c r="B169" s="27"/>
      <x:c r="C169" s="27"/>
      <x:c r="D169" s="27"/>
      <x:c r="E169" s="27"/>
      <x:c r="F169" s="27"/>
      <x:c r="G169" s="27"/>
      <x:c r="H169" s="27"/>
      <x:c r="I169" s="27"/>
      <x:c r="J169" s="27"/>
      <x:c r="K169" s="27"/>
      <x:c r="L169" s="27"/>
      <x:c r="M169" s="27"/>
      <x:c r="N169" s="27"/>
      <x:c r="O169" s="27"/>
      <x:c r="P169" s="27"/>
      <x:c r="Q169" s="27"/>
      <x:c r="R169" s="27"/>
      <x:c r="S169" s="27"/>
      <x:c r="T169" s="27"/>
      <x:c r="U169" s="27"/>
      <x:c r="V169" s="27"/>
      <x:c r="W169" s="27"/>
      <x:c r="X169" s="27"/>
      <x:c r="Y169" s="27"/>
      <x:c r="Z169" s="27"/>
      <x:c r="AA169" s="27"/>
      <x:c r="AB169" s="27"/>
      <x:c r="AC169" s="27"/>
      <x:c r="AD169" s="27"/>
      <x:c r="AE169" s="27"/>
      <x:c r="AF169" s="27"/>
      <x:c r="AG169" s="27"/>
      <x:c r="AH169" s="27"/>
      <x:c r="AI169" s="27"/>
      <x:c r="AJ169" s="27"/>
      <x:c r="AK169" s="27"/>
      <x:c r="AL169" s="27"/>
      <x:c r="AM169" s="27"/>
      <x:c r="AN169" s="27"/>
      <x:c r="AO169" s="27"/>
      <x:c r="AP169" s="27"/>
      <x:c r="AQ169" s="27"/>
      <x:c r="AR169" s="27"/>
      <x:c r="AS169" s="27"/>
      <x:c r="AT169" s="27"/>
      <x:c r="AU169" s="27"/>
      <x:c r="AV169" s="27"/>
      <x:c r="AW169" s="27"/>
      <x:c r="AX169" s="27"/>
      <x:c r="AY169" s="27"/>
      <x:c r="AZ169" s="27"/>
    </x:row>
    <x:row r="170">
      <x:c r="A170" s="27"/>
      <x:c r="B170" s="27"/>
      <x:c r="C170" s="27"/>
      <x:c r="D170" s="27"/>
      <x:c r="E170" s="27"/>
      <x:c r="F170" s="27"/>
      <x:c r="G170" s="27"/>
      <x:c r="H170" s="27"/>
      <x:c r="I170" s="27"/>
      <x:c r="J170" s="27"/>
      <x:c r="K170" s="27"/>
      <x:c r="L170" s="27"/>
      <x:c r="M170" s="27"/>
      <x:c r="N170" s="27"/>
      <x:c r="O170" s="27"/>
      <x:c r="P170" s="27"/>
      <x:c r="Q170" s="27"/>
      <x:c r="R170" s="27"/>
      <x:c r="S170" s="27"/>
      <x:c r="T170" s="27"/>
      <x:c r="U170" s="27"/>
      <x:c r="V170" s="27"/>
      <x:c r="W170" s="27"/>
      <x:c r="X170" s="27"/>
      <x:c r="Y170" s="27"/>
      <x:c r="Z170" s="27"/>
      <x:c r="AA170" s="27"/>
      <x:c r="AB170" s="27"/>
      <x:c r="AC170" s="27"/>
      <x:c r="AD170" s="27"/>
      <x:c r="AE170" s="27"/>
      <x:c r="AF170" s="27"/>
      <x:c r="AG170" s="27"/>
      <x:c r="AH170" s="27"/>
      <x:c r="AI170" s="27"/>
      <x:c r="AJ170" s="27"/>
      <x:c r="AK170" s="27"/>
      <x:c r="AL170" s="27"/>
      <x:c r="AM170" s="27"/>
      <x:c r="AN170" s="27"/>
      <x:c r="AO170" s="27"/>
      <x:c r="AP170" s="27"/>
      <x:c r="AQ170" s="27"/>
      <x:c r="AR170" s="27"/>
      <x:c r="AS170" s="27"/>
      <x:c r="AT170" s="27"/>
      <x:c r="AU170" s="27"/>
      <x:c r="AV170" s="27"/>
      <x:c r="AW170" s="27"/>
      <x:c r="AX170" s="27"/>
      <x:c r="AY170" s="27"/>
      <x:c r="AZ170" s="27"/>
    </x:row>
    <x:row r="171">
      <x:c r="A171" s="27"/>
      <x:c r="B171" s="27"/>
      <x:c r="C171" s="27"/>
      <x:c r="D171" s="27"/>
      <x:c r="E171" s="27"/>
      <x:c r="F171" s="27"/>
      <x:c r="G171" s="27"/>
      <x:c r="H171" s="27"/>
      <x:c r="I171" s="27"/>
      <x:c r="J171" s="27"/>
      <x:c r="K171" s="27"/>
      <x:c r="L171" s="27"/>
      <x:c r="M171" s="27"/>
      <x:c r="N171" s="27"/>
      <x:c r="O171" s="27"/>
      <x:c r="P171" s="27"/>
      <x:c r="Q171" s="27"/>
      <x:c r="R171" s="27"/>
      <x:c r="S171" s="27"/>
      <x:c r="T171" s="27"/>
      <x:c r="U171" s="27"/>
      <x:c r="V171" s="27"/>
      <x:c r="W171" s="27"/>
      <x:c r="X171" s="27"/>
      <x:c r="Y171" s="27"/>
      <x:c r="Z171" s="27"/>
      <x:c r="AA171" s="27"/>
      <x:c r="AB171" s="27"/>
      <x:c r="AC171" s="27"/>
      <x:c r="AD171" s="27"/>
      <x:c r="AE171" s="27"/>
      <x:c r="AF171" s="27"/>
      <x:c r="AG171" s="27"/>
      <x:c r="AH171" s="27"/>
      <x:c r="AI171" s="27"/>
      <x:c r="AJ171" s="27"/>
      <x:c r="AK171" s="27"/>
      <x:c r="AL171" s="27"/>
      <x:c r="AM171" s="27"/>
      <x:c r="AN171" s="27"/>
      <x:c r="AO171" s="27"/>
      <x:c r="AP171" s="27"/>
      <x:c r="AQ171" s="27"/>
      <x:c r="AR171" s="27"/>
      <x:c r="AS171" s="27"/>
      <x:c r="AT171" s="27"/>
      <x:c r="AU171" s="27"/>
      <x:c r="AV171" s="27"/>
      <x:c r="AW171" s="27"/>
      <x:c r="AX171" s="27"/>
      <x:c r="AY171" s="27"/>
      <x:c r="AZ171" s="27"/>
    </x:row>
    <x:row r="172">
      <x:c r="A172" s="27"/>
      <x:c r="B172" s="27"/>
      <x:c r="C172" s="27"/>
      <x:c r="D172" s="27"/>
      <x:c r="E172" s="27"/>
      <x:c r="F172" s="27"/>
      <x:c r="G172" s="27"/>
      <x:c r="H172" s="27"/>
      <x:c r="I172" s="27"/>
      <x:c r="J172" s="27"/>
      <x:c r="K172" s="27"/>
      <x:c r="L172" s="27"/>
      <x:c r="M172" s="27"/>
      <x:c r="N172" s="27"/>
      <x:c r="O172" s="27"/>
      <x:c r="P172" s="27"/>
      <x:c r="Q172" s="27"/>
      <x:c r="R172" s="27"/>
      <x:c r="S172" s="27"/>
      <x:c r="T172" s="27"/>
      <x:c r="U172" s="27"/>
      <x:c r="V172" s="27"/>
      <x:c r="W172" s="27"/>
      <x:c r="X172" s="27"/>
      <x:c r="Y172" s="27"/>
      <x:c r="Z172" s="27"/>
      <x:c r="AA172" s="27"/>
      <x:c r="AB172" s="27"/>
      <x:c r="AC172" s="27"/>
      <x:c r="AD172" s="27"/>
      <x:c r="AE172" s="27"/>
      <x:c r="AF172" s="27"/>
      <x:c r="AG172" s="27"/>
      <x:c r="AH172" s="27"/>
      <x:c r="AI172" s="27"/>
      <x:c r="AJ172" s="27"/>
      <x:c r="AK172" s="27"/>
      <x:c r="AL172" s="27"/>
      <x:c r="AM172" s="27"/>
      <x:c r="AN172" s="27"/>
      <x:c r="AO172" s="27"/>
      <x:c r="AP172" s="27"/>
      <x:c r="AQ172" s="27"/>
      <x:c r="AR172" s="27"/>
      <x:c r="AS172" s="27"/>
      <x:c r="AT172" s="27"/>
      <x:c r="AU172" s="27"/>
      <x:c r="AV172" s="27"/>
      <x:c r="AW172" s="27"/>
      <x:c r="AX172" s="27"/>
      <x:c r="AY172" s="27"/>
      <x:c r="AZ172" s="27"/>
    </x:row>
    <x:row r="173">
      <x:c r="A173" s="27"/>
      <x:c r="B173" s="27"/>
      <x:c r="C173" s="27"/>
      <x:c r="D173" s="27"/>
      <x:c r="E173" s="27"/>
      <x:c r="F173" s="27"/>
      <x:c r="G173" s="27"/>
      <x:c r="H173" s="27"/>
      <x:c r="I173" s="27"/>
      <x:c r="J173" s="27"/>
      <x:c r="K173" s="27"/>
      <x:c r="L173" s="27"/>
      <x:c r="M173" s="27"/>
      <x:c r="N173" s="27"/>
      <x:c r="O173" s="27"/>
      <x:c r="P173" s="27"/>
      <x:c r="Q173" s="27"/>
      <x:c r="R173" s="27"/>
      <x:c r="S173" s="27"/>
      <x:c r="T173" s="27"/>
      <x:c r="U173" s="27"/>
      <x:c r="V173" s="27"/>
      <x:c r="W173" s="27"/>
      <x:c r="X173" s="27"/>
      <x:c r="Y173" s="27"/>
      <x:c r="Z173" s="27"/>
      <x:c r="AA173" s="27"/>
      <x:c r="AB173" s="27"/>
      <x:c r="AC173" s="27"/>
      <x:c r="AD173" s="27"/>
      <x:c r="AE173" s="27"/>
      <x:c r="AF173" s="27"/>
      <x:c r="AG173" s="27"/>
      <x:c r="AH173" s="27"/>
      <x:c r="AI173" s="27"/>
      <x:c r="AJ173" s="27"/>
      <x:c r="AK173" s="27"/>
      <x:c r="AL173" s="27"/>
      <x:c r="AM173" s="27"/>
      <x:c r="AN173" s="27"/>
      <x:c r="AO173" s="27"/>
      <x:c r="AP173" s="27"/>
      <x:c r="AQ173" s="27"/>
      <x:c r="AR173" s="27"/>
      <x:c r="AS173" s="27"/>
      <x:c r="AT173" s="27"/>
      <x:c r="AU173" s="27"/>
      <x:c r="AV173" s="27"/>
      <x:c r="AW173" s="27"/>
      <x:c r="AX173" s="27"/>
      <x:c r="AY173" s="27"/>
      <x:c r="AZ173" s="27"/>
    </x:row>
    <x:row r="174">
      <x:c r="A174" s="27"/>
      <x:c r="B174" s="27"/>
      <x:c r="C174" s="27"/>
      <x:c r="D174" s="27"/>
      <x:c r="E174" s="27"/>
      <x:c r="F174" s="27"/>
      <x:c r="G174" s="27"/>
      <x:c r="H174" s="27"/>
      <x:c r="I174" s="27"/>
      <x:c r="J174" s="27"/>
      <x:c r="K174" s="27"/>
      <x:c r="L174" s="27"/>
      <x:c r="M174" s="27"/>
      <x:c r="N174" s="27"/>
      <x:c r="O174" s="27"/>
      <x:c r="P174" s="27"/>
      <x:c r="Q174" s="27"/>
      <x:c r="R174" s="27"/>
      <x:c r="S174" s="27"/>
      <x:c r="T174" s="27"/>
      <x:c r="U174" s="27"/>
      <x:c r="V174" s="27"/>
      <x:c r="W174" s="27"/>
      <x:c r="X174" s="27"/>
      <x:c r="Y174" s="27"/>
      <x:c r="Z174" s="27"/>
      <x:c r="AA174" s="27"/>
      <x:c r="AB174" s="27"/>
      <x:c r="AC174" s="27"/>
      <x:c r="AD174" s="27"/>
      <x:c r="AE174" s="27"/>
      <x:c r="AF174" s="27"/>
      <x:c r="AG174" s="27"/>
      <x:c r="AH174" s="27"/>
      <x:c r="AI174" s="27"/>
      <x:c r="AJ174" s="27"/>
      <x:c r="AK174" s="27"/>
      <x:c r="AL174" s="27"/>
      <x:c r="AM174" s="27"/>
      <x:c r="AN174" s="27"/>
      <x:c r="AO174" s="27"/>
      <x:c r="AP174" s="27"/>
      <x:c r="AQ174" s="27"/>
      <x:c r="AR174" s="27"/>
      <x:c r="AS174" s="27"/>
      <x:c r="AT174" s="27"/>
      <x:c r="AU174" s="27"/>
      <x:c r="AV174" s="27"/>
      <x:c r="AW174" s="27"/>
      <x:c r="AX174" s="27"/>
      <x:c r="AY174" s="27"/>
      <x:c r="AZ174" s="27"/>
    </x:row>
    <x:row r="175">
      <x:c r="A175" s="27"/>
      <x:c r="B175" s="27"/>
      <x:c r="C175" s="27"/>
      <x:c r="D175" s="27"/>
      <x:c r="E175" s="27"/>
      <x:c r="F175" s="27"/>
      <x:c r="G175" s="27"/>
      <x:c r="H175" s="27"/>
      <x:c r="I175" s="27"/>
      <x:c r="J175" s="27"/>
      <x:c r="K175" s="27"/>
      <x:c r="L175" s="27"/>
      <x:c r="M175" s="27"/>
      <x:c r="N175" s="27"/>
      <x:c r="O175" s="27"/>
      <x:c r="P175" s="27"/>
      <x:c r="Q175" s="27"/>
      <x:c r="R175" s="27"/>
      <x:c r="S175" s="27"/>
      <x:c r="T175" s="27"/>
      <x:c r="U175" s="27"/>
      <x:c r="V175" s="27"/>
      <x:c r="W175" s="27"/>
      <x:c r="X175" s="27"/>
      <x:c r="Y175" s="27"/>
      <x:c r="Z175" s="27"/>
      <x:c r="AA175" s="27"/>
      <x:c r="AB175" s="27"/>
      <x:c r="AC175" s="27"/>
      <x:c r="AD175" s="27"/>
      <x:c r="AE175" s="27"/>
      <x:c r="AF175" s="27"/>
      <x:c r="AG175" s="27"/>
      <x:c r="AH175" s="27"/>
      <x:c r="AI175" s="27"/>
      <x:c r="AJ175" s="27"/>
      <x:c r="AK175" s="27"/>
      <x:c r="AL175" s="27"/>
      <x:c r="AM175" s="27"/>
      <x:c r="AN175" s="27"/>
      <x:c r="AO175" s="27"/>
      <x:c r="AP175" s="27"/>
      <x:c r="AQ175" s="27"/>
      <x:c r="AR175" s="27"/>
      <x:c r="AS175" s="27"/>
      <x:c r="AT175" s="27"/>
      <x:c r="AU175" s="27"/>
      <x:c r="AV175" s="27"/>
      <x:c r="AW175" s="27"/>
      <x:c r="AX175" s="27"/>
      <x:c r="AY175" s="27"/>
      <x:c r="AZ175" s="27"/>
    </x:row>
    <x:row r="176">
      <x:c r="A176" s="27"/>
      <x:c r="B176" s="27"/>
      <x:c r="C176" s="27"/>
      <x:c r="D176" s="27"/>
      <x:c r="E176" s="27"/>
      <x:c r="F176" s="27"/>
      <x:c r="G176" s="27"/>
      <x:c r="H176" s="27"/>
      <x:c r="I176" s="27"/>
      <x:c r="J176" s="27"/>
      <x:c r="K176" s="27"/>
      <x:c r="L176" s="27"/>
      <x:c r="M176" s="27"/>
      <x:c r="N176" s="27"/>
      <x:c r="O176" s="27"/>
      <x:c r="P176" s="27"/>
      <x:c r="Q176" s="27"/>
      <x:c r="R176" s="27"/>
      <x:c r="S176" s="27"/>
      <x:c r="T176" s="27"/>
      <x:c r="U176" s="27"/>
      <x:c r="V176" s="27"/>
      <x:c r="W176" s="27"/>
      <x:c r="X176" s="27"/>
      <x:c r="Y176" s="27"/>
      <x:c r="Z176" s="27"/>
      <x:c r="AA176" s="27"/>
      <x:c r="AB176" s="27"/>
      <x:c r="AC176" s="27"/>
      <x:c r="AD176" s="27"/>
      <x:c r="AE176" s="27"/>
      <x:c r="AF176" s="27"/>
      <x:c r="AG176" s="27"/>
      <x:c r="AH176" s="27"/>
      <x:c r="AI176" s="27"/>
      <x:c r="AJ176" s="27"/>
      <x:c r="AK176" s="27"/>
      <x:c r="AL176" s="27"/>
      <x:c r="AM176" s="27"/>
      <x:c r="AN176" s="27"/>
      <x:c r="AO176" s="27"/>
      <x:c r="AP176" s="27"/>
      <x:c r="AQ176" s="27"/>
      <x:c r="AR176" s="27"/>
      <x:c r="AS176" s="27"/>
      <x:c r="AT176" s="27"/>
      <x:c r="AU176" s="27"/>
      <x:c r="AV176" s="27"/>
      <x:c r="AW176" s="27"/>
      <x:c r="AX176" s="27"/>
      <x:c r="AY176" s="27"/>
      <x:c r="AZ176" s="27"/>
    </x:row>
    <x:row r="177">
      <x:c r="A177" s="27"/>
      <x:c r="B177" s="27"/>
      <x:c r="C177" s="27"/>
      <x:c r="D177" s="27"/>
      <x:c r="E177" s="27"/>
      <x:c r="F177" s="27"/>
      <x:c r="G177" s="27"/>
      <x:c r="H177" s="27"/>
      <x:c r="I177" s="27"/>
      <x:c r="J177" s="27"/>
      <x:c r="K177" s="27"/>
      <x:c r="L177" s="27"/>
      <x:c r="M177" s="27"/>
      <x:c r="N177" s="27"/>
      <x:c r="O177" s="27"/>
      <x:c r="P177" s="27"/>
      <x:c r="Q177" s="27"/>
      <x:c r="R177" s="27"/>
      <x:c r="S177" s="27"/>
      <x:c r="T177" s="27"/>
      <x:c r="U177" s="27"/>
      <x:c r="V177" s="27"/>
      <x:c r="W177" s="27"/>
      <x:c r="X177" s="27"/>
      <x:c r="Y177" s="27"/>
      <x:c r="Z177" s="27"/>
      <x:c r="AA177" s="27"/>
      <x:c r="AB177" s="27"/>
      <x:c r="AC177" s="27"/>
      <x:c r="AD177" s="27"/>
      <x:c r="AE177" s="27"/>
      <x:c r="AF177" s="27"/>
      <x:c r="AG177" s="27"/>
      <x:c r="AH177" s="27"/>
      <x:c r="AI177" s="27"/>
      <x:c r="AJ177" s="27"/>
      <x:c r="AK177" s="27"/>
      <x:c r="AL177" s="27"/>
      <x:c r="AM177" s="27"/>
      <x:c r="AN177" s="27"/>
      <x:c r="AO177" s="27"/>
      <x:c r="AP177" s="27"/>
      <x:c r="AQ177" s="27"/>
      <x:c r="AR177" s="27"/>
      <x:c r="AS177" s="27"/>
      <x:c r="AT177" s="27"/>
      <x:c r="AU177" s="27"/>
      <x:c r="AV177" s="27"/>
      <x:c r="AW177" s="27"/>
      <x:c r="AX177" s="27"/>
      <x:c r="AY177" s="27"/>
      <x:c r="AZ177" s="27"/>
    </x:row>
    <x:row r="178">
      <x:c r="A178" s="27"/>
      <x:c r="B178" s="27"/>
      <x:c r="C178" s="27"/>
      <x:c r="D178" s="27"/>
      <x:c r="E178" s="27"/>
      <x:c r="F178" s="27"/>
      <x:c r="G178" s="27"/>
      <x:c r="H178" s="27"/>
      <x:c r="I178" s="27"/>
      <x:c r="J178" s="27"/>
      <x:c r="K178" s="27"/>
      <x:c r="L178" s="27"/>
      <x:c r="M178" s="27"/>
      <x:c r="N178" s="27"/>
      <x:c r="O178" s="27"/>
      <x:c r="P178" s="27"/>
      <x:c r="Q178" s="27"/>
      <x:c r="R178" s="27"/>
      <x:c r="S178" s="27"/>
      <x:c r="T178" s="27"/>
      <x:c r="U178" s="27"/>
      <x:c r="V178" s="27"/>
      <x:c r="W178" s="27"/>
      <x:c r="X178" s="27"/>
      <x:c r="Y178" s="27"/>
      <x:c r="Z178" s="27"/>
      <x:c r="AA178" s="27"/>
      <x:c r="AB178" s="27"/>
      <x:c r="AC178" s="27"/>
      <x:c r="AD178" s="27"/>
      <x:c r="AE178" s="27"/>
      <x:c r="AF178" s="27"/>
      <x:c r="AG178" s="27"/>
      <x:c r="AH178" s="27"/>
      <x:c r="AI178" s="27"/>
      <x:c r="AJ178" s="27"/>
      <x:c r="AK178" s="27"/>
      <x:c r="AL178" s="27"/>
      <x:c r="AM178" s="27"/>
      <x:c r="AN178" s="27"/>
      <x:c r="AO178" s="27"/>
      <x:c r="AP178" s="27"/>
      <x:c r="AQ178" s="27"/>
      <x:c r="AR178" s="27"/>
      <x:c r="AS178" s="27"/>
      <x:c r="AT178" s="27"/>
      <x:c r="AU178" s="27"/>
      <x:c r="AV178" s="27"/>
      <x:c r="AW178" s="27"/>
      <x:c r="AX178" s="27"/>
      <x:c r="AY178" s="27"/>
      <x:c r="AZ178" s="27"/>
    </x:row>
    <x:row r="179">
      <x:c r="A179" s="27"/>
      <x:c r="B179" s="27"/>
      <x:c r="C179" s="27"/>
      <x:c r="D179" s="27"/>
      <x:c r="E179" s="27"/>
      <x:c r="F179" s="27"/>
      <x:c r="G179" s="27"/>
      <x:c r="H179" s="27"/>
      <x:c r="I179" s="27"/>
      <x:c r="J179" s="27"/>
      <x:c r="K179" s="27"/>
      <x:c r="L179" s="27"/>
      <x:c r="M179" s="27"/>
      <x:c r="N179" s="27"/>
      <x:c r="O179" s="27"/>
      <x:c r="P179" s="27"/>
      <x:c r="Q179" s="27"/>
      <x:c r="R179" s="27"/>
      <x:c r="S179" s="27"/>
      <x:c r="T179" s="27"/>
      <x:c r="U179" s="27"/>
      <x:c r="V179" s="27"/>
      <x:c r="W179" s="27"/>
      <x:c r="X179" s="27"/>
      <x:c r="Y179" s="27"/>
      <x:c r="Z179" s="27"/>
      <x:c r="AA179" s="27"/>
      <x:c r="AB179" s="27"/>
      <x:c r="AC179" s="27"/>
      <x:c r="AD179" s="27"/>
      <x:c r="AE179" s="27"/>
      <x:c r="AF179" s="27"/>
      <x:c r="AG179" s="27"/>
      <x:c r="AH179" s="27"/>
      <x:c r="AI179" s="27"/>
      <x:c r="AJ179" s="27"/>
      <x:c r="AK179" s="27"/>
      <x:c r="AL179" s="27"/>
      <x:c r="AM179" s="27"/>
      <x:c r="AN179" s="27"/>
      <x:c r="AO179" s="27"/>
      <x:c r="AP179" s="27"/>
      <x:c r="AQ179" s="27"/>
      <x:c r="AR179" s="27"/>
      <x:c r="AS179" s="27"/>
      <x:c r="AT179" s="27"/>
      <x:c r="AU179" s="27"/>
      <x:c r="AV179" s="27"/>
      <x:c r="AW179" s="27"/>
      <x:c r="AX179" s="27"/>
      <x:c r="AY179" s="27"/>
      <x:c r="AZ179" s="27"/>
    </x:row>
    <x:row r="180">
      <x:c r="A180" s="27"/>
      <x:c r="B180" s="27"/>
      <x:c r="C180" s="27"/>
      <x:c r="D180" s="27"/>
      <x:c r="E180" s="27"/>
      <x:c r="F180" s="27"/>
      <x:c r="G180" s="27"/>
      <x:c r="H180" s="27"/>
      <x:c r="I180" s="27"/>
      <x:c r="J180" s="27"/>
      <x:c r="K180" s="27"/>
      <x:c r="L180" s="27"/>
      <x:c r="M180" s="27"/>
      <x:c r="N180" s="27"/>
      <x:c r="O180" s="27"/>
      <x:c r="P180" s="27"/>
      <x:c r="Q180" s="27"/>
      <x:c r="R180" s="27"/>
      <x:c r="S180" s="27"/>
      <x:c r="T180" s="27"/>
      <x:c r="U180" s="27"/>
      <x:c r="V180" s="27"/>
      <x:c r="W180" s="27"/>
      <x:c r="X180" s="27"/>
      <x:c r="Y180" s="27"/>
      <x:c r="Z180" s="27"/>
      <x:c r="AA180" s="27"/>
      <x:c r="AB180" s="27"/>
      <x:c r="AC180" s="27"/>
      <x:c r="AD180" s="27"/>
      <x:c r="AE180" s="27"/>
      <x:c r="AF180" s="27"/>
      <x:c r="AG180" s="27"/>
      <x:c r="AH180" s="27"/>
      <x:c r="AI180" s="27"/>
      <x:c r="AJ180" s="27"/>
      <x:c r="AK180" s="27"/>
      <x:c r="AL180" s="27"/>
      <x:c r="AM180" s="27"/>
      <x:c r="AN180" s="27"/>
      <x:c r="AO180" s="27"/>
      <x:c r="AP180" s="27"/>
      <x:c r="AQ180" s="27"/>
      <x:c r="AR180" s="27"/>
      <x:c r="AS180" s="27"/>
      <x:c r="AT180" s="27"/>
      <x:c r="AU180" s="27"/>
      <x:c r="AV180" s="27"/>
      <x:c r="AW180" s="27"/>
      <x:c r="AX180" s="27"/>
      <x:c r="AY180" s="27"/>
      <x:c r="AZ180" s="27"/>
    </x:row>
    <x:row r="181">
      <x:c r="A181" s="27"/>
      <x:c r="B181" s="27"/>
      <x:c r="C181" s="27"/>
      <x:c r="D181" s="27"/>
      <x:c r="E181" s="27"/>
      <x:c r="F181" s="27"/>
      <x:c r="G181" s="27"/>
      <x:c r="H181" s="27"/>
      <x:c r="I181" s="27"/>
      <x:c r="J181" s="27"/>
      <x:c r="K181" s="27"/>
      <x:c r="L181" s="27"/>
      <x:c r="M181" s="27"/>
      <x:c r="N181" s="27"/>
      <x:c r="O181" s="27"/>
      <x:c r="P181" s="27"/>
      <x:c r="Q181" s="27"/>
      <x:c r="R181" s="27"/>
      <x:c r="S181" s="27"/>
      <x:c r="T181" s="27"/>
      <x:c r="U181" s="27"/>
      <x:c r="V181" s="27"/>
      <x:c r="W181" s="27"/>
      <x:c r="X181" s="27"/>
      <x:c r="Y181" s="27"/>
      <x:c r="Z181" s="27"/>
      <x:c r="AA181" s="27"/>
      <x:c r="AB181" s="27"/>
      <x:c r="AC181" s="27"/>
      <x:c r="AD181" s="27"/>
      <x:c r="AE181" s="27"/>
      <x:c r="AF181" s="27"/>
      <x:c r="AG181" s="27"/>
      <x:c r="AH181" s="27"/>
      <x:c r="AI181" s="27"/>
      <x:c r="AJ181" s="27"/>
      <x:c r="AK181" s="27"/>
      <x:c r="AL181" s="27"/>
      <x:c r="AM181" s="27"/>
      <x:c r="AN181" s="27"/>
      <x:c r="AO181" s="27"/>
      <x:c r="AP181" s="27"/>
      <x:c r="AQ181" s="27"/>
      <x:c r="AR181" s="27"/>
      <x:c r="AS181" s="27"/>
      <x:c r="AT181" s="27"/>
      <x:c r="AU181" s="27"/>
      <x:c r="AV181" s="27"/>
      <x:c r="AW181" s="27"/>
      <x:c r="AX181" s="27"/>
      <x:c r="AY181" s="27"/>
      <x:c r="AZ181" s="27"/>
    </x:row>
    <x:row r="182">
      <x:c r="A182" s="27"/>
      <x:c r="B182" s="27"/>
      <x:c r="C182" s="27"/>
      <x:c r="D182" s="27"/>
      <x:c r="E182" s="27"/>
      <x:c r="F182" s="27"/>
      <x:c r="G182" s="27"/>
      <x:c r="H182" s="27"/>
      <x:c r="I182" s="27"/>
      <x:c r="J182" s="27"/>
      <x:c r="K182" s="27"/>
      <x:c r="L182" s="27"/>
      <x:c r="M182" s="27"/>
      <x:c r="N182" s="27"/>
      <x:c r="O182" s="27"/>
      <x:c r="P182" s="27"/>
      <x:c r="Q182" s="27"/>
      <x:c r="R182" s="27"/>
      <x:c r="S182" s="27"/>
      <x:c r="T182" s="27"/>
      <x:c r="U182" s="27"/>
      <x:c r="V182" s="27"/>
      <x:c r="W182" s="27"/>
      <x:c r="X182" s="27"/>
      <x:c r="Y182" s="27"/>
      <x:c r="Z182" s="27"/>
      <x:c r="AA182" s="27"/>
      <x:c r="AB182" s="27"/>
      <x:c r="AC182" s="27"/>
      <x:c r="AD182" s="27"/>
      <x:c r="AE182" s="27"/>
      <x:c r="AF182" s="27"/>
      <x:c r="AG182" s="27"/>
      <x:c r="AH182" s="27"/>
      <x:c r="AI182" s="27"/>
      <x:c r="AJ182" s="27"/>
      <x:c r="AK182" s="27"/>
      <x:c r="AL182" s="27"/>
      <x:c r="AM182" s="27"/>
      <x:c r="AN182" s="27"/>
      <x:c r="AO182" s="27"/>
      <x:c r="AP182" s="27"/>
      <x:c r="AQ182" s="27"/>
      <x:c r="AR182" s="27"/>
      <x:c r="AS182" s="27"/>
      <x:c r="AT182" s="27"/>
      <x:c r="AU182" s="27"/>
      <x:c r="AV182" s="27"/>
      <x:c r="AW182" s="27"/>
      <x:c r="AX182" s="27"/>
      <x:c r="AY182" s="27"/>
      <x:c r="AZ182" s="27"/>
    </x:row>
    <x:row r="183">
      <x:c r="A183" s="27"/>
      <x:c r="B183" s="27"/>
      <x:c r="C183" s="27"/>
      <x:c r="D183" s="27"/>
      <x:c r="E183" s="27"/>
      <x:c r="F183" s="27"/>
      <x:c r="G183" s="27"/>
      <x:c r="H183" s="27"/>
      <x:c r="I183" s="27"/>
      <x:c r="J183" s="27"/>
      <x:c r="K183" s="27"/>
      <x:c r="L183" s="27"/>
      <x:c r="M183" s="27"/>
      <x:c r="N183" s="27"/>
      <x:c r="O183" s="27"/>
      <x:c r="P183" s="27"/>
      <x:c r="Q183" s="27"/>
      <x:c r="R183" s="27"/>
      <x:c r="S183" s="27"/>
      <x:c r="T183" s="27"/>
      <x:c r="U183" s="27"/>
      <x:c r="V183" s="27"/>
      <x:c r="W183" s="27"/>
      <x:c r="X183" s="27"/>
      <x:c r="Y183" s="27"/>
      <x:c r="Z183" s="27"/>
      <x:c r="AA183" s="27"/>
      <x:c r="AB183" s="27"/>
      <x:c r="AC183" s="27"/>
      <x:c r="AD183" s="27"/>
      <x:c r="AE183" s="27"/>
      <x:c r="AF183" s="27"/>
      <x:c r="AG183" s="27"/>
      <x:c r="AH183" s="27"/>
      <x:c r="AI183" s="27"/>
      <x:c r="AJ183" s="27"/>
      <x:c r="AK183" s="27"/>
      <x:c r="AL183" s="27"/>
      <x:c r="AM183" s="27"/>
      <x:c r="AN183" s="27"/>
      <x:c r="AO183" s="27"/>
      <x:c r="AP183" s="27"/>
      <x:c r="AQ183" s="27"/>
      <x:c r="AR183" s="27"/>
      <x:c r="AS183" s="27"/>
      <x:c r="AT183" s="27"/>
      <x:c r="AU183" s="27"/>
      <x:c r="AV183" s="27"/>
      <x:c r="AW183" s="27"/>
      <x:c r="AX183" s="27"/>
      <x:c r="AY183" s="27"/>
      <x:c r="AZ183" s="27"/>
    </x:row>
    <x:row r="184">
      <x:c r="A184" s="27"/>
      <x:c r="B184" s="27"/>
      <x:c r="C184" s="27"/>
      <x:c r="D184" s="27"/>
      <x:c r="E184" s="27"/>
      <x:c r="F184" s="27"/>
      <x:c r="G184" s="27"/>
      <x:c r="H184" s="27"/>
      <x:c r="I184" s="27"/>
      <x:c r="J184" s="27"/>
      <x:c r="K184" s="27"/>
      <x:c r="L184" s="27"/>
      <x:c r="M184" s="27"/>
      <x:c r="N184" s="27"/>
      <x:c r="O184" s="27"/>
      <x:c r="P184" s="27"/>
      <x:c r="Q184" s="27"/>
      <x:c r="R184" s="27"/>
      <x:c r="S184" s="27"/>
      <x:c r="T184" s="27"/>
      <x:c r="U184" s="27"/>
      <x:c r="V184" s="27"/>
      <x:c r="W184" s="27"/>
      <x:c r="X184" s="27"/>
      <x:c r="Y184" s="27"/>
      <x:c r="Z184" s="27"/>
      <x:c r="AA184" s="27"/>
      <x:c r="AB184" s="27"/>
      <x:c r="AC184" s="27"/>
      <x:c r="AD184" s="27"/>
      <x:c r="AE184" s="27"/>
      <x:c r="AF184" s="27"/>
      <x:c r="AG184" s="27"/>
      <x:c r="AH184" s="27"/>
      <x:c r="AI184" s="27"/>
      <x:c r="AJ184" s="27"/>
      <x:c r="AK184" s="27"/>
      <x:c r="AL184" s="27"/>
      <x:c r="AM184" s="27"/>
      <x:c r="AN184" s="27"/>
      <x:c r="AO184" s="27"/>
      <x:c r="AP184" s="27"/>
      <x:c r="AQ184" s="27"/>
      <x:c r="AR184" s="27"/>
      <x:c r="AS184" s="27"/>
      <x:c r="AT184" s="27"/>
      <x:c r="AU184" s="27"/>
      <x:c r="AV184" s="27"/>
      <x:c r="AW184" s="27"/>
      <x:c r="AX184" s="27"/>
      <x:c r="AY184" s="27"/>
      <x:c r="AZ184" s="27"/>
    </x:row>
    <x:row r="185">
      <x:c r="A185" s="27"/>
      <x:c r="B185" s="27"/>
      <x:c r="C185" s="27"/>
      <x:c r="D185" s="27"/>
      <x:c r="E185" s="27"/>
      <x:c r="F185" s="27"/>
      <x:c r="G185" s="27"/>
      <x:c r="H185" s="27"/>
      <x:c r="I185" s="27"/>
      <x:c r="J185" s="27"/>
      <x:c r="K185" s="27"/>
      <x:c r="L185" s="27"/>
      <x:c r="M185" s="27"/>
      <x:c r="N185" s="27"/>
      <x:c r="O185" s="27"/>
      <x:c r="P185" s="27"/>
      <x:c r="Q185" s="27"/>
      <x:c r="R185" s="27"/>
      <x:c r="S185" s="27"/>
      <x:c r="T185" s="27"/>
      <x:c r="U185" s="27"/>
      <x:c r="V185" s="27"/>
      <x:c r="W185" s="27"/>
      <x:c r="X185" s="27"/>
      <x:c r="Y185" s="27"/>
      <x:c r="Z185" s="27"/>
      <x:c r="AA185" s="27"/>
      <x:c r="AB185" s="27"/>
      <x:c r="AC185" s="27"/>
      <x:c r="AD185" s="27"/>
      <x:c r="AE185" s="27"/>
      <x:c r="AF185" s="27"/>
      <x:c r="AG185" s="27"/>
      <x:c r="AH185" s="27"/>
      <x:c r="AI185" s="27"/>
      <x:c r="AJ185" s="27"/>
      <x:c r="AK185" s="27"/>
      <x:c r="AL185" s="27"/>
      <x:c r="AM185" s="27"/>
      <x:c r="AN185" s="27"/>
      <x:c r="AO185" s="27"/>
      <x:c r="AP185" s="27"/>
      <x:c r="AQ185" s="27"/>
      <x:c r="AR185" s="27"/>
      <x:c r="AS185" s="27"/>
      <x:c r="AT185" s="27"/>
      <x:c r="AU185" s="27"/>
      <x:c r="AV185" s="27"/>
      <x:c r="AW185" s="27"/>
      <x:c r="AX185" s="27"/>
      <x:c r="AY185" s="27"/>
      <x:c r="AZ185" s="27"/>
    </x:row>
    <x:row r="186">
      <x:c r="A186" s="27"/>
      <x:c r="B186" s="27"/>
      <x:c r="C186" s="27"/>
      <x:c r="D186" s="27"/>
      <x:c r="E186" s="27"/>
      <x:c r="F186" s="27"/>
      <x:c r="G186" s="27"/>
      <x:c r="H186" s="27"/>
      <x:c r="I186" s="27"/>
      <x:c r="J186" s="27"/>
      <x:c r="K186" s="27"/>
      <x:c r="L186" s="27"/>
      <x:c r="M186" s="27"/>
      <x:c r="N186" s="27"/>
      <x:c r="O186" s="27"/>
      <x:c r="P186" s="27"/>
      <x:c r="Q186" s="27"/>
      <x:c r="R186" s="27"/>
      <x:c r="S186" s="27"/>
      <x:c r="T186" s="27"/>
      <x:c r="U186" s="27"/>
      <x:c r="V186" s="27"/>
      <x:c r="W186" s="27"/>
      <x:c r="X186" s="27"/>
      <x:c r="Y186" s="27"/>
      <x:c r="Z186" s="27"/>
      <x:c r="AA186" s="27"/>
      <x:c r="AB186" s="27"/>
      <x:c r="AC186" s="27"/>
      <x:c r="AD186" s="27"/>
      <x:c r="AE186" s="27"/>
      <x:c r="AF186" s="27"/>
      <x:c r="AG186" s="27"/>
      <x:c r="AH186" s="27"/>
      <x:c r="AI186" s="27"/>
      <x:c r="AJ186" s="27"/>
      <x:c r="AK186" s="27"/>
      <x:c r="AL186" s="27"/>
      <x:c r="AM186" s="27"/>
      <x:c r="AN186" s="27"/>
      <x:c r="AO186" s="27"/>
      <x:c r="AP186" s="27"/>
      <x:c r="AQ186" s="27"/>
      <x:c r="AR186" s="27"/>
      <x:c r="AS186" s="27"/>
      <x:c r="AT186" s="27"/>
      <x:c r="AU186" s="27"/>
      <x:c r="AV186" s="27"/>
      <x:c r="AW186" s="27"/>
      <x:c r="AX186" s="27"/>
      <x:c r="AY186" s="27"/>
      <x:c r="AZ186" s="27"/>
    </x:row>
    <x:row r="187">
      <x:c r="A187" s="27"/>
      <x:c r="B187" s="27"/>
      <x:c r="C187" s="27"/>
      <x:c r="D187" s="27"/>
      <x:c r="E187" s="27"/>
      <x:c r="F187" s="27"/>
      <x:c r="G187" s="27"/>
      <x:c r="H187" s="27"/>
      <x:c r="I187" s="27"/>
      <x:c r="J187" s="27"/>
      <x:c r="K187" s="27"/>
      <x:c r="L187" s="27"/>
      <x:c r="M187" s="27"/>
      <x:c r="N187" s="27"/>
      <x:c r="O187" s="27"/>
      <x:c r="P187" s="27"/>
      <x:c r="Q187" s="27"/>
      <x:c r="R187" s="27"/>
      <x:c r="S187" s="27"/>
      <x:c r="T187" s="27"/>
      <x:c r="U187" s="27"/>
      <x:c r="V187" s="27"/>
      <x:c r="W187" s="27"/>
      <x:c r="X187" s="27"/>
      <x:c r="Y187" s="27"/>
      <x:c r="Z187" s="27"/>
      <x:c r="AA187" s="27"/>
      <x:c r="AB187" s="27"/>
      <x:c r="AC187" s="27"/>
      <x:c r="AD187" s="27"/>
      <x:c r="AE187" s="27"/>
      <x:c r="AF187" s="27"/>
      <x:c r="AG187" s="27"/>
      <x:c r="AH187" s="27"/>
      <x:c r="AI187" s="27"/>
      <x:c r="AJ187" s="27"/>
      <x:c r="AK187" s="27"/>
      <x:c r="AL187" s="27"/>
      <x:c r="AM187" s="27"/>
      <x:c r="AN187" s="27"/>
      <x:c r="AO187" s="27"/>
      <x:c r="AP187" s="27"/>
      <x:c r="AQ187" s="27"/>
      <x:c r="AR187" s="27"/>
      <x:c r="AS187" s="27"/>
      <x:c r="AT187" s="27"/>
      <x:c r="AU187" s="27"/>
      <x:c r="AV187" s="27"/>
      <x:c r="AW187" s="27"/>
      <x:c r="AX187" s="27"/>
      <x:c r="AY187" s="27"/>
      <x:c r="AZ187" s="27"/>
    </x:row>
    <x:row r="188">
      <x:c r="A188" s="27"/>
      <x:c r="B188" s="27"/>
      <x:c r="C188" s="27"/>
      <x:c r="D188" s="27"/>
      <x:c r="E188" s="27"/>
      <x:c r="F188" s="27"/>
      <x:c r="G188" s="27"/>
      <x:c r="H188" s="27"/>
      <x:c r="I188" s="27"/>
      <x:c r="J188" s="27"/>
      <x:c r="K188" s="27"/>
      <x:c r="L188" s="27"/>
      <x:c r="M188" s="27"/>
      <x:c r="N188" s="27"/>
      <x:c r="O188" s="27"/>
      <x:c r="P188" s="27"/>
      <x:c r="Q188" s="27"/>
      <x:c r="R188" s="27"/>
      <x:c r="S188" s="27"/>
      <x:c r="T188" s="27"/>
      <x:c r="U188" s="27"/>
      <x:c r="V188" s="27"/>
      <x:c r="W188" s="27"/>
      <x:c r="X188" s="27"/>
      <x:c r="Y188" s="27"/>
      <x:c r="Z188" s="27"/>
      <x:c r="AA188" s="27"/>
      <x:c r="AB188" s="27"/>
      <x:c r="AC188" s="27"/>
      <x:c r="AD188" s="27"/>
      <x:c r="AE188" s="27"/>
      <x:c r="AF188" s="27"/>
      <x:c r="AG188" s="27"/>
      <x:c r="AH188" s="27"/>
      <x:c r="AI188" s="27"/>
      <x:c r="AJ188" s="27"/>
      <x:c r="AK188" s="27"/>
      <x:c r="AL188" s="27"/>
      <x:c r="AM188" s="27"/>
      <x:c r="AN188" s="27"/>
      <x:c r="AO188" s="27"/>
      <x:c r="AP188" s="27"/>
      <x:c r="AQ188" s="27"/>
      <x:c r="AR188" s="27"/>
      <x:c r="AS188" s="27"/>
      <x:c r="AT188" s="27"/>
      <x:c r="AU188" s="27"/>
      <x:c r="AV188" s="27"/>
      <x:c r="AW188" s="27"/>
      <x:c r="AX188" s="27"/>
      <x:c r="AY188" s="27"/>
      <x:c r="AZ188" s="27"/>
    </x:row>
    <x:row r="189">
      <x:c r="A189" s="27"/>
      <x:c r="B189" s="27"/>
      <x:c r="C189" s="27"/>
      <x:c r="D189" s="27"/>
      <x:c r="E189" s="27"/>
      <x:c r="F189" s="27"/>
      <x:c r="G189" s="27"/>
      <x:c r="H189" s="27"/>
      <x:c r="I189" s="27"/>
      <x:c r="J189" s="27"/>
      <x:c r="K189" s="27"/>
      <x:c r="L189" s="27"/>
      <x:c r="M189" s="27"/>
      <x:c r="N189" s="27"/>
      <x:c r="O189" s="27"/>
      <x:c r="P189" s="27"/>
      <x:c r="Q189" s="27"/>
      <x:c r="R189" s="27"/>
      <x:c r="S189" s="27"/>
      <x:c r="T189" s="27"/>
      <x:c r="U189" s="27"/>
      <x:c r="V189" s="27"/>
      <x:c r="W189" s="27"/>
      <x:c r="X189" s="27"/>
      <x:c r="Y189" s="27"/>
      <x:c r="Z189" s="27"/>
      <x:c r="AA189" s="27"/>
      <x:c r="AB189" s="27"/>
      <x:c r="AC189" s="27"/>
      <x:c r="AD189" s="27"/>
      <x:c r="AE189" s="27"/>
      <x:c r="AF189" s="27"/>
      <x:c r="AG189" s="27"/>
      <x:c r="AH189" s="27"/>
      <x:c r="AI189" s="27"/>
      <x:c r="AJ189" s="27"/>
      <x:c r="AK189" s="27"/>
      <x:c r="AL189" s="27"/>
      <x:c r="AM189" s="27"/>
      <x:c r="AN189" s="27"/>
      <x:c r="AO189" s="27"/>
      <x:c r="AP189" s="27"/>
      <x:c r="AQ189" s="27"/>
      <x:c r="AR189" s="27"/>
      <x:c r="AS189" s="27"/>
      <x:c r="AT189" s="27"/>
      <x:c r="AU189" s="27"/>
      <x:c r="AV189" s="27"/>
      <x:c r="AW189" s="27"/>
      <x:c r="AX189" s="27"/>
      <x:c r="AY189" s="27"/>
      <x:c r="AZ189" s="27"/>
    </x:row>
    <x:row r="190">
      <x:c r="A190" s="27"/>
      <x:c r="B190" s="27"/>
      <x:c r="C190" s="27"/>
      <x:c r="D190" s="27"/>
      <x:c r="E190" s="27"/>
      <x:c r="F190" s="27"/>
      <x:c r="G190" s="27"/>
      <x:c r="H190" s="27"/>
      <x:c r="I190" s="27"/>
      <x:c r="J190" s="27"/>
      <x:c r="K190" s="27"/>
      <x:c r="L190" s="27"/>
      <x:c r="M190" s="27"/>
      <x:c r="N190" s="27"/>
      <x:c r="O190" s="27"/>
      <x:c r="P190" s="27"/>
      <x:c r="Q190" s="27"/>
      <x:c r="R190" s="27"/>
      <x:c r="S190" s="27"/>
      <x:c r="T190" s="27"/>
      <x:c r="U190" s="27"/>
      <x:c r="V190" s="27"/>
      <x:c r="W190" s="27"/>
      <x:c r="X190" s="27"/>
      <x:c r="Y190" s="27"/>
      <x:c r="Z190" s="27"/>
      <x:c r="AA190" s="27"/>
      <x:c r="AB190" s="27"/>
      <x:c r="AC190" s="27"/>
      <x:c r="AD190" s="27"/>
      <x:c r="AE190" s="27"/>
      <x:c r="AF190" s="27"/>
      <x:c r="AG190" s="27"/>
      <x:c r="AH190" s="27"/>
      <x:c r="AI190" s="27"/>
      <x:c r="AJ190" s="27"/>
      <x:c r="AK190" s="27"/>
      <x:c r="AL190" s="27"/>
      <x:c r="AM190" s="27"/>
      <x:c r="AN190" s="27"/>
      <x:c r="AO190" s="27"/>
      <x:c r="AP190" s="27"/>
      <x:c r="AQ190" s="27"/>
      <x:c r="AR190" s="27"/>
      <x:c r="AS190" s="27"/>
      <x:c r="AT190" s="27"/>
      <x:c r="AU190" s="27"/>
      <x:c r="AV190" s="27"/>
      <x:c r="AW190" s="27"/>
      <x:c r="AX190" s="27"/>
      <x:c r="AY190" s="27"/>
      <x:c r="AZ190" s="27"/>
    </x:row>
    <x:row r="191">
      <x:c r="A191" s="27"/>
      <x:c r="B191" s="27"/>
      <x:c r="C191" s="27"/>
      <x:c r="D191" s="27"/>
      <x:c r="E191" s="27"/>
      <x:c r="F191" s="27"/>
      <x:c r="G191" s="27"/>
      <x:c r="H191" s="27"/>
      <x:c r="I191" s="27"/>
      <x:c r="J191" s="27"/>
      <x:c r="K191" s="27"/>
      <x:c r="L191" s="27"/>
      <x:c r="M191" s="27"/>
      <x:c r="N191" s="27"/>
      <x:c r="O191" s="27"/>
      <x:c r="P191" s="27"/>
      <x:c r="Q191" s="27"/>
      <x:c r="R191" s="27"/>
      <x:c r="S191" s="27"/>
      <x:c r="T191" s="27"/>
      <x:c r="U191" s="27"/>
      <x:c r="V191" s="27"/>
      <x:c r="W191" s="27"/>
      <x:c r="X191" s="27"/>
      <x:c r="Y191" s="27"/>
      <x:c r="Z191" s="27"/>
      <x:c r="AA191" s="27"/>
      <x:c r="AB191" s="27"/>
      <x:c r="AC191" s="27"/>
      <x:c r="AD191" s="27"/>
      <x:c r="AE191" s="27"/>
      <x:c r="AF191" s="27"/>
      <x:c r="AG191" s="27"/>
      <x:c r="AH191" s="27"/>
      <x:c r="AI191" s="27"/>
      <x:c r="AJ191" s="27"/>
      <x:c r="AK191" s="27"/>
      <x:c r="AL191" s="27"/>
      <x:c r="AM191" s="27"/>
      <x:c r="AN191" s="27"/>
      <x:c r="AO191" s="27"/>
      <x:c r="AP191" s="27"/>
      <x:c r="AQ191" s="27"/>
      <x:c r="AR191" s="27"/>
      <x:c r="AS191" s="27"/>
      <x:c r="AT191" s="27"/>
      <x:c r="AU191" s="27"/>
      <x:c r="AV191" s="27"/>
      <x:c r="AW191" s="27"/>
      <x:c r="AX191" s="27"/>
      <x:c r="AY191" s="27"/>
      <x:c r="AZ191" s="27"/>
    </x:row>
    <x:row r="192">
      <x:c r="A192" s="27"/>
      <x:c r="B192" s="27"/>
      <x:c r="C192" s="27"/>
      <x:c r="D192" s="27"/>
      <x:c r="E192" s="27"/>
      <x:c r="F192" s="27"/>
      <x:c r="G192" s="27"/>
      <x:c r="H192" s="27"/>
      <x:c r="I192" s="27"/>
      <x:c r="J192" s="27"/>
      <x:c r="K192" s="27"/>
      <x:c r="L192" s="27"/>
      <x:c r="M192" s="27"/>
      <x:c r="N192" s="27"/>
      <x:c r="O192" s="27"/>
      <x:c r="P192" s="27"/>
      <x:c r="Q192" s="27"/>
      <x:c r="R192" s="27"/>
      <x:c r="S192" s="27"/>
      <x:c r="T192" s="27"/>
      <x:c r="U192" s="27"/>
      <x:c r="V192" s="27"/>
      <x:c r="W192" s="27"/>
      <x:c r="X192" s="27"/>
      <x:c r="Y192" s="27"/>
      <x:c r="Z192" s="27"/>
      <x:c r="AA192" s="27"/>
      <x:c r="AB192" s="27"/>
      <x:c r="AC192" s="27"/>
      <x:c r="AD192" s="27"/>
      <x:c r="AE192" s="27"/>
      <x:c r="AF192" s="27"/>
      <x:c r="AG192" s="27"/>
      <x:c r="AH192" s="27"/>
      <x:c r="AI192" s="27"/>
      <x:c r="AJ192" s="27"/>
      <x:c r="AK192" s="27"/>
      <x:c r="AL192" s="27"/>
      <x:c r="AM192" s="27"/>
      <x:c r="AN192" s="27"/>
      <x:c r="AO192" s="27"/>
      <x:c r="AP192" s="27"/>
      <x:c r="AQ192" s="27"/>
      <x:c r="AR192" s="27"/>
      <x:c r="AS192" s="27"/>
      <x:c r="AT192" s="27"/>
      <x:c r="AU192" s="27"/>
      <x:c r="AV192" s="27"/>
      <x:c r="AW192" s="27"/>
      <x:c r="AX192" s="27"/>
      <x:c r="AY192" s="27"/>
      <x:c r="AZ192" s="27"/>
    </x:row>
    <x:row r="193">
      <x:c r="A193" s="27"/>
      <x:c r="B193" s="27"/>
      <x:c r="C193" s="27"/>
      <x:c r="D193" s="27"/>
      <x:c r="E193" s="27"/>
      <x:c r="F193" s="27"/>
      <x:c r="G193" s="27"/>
      <x:c r="H193" s="27"/>
      <x:c r="I193" s="27"/>
      <x:c r="J193" s="27"/>
      <x:c r="K193" s="27"/>
      <x:c r="L193" s="27"/>
      <x:c r="M193" s="27"/>
      <x:c r="N193" s="27"/>
      <x:c r="O193" s="27"/>
      <x:c r="P193" s="27"/>
      <x:c r="Q193" s="27"/>
      <x:c r="R193" s="27"/>
      <x:c r="S193" s="27"/>
      <x:c r="T193" s="27"/>
      <x:c r="U193" s="27"/>
      <x:c r="V193" s="27"/>
      <x:c r="W193" s="27"/>
      <x:c r="X193" s="27"/>
      <x:c r="Y193" s="27"/>
      <x:c r="Z193" s="27"/>
      <x:c r="AA193" s="27"/>
      <x:c r="AB193" s="27"/>
      <x:c r="AC193" s="27"/>
      <x:c r="AD193" s="27"/>
      <x:c r="AE193" s="27"/>
      <x:c r="AF193" s="27"/>
      <x:c r="AG193" s="27"/>
      <x:c r="AH193" s="27"/>
      <x:c r="AI193" s="27"/>
      <x:c r="AJ193" s="27"/>
      <x:c r="AK193" s="27"/>
      <x:c r="AL193" s="27"/>
      <x:c r="AM193" s="27"/>
      <x:c r="AN193" s="27"/>
      <x:c r="AO193" s="27"/>
      <x:c r="AP193" s="27"/>
      <x:c r="AQ193" s="27"/>
      <x:c r="AR193" s="27"/>
      <x:c r="AS193" s="27"/>
      <x:c r="AT193" s="27"/>
      <x:c r="AU193" s="27"/>
      <x:c r="AV193" s="27"/>
      <x:c r="AW193" s="27"/>
      <x:c r="AX193" s="27"/>
      <x:c r="AY193" s="27"/>
      <x:c r="AZ193" s="27"/>
    </x:row>
    <x:row r="194">
      <x:c r="A194" s="27"/>
      <x:c r="B194" s="27"/>
      <x:c r="C194" s="27"/>
      <x:c r="D194" s="27"/>
      <x:c r="E194" s="27"/>
      <x:c r="F194" s="27"/>
      <x:c r="G194" s="27"/>
      <x:c r="H194" s="27"/>
      <x:c r="I194" s="27"/>
      <x:c r="J194" s="27"/>
      <x:c r="K194" s="27"/>
      <x:c r="L194" s="27"/>
      <x:c r="M194" s="27"/>
      <x:c r="N194" s="27"/>
      <x:c r="O194" s="27"/>
      <x:c r="P194" s="27"/>
      <x:c r="Q194" s="27"/>
      <x:c r="R194" s="27"/>
      <x:c r="S194" s="27"/>
      <x:c r="T194" s="27"/>
      <x:c r="U194" s="27"/>
      <x:c r="V194" s="27"/>
      <x:c r="W194" s="27"/>
      <x:c r="X194" s="27"/>
      <x:c r="Y194" s="27"/>
      <x:c r="Z194" s="27"/>
      <x:c r="AA194" s="27"/>
      <x:c r="AB194" s="27"/>
      <x:c r="AC194" s="27"/>
      <x:c r="AD194" s="27"/>
      <x:c r="AE194" s="27"/>
      <x:c r="AF194" s="27"/>
      <x:c r="AG194" s="27"/>
      <x:c r="AH194" s="27"/>
      <x:c r="AI194" s="27"/>
      <x:c r="AJ194" s="27"/>
      <x:c r="AK194" s="27"/>
      <x:c r="AL194" s="27"/>
      <x:c r="AM194" s="27"/>
      <x:c r="AN194" s="27"/>
      <x:c r="AO194" s="27"/>
      <x:c r="AP194" s="27"/>
      <x:c r="AQ194" s="27"/>
      <x:c r="AR194" s="27"/>
      <x:c r="AS194" s="27"/>
      <x:c r="AT194" s="27"/>
      <x:c r="AU194" s="27"/>
      <x:c r="AV194" s="27"/>
      <x:c r="AW194" s="27"/>
      <x:c r="AX194" s="27"/>
      <x:c r="AY194" s="27"/>
      <x:c r="AZ194" s="27"/>
    </x:row>
    <x:row r="195">
      <x:c r="A195" s="27"/>
      <x:c r="B195" s="27"/>
      <x:c r="C195" s="27"/>
      <x:c r="D195" s="27"/>
      <x:c r="E195" s="27"/>
      <x:c r="F195" s="27"/>
      <x:c r="G195" s="27"/>
      <x:c r="H195" s="27"/>
      <x:c r="I195" s="27"/>
      <x:c r="J195" s="27"/>
      <x:c r="K195" s="27"/>
      <x:c r="L195" s="27"/>
      <x:c r="M195" s="27"/>
      <x:c r="N195" s="27"/>
      <x:c r="O195" s="27"/>
      <x:c r="P195" s="27"/>
      <x:c r="Q195" s="27"/>
      <x:c r="R195" s="27"/>
      <x:c r="S195" s="27"/>
      <x:c r="T195" s="27"/>
      <x:c r="U195" s="27"/>
      <x:c r="V195" s="27"/>
      <x:c r="W195" s="27"/>
      <x:c r="X195" s="27"/>
      <x:c r="Y195" s="27"/>
      <x:c r="Z195" s="27"/>
      <x:c r="AA195" s="27"/>
      <x:c r="AB195" s="27"/>
      <x:c r="AC195" s="27"/>
      <x:c r="AD195" s="27"/>
      <x:c r="AE195" s="27"/>
      <x:c r="AF195" s="27"/>
      <x:c r="AG195" s="27"/>
      <x:c r="AH195" s="27"/>
      <x:c r="AI195" s="27"/>
      <x:c r="AJ195" s="27"/>
      <x:c r="AK195" s="27"/>
      <x:c r="AL195" s="27"/>
      <x:c r="AM195" s="27"/>
      <x:c r="AN195" s="27"/>
      <x:c r="AO195" s="27"/>
      <x:c r="AP195" s="27"/>
      <x:c r="AQ195" s="27"/>
      <x:c r="AR195" s="27"/>
      <x:c r="AS195" s="27"/>
      <x:c r="AT195" s="27"/>
      <x:c r="AU195" s="27"/>
      <x:c r="AV195" s="27"/>
      <x:c r="AW195" s="27"/>
      <x:c r="AX195" s="27"/>
      <x:c r="AY195" s="27"/>
      <x:c r="AZ195" s="27"/>
    </x:row>
    <x:row r="196">
      <x:c r="A196" s="27"/>
      <x:c r="B196" s="27"/>
      <x:c r="C196" s="27"/>
      <x:c r="D196" s="27"/>
      <x:c r="E196" s="27"/>
      <x:c r="F196" s="27"/>
      <x:c r="G196" s="27"/>
      <x:c r="H196" s="27"/>
      <x:c r="I196" s="27"/>
      <x:c r="J196" s="27"/>
      <x:c r="K196" s="27"/>
      <x:c r="L196" s="27"/>
      <x:c r="M196" s="27"/>
      <x:c r="N196" s="27"/>
      <x:c r="O196" s="27"/>
      <x:c r="P196" s="27"/>
      <x:c r="Q196" s="27"/>
      <x:c r="R196" s="27"/>
      <x:c r="S196" s="27"/>
      <x:c r="T196" s="27"/>
      <x:c r="U196" s="27"/>
      <x:c r="V196" s="27"/>
      <x:c r="W196" s="27"/>
      <x:c r="X196" s="27"/>
      <x:c r="Y196" s="27"/>
      <x:c r="Z196" s="27"/>
      <x:c r="AA196" s="27"/>
      <x:c r="AB196" s="27"/>
      <x:c r="AC196" s="27"/>
      <x:c r="AD196" s="27"/>
      <x:c r="AE196" s="27"/>
      <x:c r="AF196" s="27"/>
      <x:c r="AG196" s="27"/>
      <x:c r="AH196" s="27"/>
      <x:c r="AI196" s="27"/>
      <x:c r="AJ196" s="27"/>
      <x:c r="AK196" s="27"/>
      <x:c r="AL196" s="27"/>
      <x:c r="AM196" s="27"/>
      <x:c r="AN196" s="27"/>
      <x:c r="AO196" s="27"/>
      <x:c r="AP196" s="27"/>
      <x:c r="AQ196" s="27"/>
      <x:c r="AR196" s="27"/>
      <x:c r="AS196" s="27"/>
      <x:c r="AT196" s="27"/>
      <x:c r="AU196" s="27"/>
      <x:c r="AV196" s="27"/>
      <x:c r="AW196" s="27"/>
      <x:c r="AX196" s="27"/>
      <x:c r="AY196" s="27"/>
      <x:c r="AZ196" s="27"/>
    </x:row>
    <x:row r="197">
      <x:c r="A197" s="27"/>
      <x:c r="B197" s="27"/>
      <x:c r="C197" s="27"/>
      <x:c r="D197" s="27"/>
      <x:c r="E197" s="27"/>
      <x:c r="F197" s="27"/>
      <x:c r="G197" s="27"/>
      <x:c r="H197" s="27"/>
      <x:c r="I197" s="27"/>
      <x:c r="J197" s="27"/>
      <x:c r="K197" s="27"/>
      <x:c r="L197" s="27"/>
      <x:c r="M197" s="27"/>
      <x:c r="N197" s="27"/>
      <x:c r="O197" s="27"/>
      <x:c r="P197" s="27"/>
      <x:c r="Q197" s="27"/>
      <x:c r="R197" s="27"/>
      <x:c r="S197" s="27"/>
      <x:c r="T197" s="27"/>
      <x:c r="U197" s="27"/>
      <x:c r="V197" s="27"/>
      <x:c r="W197" s="27"/>
      <x:c r="X197" s="27"/>
      <x:c r="Y197" s="27"/>
      <x:c r="Z197" s="27"/>
      <x:c r="AA197" s="27"/>
      <x:c r="AB197" s="27"/>
      <x:c r="AC197" s="27"/>
      <x:c r="AD197" s="27"/>
      <x:c r="AE197" s="27"/>
      <x:c r="AF197" s="27"/>
      <x:c r="AG197" s="27"/>
      <x:c r="AH197" s="27"/>
      <x:c r="AI197" s="27"/>
      <x:c r="AJ197" s="27"/>
      <x:c r="AK197" s="27"/>
      <x:c r="AL197" s="27"/>
      <x:c r="AM197" s="27"/>
      <x:c r="AN197" s="27"/>
      <x:c r="AO197" s="27"/>
      <x:c r="AP197" s="27"/>
      <x:c r="AQ197" s="27"/>
      <x:c r="AR197" s="27"/>
      <x:c r="AS197" s="27"/>
      <x:c r="AT197" s="27"/>
      <x:c r="AU197" s="27"/>
      <x:c r="AV197" s="27"/>
      <x:c r="AW197" s="27"/>
      <x:c r="AX197" s="27"/>
      <x:c r="AY197" s="27"/>
      <x:c r="AZ197" s="27"/>
    </x:row>
    <x:row r="198">
      <x:c r="A198" s="27"/>
      <x:c r="B198" s="27"/>
      <x:c r="C198" s="27"/>
      <x:c r="D198" s="27"/>
      <x:c r="E198" s="27"/>
      <x:c r="F198" s="27"/>
      <x:c r="G198" s="27"/>
      <x:c r="H198" s="27"/>
      <x:c r="I198" s="27"/>
      <x:c r="J198" s="27"/>
      <x:c r="K198" s="27"/>
      <x:c r="L198" s="27"/>
      <x:c r="M198" s="27"/>
      <x:c r="N198" s="27"/>
      <x:c r="O198" s="27"/>
      <x:c r="P198" s="27"/>
      <x:c r="Q198" s="27"/>
      <x:c r="R198" s="27"/>
      <x:c r="S198" s="27"/>
      <x:c r="T198" s="27"/>
      <x:c r="U198" s="27"/>
      <x:c r="V198" s="27"/>
      <x:c r="W198" s="27"/>
      <x:c r="X198" s="27"/>
      <x:c r="Y198" s="27"/>
      <x:c r="Z198" s="27"/>
      <x:c r="AA198" s="27"/>
      <x:c r="AB198" s="27"/>
      <x:c r="AC198" s="27"/>
      <x:c r="AD198" s="27"/>
      <x:c r="AE198" s="27"/>
      <x:c r="AF198" s="27"/>
      <x:c r="AG198" s="27"/>
      <x:c r="AH198" s="27"/>
      <x:c r="AI198" s="27"/>
      <x:c r="AJ198" s="27"/>
      <x:c r="AK198" s="27"/>
      <x:c r="AL198" s="27"/>
      <x:c r="AM198" s="27"/>
      <x:c r="AN198" s="27"/>
      <x:c r="AO198" s="27"/>
      <x:c r="AP198" s="27"/>
      <x:c r="AQ198" s="27"/>
      <x:c r="AR198" s="27"/>
      <x:c r="AS198" s="27"/>
      <x:c r="AT198" s="27"/>
      <x:c r="AU198" s="27"/>
      <x:c r="AV198" s="27"/>
      <x:c r="AW198" s="27"/>
      <x:c r="AX198" s="27"/>
      <x:c r="AY198" s="27"/>
      <x:c r="AZ198" s="27"/>
    </x:row>
    <x:row r="199">
      <x:c r="A199" s="27"/>
      <x:c r="B199" s="27"/>
      <x:c r="C199" s="27"/>
      <x:c r="D199" s="27"/>
      <x:c r="E199" s="27"/>
      <x:c r="F199" s="27"/>
      <x:c r="G199" s="27"/>
      <x:c r="H199" s="27"/>
      <x:c r="I199" s="27"/>
      <x:c r="J199" s="27"/>
      <x:c r="K199" s="27"/>
      <x:c r="L199" s="27"/>
      <x:c r="M199" s="27"/>
      <x:c r="N199" s="27"/>
      <x:c r="O199" s="27"/>
      <x:c r="P199" s="27"/>
      <x:c r="Q199" s="27"/>
      <x:c r="R199" s="27"/>
      <x:c r="S199" s="27"/>
      <x:c r="T199" s="27"/>
      <x:c r="U199" s="27"/>
      <x:c r="V199" s="27"/>
      <x:c r="W199" s="27"/>
      <x:c r="X199" s="27"/>
      <x:c r="Y199" s="27"/>
      <x:c r="Z199" s="27"/>
      <x:c r="AA199" s="27"/>
      <x:c r="AB199" s="27"/>
      <x:c r="AC199" s="27"/>
      <x:c r="AD199" s="27"/>
      <x:c r="AE199" s="27"/>
      <x:c r="AF199" s="27"/>
      <x:c r="AG199" s="27"/>
      <x:c r="AH199" s="27"/>
      <x:c r="AI199" s="27"/>
      <x:c r="AJ199" s="27"/>
      <x:c r="AK199" s="27"/>
      <x:c r="AL199" s="27"/>
      <x:c r="AM199" s="27"/>
      <x:c r="AN199" s="27"/>
      <x:c r="AO199" s="27"/>
      <x:c r="AP199" s="27"/>
      <x:c r="AQ199" s="27"/>
      <x:c r="AR199" s="27"/>
      <x:c r="AS199" s="27"/>
      <x:c r="AT199" s="27"/>
      <x:c r="AU199" s="27"/>
      <x:c r="AV199" s="27"/>
      <x:c r="AW199" s="27"/>
      <x:c r="AX199" s="27"/>
      <x:c r="AY199" s="27"/>
      <x:c r="AZ199" s="27"/>
    </x:row>
    <x:row r="200">
      <x:c r="A200" s="27"/>
      <x:c r="B200" s="27"/>
      <x:c r="C200" s="27"/>
      <x:c r="D200" s="27"/>
      <x:c r="E200" s="27"/>
      <x:c r="F200" s="27"/>
      <x:c r="G200" s="27"/>
      <x:c r="H200" s="27"/>
      <x:c r="I200" s="27"/>
      <x:c r="J200" s="27"/>
      <x:c r="K200" s="27"/>
      <x:c r="L200" s="27"/>
      <x:c r="M200" s="27"/>
      <x:c r="N200" s="27"/>
      <x:c r="O200" s="27"/>
      <x:c r="P200" s="27"/>
      <x:c r="Q200" s="27"/>
      <x:c r="R200" s="27"/>
      <x:c r="S200" s="27"/>
      <x:c r="T200" s="27"/>
      <x:c r="U200" s="27"/>
      <x:c r="V200" s="27"/>
      <x:c r="W200" s="27"/>
      <x:c r="X200" s="27"/>
      <x:c r="Y200" s="27"/>
      <x:c r="Z200" s="27"/>
      <x:c r="AA200" s="27"/>
      <x:c r="AB200" s="27"/>
      <x:c r="AC200" s="27"/>
      <x:c r="AD200" s="27"/>
      <x:c r="AE200" s="27"/>
      <x:c r="AF200" s="27"/>
      <x:c r="AG200" s="27"/>
      <x:c r="AH200" s="27"/>
      <x:c r="AI200" s="27"/>
      <x:c r="AJ200" s="27"/>
      <x:c r="AK200" s="27"/>
      <x:c r="AL200" s="27"/>
      <x:c r="AM200" s="27"/>
      <x:c r="AN200" s="27"/>
      <x:c r="AO200" s="27"/>
      <x:c r="AP200" s="27"/>
      <x:c r="AQ200" s="27"/>
      <x:c r="AR200" s="27"/>
      <x:c r="AS200" s="27"/>
      <x:c r="AT200" s="27"/>
      <x:c r="AU200" s="27"/>
      <x:c r="AV200" s="27"/>
      <x:c r="AW200" s="27"/>
      <x:c r="AX200" s="27"/>
      <x:c r="AY200" s="27"/>
      <x:c r="AZ200" s="27"/>
    </x:row>
  </x:sheetData>
  <x:mergeCells>
    <x:mergeCell ref="A1:I1"/>
    <x:mergeCell ref="A2:I2"/>
  </x:mergeCells>
  <x:pageMargins left="0.7" right="0.7" top="0.75" bottom="0.75" header="0.3" footer="0.3"/>
  <x:tableParts count="1">
    <x:tablePart xmlns:r="http://schemas.openxmlformats.org/officeDocument/2006/relationships" r:id="Rf53de7637e6442b6"/>
  </x:tableParts>
</x:worksheet>
</file>

<file path=xl/worksheets/sheet11.xml><?xml version="1.0" encoding="utf-8"?>
<x:worksheet xmlns:x="http://schemas.openxmlformats.org/spreadsheetml/2006/main">
  <x:sheetFormatPr defaultRowHeight="15"/>
  <x:cols>
    <x:col min="1" max="1" width="36" hidden="0" customWidth="1"/>
    <x:col min="2" max="2" width="24" hidden="0" customWidth="1"/>
    <x:col min="3" max="3" width="38" hidden="0" customWidth="1"/>
    <x:col min="4" max="4" width="14" hidden="0" customWidth="1"/>
    <x:col min="5" max="5" width="26" hidden="0" customWidth="1"/>
    <x:col min="6" max="6" width="70" hidden="0" customWidth="1"/>
  </x:cols>
  <x:sheetData>
    <x:row r="1" ht="28" customHeight="1">
      <x:c r="A1" s="26" t="str">
        <x:v>Database Validation Summary</x:v>
      </x:c>
      <x:c r="B1" s="26"/>
      <x:c r="C1" s="26"/>
      <x:c r="D1" s="26"/>
      <x:c r="E1" s="26"/>
      <x:c r="F1" s="26"/>
      <x:c r="G1" s="27"/>
      <x:c r="H1" s="27"/>
      <x:c r="I1" s="27"/>
      <x:c r="J1" s="27"/>
      <x:c r="K1" s="27"/>
      <x:c r="L1" s="27"/>
      <x:c r="M1" s="27"/>
      <x:c r="N1" s="27"/>
      <x:c r="O1" s="27"/>
      <x:c r="P1" s="27"/>
      <x:c r="Q1" s="27"/>
      <x:c r="R1" s="27"/>
      <x:c r="S1" s="27"/>
      <x:c r="T1" s="27"/>
      <x:c r="U1" s="27"/>
      <x:c r="V1" s="27"/>
      <x:c r="W1" s="27"/>
      <x:c r="X1" s="27"/>
      <x:c r="Y1" s="27"/>
      <x:c r="Z1" s="27"/>
      <x:c r="AA1" s="27"/>
      <x:c r="AB1" s="27"/>
      <x:c r="AC1" s="27"/>
      <x:c r="AD1" s="27"/>
      <x:c r="AE1" s="27"/>
      <x:c r="AF1" s="27"/>
      <x:c r="AG1" s="27"/>
      <x:c r="AH1" s="27"/>
      <x:c r="AI1" s="27"/>
      <x:c r="AJ1" s="27"/>
      <x:c r="AK1" s="27"/>
      <x:c r="AL1" s="27"/>
      <x:c r="AM1" s="27"/>
      <x:c r="AN1" s="27"/>
      <x:c r="AO1" s="27"/>
      <x:c r="AP1" s="27"/>
      <x:c r="AQ1" s="27"/>
      <x:c r="AR1" s="27"/>
      <x:c r="AS1" s="27"/>
      <x:c r="AT1" s="27"/>
      <x:c r="AU1" s="27"/>
      <x:c r="AV1" s="27"/>
      <x:c r="AW1" s="27"/>
      <x:c r="AX1" s="27"/>
      <x:c r="AY1" s="27"/>
      <x:c r="AZ1" s="27"/>
    </x:row>
    <x:row r="2" ht="34" customHeight="1">
      <x:c r="A2" s="28" t="str">
        <x:v>Automated structural checks plus manual source-confidence notes for v1.0.</x:v>
      </x:c>
      <x:c r="B2" s="28"/>
      <x:c r="C2" s="28"/>
      <x:c r="D2" s="28"/>
      <x:c r="E2" s="28"/>
      <x:c r="F2" s="28"/>
      <x:c r="G2" s="27"/>
      <x:c r="H2" s="27"/>
      <x:c r="I2" s="27"/>
      <x:c r="J2" s="27"/>
      <x:c r="K2" s="27"/>
      <x:c r="L2" s="27"/>
      <x:c r="M2" s="27"/>
      <x:c r="N2" s="27"/>
      <x:c r="O2" s="27"/>
      <x:c r="P2" s="27"/>
      <x:c r="Q2" s="27"/>
      <x:c r="R2" s="27"/>
      <x:c r="S2" s="27"/>
      <x:c r="T2" s="27"/>
      <x:c r="U2" s="27"/>
      <x:c r="V2" s="27"/>
      <x:c r="W2" s="27"/>
      <x:c r="X2" s="27"/>
      <x:c r="Y2" s="27"/>
      <x:c r="Z2" s="27"/>
      <x:c r="AA2" s="27"/>
      <x:c r="AB2" s="27"/>
      <x:c r="AC2" s="27"/>
      <x:c r="AD2" s="27"/>
      <x:c r="AE2" s="27"/>
      <x:c r="AF2" s="27"/>
      <x:c r="AG2" s="27"/>
      <x:c r="AH2" s="27"/>
      <x:c r="AI2" s="27"/>
      <x:c r="AJ2" s="27"/>
      <x:c r="AK2" s="27"/>
      <x:c r="AL2" s="27"/>
      <x:c r="AM2" s="27"/>
      <x:c r="AN2" s="27"/>
      <x:c r="AO2" s="27"/>
      <x:c r="AP2" s="27"/>
      <x:c r="AQ2" s="27"/>
      <x:c r="AR2" s="27"/>
      <x:c r="AS2" s="27"/>
      <x:c r="AT2" s="27"/>
      <x:c r="AU2" s="27"/>
      <x:c r="AV2" s="27"/>
      <x:c r="AW2" s="27"/>
      <x:c r="AX2" s="27"/>
      <x:c r="AY2" s="27"/>
      <x:c r="AZ2" s="27"/>
    </x:row>
    <x:row r="3">
      <x:c r="A3" s="27"/>
      <x:c r="B3" s="27"/>
      <x:c r="C3" s="27"/>
      <x:c r="D3" s="27"/>
      <x:c r="E3" s="27"/>
      <x:c r="F3" s="27"/>
      <x:c r="G3" s="27"/>
      <x:c r="H3" s="27"/>
      <x:c r="I3" s="27"/>
      <x:c r="J3" s="27"/>
      <x:c r="K3" s="27"/>
      <x:c r="L3" s="27"/>
      <x:c r="M3" s="27"/>
      <x:c r="N3" s="27"/>
      <x:c r="O3" s="27"/>
      <x:c r="P3" s="27"/>
      <x:c r="Q3" s="27"/>
      <x:c r="R3" s="27"/>
      <x:c r="S3" s="27"/>
      <x:c r="T3" s="27"/>
      <x:c r="U3" s="27"/>
      <x:c r="V3" s="27"/>
      <x:c r="W3" s="27"/>
      <x:c r="X3" s="27"/>
      <x:c r="Y3" s="27"/>
      <x:c r="Z3" s="27"/>
      <x:c r="AA3" s="27"/>
      <x:c r="AB3" s="27"/>
      <x:c r="AC3" s="27"/>
      <x:c r="AD3" s="27"/>
      <x:c r="AE3" s="27"/>
      <x:c r="AF3" s="27"/>
      <x:c r="AG3" s="27"/>
      <x:c r="AH3" s="27"/>
      <x:c r="AI3" s="27"/>
      <x:c r="AJ3" s="27"/>
      <x:c r="AK3" s="27"/>
      <x:c r="AL3" s="27"/>
      <x:c r="AM3" s="27"/>
      <x:c r="AN3" s="27"/>
      <x:c r="AO3" s="27"/>
      <x:c r="AP3" s="27"/>
      <x:c r="AQ3" s="27"/>
      <x:c r="AR3" s="27"/>
      <x:c r="AS3" s="27"/>
      <x:c r="AT3" s="27"/>
      <x:c r="AU3" s="27"/>
      <x:c r="AV3" s="27"/>
      <x:c r="AW3" s="27"/>
      <x:c r="AX3" s="27"/>
      <x:c r="AY3" s="27"/>
      <x:c r="AZ3" s="27"/>
    </x:row>
    <x:row r="4" ht="30" customHeight="1">
      <x:c r="A4" s="29" t="str">
        <x:v>Check</x:v>
      </x:c>
      <x:c r="B4" s="29" t="str">
        <x:v>Result</x:v>
      </x:c>
      <x:c r="C4" s="29" t="str">
        <x:v>Count/Value</x:v>
      </x:c>
      <x:c r="D4" s="29" t="str">
        <x:v>Severity</x:v>
      </x:c>
      <x:c r="E4" s="29" t="str">
        <x:v>Action</x:v>
      </x:c>
      <x:c r="F4" s="29" t="str">
        <x:v>Notes</x:v>
      </x:c>
      <x:c r="G4" s="27"/>
      <x:c r="H4" s="27"/>
      <x:c r="I4" s="27"/>
      <x:c r="J4" s="27"/>
      <x:c r="K4" s="27"/>
      <x:c r="L4" s="27"/>
      <x:c r="M4" s="27"/>
      <x:c r="N4" s="27"/>
      <x:c r="O4" s="27"/>
      <x:c r="P4" s="27"/>
      <x:c r="Q4" s="27"/>
      <x:c r="R4" s="27"/>
      <x:c r="S4" s="27"/>
      <x:c r="T4" s="27"/>
      <x:c r="U4" s="27"/>
      <x:c r="V4" s="27"/>
      <x:c r="W4" s="27"/>
      <x:c r="X4" s="27"/>
      <x:c r="Y4" s="27"/>
      <x:c r="Z4" s="27"/>
      <x:c r="AA4" s="27"/>
      <x:c r="AB4" s="27"/>
      <x:c r="AC4" s="27"/>
      <x:c r="AD4" s="27"/>
      <x:c r="AE4" s="27"/>
      <x:c r="AF4" s="27"/>
      <x:c r="AG4" s="27"/>
      <x:c r="AH4" s="27"/>
      <x:c r="AI4" s="27"/>
      <x:c r="AJ4" s="27"/>
      <x:c r="AK4" s="27"/>
      <x:c r="AL4" s="27"/>
      <x:c r="AM4" s="27"/>
      <x:c r="AN4" s="27"/>
      <x:c r="AO4" s="27"/>
      <x:c r="AP4" s="27"/>
      <x:c r="AQ4" s="27"/>
      <x:c r="AR4" s="27"/>
      <x:c r="AS4" s="27"/>
      <x:c r="AT4" s="27"/>
      <x:c r="AU4" s="27"/>
      <x:c r="AV4" s="27"/>
      <x:c r="AW4" s="27"/>
      <x:c r="AX4" s="27"/>
      <x:c r="AY4" s="27"/>
      <x:c r="AZ4" s="27"/>
    </x:row>
    <x:row r="5">
      <x:c r="A5" s="30" t="str">
        <x:v>TE rows populated</x:v>
      </x:c>
      <x:c r="B5" s="30" t="str">
        <x:v>PASS</x:v>
      </x:c>
      <x:c r="C5" s="30" t="n">
        <x:v>24</x:v>
      </x:c>
      <x:c r="D5" s="30" t="str">
        <x:v>INFO</x:v>
      </x:c>
      <x:c r="E5" s="30" t="str">
        <x:v>None</x:v>
      </x:c>
      <x:c r="F5" s="30" t="str">
        <x:v>Pages 1-24 of TE source structured.</x:v>
      </x:c>
      <x:c r="G5" s="27"/>
      <x:c r="H5" s="27"/>
      <x:c r="I5" s="27"/>
      <x:c r="J5" s="27"/>
      <x:c r="K5" s="27"/>
      <x:c r="L5" s="27"/>
      <x:c r="M5" s="27"/>
      <x:c r="N5" s="27"/>
      <x:c r="O5" s="27"/>
      <x:c r="P5" s="27"/>
      <x:c r="Q5" s="27"/>
      <x:c r="R5" s="27"/>
      <x:c r="S5" s="27"/>
      <x:c r="T5" s="27"/>
      <x:c r="U5" s="27"/>
      <x:c r="V5" s="27"/>
      <x:c r="W5" s="27"/>
      <x:c r="X5" s="27"/>
      <x:c r="Y5" s="27"/>
      <x:c r="Z5" s="27"/>
      <x:c r="AA5" s="27"/>
      <x:c r="AB5" s="27"/>
      <x:c r="AC5" s="27"/>
      <x:c r="AD5" s="27"/>
      <x:c r="AE5" s="27"/>
      <x:c r="AF5" s="27"/>
      <x:c r="AG5" s="27"/>
      <x:c r="AH5" s="27"/>
      <x:c r="AI5" s="27"/>
      <x:c r="AJ5" s="27"/>
      <x:c r="AK5" s="27"/>
      <x:c r="AL5" s="27"/>
      <x:c r="AM5" s="27"/>
      <x:c r="AN5" s="27"/>
      <x:c r="AO5" s="27"/>
      <x:c r="AP5" s="27"/>
      <x:c r="AQ5" s="27"/>
      <x:c r="AR5" s="27"/>
      <x:c r="AS5" s="27"/>
      <x:c r="AT5" s="27"/>
      <x:c r="AU5" s="27"/>
      <x:c r="AV5" s="27"/>
      <x:c r="AW5" s="27"/>
      <x:c r="AX5" s="27"/>
      <x:c r="AY5" s="27"/>
      <x:c r="AZ5" s="27"/>
    </x:row>
    <x:row r="6">
      <x:c r="A6" s="30" t="str">
        <x:v>Duplicate specific card/version</x:v>
      </x:c>
      <x:c r="B6" s="30" t="str">
        <x:v>PASS WITH KNOWN DUPLICATE</x:v>
      </x:c>
      <x:c r="C6" s="30" t="str">
        <x:v>Jamari Johnson Core Rare vs Platinum Rare</x:v>
      </x:c>
      <x:c r="D6" s="30" t="str">
        <x:v>INFO</x:v>
      </x:c>
      <x:c r="E6" s="30" t="str">
        <x:v>Retain both</x:v>
      </x:c>
      <x:c r="F6" s="30" t="str">
        <x:v>Same displayed ratings but distinct program/version; not deduplicated.</x:v>
      </x:c>
      <x:c r="G6" s="27"/>
      <x:c r="H6" s="27"/>
      <x:c r="I6" s="27"/>
      <x:c r="J6" s="27"/>
      <x:c r="K6" s="27"/>
      <x:c r="L6" s="27"/>
      <x:c r="M6" s="27"/>
      <x:c r="N6" s="27"/>
      <x:c r="O6" s="27"/>
      <x:c r="P6" s="27"/>
      <x:c r="Q6" s="27"/>
      <x:c r="R6" s="27"/>
      <x:c r="S6" s="27"/>
      <x:c r="T6" s="27"/>
      <x:c r="U6" s="27"/>
      <x:c r="V6" s="27"/>
      <x:c r="W6" s="27"/>
      <x:c r="X6" s="27"/>
      <x:c r="Y6" s="27"/>
      <x:c r="Z6" s="27"/>
      <x:c r="AA6" s="27"/>
      <x:c r="AB6" s="27"/>
      <x:c r="AC6" s="27"/>
      <x:c r="AD6" s="27"/>
      <x:c r="AE6" s="27"/>
      <x:c r="AF6" s="27"/>
      <x:c r="AG6" s="27"/>
      <x:c r="AH6" s="27"/>
      <x:c r="AI6" s="27"/>
      <x:c r="AJ6" s="27"/>
      <x:c r="AK6" s="27"/>
      <x:c r="AL6" s="27"/>
      <x:c r="AM6" s="27"/>
      <x:c r="AN6" s="27"/>
      <x:c r="AO6" s="27"/>
      <x:c r="AP6" s="27"/>
      <x:c r="AQ6" s="27"/>
      <x:c r="AR6" s="27"/>
      <x:c r="AS6" s="27"/>
      <x:c r="AT6" s="27"/>
      <x:c r="AU6" s="27"/>
      <x:c r="AV6" s="27"/>
      <x:c r="AW6" s="27"/>
      <x:c r="AX6" s="27"/>
      <x:c r="AY6" s="27"/>
      <x:c r="AZ6" s="27"/>
    </x:row>
    <x:row r="7">
      <x:c r="A7" s="30" t="str">
        <x:v>Missing TE numeric attributes in extracted rows</x:v>
      </x:c>
      <x:c r="B7" s="30" t="str">
        <x:v>PASS</x:v>
      </x:c>
      <x:c r="C7" s="30" t="str">
        <x:v>0</x:v>
      </x:c>
      <x:c r="D7" s="30" t="str">
        <x:v>INFO</x:v>
      </x:c>
      <x:c r="E7" s="30" t="str">
        <x:v>None</x:v>
      </x:c>
      <x:c r="F7" s="30" t="str">
        <x:v>All standard fields visible on pages 1-24 were transcribed.</x:v>
      </x:c>
      <x:c r="G7" s="27"/>
      <x:c r="H7" s="27"/>
      <x:c r="I7" s="27"/>
      <x:c r="J7" s="27"/>
      <x:c r="K7" s="27"/>
      <x:c r="L7" s="27"/>
      <x:c r="M7" s="27"/>
      <x:c r="N7" s="27"/>
      <x:c r="O7" s="27"/>
      <x:c r="P7" s="27"/>
      <x:c r="Q7" s="27"/>
      <x:c r="R7" s="27"/>
      <x:c r="S7" s="27"/>
      <x:c r="T7" s="27"/>
      <x:c r="U7" s="27"/>
      <x:c r="V7" s="27"/>
      <x:c r="W7" s="27"/>
      <x:c r="X7" s="27"/>
      <x:c r="Y7" s="27"/>
      <x:c r="Z7" s="27"/>
      <x:c r="AA7" s="27"/>
      <x:c r="AB7" s="27"/>
      <x:c r="AC7" s="27"/>
      <x:c r="AD7" s="27"/>
      <x:c r="AE7" s="27"/>
      <x:c r="AF7" s="27"/>
      <x:c r="AG7" s="27"/>
      <x:c r="AH7" s="27"/>
      <x:c r="AI7" s="27"/>
      <x:c r="AJ7" s="27"/>
      <x:c r="AK7" s="27"/>
      <x:c r="AL7" s="27"/>
      <x:c r="AM7" s="27"/>
      <x:c r="AN7" s="27"/>
      <x:c r="AO7" s="27"/>
      <x:c r="AP7" s="27"/>
      <x:c r="AQ7" s="27"/>
      <x:c r="AR7" s="27"/>
      <x:c r="AS7" s="27"/>
      <x:c r="AT7" s="27"/>
      <x:c r="AU7" s="27"/>
      <x:c r="AV7" s="27"/>
      <x:c r="AW7" s="27"/>
      <x:c r="AX7" s="27"/>
      <x:c r="AY7" s="27"/>
      <x:c r="AZ7" s="27"/>
    </x:row>
    <x:row r="8">
      <x:c r="A8" s="30" t="str">
        <x:v>Source provenance on TE rows</x:v>
      </x:c>
      <x:c r="B8" s="30" t="str">
        <x:v>PASS</x:v>
      </x:c>
      <x:c r="C8" s="30" t="n">
        <x:v>24</x:v>
      </x:c>
      <x:c r="D8" s="30" t="str">
        <x:v>INFO</x:v>
      </x:c>
      <x:c r="E8" s="30" t="str">
        <x:v>None</x:v>
      </x:c>
      <x:c r="F8" s="30" t="str">
        <x:v>Each row points to Source_ID + page.</x:v>
      </x:c>
      <x:c r="G8" s="27"/>
      <x:c r="H8" s="27"/>
      <x:c r="I8" s="27"/>
      <x:c r="J8" s="27"/>
      <x:c r="K8" s="27"/>
      <x:c r="L8" s="27"/>
      <x:c r="M8" s="27"/>
      <x:c r="N8" s="27"/>
      <x:c r="O8" s="27"/>
      <x:c r="P8" s="27"/>
      <x:c r="Q8" s="27"/>
      <x:c r="R8" s="27"/>
      <x:c r="S8" s="27"/>
      <x:c r="T8" s="27"/>
      <x:c r="U8" s="27"/>
      <x:c r="V8" s="27"/>
      <x:c r="W8" s="27"/>
      <x:c r="X8" s="27"/>
      <x:c r="Y8" s="27"/>
      <x:c r="Z8" s="27"/>
      <x:c r="AA8" s="27"/>
      <x:c r="AB8" s="27"/>
      <x:c r="AC8" s="27"/>
      <x:c r="AD8" s="27"/>
      <x:c r="AE8" s="27"/>
      <x:c r="AF8" s="27"/>
      <x:c r="AG8" s="27"/>
      <x:c r="AH8" s="27"/>
      <x:c r="AI8" s="27"/>
      <x:c r="AJ8" s="27"/>
      <x:c r="AK8" s="27"/>
      <x:c r="AL8" s="27"/>
      <x:c r="AM8" s="27"/>
      <x:c r="AN8" s="27"/>
      <x:c r="AO8" s="27"/>
      <x:c r="AP8" s="27"/>
      <x:c r="AQ8" s="27"/>
      <x:c r="AR8" s="27"/>
      <x:c r="AS8" s="27"/>
      <x:c r="AT8" s="27"/>
      <x:c r="AU8" s="27"/>
      <x:c r="AV8" s="27"/>
      <x:c r="AW8" s="27"/>
      <x:c r="AX8" s="27"/>
      <x:c r="AY8" s="27"/>
      <x:c r="AZ8" s="27"/>
    </x:row>
    <x:row r="9">
      <x:c r="A9" s="30" t="str">
        <x:v>External vs observed separation</x:v>
      </x:c>
      <x:c r="B9" s="30" t="str">
        <x:v>PASS</x:v>
      </x:c>
      <x:c r="C9" s="30" t="str">
        <x:v>Separate sheets</x:v>
      </x:c>
      <x:c r="D9" s="30" t="str">
        <x:v>INFO</x:v>
      </x:c>
      <x:c r="E9" s="30" t="str">
        <x:v>None</x:v>
      </x:c>
      <x:c r="F9" s="30" t="str">
        <x:v>Madden/XP references are not mixed into TE_Cards.</x:v>
      </x:c>
      <x:c r="G9" s="27"/>
      <x:c r="H9" s="27"/>
      <x:c r="I9" s="27"/>
      <x:c r="J9" s="27"/>
      <x:c r="K9" s="27"/>
      <x:c r="L9" s="27"/>
      <x:c r="M9" s="27"/>
      <x:c r="N9" s="27"/>
      <x:c r="O9" s="27"/>
      <x:c r="P9" s="27"/>
      <x:c r="Q9" s="27"/>
      <x:c r="R9" s="27"/>
      <x:c r="S9" s="27"/>
      <x:c r="T9" s="27"/>
      <x:c r="U9" s="27"/>
      <x:c r="V9" s="27"/>
      <x:c r="W9" s="27"/>
      <x:c r="X9" s="27"/>
      <x:c r="Y9" s="27"/>
      <x:c r="Z9" s="27"/>
      <x:c r="AA9" s="27"/>
      <x:c r="AB9" s="27"/>
      <x:c r="AC9" s="27"/>
      <x:c r="AD9" s="27"/>
      <x:c r="AE9" s="27"/>
      <x:c r="AF9" s="27"/>
      <x:c r="AG9" s="27"/>
      <x:c r="AH9" s="27"/>
      <x:c r="AI9" s="27"/>
      <x:c r="AJ9" s="27"/>
      <x:c r="AK9" s="27"/>
      <x:c r="AL9" s="27"/>
      <x:c r="AM9" s="27"/>
      <x:c r="AN9" s="27"/>
      <x:c r="AO9" s="27"/>
      <x:c r="AP9" s="27"/>
      <x:c r="AQ9" s="27"/>
      <x:c r="AR9" s="27"/>
      <x:c r="AS9" s="27"/>
      <x:c r="AT9" s="27"/>
      <x:c r="AU9" s="27"/>
      <x:c r="AV9" s="27"/>
      <x:c r="AW9" s="27"/>
      <x:c r="AX9" s="27"/>
      <x:c r="AY9" s="27"/>
      <x:c r="AZ9" s="27"/>
    </x:row>
    <x:row r="10">
      <x:c r="A10" s="30" t="str">
        <x:v>Unreliable image pages guessed</x:v>
      </x:c>
      <x:c r="B10" s="30" t="str">
        <x:v>PASS</x:v>
      </x:c>
      <x:c r="C10" s="30" t="str">
        <x:v>0</x:v>
      </x:c>
      <x:c r="D10" s="30" t="str">
        <x:v>CRITICAL</x:v>
      </x:c>
      <x:c r="E10" s="30" t="str">
        <x:v>None</x:v>
      </x:c>
      <x:c r="F10" s="30" t="str">
        <x:v>Unsurfaced pages are queued, not invented.</x:v>
      </x:c>
      <x:c r="G10" s="27"/>
      <x:c r="H10" s="27"/>
      <x:c r="I10" s="27"/>
      <x:c r="J10" s="27"/>
      <x:c r="K10" s="27"/>
      <x:c r="L10" s="27"/>
      <x:c r="M10" s="27"/>
      <x:c r="N10" s="27"/>
      <x:c r="O10" s="27"/>
      <x:c r="P10" s="27"/>
      <x:c r="Q10" s="27"/>
      <x:c r="R10" s="27"/>
      <x:c r="S10" s="27"/>
      <x:c r="T10" s="27"/>
      <x:c r="U10" s="27"/>
      <x:c r="V10" s="27"/>
      <x:c r="W10" s="27"/>
      <x:c r="X10" s="27"/>
      <x:c r="Y10" s="27"/>
      <x:c r="Z10" s="27"/>
      <x:c r="AA10" s="27"/>
      <x:c r="AB10" s="27"/>
      <x:c r="AC10" s="27"/>
      <x:c r="AD10" s="27"/>
      <x:c r="AE10" s="27"/>
      <x:c r="AF10" s="27"/>
      <x:c r="AG10" s="27"/>
      <x:c r="AH10" s="27"/>
      <x:c r="AI10" s="27"/>
      <x:c r="AJ10" s="27"/>
      <x:c r="AK10" s="27"/>
      <x:c r="AL10" s="27"/>
      <x:c r="AM10" s="27"/>
      <x:c r="AN10" s="27"/>
      <x:c r="AO10" s="27"/>
      <x:c r="AP10" s="27"/>
      <x:c r="AQ10" s="27"/>
      <x:c r="AR10" s="27"/>
      <x:c r="AS10" s="27"/>
      <x:c r="AT10" s="27"/>
      <x:c r="AU10" s="27"/>
      <x:c r="AV10" s="27"/>
      <x:c r="AW10" s="27"/>
      <x:c r="AX10" s="27"/>
      <x:c r="AY10" s="27"/>
      <x:c r="AZ10" s="27"/>
    </x:row>
    <x:row r="11">
      <x:c r="A11" s="30" t="str">
        <x:v>Canonical backup created</x:v>
      </x:c>
      <x:c r="B11" s="30" t="str">
        <x:v>PASS</x:v>
      </x:c>
      <x:c r="C11" s="30" t="str">
        <x:v>/mnt/data/Operation_Pancake_Master_Database_v1.0.xlsx</x:v>
      </x:c>
      <x:c r="D11" s="30" t="str">
        <x:v>INFO</x:v>
      </x:c>
      <x:c r="E11" s="30" t="str">
        <x:v>Keep file</x:v>
      </x:c>
      <x:c r="F11" s="30" t="str">
        <x:v>This workbook is the v1.0 portable master.</x:v>
      </x:c>
      <x:c r="G11" s="27"/>
      <x:c r="H11" s="27"/>
      <x:c r="I11" s="27"/>
      <x:c r="J11" s="27"/>
      <x:c r="K11" s="27"/>
      <x:c r="L11" s="27"/>
      <x:c r="M11" s="27"/>
      <x:c r="N11" s="27"/>
      <x:c r="O11" s="27"/>
      <x:c r="P11" s="27"/>
      <x:c r="Q11" s="27"/>
      <x:c r="R11" s="27"/>
      <x:c r="S11" s="27"/>
      <x:c r="T11" s="27"/>
      <x:c r="U11" s="27"/>
      <x:c r="V11" s="27"/>
      <x:c r="W11" s="27"/>
      <x:c r="X11" s="27"/>
      <x:c r="Y11" s="27"/>
      <x:c r="Z11" s="27"/>
      <x:c r="AA11" s="27"/>
      <x:c r="AB11" s="27"/>
      <x:c r="AC11" s="27"/>
      <x:c r="AD11" s="27"/>
      <x:c r="AE11" s="27"/>
      <x:c r="AF11" s="27"/>
      <x:c r="AG11" s="27"/>
      <x:c r="AH11" s="27"/>
      <x:c r="AI11" s="27"/>
      <x:c r="AJ11" s="27"/>
      <x:c r="AK11" s="27"/>
      <x:c r="AL11" s="27"/>
      <x:c r="AM11" s="27"/>
      <x:c r="AN11" s="27"/>
      <x:c r="AO11" s="27"/>
      <x:c r="AP11" s="27"/>
      <x:c r="AQ11" s="27"/>
      <x:c r="AR11" s="27"/>
      <x:c r="AS11" s="27"/>
      <x:c r="AT11" s="27"/>
      <x:c r="AU11" s="27"/>
      <x:c r="AV11" s="27"/>
      <x:c r="AW11" s="27"/>
      <x:c r="AX11" s="27"/>
      <x:c r="AY11" s="27"/>
      <x:c r="AZ11" s="27"/>
    </x:row>
    <x:row r="12">
      <x:c r="A12" s="27" t="str">
        <x:v>TE candidate model — Gritty</x:v>
      </x:c>
      <x:c r="B12" s="27" t="str">
        <x:v>PASS</x:v>
      </x:c>
      <x:c r="C12" s="27" t="str">
        <x:v>15/15 cross-OVR pairs</x:v>
      </x:c>
      <x:c r="D12" s="27" t="str">
        <x:v>INFO</x:v>
      </x:c>
      <x:c r="E12" s="27" t="str">
        <x:v>Holdout validation next</x:v>
      </x:c>
      <x:c r="F12" s="27" t="str">
        <x:v>Madden 19 Possession weights give perfect ordering for structured 83–85 Gritty sample.</x:v>
      </x:c>
      <x:c r="G12" s="27"/>
      <x:c r="H12" s="27"/>
      <x:c r="I12" s="27"/>
      <x:c r="J12" s="27"/>
      <x:c r="K12" s="27"/>
      <x:c r="L12" s="27"/>
      <x:c r="M12" s="27"/>
      <x:c r="N12" s="27"/>
      <x:c r="O12" s="27"/>
      <x:c r="P12" s="27"/>
      <x:c r="Q12" s="27"/>
      <x:c r="R12" s="27"/>
      <x:c r="S12" s="27"/>
      <x:c r="T12" s="27"/>
      <x:c r="U12" s="27"/>
      <x:c r="V12" s="27"/>
      <x:c r="W12" s="27"/>
      <x:c r="X12" s="27"/>
      <x:c r="Y12" s="27"/>
      <x:c r="Z12" s="27"/>
      <x:c r="AA12" s="27"/>
      <x:c r="AB12" s="27"/>
      <x:c r="AC12" s="27"/>
      <x:c r="AD12" s="27"/>
      <x:c r="AE12" s="27"/>
      <x:c r="AF12" s="27"/>
      <x:c r="AG12" s="27"/>
      <x:c r="AH12" s="27"/>
      <x:c r="AI12" s="27"/>
      <x:c r="AJ12" s="27"/>
      <x:c r="AK12" s="27"/>
      <x:c r="AL12" s="27"/>
      <x:c r="AM12" s="27"/>
      <x:c r="AN12" s="27"/>
      <x:c r="AO12" s="27"/>
      <x:c r="AP12" s="27"/>
      <x:c r="AQ12" s="27"/>
      <x:c r="AR12" s="27"/>
      <x:c r="AS12" s="27"/>
      <x:c r="AT12" s="27"/>
      <x:c r="AU12" s="27"/>
      <x:c r="AV12" s="27"/>
      <x:c r="AW12" s="27"/>
      <x:c r="AX12" s="27"/>
      <x:c r="AY12" s="27"/>
      <x:c r="AZ12" s="27"/>
    </x:row>
    <x:row r="13">
      <x:c r="A13" s="27" t="str">
        <x:v>TE candidate model — Vertical Threat</x:v>
      </x:c>
      <x:c r="B13" s="27" t="str">
        <x:v>PASS</x:v>
      </x:c>
      <x:c r="C13" s="27" t="str">
        <x:v>7/7 cross-OVR pairs</x:v>
      </x:c>
      <x:c r="D13" s="27" t="str">
        <x:v>INFO</x:v>
      </x:c>
      <x:c r="E13" s="27" t="str">
        <x:v>Holdout validation next</x:v>
      </x:c>
      <x:c r="F13" s="27" t="str">
        <x:v>Madden 19 VT weights give perfect ordering; ELU unavailable and omitted.</x:v>
      </x:c>
      <x:c r="G13" s="27"/>
      <x:c r="H13" s="27"/>
      <x:c r="I13" s="27"/>
      <x:c r="J13" s="27"/>
      <x:c r="K13" s="27"/>
      <x:c r="L13" s="27"/>
      <x:c r="M13" s="27"/>
      <x:c r="N13" s="27"/>
      <x:c r="O13" s="27"/>
      <x:c r="P13" s="27"/>
      <x:c r="Q13" s="27"/>
      <x:c r="R13" s="27"/>
      <x:c r="S13" s="27"/>
      <x:c r="T13" s="27"/>
      <x:c r="U13" s="27"/>
      <x:c r="V13" s="27"/>
      <x:c r="W13" s="27"/>
      <x:c r="X13" s="27"/>
      <x:c r="Y13" s="27"/>
      <x:c r="Z13" s="27"/>
      <x:c r="AA13" s="27"/>
      <x:c r="AB13" s="27"/>
      <x:c r="AC13" s="27"/>
      <x:c r="AD13" s="27"/>
      <x:c r="AE13" s="27"/>
      <x:c r="AF13" s="27"/>
      <x:c r="AG13" s="27"/>
      <x:c r="AH13" s="27"/>
      <x:c r="AI13" s="27"/>
      <x:c r="AJ13" s="27"/>
      <x:c r="AK13" s="27"/>
      <x:c r="AL13" s="27"/>
      <x:c r="AM13" s="27"/>
      <x:c r="AN13" s="27"/>
      <x:c r="AO13" s="27"/>
      <x:c r="AP13" s="27"/>
      <x:c r="AQ13" s="27"/>
      <x:c r="AR13" s="27"/>
      <x:c r="AS13" s="27"/>
      <x:c r="AT13" s="27"/>
      <x:c r="AU13" s="27"/>
      <x:c r="AV13" s="27"/>
      <x:c r="AW13" s="27"/>
      <x:c r="AX13" s="27"/>
      <x:c r="AY13" s="27"/>
      <x:c r="AZ13" s="27"/>
    </x:row>
    <x:row r="14">
      <x:c r="A14" s="27" t="str">
        <x:v>TE candidate model — Physical Route Runner</x:v>
      </x:c>
      <x:c r="B14" s="27" t="str">
        <x:v>PASS WITH OVERFIT RISK</x:v>
      </x:c>
      <x:c r="C14" s="27" t="str">
        <x:v>39/39 using 71/29 blend</x:v>
      </x:c>
      <x:c r="D14" s="27" t="str">
        <x:v>WARNING</x:v>
      </x:c>
      <x:c r="E14" s="27" t="str">
        <x:v>Validate on unseen cards</x:v>
      </x:c>
      <x:c r="F14" s="27" t="str">
        <x:v>Raw VT was 38/39; blend is fitted.</x:v>
      </x:c>
      <x:c r="G14" s="27"/>
      <x:c r="H14" s="27"/>
      <x:c r="I14" s="27"/>
      <x:c r="J14" s="27"/>
      <x:c r="K14" s="27"/>
      <x:c r="L14" s="27"/>
      <x:c r="M14" s="27"/>
      <x:c r="N14" s="27"/>
      <x:c r="O14" s="27"/>
      <x:c r="P14" s="27"/>
      <x:c r="Q14" s="27"/>
      <x:c r="R14" s="27"/>
      <x:c r="S14" s="27"/>
      <x:c r="T14" s="27"/>
      <x:c r="U14" s="27"/>
      <x:c r="V14" s="27"/>
      <x:c r="W14" s="27"/>
      <x:c r="X14" s="27"/>
      <x:c r="Y14" s="27"/>
      <x:c r="Z14" s="27"/>
      <x:c r="AA14" s="27"/>
      <x:c r="AB14" s="27"/>
      <x:c r="AC14" s="27"/>
      <x:c r="AD14" s="27"/>
      <x:c r="AE14" s="27"/>
      <x:c r="AF14" s="27"/>
      <x:c r="AG14" s="27"/>
      <x:c r="AH14" s="27"/>
      <x:c r="AI14" s="27"/>
      <x:c r="AJ14" s="27"/>
      <x:c r="AK14" s="27"/>
      <x:c r="AL14" s="27"/>
      <x:c r="AM14" s="27"/>
      <x:c r="AN14" s="27"/>
      <x:c r="AO14" s="27"/>
      <x:c r="AP14" s="27"/>
      <x:c r="AQ14" s="27"/>
      <x:c r="AR14" s="27"/>
      <x:c r="AS14" s="27"/>
      <x:c r="AT14" s="27"/>
      <x:c r="AU14" s="27"/>
      <x:c r="AV14" s="27"/>
      <x:c r="AW14" s="27"/>
      <x:c r="AX14" s="27"/>
      <x:c r="AY14" s="27"/>
      <x:c r="AZ14" s="27"/>
    </x:row>
    <x:row r="15">
      <x:c r="A15" s="27" t="str">
        <x:v>TE Pure Blocker model</x:v>
      </x:c>
      <x:c r="B15" s="27" t="str">
        <x:v>INSUFFICIENT DATA</x:v>
      </x:c>
      <x:c r="C15" s="27" t="str">
        <x:v>1 card</x:v>
      </x:c>
      <x:c r="D15" s="27" t="str">
        <x:v>WARNING</x:v>
      </x:c>
      <x:c r="E15" s="27" t="str">
        <x:v>Add adjacent OVR blockers</x:v>
      </x:c>
      <x:c r="F15" s="27" t="str">
        <x:v>No threshold inference possible.</x:v>
      </x:c>
      <x:c r="G15" s="27"/>
      <x:c r="H15" s="27"/>
      <x:c r="I15" s="27"/>
      <x:c r="J15" s="27"/>
      <x:c r="K15" s="27"/>
      <x:c r="L15" s="27"/>
      <x:c r="M15" s="27"/>
      <x:c r="N15" s="27"/>
      <x:c r="O15" s="27"/>
      <x:c r="P15" s="27"/>
      <x:c r="Q15" s="27"/>
      <x:c r="R15" s="27"/>
      <x:c r="S15" s="27"/>
      <x:c r="T15" s="27"/>
      <x:c r="U15" s="27"/>
      <x:c r="V15" s="27"/>
      <x:c r="W15" s="27"/>
      <x:c r="X15" s="27"/>
      <x:c r="Y15" s="27"/>
      <x:c r="Z15" s="27"/>
      <x:c r="AA15" s="27"/>
      <x:c r="AB15" s="27"/>
      <x:c r="AC15" s="27"/>
      <x:c r="AD15" s="27"/>
      <x:c r="AE15" s="27"/>
      <x:c r="AF15" s="27"/>
      <x:c r="AG15" s="27"/>
      <x:c r="AH15" s="27"/>
      <x:c r="AI15" s="27"/>
      <x:c r="AJ15" s="27"/>
      <x:c r="AK15" s="27"/>
      <x:c r="AL15" s="27"/>
      <x:c r="AM15" s="27"/>
      <x:c r="AN15" s="27"/>
      <x:c r="AO15" s="27"/>
      <x:c r="AP15" s="27"/>
      <x:c r="AQ15" s="27"/>
      <x:c r="AR15" s="27"/>
      <x:c r="AS15" s="27"/>
      <x:c r="AT15" s="27"/>
      <x:c r="AU15" s="27"/>
      <x:c r="AV15" s="27"/>
      <x:c r="AW15" s="27"/>
      <x:c r="AX15" s="27"/>
      <x:c r="AY15" s="27"/>
      <x:c r="AZ15" s="27"/>
    </x:row>
    <x:row r="16">
      <x:c r="A16" s="27" t="str">
        <x:v>Canonical backup updated</x:v>
      </x:c>
      <x:c r="B16" s="27" t="str">
        <x:v>PASS</x:v>
      </x:c>
      <x:c r="C16" s="27" t="str">
        <x:v>/mnt/data/Operation_Pancake_Master_Database_v1.1_TE_Analysis.xlsx</x:v>
      </x:c>
      <x:c r="D16" s="27" t="str">
        <x:v>INFO</x:v>
      </x:c>
      <x:c r="E16" s="27" t="str">
        <x:v>Keep v1.0 and v1.1</x:v>
      </x:c>
      <x:c r="F16" s="27" t="str">
        <x:v>v1.1 adds quantified TE model analysis without deleting historical versions.</x:v>
      </x:c>
      <x:c r="G16" s="27"/>
      <x:c r="H16" s="27"/>
      <x:c r="I16" s="27"/>
      <x:c r="J16" s="27"/>
      <x:c r="K16" s="27"/>
      <x:c r="L16" s="27"/>
      <x:c r="M16" s="27"/>
      <x:c r="N16" s="27"/>
      <x:c r="O16" s="27"/>
      <x:c r="P16" s="27"/>
      <x:c r="Q16" s="27"/>
      <x:c r="R16" s="27"/>
      <x:c r="S16" s="27"/>
      <x:c r="T16" s="27"/>
      <x:c r="U16" s="27"/>
      <x:c r="V16" s="27"/>
      <x:c r="W16" s="27"/>
      <x:c r="X16" s="27"/>
      <x:c r="Y16" s="27"/>
      <x:c r="Z16" s="27"/>
      <x:c r="AA16" s="27"/>
      <x:c r="AB16" s="27"/>
      <x:c r="AC16" s="27"/>
      <x:c r="AD16" s="27"/>
      <x:c r="AE16" s="27"/>
      <x:c r="AF16" s="27"/>
      <x:c r="AG16" s="27"/>
      <x:c r="AH16" s="27"/>
      <x:c r="AI16" s="27"/>
      <x:c r="AJ16" s="27"/>
      <x:c r="AK16" s="27"/>
      <x:c r="AL16" s="27"/>
      <x:c r="AM16" s="27"/>
      <x:c r="AN16" s="27"/>
      <x:c r="AO16" s="27"/>
      <x:c r="AP16" s="27"/>
      <x:c r="AQ16" s="27"/>
      <x:c r="AR16" s="27"/>
      <x:c r="AS16" s="27"/>
      <x:c r="AT16" s="27"/>
      <x:c r="AU16" s="27"/>
      <x:c r="AV16" s="27"/>
      <x:c r="AW16" s="27"/>
      <x:c r="AX16" s="27"/>
      <x:c r="AY16" s="27"/>
      <x:c r="AZ16" s="27"/>
    </x:row>
    <x:row r="17">
      <x:c r="A17" s="27" t="str">
        <x:v>TE holdout ingestion</x:v>
      </x:c>
      <x:c r="B17" s="27" t="str">
        <x:v>PASS</x:v>
      </x:c>
      <x:c r="C17" s="27" t="str">
        <x:v>44 new cards / 45 pages</x:v>
      </x:c>
      <x:c r="D17" s="27" t="str">
        <x:v>INFO</x:v>
      </x:c>
      <x:c r="E17" s="27" t="str">
        <x:v>None</x:v>
      </x:c>
      <x:c r="F17" s="27" t="str">
        <x:v>Pages25-69 visually checked; page62 duplicate excluded.</x:v>
      </x:c>
      <x:c r="G17" s="27"/>
      <x:c r="H17" s="27"/>
      <x:c r="I17" s="27"/>
      <x:c r="J17" s="27"/>
      <x:c r="K17" s="27"/>
      <x:c r="L17" s="27"/>
      <x:c r="M17" s="27"/>
      <x:c r="N17" s="27"/>
      <x:c r="O17" s="27"/>
      <x:c r="P17" s="27"/>
      <x:c r="Q17" s="27"/>
      <x:c r="R17" s="27"/>
      <x:c r="S17" s="27"/>
      <x:c r="T17" s="27"/>
      <x:c r="U17" s="27"/>
      <x:c r="V17" s="27"/>
      <x:c r="W17" s="27"/>
      <x:c r="X17" s="27"/>
      <x:c r="Y17" s="27"/>
      <x:c r="Z17" s="27"/>
      <x:c r="AA17" s="27"/>
      <x:c r="AB17" s="27"/>
      <x:c r="AC17" s="27"/>
      <x:c r="AD17" s="27"/>
      <x:c r="AE17" s="27"/>
      <x:c r="AF17" s="27"/>
      <x:c r="AG17" s="27"/>
      <x:c r="AH17" s="27"/>
      <x:c r="AI17" s="27"/>
      <x:c r="AJ17" s="27"/>
      <x:c r="AK17" s="27"/>
      <x:c r="AL17" s="27"/>
      <x:c r="AM17" s="27"/>
      <x:c r="AN17" s="27"/>
      <x:c r="AO17" s="27"/>
      <x:c r="AP17" s="27"/>
      <x:c r="AQ17" s="27"/>
      <x:c r="AR17" s="27"/>
      <x:c r="AS17" s="27"/>
      <x:c r="AT17" s="27"/>
      <x:c r="AU17" s="27"/>
      <x:c r="AV17" s="27"/>
      <x:c r="AW17" s="27"/>
      <x:c r="AX17" s="27"/>
      <x:c r="AY17" s="27"/>
      <x:c r="AZ17" s="27"/>
    </x:row>
    <x:row r="18">
      <x:c r="A18" s="27" t="str">
        <x:v>Frozen model integrity</x:v>
      </x:c>
      <x:c r="B18" s="27" t="str">
        <x:v>PASS</x:v>
      </x:c>
      <x:c r="C18" s="27" t="str">
        <x:v>v1.1 weights unchanged</x:v>
      </x:c>
      <x:c r="D18" s="27" t="str">
        <x:v>CRITICAL</x:v>
      </x:c>
      <x:c r="E18" s="27" t="str">
        <x:v>None</x:v>
      </x:c>
      <x:c r="F18" s="27" t="str">
        <x:v>Blind test used v1.1 exactly; no refit during validation.</x:v>
      </x:c>
      <x:c r="G18" s="27"/>
      <x:c r="H18" s="27"/>
      <x:c r="I18" s="27"/>
      <x:c r="J18" s="27"/>
      <x:c r="K18" s="27"/>
      <x:c r="L18" s="27"/>
      <x:c r="M18" s="27"/>
      <x:c r="N18" s="27"/>
      <x:c r="O18" s="27"/>
      <x:c r="P18" s="27"/>
      <x:c r="Q18" s="27"/>
      <x:c r="R18" s="27"/>
      <x:c r="S18" s="27"/>
      <x:c r="T18" s="27"/>
      <x:c r="U18" s="27"/>
      <x:c r="V18" s="27"/>
      <x:c r="W18" s="27"/>
      <x:c r="X18" s="27"/>
      <x:c r="Y18" s="27"/>
      <x:c r="Z18" s="27"/>
      <x:c r="AA18" s="27"/>
      <x:c r="AB18" s="27"/>
      <x:c r="AC18" s="27"/>
      <x:c r="AD18" s="27"/>
      <x:c r="AE18" s="27"/>
      <x:c r="AF18" s="27"/>
      <x:c r="AG18" s="27"/>
      <x:c r="AH18" s="27"/>
      <x:c r="AI18" s="27"/>
      <x:c r="AJ18" s="27"/>
      <x:c r="AK18" s="27"/>
      <x:c r="AL18" s="27"/>
      <x:c r="AM18" s="27"/>
      <x:c r="AN18" s="27"/>
      <x:c r="AO18" s="27"/>
      <x:c r="AP18" s="27"/>
      <x:c r="AQ18" s="27"/>
      <x:c r="AR18" s="27"/>
      <x:c r="AS18" s="27"/>
      <x:c r="AT18" s="27"/>
      <x:c r="AU18" s="27"/>
      <x:c r="AV18" s="27"/>
      <x:c r="AW18" s="27"/>
      <x:c r="AX18" s="27"/>
      <x:c r="AY18" s="27"/>
      <x:c r="AZ18" s="27"/>
    </x:row>
    <x:row r="19">
      <x:c r="A19" s="27" t="str">
        <x:v>Gritty blind test</x:v>
      </x:c>
      <x:c r="B19" s="27" t="str">
        <x:v>PASS WITH 1 EXCEPTION</x:v>
      </x:c>
      <x:c r="C19" s="27" t="str">
        <x:v>82/83 = 98.8%</x:v>
      </x:c>
      <x:c r="D19" s="27" t="str">
        <x:v>WARNING</x:v>
      </x:c>
      <x:c r="E19" s="27" t="str">
        <x:v>Investigate one narrow inversion</x:v>
      </x:c>
      <x:c r="F19" s="27" t="str">
        <x:v>Jalen Hoffman81 score76.910 vs Christian Bentancur80 score76.940.</x:v>
      </x:c>
      <x:c r="G19" s="27"/>
      <x:c r="H19" s="27"/>
      <x:c r="I19" s="27"/>
      <x:c r="J19" s="27"/>
      <x:c r="K19" s="27"/>
      <x:c r="L19" s="27"/>
      <x:c r="M19" s="27"/>
      <x:c r="N19" s="27"/>
      <x:c r="O19" s="27"/>
      <x:c r="P19" s="27"/>
      <x:c r="Q19" s="27"/>
      <x:c r="R19" s="27"/>
      <x:c r="S19" s="27"/>
      <x:c r="T19" s="27"/>
      <x:c r="U19" s="27"/>
      <x:c r="V19" s="27"/>
      <x:c r="W19" s="27"/>
      <x:c r="X19" s="27"/>
      <x:c r="Y19" s="27"/>
      <x:c r="Z19" s="27"/>
      <x:c r="AA19" s="27"/>
      <x:c r="AB19" s="27"/>
      <x:c r="AC19" s="27"/>
      <x:c r="AD19" s="27"/>
      <x:c r="AE19" s="27"/>
      <x:c r="AF19" s="27"/>
      <x:c r="AG19" s="27"/>
      <x:c r="AH19" s="27"/>
      <x:c r="AI19" s="27"/>
      <x:c r="AJ19" s="27"/>
      <x:c r="AK19" s="27"/>
      <x:c r="AL19" s="27"/>
      <x:c r="AM19" s="27"/>
      <x:c r="AN19" s="27"/>
      <x:c r="AO19" s="27"/>
      <x:c r="AP19" s="27"/>
      <x:c r="AQ19" s="27"/>
      <x:c r="AR19" s="27"/>
      <x:c r="AS19" s="27"/>
      <x:c r="AT19" s="27"/>
      <x:c r="AU19" s="27"/>
      <x:c r="AV19" s="27"/>
      <x:c r="AW19" s="27"/>
      <x:c r="AX19" s="27"/>
      <x:c r="AY19" s="27"/>
      <x:c r="AZ19" s="27"/>
    </x:row>
    <x:row r="20">
      <x:c r="A20" s="27" t="str">
        <x:v>Vertical blind test</x:v>
      </x:c>
      <x:c r="B20" s="27" t="str">
        <x:v>PARTIAL FAIL</x:v>
      </x:c>
      <x:c r="C20" s="27" t="str">
        <x:v>124/133 = 93.2%</x:v>
      </x:c>
      <x:c r="D20" s="27" t="str">
        <x:v>WARNING</x:v>
      </x:c>
      <x:c r="E20" s="27" t="str">
        <x:v>Build v1.2 VT hypothesis only after documenting failures</x:v>
      </x:c>
      <x:c r="F20" s="27" t="str">
        <x:v>Nine inversions prove M19 VT weights are not exact CFB27 VT weights.</x:v>
      </x:c>
      <x:c r="G20" s="27"/>
      <x:c r="H20" s="27"/>
      <x:c r="I20" s="27"/>
      <x:c r="J20" s="27"/>
      <x:c r="K20" s="27"/>
      <x:c r="L20" s="27"/>
      <x:c r="M20" s="27"/>
      <x:c r="N20" s="27"/>
      <x:c r="O20" s="27"/>
      <x:c r="P20" s="27"/>
      <x:c r="Q20" s="27"/>
      <x:c r="R20" s="27"/>
      <x:c r="S20" s="27"/>
      <x:c r="T20" s="27"/>
      <x:c r="U20" s="27"/>
      <x:c r="V20" s="27"/>
      <x:c r="W20" s="27"/>
      <x:c r="X20" s="27"/>
      <x:c r="Y20" s="27"/>
      <x:c r="Z20" s="27"/>
      <x:c r="AA20" s="27"/>
      <x:c r="AB20" s="27"/>
      <x:c r="AC20" s="27"/>
      <x:c r="AD20" s="27"/>
      <x:c r="AE20" s="27"/>
      <x:c r="AF20" s="27"/>
      <x:c r="AG20" s="27"/>
      <x:c r="AH20" s="27"/>
      <x:c r="AI20" s="27"/>
      <x:c r="AJ20" s="27"/>
      <x:c r="AK20" s="27"/>
      <x:c r="AL20" s="27"/>
      <x:c r="AM20" s="27"/>
      <x:c r="AN20" s="27"/>
      <x:c r="AO20" s="27"/>
      <x:c r="AP20" s="27"/>
      <x:c r="AQ20" s="27"/>
      <x:c r="AR20" s="27"/>
      <x:c r="AS20" s="27"/>
      <x:c r="AT20" s="27"/>
      <x:c r="AU20" s="27"/>
      <x:c r="AV20" s="27"/>
      <x:c r="AW20" s="27"/>
      <x:c r="AX20" s="27"/>
      <x:c r="AY20" s="27"/>
      <x:c r="AZ20" s="27"/>
    </x:row>
    <x:row r="21">
      <x:c r="A21" s="27" t="str">
        <x:v>Physical Route Runner blind test</x:v>
      </x:c>
      <x:c r="B21" s="27" t="str">
        <x:v>PASS</x:v>
      </x:c>
      <x:c r="C21" s="27" t="str">
        <x:v>304/304 = 100%</x:v>
      </x:c>
      <x:c r="D21" s="27" t="str">
        <x:v>INFO</x:v>
      </x:c>
      <x:c r="E21" s="27" t="str">
        <x:v>Promote confidence</x:v>
      </x:c>
      <x:c r="F21" s="27" t="str">
        <x:v>Frozen 71/29 blend generalized perfectly to unseen pages25-69.</x:v>
      </x:c>
      <x:c r="G21" s="27"/>
      <x:c r="H21" s="27"/>
      <x:c r="I21" s="27"/>
      <x:c r="J21" s="27"/>
      <x:c r="K21" s="27"/>
      <x:c r="L21" s="27"/>
      <x:c r="M21" s="27"/>
      <x:c r="N21" s="27"/>
      <x:c r="O21" s="27"/>
      <x:c r="P21" s="27"/>
      <x:c r="Q21" s="27"/>
      <x:c r="R21" s="27"/>
      <x:c r="S21" s="27"/>
      <x:c r="T21" s="27"/>
      <x:c r="U21" s="27"/>
      <x:c r="V21" s="27"/>
      <x:c r="W21" s="27"/>
      <x:c r="X21" s="27"/>
      <x:c r="Y21" s="27"/>
      <x:c r="Z21" s="27"/>
      <x:c r="AA21" s="27"/>
      <x:c r="AB21" s="27"/>
      <x:c r="AC21" s="27"/>
      <x:c r="AD21" s="27"/>
      <x:c r="AE21" s="27"/>
      <x:c r="AF21" s="27"/>
      <x:c r="AG21" s="27"/>
      <x:c r="AH21" s="27"/>
      <x:c r="AI21" s="27"/>
      <x:c r="AJ21" s="27"/>
      <x:c r="AK21" s="27"/>
      <x:c r="AL21" s="27"/>
      <x:c r="AM21" s="27"/>
      <x:c r="AN21" s="27"/>
      <x:c r="AO21" s="27"/>
      <x:c r="AP21" s="27"/>
      <x:c r="AQ21" s="27"/>
      <x:c r="AR21" s="27"/>
      <x:c r="AS21" s="27"/>
      <x:c r="AT21" s="27"/>
      <x:c r="AU21" s="27"/>
      <x:c r="AV21" s="27"/>
      <x:c r="AW21" s="27"/>
      <x:c r="AX21" s="27"/>
      <x:c r="AY21" s="27"/>
      <x:c r="AZ21" s="27"/>
    </x:row>
    <x:row r="22">
      <x:c r="A22" s="27" t="str">
        <x:v>Canonical backup updated</x:v>
      </x:c>
      <x:c r="B22" s="27" t="str">
        <x:v>PASS</x:v>
      </x:c>
      <x:c r="C22" s="27" t="str">
        <x:v>/mnt/data/Operation_Pancake_Master_Database_v1.2_TE_Blind_Test.xlsx</x:v>
      </x:c>
      <x:c r="D22" s="27" t="str">
        <x:v>INFO</x:v>
      </x:c>
      <x:c r="E22" s="27" t="str">
        <x:v>Keep v1.1 and v1.2</x:v>
      </x:c>
      <x:c r="F22" s="27" t="str">
        <x:v>v1.2 contains complete holdout ingestion and frozen-model results.</x:v>
      </x:c>
      <x:c r="G22" s="27"/>
      <x:c r="H22" s="27"/>
      <x:c r="I22" s="27"/>
      <x:c r="J22" s="27"/>
      <x:c r="K22" s="27"/>
      <x:c r="L22" s="27"/>
      <x:c r="M22" s="27"/>
      <x:c r="N22" s="27"/>
      <x:c r="O22" s="27"/>
      <x:c r="P22" s="27"/>
      <x:c r="Q22" s="27"/>
      <x:c r="R22" s="27"/>
      <x:c r="S22" s="27"/>
      <x:c r="T22" s="27"/>
      <x:c r="U22" s="27"/>
      <x:c r="V22" s="27"/>
      <x:c r="W22" s="27"/>
      <x:c r="X22" s="27"/>
      <x:c r="Y22" s="27"/>
      <x:c r="Z22" s="27"/>
      <x:c r="AA22" s="27"/>
      <x:c r="AB22" s="27"/>
      <x:c r="AC22" s="27"/>
      <x:c r="AD22" s="27"/>
      <x:c r="AE22" s="27"/>
      <x:c r="AF22" s="27"/>
      <x:c r="AG22" s="27"/>
      <x:c r="AH22" s="27"/>
      <x:c r="AI22" s="27"/>
      <x:c r="AJ22" s="27"/>
      <x:c r="AK22" s="27"/>
      <x:c r="AL22" s="27"/>
      <x:c r="AM22" s="27"/>
      <x:c r="AN22" s="27"/>
      <x:c r="AO22" s="27"/>
      <x:c r="AP22" s="27"/>
      <x:c r="AQ22" s="27"/>
      <x:c r="AR22" s="27"/>
      <x:c r="AS22" s="27"/>
      <x:c r="AT22" s="27"/>
      <x:c r="AU22" s="27"/>
      <x:c r="AV22" s="27"/>
      <x:c r="AW22" s="27"/>
      <x:c r="AX22" s="27"/>
      <x:c r="AY22" s="27"/>
      <x:c r="AZ22" s="27"/>
    </x:row>
    <x:row r="23">
      <x:c r="A23" s="27" t="str">
        <x:v>VT v1.2 research separation</x:v>
      </x:c>
      <x:c r="B23" s="27" t="str">
        <x:v>PASS</x:v>
      </x:c>
      <x:c r="C23" s="27" t="str">
        <x:v>9/9 failures repaired</x:v>
      </x:c>
      <x:c r="D23" s="27" t="str">
        <x:v>INFO</x:v>
      </x:c>
      <x:c r="E23" s="27" t="str">
        <x:v>Keep as diagnostic</x:v>
      </x:c>
      <x:c r="F23" s="27" t="str">
        <x:v>Candidate was selected using only failure pairs.</x:v>
      </x:c>
      <x:c r="G23" s="27"/>
      <x:c r="H23" s="27"/>
      <x:c r="I23" s="27"/>
      <x:c r="J23" s="27"/>
      <x:c r="K23" s="27"/>
      <x:c r="L23" s="27"/>
      <x:c r="M23" s="27"/>
      <x:c r="N23" s="27"/>
      <x:c r="O23" s="27"/>
      <x:c r="P23" s="27"/>
      <x:c r="Q23" s="27"/>
      <x:c r="R23" s="27"/>
      <x:c r="S23" s="27"/>
      <x:c r="T23" s="27"/>
      <x:c r="U23" s="27"/>
      <x:c r="V23" s="27"/>
      <x:c r="W23" s="27"/>
      <x:c r="X23" s="27"/>
      <x:c r="Y23" s="27"/>
      <x:c r="Z23" s="27"/>
      <x:c r="AA23" s="27"/>
      <x:c r="AB23" s="27"/>
      <x:c r="AC23" s="27"/>
      <x:c r="AD23" s="27"/>
      <x:c r="AE23" s="27"/>
      <x:c r="AF23" s="27"/>
      <x:c r="AG23" s="27"/>
      <x:c r="AH23" s="27"/>
      <x:c r="AI23" s="27"/>
      <x:c r="AJ23" s="27"/>
      <x:c r="AK23" s="27"/>
      <x:c r="AL23" s="27"/>
      <x:c r="AM23" s="27"/>
      <x:c r="AN23" s="27"/>
      <x:c r="AO23" s="27"/>
      <x:c r="AP23" s="27"/>
      <x:c r="AQ23" s="27"/>
      <x:c r="AR23" s="27"/>
      <x:c r="AS23" s="27"/>
      <x:c r="AT23" s="27"/>
      <x:c r="AU23" s="27"/>
      <x:c r="AV23" s="27"/>
      <x:c r="AW23" s="27"/>
      <x:c r="AX23" s="27"/>
      <x:c r="AY23" s="27"/>
      <x:c r="AZ23" s="27"/>
    </x:row>
    <x:row r="24">
      <x:c r="A24" s="27" t="str">
        <x:v>VT v1.2 leakage control</x:v>
      </x:c>
      <x:c r="B24" s="27" t="str">
        <x:v>PASS</x:v>
      </x:c>
      <x:c r="C24" s="27" t="str">
        <x:v>7 player-disjoint validation cards</x:v>
      </x:c>
      <x:c r="D24" s="27" t="str">
        <x:v>CRITICAL</x:v>
      </x:c>
      <x:c r="E24" s="27" t="str">
        <x:v>None</x:v>
      </x:c>
      <x:c r="F24" s="27" t="str">
        <x:v>Validation players were never used to select v1.2 architecture or coefficients.</x:v>
      </x:c>
      <x:c r="G24" s="27"/>
      <x:c r="H24" s="27"/>
      <x:c r="I24" s="27"/>
      <x:c r="J24" s="27"/>
      <x:c r="K24" s="27"/>
      <x:c r="L24" s="27"/>
      <x:c r="M24" s="27"/>
      <x:c r="N24" s="27"/>
      <x:c r="O24" s="27"/>
      <x:c r="P24" s="27"/>
      <x:c r="Q24" s="27"/>
      <x:c r="R24" s="27"/>
      <x:c r="S24" s="27"/>
      <x:c r="T24" s="27"/>
      <x:c r="U24" s="27"/>
      <x:c r="V24" s="27"/>
      <x:c r="W24" s="27"/>
      <x:c r="X24" s="27"/>
      <x:c r="Y24" s="27"/>
      <x:c r="Z24" s="27"/>
      <x:c r="AA24" s="27"/>
      <x:c r="AB24" s="27"/>
      <x:c r="AC24" s="27"/>
      <x:c r="AD24" s="27"/>
      <x:c r="AE24" s="27"/>
      <x:c r="AF24" s="27"/>
      <x:c r="AG24" s="27"/>
      <x:c r="AH24" s="27"/>
      <x:c r="AI24" s="27"/>
      <x:c r="AJ24" s="27"/>
      <x:c r="AK24" s="27"/>
      <x:c r="AL24" s="27"/>
      <x:c r="AM24" s="27"/>
      <x:c r="AN24" s="27"/>
      <x:c r="AO24" s="27"/>
      <x:c r="AP24" s="27"/>
      <x:c r="AQ24" s="27"/>
      <x:c r="AR24" s="27"/>
      <x:c r="AS24" s="27"/>
      <x:c r="AT24" s="27"/>
      <x:c r="AU24" s="27"/>
      <x:c r="AV24" s="27"/>
      <x:c r="AW24" s="27"/>
      <x:c r="AX24" s="27"/>
      <x:c r="AY24" s="27"/>
      <x:c r="AZ24" s="27"/>
    </x:row>
    <x:row r="25">
      <x:c r="A25" s="27" t="str">
        <x:v>VT v1.2 independent validation</x:v>
      </x:c>
      <x:c r="B25" s="27" t="str">
        <x:v>FAIL AS REPLACEMENT</x:v>
      </x:c>
      <x:c r="C25" s="27" t="str">
        <x:v>13/17 vs v1.1 17/17</x:v>
      </x:c>
      <x:c r="D25" s="27" t="str">
        <x:v>WARNING</x:v>
      </x:c>
      <x:c r="E25" s="27" t="str">
        <x:v>Reject v1.2 replacement</x:v>
      </x:c>
      <x:c r="F25" s="27" t="str">
        <x:v>Research explanation is useful, but generalization worsened.</x:v>
      </x:c>
      <x:c r="G25" s="27"/>
      <x:c r="H25" s="27"/>
      <x:c r="I25" s="27"/>
      <x:c r="J25" s="27"/>
      <x:c r="K25" s="27"/>
      <x:c r="L25" s="27"/>
      <x:c r="M25" s="27"/>
      <x:c r="N25" s="27"/>
      <x:c r="O25" s="27"/>
      <x:c r="P25" s="27"/>
      <x:c r="Q25" s="27"/>
      <x:c r="R25" s="27"/>
      <x:c r="S25" s="27"/>
      <x:c r="T25" s="27"/>
      <x:c r="U25" s="27"/>
      <x:c r="V25" s="27"/>
      <x:c r="W25" s="27"/>
      <x:c r="X25" s="27"/>
      <x:c r="Y25" s="27"/>
      <x:c r="Z25" s="27"/>
      <x:c r="AA25" s="27"/>
      <x:c r="AB25" s="27"/>
      <x:c r="AC25" s="27"/>
      <x:c r="AD25" s="27"/>
      <x:c r="AE25" s="27"/>
      <x:c r="AF25" s="27"/>
      <x:c r="AG25" s="27"/>
      <x:c r="AH25" s="27"/>
      <x:c r="AI25" s="27"/>
      <x:c r="AJ25" s="27"/>
      <x:c r="AK25" s="27"/>
      <x:c r="AL25" s="27"/>
      <x:c r="AM25" s="27"/>
      <x:c r="AN25" s="27"/>
      <x:c r="AO25" s="27"/>
      <x:c r="AP25" s="27"/>
      <x:c r="AQ25" s="27"/>
      <x:c r="AR25" s="27"/>
      <x:c r="AS25" s="27"/>
      <x:c r="AT25" s="27"/>
      <x:c r="AU25" s="27"/>
      <x:c r="AV25" s="27"/>
      <x:c r="AW25" s="27"/>
      <x:c r="AX25" s="27"/>
      <x:c r="AY25" s="27"/>
      <x:c r="AZ25" s="27"/>
    </x:row>
    <x:row r="26">
      <x:c r="A26" s="27" t="str">
        <x:v>Canonical backup updated</x:v>
      </x:c>
      <x:c r="B26" s="27" t="str">
        <x:v>PASS</x:v>
      </x:c>
      <x:c r="C26" s="27" t="str">
        <x:v>/mnt/data/Operation_Pancake_Master_Database_v1.3_TE_VT_Model_v1.2_REVISED.xlsx</x:v>
      </x:c>
      <x:c r="D26" s="27" t="str">
        <x:v>INFO</x:v>
      </x:c>
      <x:c r="E26" s="27" t="str">
        <x:v>Keep v1.2 and v1.3</x:v>
      </x:c>
      <x:c r="F26" s="27" t="str">
        <x:v>v1.3 preserves v1.1 and documents rejected v1.2 correctly.</x:v>
      </x:c>
      <x:c r="G26" s="27"/>
      <x:c r="H26" s="27"/>
      <x:c r="I26" s="27"/>
      <x:c r="J26" s="27"/>
      <x:c r="K26" s="27"/>
      <x:c r="L26" s="27"/>
      <x:c r="M26" s="27"/>
      <x:c r="N26" s="27"/>
      <x:c r="O26" s="27"/>
      <x:c r="P26" s="27"/>
      <x:c r="Q26" s="27"/>
      <x:c r="R26" s="27"/>
      <x:c r="S26" s="27"/>
      <x:c r="T26" s="27"/>
      <x:c r="U26" s="27"/>
      <x:c r="V26" s="27"/>
      <x:c r="W26" s="27"/>
      <x:c r="X26" s="27"/>
      <x:c r="Y26" s="27"/>
      <x:c r="Z26" s="27"/>
      <x:c r="AA26" s="27"/>
      <x:c r="AB26" s="27"/>
      <x:c r="AC26" s="27"/>
      <x:c r="AD26" s="27"/>
      <x:c r="AE26" s="27"/>
      <x:c r="AF26" s="27"/>
      <x:c r="AG26" s="27"/>
      <x:c r="AH26" s="27"/>
      <x:c r="AI26" s="27"/>
      <x:c r="AJ26" s="27"/>
      <x:c r="AK26" s="27"/>
      <x:c r="AL26" s="27"/>
      <x:c r="AM26" s="27"/>
      <x:c r="AN26" s="27"/>
      <x:c r="AO26" s="27"/>
      <x:c r="AP26" s="27"/>
      <x:c r="AQ26" s="27"/>
      <x:c r="AR26" s="27"/>
      <x:c r="AS26" s="27"/>
      <x:c r="AT26" s="27"/>
      <x:c r="AU26" s="27"/>
      <x:c r="AV26" s="27"/>
      <x:c r="AW26" s="27"/>
      <x:c r="AX26" s="27"/>
      <x:c r="AY26" s="27"/>
      <x:c r="AZ26" s="27"/>
    </x:row>
    <x:row r="27">
      <x:c r="A27" s="27" t="str">
        <x:v>VT v1.3 development leakage</x:v>
      </x:c>
      <x:c r="B27" s="27" t="str">
        <x:v>PASS</x:v>
      </x:c>
      <x:c r="C27" s="27" t="str">
        <x:v>Validation hidden during selection</x:v>
      </x:c>
      <x:c r="D27" s="27" t="str">
        <x:v>CRITICAL</x:v>
      </x:c>
      <x:c r="E27" s="27" t="str">
        <x:v>None</x:v>
      </x:c>
      <x:c r="F27" s="27" t="str">
        <x:v>Candidate selected solely from nine v1.1 failure pairs.</x:v>
      </x:c>
      <x:c r="G27" s="27"/>
      <x:c r="H27" s="27"/>
      <x:c r="I27" s="27"/>
      <x:c r="J27" s="27"/>
      <x:c r="K27" s="27"/>
      <x:c r="L27" s="27"/>
      <x:c r="M27" s="27"/>
      <x:c r="N27" s="27"/>
      <x:c r="O27" s="27"/>
      <x:c r="P27" s="27"/>
      <x:c r="Q27" s="27"/>
      <x:c r="R27" s="27"/>
      <x:c r="S27" s="27"/>
      <x:c r="T27" s="27"/>
      <x:c r="U27" s="27"/>
      <x:c r="V27" s="27"/>
      <x:c r="W27" s="27"/>
      <x:c r="X27" s="27"/>
      <x:c r="Y27" s="27"/>
      <x:c r="Z27" s="27"/>
      <x:c r="AA27" s="27"/>
      <x:c r="AB27" s="27"/>
      <x:c r="AC27" s="27"/>
      <x:c r="AD27" s="27"/>
      <x:c r="AE27" s="27"/>
      <x:c r="AF27" s="27"/>
      <x:c r="AG27" s="27"/>
      <x:c r="AH27" s="27"/>
      <x:c r="AI27" s="27"/>
      <x:c r="AJ27" s="27"/>
      <x:c r="AK27" s="27"/>
      <x:c r="AL27" s="27"/>
      <x:c r="AM27" s="27"/>
      <x:c r="AN27" s="27"/>
      <x:c r="AO27" s="27"/>
      <x:c r="AP27" s="27"/>
      <x:c r="AQ27" s="27"/>
      <x:c r="AR27" s="27"/>
      <x:c r="AS27" s="27"/>
      <x:c r="AT27" s="27"/>
      <x:c r="AU27" s="27"/>
      <x:c r="AV27" s="27"/>
      <x:c r="AW27" s="27"/>
      <x:c r="AX27" s="27"/>
      <x:c r="AY27" s="27"/>
      <x:c r="AZ27" s="27"/>
    </x:row>
    <x:row r="28">
      <x:c r="A28" s="27" t="str">
        <x:v>VT v1.3 research repair</x:v>
      </x:c>
      <x:c r="B28" s="27" t="str">
        <x:v>PASS</x:v>
      </x:c>
      <x:c r="C28" s="27" t="str">
        <x:v>7/9 failures</x:v>
      </x:c>
      <x:c r="D28" s="27" t="str">
        <x:v>INFO</x:v>
      </x:c>
      <x:c r="E28" s="27" t="str">
        <x:v>Do not chase remaining 2 yet</x:v>
      </x:c>
      <x:c r="F28" s="27" t="str">
        <x:v>+2 LBK +3 IBL was smallest five-point blocking change with best research margin.</x:v>
      </x:c>
      <x:c r="G28" s="27"/>
      <x:c r="H28" s="27"/>
      <x:c r="I28" s="27"/>
      <x:c r="J28" s="27"/>
      <x:c r="K28" s="27"/>
      <x:c r="L28" s="27"/>
      <x:c r="M28" s="27"/>
      <x:c r="N28" s="27"/>
      <x:c r="O28" s="27"/>
      <x:c r="P28" s="27"/>
      <x:c r="Q28" s="27"/>
      <x:c r="R28" s="27"/>
      <x:c r="S28" s="27"/>
      <x:c r="T28" s="27"/>
      <x:c r="U28" s="27"/>
      <x:c r="V28" s="27"/>
      <x:c r="W28" s="27"/>
      <x:c r="X28" s="27"/>
      <x:c r="Y28" s="27"/>
      <x:c r="Z28" s="27"/>
      <x:c r="AA28" s="27"/>
      <x:c r="AB28" s="27"/>
      <x:c r="AC28" s="27"/>
      <x:c r="AD28" s="27"/>
      <x:c r="AE28" s="27"/>
      <x:c r="AF28" s="27"/>
      <x:c r="AG28" s="27"/>
      <x:c r="AH28" s="27"/>
      <x:c r="AI28" s="27"/>
      <x:c r="AJ28" s="27"/>
      <x:c r="AK28" s="27"/>
      <x:c r="AL28" s="27"/>
      <x:c r="AM28" s="27"/>
      <x:c r="AN28" s="27"/>
      <x:c r="AO28" s="27"/>
      <x:c r="AP28" s="27"/>
      <x:c r="AQ28" s="27"/>
      <x:c r="AR28" s="27"/>
      <x:c r="AS28" s="27"/>
      <x:c r="AT28" s="27"/>
      <x:c r="AU28" s="27"/>
      <x:c r="AV28" s="27"/>
      <x:c r="AW28" s="27"/>
      <x:c r="AX28" s="27"/>
      <x:c r="AY28" s="27"/>
      <x:c r="AZ28" s="27"/>
    </x:row>
    <x:row r="29">
      <x:c r="A29" s="27" t="str">
        <x:v>VT v1.3 independent validation</x:v>
      </x:c>
      <x:c r="B29" s="27" t="str">
        <x:v>PASS</x:v>
      </x:c>
      <x:c r="C29" s="27" t="str">
        <x:v>17/17 = 100%</x:v>
      </x:c>
      <x:c r="D29" s="27" t="str">
        <x:v>INFO</x:v>
      </x:c>
      <x:c r="E29" s="27" t="str">
        <x:v>Freeze v1.3</x:v>
      </x:c>
      <x:c r="F29" s="27" t="str">
        <x:v>No degradation on player-disjoint validation.</x:v>
      </x:c>
      <x:c r="G29" s="27"/>
      <x:c r="H29" s="27"/>
      <x:c r="I29" s="27"/>
      <x:c r="J29" s="27"/>
      <x:c r="K29" s="27"/>
      <x:c r="L29" s="27"/>
      <x:c r="M29" s="27"/>
      <x:c r="N29" s="27"/>
      <x:c r="O29" s="27"/>
      <x:c r="P29" s="27"/>
      <x:c r="Q29" s="27"/>
      <x:c r="R29" s="27"/>
      <x:c r="S29" s="27"/>
      <x:c r="T29" s="27"/>
      <x:c r="U29" s="27"/>
      <x:c r="V29" s="27"/>
      <x:c r="W29" s="27"/>
      <x:c r="X29" s="27"/>
      <x:c r="Y29" s="27"/>
      <x:c r="Z29" s="27"/>
      <x:c r="AA29" s="27"/>
      <x:c r="AB29" s="27"/>
      <x:c r="AC29" s="27"/>
      <x:c r="AD29" s="27"/>
      <x:c r="AE29" s="27"/>
      <x:c r="AF29" s="27"/>
      <x:c r="AG29" s="27"/>
      <x:c r="AH29" s="27"/>
      <x:c r="AI29" s="27"/>
      <x:c r="AJ29" s="27"/>
      <x:c r="AK29" s="27"/>
      <x:c r="AL29" s="27"/>
      <x:c r="AM29" s="27"/>
      <x:c r="AN29" s="27"/>
      <x:c r="AO29" s="27"/>
      <x:c r="AP29" s="27"/>
      <x:c r="AQ29" s="27"/>
      <x:c r="AR29" s="27"/>
      <x:c r="AS29" s="27"/>
      <x:c r="AT29" s="27"/>
      <x:c r="AU29" s="27"/>
      <x:c r="AV29" s="27"/>
      <x:c r="AW29" s="27"/>
      <x:c r="AX29" s="27"/>
      <x:c r="AY29" s="27"/>
      <x:c r="AZ29" s="27"/>
    </x:row>
    <x:row r="30">
      <x:c r="A30" s="27" t="str">
        <x:v>VT v1.3 full ordering</x:v>
      </x:c>
      <x:c r="B30" s="27" t="str">
        <x:v>PASS</x:v>
      </x:c>
      <x:c r="C30" s="27" t="str">
        <x:v>138/140 = 98.6%</x:v>
      </x:c>
      <x:c r="D30" s="27" t="str">
        <x:v>INFO</x:v>
      </x:c>
      <x:c r="E30" s="27" t="str">
        <x:v>Prospective cards next</x:v>
      </x:c>
      <x:c r="F30" s="27" t="str">
        <x:v>Improves v1.1 93.6% and rejected v1.2 82.9%.</x:v>
      </x:c>
      <x:c r="G30" s="27"/>
      <x:c r="H30" s="27"/>
      <x:c r="I30" s="27"/>
      <x:c r="J30" s="27"/>
      <x:c r="K30" s="27"/>
      <x:c r="L30" s="27"/>
      <x:c r="M30" s="27"/>
      <x:c r="N30" s="27"/>
      <x:c r="O30" s="27"/>
      <x:c r="P30" s="27"/>
      <x:c r="Q30" s="27"/>
      <x:c r="R30" s="27"/>
      <x:c r="S30" s="27"/>
      <x:c r="T30" s="27"/>
      <x:c r="U30" s="27"/>
      <x:c r="V30" s="27"/>
      <x:c r="W30" s="27"/>
      <x:c r="X30" s="27"/>
      <x:c r="Y30" s="27"/>
      <x:c r="Z30" s="27"/>
      <x:c r="AA30" s="27"/>
      <x:c r="AB30" s="27"/>
      <x:c r="AC30" s="27"/>
      <x:c r="AD30" s="27"/>
      <x:c r="AE30" s="27"/>
      <x:c r="AF30" s="27"/>
      <x:c r="AG30" s="27"/>
      <x:c r="AH30" s="27"/>
      <x:c r="AI30" s="27"/>
      <x:c r="AJ30" s="27"/>
      <x:c r="AK30" s="27"/>
      <x:c r="AL30" s="27"/>
      <x:c r="AM30" s="27"/>
      <x:c r="AN30" s="27"/>
      <x:c r="AO30" s="27"/>
      <x:c r="AP30" s="27"/>
      <x:c r="AQ30" s="27"/>
      <x:c r="AR30" s="27"/>
      <x:c r="AS30" s="27"/>
      <x:c r="AT30" s="27"/>
      <x:c r="AU30" s="27"/>
      <x:c r="AV30" s="27"/>
      <x:c r="AW30" s="27"/>
      <x:c r="AX30" s="27"/>
      <x:c r="AY30" s="27"/>
      <x:c r="AZ30" s="27"/>
    </x:row>
    <x:row r="31">
      <x:c r="A31" s="27" t="str">
        <x:v>Canonical backup updated</x:v>
      </x:c>
      <x:c r="B31" s="27" t="str">
        <x:v>PASS</x:v>
      </x:c>
      <x:c r="C31" s="27" t="str">
        <x:v>/mnt/data/Operation_Pancake_Master_Database_v1.4_TE_VT_Model_v1.3.xlsx</x:v>
      </x:c>
      <x:c r="D31" s="27" t="str">
        <x:v>INFO</x:v>
      </x:c>
      <x:c r="E31" s="27" t="str">
        <x:v>Keep prior versions</x:v>
      </x:c>
      <x:c r="F31" s="27" t="str">
        <x:v>v1.4 preserves v1.1/v1.2 and adds promoted v1.3.</x:v>
      </x:c>
      <x:c r="G31" s="27"/>
      <x:c r="H31" s="27"/>
      <x:c r="I31" s="27"/>
      <x:c r="J31" s="27"/>
      <x:c r="K31" s="27"/>
      <x:c r="L31" s="27"/>
      <x:c r="M31" s="27"/>
      <x:c r="N31" s="27"/>
      <x:c r="O31" s="27"/>
      <x:c r="P31" s="27"/>
      <x:c r="Q31" s="27"/>
      <x:c r="R31" s="27"/>
      <x:c r="S31" s="27"/>
      <x:c r="T31" s="27"/>
      <x:c r="U31" s="27"/>
      <x:c r="V31" s="27"/>
      <x:c r="W31" s="27"/>
      <x:c r="X31" s="27"/>
      <x:c r="Y31" s="27"/>
      <x:c r="Z31" s="27"/>
      <x:c r="AA31" s="27"/>
      <x:c r="AB31" s="27"/>
      <x:c r="AC31" s="27"/>
      <x:c r="AD31" s="27"/>
      <x:c r="AE31" s="27"/>
      <x:c r="AF31" s="27"/>
      <x:c r="AG31" s="27"/>
      <x:c r="AH31" s="27"/>
      <x:c r="AI31" s="27"/>
      <x:c r="AJ31" s="27"/>
      <x:c r="AK31" s="27"/>
      <x:c r="AL31" s="27"/>
      <x:c r="AM31" s="27"/>
      <x:c r="AN31" s="27"/>
      <x:c r="AO31" s="27"/>
      <x:c r="AP31" s="27"/>
      <x:c r="AQ31" s="27"/>
      <x:c r="AR31" s="27"/>
      <x:c r="AS31" s="27"/>
      <x:c r="AT31" s="27"/>
      <x:c r="AU31" s="27"/>
      <x:c r="AV31" s="27"/>
      <x:c r="AW31" s="27"/>
      <x:c r="AX31" s="27"/>
      <x:c r="AY31" s="27"/>
      <x:c r="AZ31" s="27"/>
    </x:row>
    <x:row r="32">
      <x:c r="A32" s="27" t="str">
        <x:v>VT v1.3 frozen integrity</x:v>
      </x:c>
      <x:c r="B32" s="27" t="str">
        <x:v>PASS</x:v>
      </x:c>
      <x:c r="C32" s="27" t="str">
        <x:v>No weight changes</x:v>
      </x:c>
      <x:c r="D32" s="27" t="str">
        <x:v>CRITICAL</x:v>
      </x:c>
      <x:c r="E32" s="27" t="str">
        <x:v>Keep frozen</x:v>
      </x:c>
      <x:c r="F32" s="27" t="str">
        <x:v>Architecture investigation did not modify v1.3.</x:v>
      </x:c>
      <x:c r="G32" s="27"/>
      <x:c r="H32" s="27"/>
      <x:c r="I32" s="27"/>
      <x:c r="J32" s="27"/>
      <x:c r="K32" s="27"/>
      <x:c r="L32" s="27"/>
      <x:c r="M32" s="27"/>
      <x:c r="N32" s="27"/>
      <x:c r="O32" s="27"/>
      <x:c r="P32" s="27"/>
      <x:c r="Q32" s="27"/>
      <x:c r="R32" s="27"/>
      <x:c r="S32" s="27"/>
      <x:c r="T32" s="27"/>
      <x:c r="U32" s="27"/>
      <x:c r="V32" s="27"/>
      <x:c r="W32" s="27"/>
      <x:c r="X32" s="27"/>
      <x:c r="Y32" s="27"/>
      <x:c r="Z32" s="27"/>
      <x:c r="AA32" s="27"/>
      <x:c r="AB32" s="27"/>
      <x:c r="AC32" s="27"/>
      <x:c r="AD32" s="27"/>
      <x:c r="AE32" s="27"/>
      <x:c r="AF32" s="27"/>
      <x:c r="AG32" s="27"/>
      <x:c r="AH32" s="27"/>
      <x:c r="AI32" s="27"/>
      <x:c r="AJ32" s="27"/>
      <x:c r="AK32" s="27"/>
      <x:c r="AL32" s="27"/>
      <x:c r="AM32" s="27"/>
      <x:c r="AN32" s="27"/>
      <x:c r="AO32" s="27"/>
      <x:c r="AP32" s="27"/>
      <x:c r="AQ32" s="27"/>
      <x:c r="AR32" s="27"/>
      <x:c r="AS32" s="27"/>
      <x:c r="AT32" s="27"/>
      <x:c r="AU32" s="27"/>
      <x:c r="AV32" s="27"/>
      <x:c r="AW32" s="27"/>
      <x:c r="AX32" s="27"/>
      <x:c r="AY32" s="27"/>
      <x:c r="AZ32" s="27"/>
    </x:row>
    <x:row r="33">
      <x:c r="A33" s="27" t="str">
        <x:v>Residual A explanation</x:v>
      </x:c>
      <x:c r="B33" s="27" t="str">
        <x:v>UNRESOLVED</x:v>
      </x:c>
      <x:c r="C33" s="27" t="str">
        <x:v>Luke82 vs Mason81</x:v>
      </x:c>
      <x:c r="D33" s="27" t="str">
        <x:v>WARNING</x:v>
      </x:c>
      <x:c r="E33" s="27" t="str">
        <x:v>Prospective evidence needed</x:v>
      </x:c>
      <x:c r="F33" s="27" t="str">
        <x:v>No tested simple hypothesis generalizes sufficiently.</x:v>
      </x:c>
      <x:c r="G33" s="27"/>
      <x:c r="H33" s="27"/>
      <x:c r="I33" s="27"/>
      <x:c r="J33" s="27"/>
      <x:c r="K33" s="27"/>
      <x:c r="L33" s="27"/>
      <x:c r="M33" s="27"/>
      <x:c r="N33" s="27"/>
      <x:c r="O33" s="27"/>
      <x:c r="P33" s="27"/>
      <x:c r="Q33" s="27"/>
      <x:c r="R33" s="27"/>
      <x:c r="S33" s="27"/>
      <x:c r="T33" s="27"/>
      <x:c r="U33" s="27"/>
      <x:c r="V33" s="27"/>
      <x:c r="W33" s="27"/>
      <x:c r="X33" s="27"/>
      <x:c r="Y33" s="27"/>
      <x:c r="Z33" s="27"/>
      <x:c r="AA33" s="27"/>
      <x:c r="AB33" s="27"/>
      <x:c r="AC33" s="27"/>
      <x:c r="AD33" s="27"/>
      <x:c r="AE33" s="27"/>
      <x:c r="AF33" s="27"/>
      <x:c r="AG33" s="27"/>
      <x:c r="AH33" s="27"/>
      <x:c r="AI33" s="27"/>
      <x:c r="AJ33" s="27"/>
      <x:c r="AK33" s="27"/>
      <x:c r="AL33" s="27"/>
      <x:c r="AM33" s="27"/>
      <x:c r="AN33" s="27"/>
      <x:c r="AO33" s="27"/>
      <x:c r="AP33" s="27"/>
      <x:c r="AQ33" s="27"/>
      <x:c r="AR33" s="27"/>
      <x:c r="AS33" s="27"/>
      <x:c r="AT33" s="27"/>
      <x:c r="AU33" s="27"/>
      <x:c r="AV33" s="27"/>
      <x:c r="AW33" s="27"/>
      <x:c r="AX33" s="27"/>
      <x:c r="AY33" s="27"/>
      <x:c r="AZ33" s="27"/>
    </x:row>
    <x:row r="34">
      <x:c r="A34" s="27" t="str">
        <x:v>Residual B explanation</x:v>
      </x:c>
      <x:c r="B34" s="27" t="str">
        <x:v>PARTIALLY EXPLAINED</x:v>
      </x:c>
      <x:c r="C34" s="27" t="str">
        <x:v>Jelani81 vs Hunter80</x:v>
      </x:c>
      <x:c r="D34" s="27" t="str">
        <x:v>INFO</x:v>
      </x:c>
      <x:c r="E34" s="27" t="str">
        <x:v>Track STR/COD/IBL</x:v>
      </x:c>
      <x:c r="F34" s="27" t="str">
        <x:v>Strong missing positional-value signal; exact attribute not proven.</x:v>
      </x:c>
      <x:c r="G34" s="27"/>
      <x:c r="H34" s="27"/>
      <x:c r="I34" s="27"/>
      <x:c r="J34" s="27"/>
      <x:c r="K34" s="27"/>
      <x:c r="L34" s="27"/>
      <x:c r="M34" s="27"/>
      <x:c r="N34" s="27"/>
      <x:c r="O34" s="27"/>
      <x:c r="P34" s="27"/>
      <x:c r="Q34" s="27"/>
      <x:c r="R34" s="27"/>
      <x:c r="S34" s="27"/>
      <x:c r="T34" s="27"/>
      <x:c r="U34" s="27"/>
      <x:c r="V34" s="27"/>
      <x:c r="W34" s="27"/>
      <x:c r="X34" s="27"/>
      <x:c r="Y34" s="27"/>
      <x:c r="Z34" s="27"/>
      <x:c r="AA34" s="27"/>
      <x:c r="AB34" s="27"/>
      <x:c r="AC34" s="27"/>
      <x:c r="AD34" s="27"/>
      <x:c r="AE34" s="27"/>
      <x:c r="AF34" s="27"/>
      <x:c r="AG34" s="27"/>
      <x:c r="AH34" s="27"/>
      <x:c r="AI34" s="27"/>
      <x:c r="AJ34" s="27"/>
      <x:c r="AK34" s="27"/>
      <x:c r="AL34" s="27"/>
      <x:c r="AM34" s="27"/>
      <x:c r="AN34" s="27"/>
      <x:c r="AO34" s="27"/>
      <x:c r="AP34" s="27"/>
      <x:c r="AQ34" s="27"/>
      <x:c r="AR34" s="27"/>
      <x:c r="AS34" s="27"/>
      <x:c r="AT34" s="27"/>
      <x:c r="AU34" s="27"/>
      <x:c r="AV34" s="27"/>
      <x:c r="AW34" s="27"/>
      <x:c r="AX34" s="27"/>
      <x:c r="AY34" s="27"/>
      <x:c r="AZ34" s="27"/>
    </x:row>
    <x:row r="35">
      <x:c r="A35" s="27" t="str">
        <x:v>Program modifier hypothesis</x:v>
      </x:c>
      <x:c r="B35" s="27" t="str">
        <x:v>REJECTED</x:v>
      </x:c>
      <x:c r="C35" s="27" t="str">
        <x:v>Cross-program controls</x:v>
      </x:c>
      <x:c r="D35" s="27" t="str">
        <x:v>INFO</x:v>
      </x:c>
      <x:c r="E35" s="27" t="str">
        <x:v>None</x:v>
      </x:c>
      <x:c r="F35" s="27" t="str">
        <x:v>No evidence program label directly contributes to OVR.</x:v>
      </x:c>
      <x:c r="G35" s="27"/>
      <x:c r="H35" s="27"/>
      <x:c r="I35" s="27"/>
      <x:c r="J35" s="27"/>
      <x:c r="K35" s="27"/>
      <x:c r="L35" s="27"/>
      <x:c r="M35" s="27"/>
      <x:c r="N35" s="27"/>
      <x:c r="O35" s="27"/>
      <x:c r="P35" s="27"/>
      <x:c r="Q35" s="27"/>
      <x:c r="R35" s="27"/>
      <x:c r="S35" s="27"/>
      <x:c r="T35" s="27"/>
      <x:c r="U35" s="27"/>
      <x:c r="V35" s="27"/>
      <x:c r="W35" s="27"/>
      <x:c r="X35" s="27"/>
      <x:c r="Y35" s="27"/>
      <x:c r="Z35" s="27"/>
      <x:c r="AA35" s="27"/>
      <x:c r="AB35" s="27"/>
      <x:c r="AC35" s="27"/>
      <x:c r="AD35" s="27"/>
      <x:c r="AE35" s="27"/>
      <x:c r="AF35" s="27"/>
      <x:c r="AG35" s="27"/>
      <x:c r="AH35" s="27"/>
      <x:c r="AI35" s="27"/>
      <x:c r="AJ35" s="27"/>
      <x:c r="AK35" s="27"/>
      <x:c r="AL35" s="27"/>
      <x:c r="AM35" s="27"/>
      <x:c r="AN35" s="27"/>
      <x:c r="AO35" s="27"/>
      <x:c r="AP35" s="27"/>
      <x:c r="AQ35" s="27"/>
      <x:c r="AR35" s="27"/>
      <x:c r="AS35" s="27"/>
      <x:c r="AT35" s="27"/>
      <x:c r="AU35" s="27"/>
      <x:c r="AV35" s="27"/>
      <x:c r="AW35" s="27"/>
      <x:c r="AX35" s="27"/>
      <x:c r="AY35" s="27"/>
      <x:c r="AZ35" s="27"/>
    </x:row>
    <x:row r="36">
      <x:c r="A36" s="27" t="str">
        <x:v>Shared positional component</x:v>
      </x:c>
      <x:c r="B36" s="27" t="str">
        <x:v>WORKING HYPOTHESIS</x:v>
      </x:c>
      <x:c r="C36" s="27" t="str">
        <x:v>Moderate support</x:v>
      </x:c>
      <x:c r="D36" s="27" t="str">
        <x:v>INFO</x:v>
      </x:c>
      <x:c r="E36" s="27" t="str">
        <x:v>Test prospectively</x:v>
      </x:c>
      <x:c r="F36" s="27" t="str">
        <x:v>Small embedded competency weights plausible; large separate component rejected.</x:v>
      </x:c>
      <x:c r="G36" s="27"/>
      <x:c r="H36" s="27"/>
      <x:c r="I36" s="27"/>
      <x:c r="J36" s="27"/>
      <x:c r="K36" s="27"/>
      <x:c r="L36" s="27"/>
      <x:c r="M36" s="27"/>
      <x:c r="N36" s="27"/>
      <x:c r="O36" s="27"/>
      <x:c r="P36" s="27"/>
      <x:c r="Q36" s="27"/>
      <x:c r="R36" s="27"/>
      <x:c r="S36" s="27"/>
      <x:c r="T36" s="27"/>
      <x:c r="U36" s="27"/>
      <x:c r="V36" s="27"/>
      <x:c r="W36" s="27"/>
      <x:c r="X36" s="27"/>
      <x:c r="Y36" s="27"/>
      <x:c r="Z36" s="27"/>
      <x:c r="AA36" s="27"/>
      <x:c r="AB36" s="27"/>
      <x:c r="AC36" s="27"/>
      <x:c r="AD36" s="27"/>
      <x:c r="AE36" s="27"/>
      <x:c r="AF36" s="27"/>
      <x:c r="AG36" s="27"/>
      <x:c r="AH36" s="27"/>
      <x:c r="AI36" s="27"/>
      <x:c r="AJ36" s="27"/>
      <x:c r="AK36" s="27"/>
      <x:c r="AL36" s="27"/>
      <x:c r="AM36" s="27"/>
      <x:c r="AN36" s="27"/>
      <x:c r="AO36" s="27"/>
      <x:c r="AP36" s="27"/>
      <x:c r="AQ36" s="27"/>
      <x:c r="AR36" s="27"/>
      <x:c r="AS36" s="27"/>
      <x:c r="AT36" s="27"/>
      <x:c r="AU36" s="27"/>
      <x:c r="AV36" s="27"/>
      <x:c r="AW36" s="27"/>
      <x:c r="AX36" s="27"/>
      <x:c r="AY36" s="27"/>
      <x:c r="AZ36" s="27"/>
    </x:row>
    <x:row r="37">
      <x:c r="A37" s="27" t="str">
        <x:v>Prospective framework</x:v>
      </x:c>
      <x:c r="B37" s="27" t="str">
        <x:v>PASS</x:v>
      </x:c>
      <x:c r="C37" s="27" t="str">
        <x:v>TE_VT_Prospective created</x:v>
      </x:c>
      <x:c r="D37" s="27" t="str">
        <x:v>CRITICAL</x:v>
      </x:c>
      <x:c r="E37" s="27" t="str">
        <x:v>Use for all future VT cards</x:v>
      </x:c>
      <x:c r="F37" s="27" t="str">
        <x:v>Future evidence kept separate from legacy model-development data.</x:v>
      </x:c>
      <x:c r="G37" s="27"/>
      <x:c r="H37" s="27"/>
      <x:c r="I37" s="27"/>
      <x:c r="J37" s="27"/>
      <x:c r="K37" s="27"/>
      <x:c r="L37" s="27"/>
      <x:c r="M37" s="27"/>
      <x:c r="N37" s="27"/>
      <x:c r="O37" s="27"/>
      <x:c r="P37" s="27"/>
      <x:c r="Q37" s="27"/>
      <x:c r="R37" s="27"/>
      <x:c r="S37" s="27"/>
      <x:c r="T37" s="27"/>
      <x:c r="U37" s="27"/>
      <x:c r="V37" s="27"/>
      <x:c r="W37" s="27"/>
      <x:c r="X37" s="27"/>
      <x:c r="Y37" s="27"/>
      <x:c r="Z37" s="27"/>
      <x:c r="AA37" s="27"/>
      <x:c r="AB37" s="27"/>
      <x:c r="AC37" s="27"/>
      <x:c r="AD37" s="27"/>
      <x:c r="AE37" s="27"/>
      <x:c r="AF37" s="27"/>
      <x:c r="AG37" s="27"/>
      <x:c r="AH37" s="27"/>
      <x:c r="AI37" s="27"/>
      <x:c r="AJ37" s="27"/>
      <x:c r="AK37" s="27"/>
      <x:c r="AL37" s="27"/>
      <x:c r="AM37" s="27"/>
      <x:c r="AN37" s="27"/>
      <x:c r="AO37" s="27"/>
      <x:c r="AP37" s="27"/>
      <x:c r="AQ37" s="27"/>
      <x:c r="AR37" s="27"/>
      <x:c r="AS37" s="27"/>
      <x:c r="AT37" s="27"/>
      <x:c r="AU37" s="27"/>
      <x:c r="AV37" s="27"/>
      <x:c r="AW37" s="27"/>
      <x:c r="AX37" s="27"/>
      <x:c r="AY37" s="27"/>
      <x:c r="AZ37" s="27"/>
    </x:row>
    <x:row r="38">
      <x:c r="A38" s="27" t="str">
        <x:v>Canonical backup updated</x:v>
      </x:c>
      <x:c r="B38" s="27" t="str">
        <x:v>PASS</x:v>
      </x:c>
      <x:c r="C38" s="27" t="str">
        <x:v>/mnt/data/Operation_Pancake_Master_Database_v1.5_TE_VT_Architecture_Prospective.xlsx</x:v>
      </x:c>
      <x:c r="D38" s="27" t="str">
        <x:v>INFO</x:v>
      </x:c>
      <x:c r="E38" s="27" t="str">
        <x:v>Keep v1.4 and v1.5</x:v>
      </x:c>
      <x:c r="F38" s="27" t="str">
        <x:v>v1.5 adds architecture investigation and prospective framework; no new model version.</x:v>
      </x:c>
      <x:c r="G38" s="27"/>
      <x:c r="H38" s="27"/>
      <x:c r="I38" s="27"/>
      <x:c r="J38" s="27"/>
      <x:c r="K38" s="27"/>
      <x:c r="L38" s="27"/>
      <x:c r="M38" s="27"/>
      <x:c r="N38" s="27"/>
      <x:c r="O38" s="27"/>
      <x:c r="P38" s="27"/>
      <x:c r="Q38" s="27"/>
      <x:c r="R38" s="27"/>
      <x:c r="S38" s="27"/>
      <x:c r="T38" s="27"/>
      <x:c r="U38" s="27"/>
      <x:c r="V38" s="27"/>
      <x:c r="W38" s="27"/>
      <x:c r="X38" s="27"/>
      <x:c r="Y38" s="27"/>
      <x:c r="Z38" s="27"/>
      <x:c r="AA38" s="27"/>
      <x:c r="AB38" s="27"/>
      <x:c r="AC38" s="27"/>
      <x:c r="AD38" s="27"/>
      <x:c r="AE38" s="27"/>
      <x:c r="AF38" s="27"/>
      <x:c r="AG38" s="27"/>
      <x:c r="AH38" s="27"/>
      <x:c r="AI38" s="27"/>
      <x:c r="AJ38" s="27"/>
      <x:c r="AK38" s="27"/>
      <x:c r="AL38" s="27"/>
      <x:c r="AM38" s="27"/>
      <x:c r="AN38" s="27"/>
      <x:c r="AO38" s="27"/>
      <x:c r="AP38" s="27"/>
      <x:c r="AQ38" s="27"/>
      <x:c r="AR38" s="27"/>
      <x:c r="AS38" s="27"/>
      <x:c r="AT38" s="27"/>
      <x:c r="AU38" s="27"/>
      <x:c r="AV38" s="27"/>
      <x:c r="AW38" s="27"/>
      <x:c r="AX38" s="27"/>
      <x:c r="AY38" s="27"/>
      <x:c r="AZ38" s="27"/>
    </x:row>
    <x:row r="39">
      <x:c r="A39" s="27" t="str">
        <x:v>Vertical Threat operational threshold</x:v>
      </x:c>
      <x:c r="B39" s="27" t="str">
        <x:v>PASS</x:v>
      </x:c>
      <x:c r="C39" s="27" t="str">
        <x:v>138/140 = 98.6%; validation 17/17</x:v>
      </x:c>
      <x:c r="D39" s="27" t="str">
        <x:v>INFO</x:v>
      </x:c>
      <x:c r="E39" s="27" t="str">
        <x:v>Freeze</x:v>
      </x:c>
      <x:c r="F39" s="27" t="str">
        <x:v>Classified operationally solved.</x:v>
      </x:c>
      <x:c r="G39" s="27"/>
      <x:c r="H39" s="27"/>
      <x:c r="I39" s="27"/>
      <x:c r="J39" s="27"/>
      <x:c r="K39" s="27"/>
      <x:c r="L39" s="27"/>
      <x:c r="M39" s="27"/>
      <x:c r="N39" s="27"/>
      <x:c r="O39" s="27"/>
      <x:c r="P39" s="27"/>
      <x:c r="Q39" s="27"/>
      <x:c r="R39" s="27"/>
      <x:c r="S39" s="27"/>
      <x:c r="T39" s="27"/>
      <x:c r="U39" s="27"/>
      <x:c r="V39" s="27"/>
      <x:c r="W39" s="27"/>
      <x:c r="X39" s="27"/>
      <x:c r="Y39" s="27"/>
      <x:c r="Z39" s="27"/>
      <x:c r="AA39" s="27"/>
      <x:c r="AB39" s="27"/>
      <x:c r="AC39" s="27"/>
      <x:c r="AD39" s="27"/>
      <x:c r="AE39" s="27"/>
      <x:c r="AF39" s="27"/>
      <x:c r="AG39" s="27"/>
      <x:c r="AH39" s="27"/>
      <x:c r="AI39" s="27"/>
      <x:c r="AJ39" s="27"/>
      <x:c r="AK39" s="27"/>
      <x:c r="AL39" s="27"/>
      <x:c r="AM39" s="27"/>
      <x:c r="AN39" s="27"/>
      <x:c r="AO39" s="27"/>
      <x:c r="AP39" s="27"/>
      <x:c r="AQ39" s="27"/>
      <x:c r="AR39" s="27"/>
      <x:c r="AS39" s="27"/>
      <x:c r="AT39" s="27"/>
      <x:c r="AU39" s="27"/>
      <x:c r="AV39" s="27"/>
      <x:c r="AW39" s="27"/>
      <x:c r="AX39" s="27"/>
      <x:c r="AY39" s="27"/>
      <x:c r="AZ39" s="27"/>
    </x:row>
    <x:row r="40">
      <x:c r="A40" s="27" t="str">
        <x:v>Gritty operational threshold</x:v>
      </x:c>
      <x:c r="B40" s="27" t="str">
        <x:v>PASS</x:v>
      </x:c>
      <x:c r="C40" s="27" t="str">
        <x:v>97/98 = 99.0%; blind 82/83</x:v>
      </x:c>
      <x:c r="D40" s="27" t="str">
        <x:v>INFO</x:v>
      </x:c>
      <x:c r="E40" s="27" t="str">
        <x:v>Freeze</x:v>
      </x:c>
      <x:c r="F40" s="27" t="str">
        <x:v>One isolated 0.030 inversion.</x:v>
      </x:c>
      <x:c r="G40" s="27"/>
      <x:c r="H40" s="27"/>
      <x:c r="I40" s="27"/>
      <x:c r="J40" s="27"/>
      <x:c r="K40" s="27"/>
      <x:c r="L40" s="27"/>
      <x:c r="M40" s="27"/>
      <x:c r="N40" s="27"/>
      <x:c r="O40" s="27"/>
      <x:c r="P40" s="27"/>
      <x:c r="Q40" s="27"/>
      <x:c r="R40" s="27"/>
      <x:c r="S40" s="27"/>
      <x:c r="T40" s="27"/>
      <x:c r="U40" s="27"/>
      <x:c r="V40" s="27"/>
      <x:c r="W40" s="27"/>
      <x:c r="X40" s="27"/>
      <x:c r="Y40" s="27"/>
      <x:c r="Z40" s="27"/>
      <x:c r="AA40" s="27"/>
      <x:c r="AB40" s="27"/>
      <x:c r="AC40" s="27"/>
      <x:c r="AD40" s="27"/>
      <x:c r="AE40" s="27"/>
      <x:c r="AF40" s="27"/>
      <x:c r="AG40" s="27"/>
      <x:c r="AH40" s="27"/>
      <x:c r="AI40" s="27"/>
      <x:c r="AJ40" s="27"/>
      <x:c r="AK40" s="27"/>
      <x:c r="AL40" s="27"/>
      <x:c r="AM40" s="27"/>
      <x:c r="AN40" s="27"/>
      <x:c r="AO40" s="27"/>
      <x:c r="AP40" s="27"/>
      <x:c r="AQ40" s="27"/>
      <x:c r="AR40" s="27"/>
      <x:c r="AS40" s="27"/>
      <x:c r="AT40" s="27"/>
      <x:c r="AU40" s="27"/>
      <x:c r="AV40" s="27"/>
      <x:c r="AW40" s="27"/>
      <x:c r="AX40" s="27"/>
      <x:c r="AY40" s="27"/>
      <x:c r="AZ40" s="27"/>
    </x:row>
    <x:row r="41">
      <x:c r="A41" s="27" t="str">
        <x:v>PRR operational threshold</x:v>
      </x:c>
      <x:c r="B41" s="27" t="str">
        <x:v>PASS</x:v>
      </x:c>
      <x:c r="C41" s="27" t="str">
        <x:v>404/404 = 100%; unique-profile blind 304/304</x:v>
      </x:c>
      <x:c r="D41" s="27" t="str">
        <x:v>INFO</x:v>
      </x:c>
      <x:c r="E41" s="27" t="str">
        <x:v>Freeze</x:v>
      </x:c>
      <x:c r="F41" s="27" t="str">
        <x:v>No inversions.</x:v>
      </x:c>
      <x:c r="G41" s="27"/>
      <x:c r="H41" s="27"/>
      <x:c r="I41" s="27"/>
      <x:c r="J41" s="27"/>
      <x:c r="K41" s="27"/>
      <x:c r="L41" s="27"/>
      <x:c r="M41" s="27"/>
      <x:c r="N41" s="27"/>
      <x:c r="O41" s="27"/>
      <x:c r="P41" s="27"/>
      <x:c r="Q41" s="27"/>
      <x:c r="R41" s="27"/>
      <x:c r="S41" s="27"/>
      <x:c r="T41" s="27"/>
      <x:c r="U41" s="27"/>
      <x:c r="V41" s="27"/>
      <x:c r="W41" s="27"/>
      <x:c r="X41" s="27"/>
      <x:c r="Y41" s="27"/>
      <x:c r="Z41" s="27"/>
      <x:c r="AA41" s="27"/>
      <x:c r="AB41" s="27"/>
      <x:c r="AC41" s="27"/>
      <x:c r="AD41" s="27"/>
      <x:c r="AE41" s="27"/>
      <x:c r="AF41" s="27"/>
      <x:c r="AG41" s="27"/>
      <x:c r="AH41" s="27"/>
      <x:c r="AI41" s="27"/>
      <x:c r="AJ41" s="27"/>
      <x:c r="AK41" s="27"/>
      <x:c r="AL41" s="27"/>
      <x:c r="AM41" s="27"/>
      <x:c r="AN41" s="27"/>
      <x:c r="AO41" s="27"/>
      <x:c r="AP41" s="27"/>
      <x:c r="AQ41" s="27"/>
      <x:c r="AR41" s="27"/>
      <x:c r="AS41" s="27"/>
      <x:c r="AT41" s="27"/>
      <x:c r="AU41" s="27"/>
      <x:c r="AV41" s="27"/>
      <x:c r="AW41" s="27"/>
      <x:c r="AX41" s="27"/>
      <x:c r="AY41" s="27"/>
      <x:c r="AZ41" s="27"/>
    </x:row>
    <x:row r="42">
      <x:c r="A42" s="27" t="str">
        <x:v>Pure Blocker readiness</x:v>
      </x:c>
      <x:c r="B42" s="27" t="str">
        <x:v>INSUFFICIENT</x:v>
      </x:c>
      <x:c r="C42" s="27" t="str">
        <x:v>1 card / 0 pair comparisons</x:v>
      </x:c>
      <x:c r="D42" s="27" t="str">
        <x:v>WARNING</x:v>
      </x:c>
      <x:c r="E42" s="27" t="str">
        <x:v>Collect ≥5 more cards</x:v>
      </x:c>
      <x:c r="F42" s="27" t="str">
        <x:v>Excluded from formula-derived Moneyball scoring.</x:v>
      </x:c>
      <x:c r="G42" s="27"/>
      <x:c r="H42" s="27"/>
      <x:c r="I42" s="27"/>
      <x:c r="J42" s="27"/>
      <x:c r="K42" s="27"/>
      <x:c r="L42" s="27"/>
      <x:c r="M42" s="27"/>
      <x:c r="N42" s="27"/>
      <x:c r="O42" s="27"/>
      <x:c r="P42" s="27"/>
      <x:c r="Q42" s="27"/>
      <x:c r="R42" s="27"/>
      <x:c r="S42" s="27"/>
      <x:c r="T42" s="27"/>
      <x:c r="U42" s="27"/>
      <x:c r="V42" s="27"/>
      <x:c r="W42" s="27"/>
      <x:c r="X42" s="27"/>
      <x:c r="Y42" s="27"/>
      <x:c r="Z42" s="27"/>
      <x:c r="AA42" s="27"/>
      <x:c r="AB42" s="27"/>
      <x:c r="AC42" s="27"/>
      <x:c r="AD42" s="27"/>
      <x:c r="AE42" s="27"/>
      <x:c r="AF42" s="27"/>
      <x:c r="AG42" s="27"/>
      <x:c r="AH42" s="27"/>
      <x:c r="AI42" s="27"/>
      <x:c r="AJ42" s="27"/>
      <x:c r="AK42" s="27"/>
      <x:c r="AL42" s="27"/>
      <x:c r="AM42" s="27"/>
      <x:c r="AN42" s="27"/>
      <x:c r="AO42" s="27"/>
      <x:c r="AP42" s="27"/>
      <x:c r="AQ42" s="27"/>
      <x:c r="AR42" s="27"/>
      <x:c r="AS42" s="27"/>
      <x:c r="AT42" s="27"/>
      <x:c r="AU42" s="27"/>
      <x:c r="AV42" s="27"/>
      <x:c r="AW42" s="27"/>
      <x:c r="AX42" s="27"/>
      <x:c r="AY42" s="27"/>
      <x:c r="AZ42" s="27"/>
    </x:row>
    <x:row r="43">
      <x:c r="A43" s="27" t="str">
        <x:v>TE formula phase coverage</x:v>
      </x:c>
      <x:c r="B43" s="27" t="str">
        <x:v>PASS</x:v>
      </x:c>
      <x:c r="C43" s="27" t="str">
        <x:v>67/68 = 98.5% of structured cards</x:v>
      </x:c>
      <x:c r="D43" s="27" t="str">
        <x:v>INFO</x:v>
      </x:c>
      <x:c r="E43" s="27" t="str">
        <x:v>Advance to Moneyball</x:v>
      </x:c>
      <x:c r="F43" s="27" t="str">
        <x:v>Pure Blocker remains a documented exception.</x:v>
      </x:c>
      <x:c r="G43" s="27"/>
      <x:c r="H43" s="27"/>
      <x:c r="I43" s="27"/>
      <x:c r="J43" s="27"/>
      <x:c r="K43" s="27"/>
      <x:c r="L43" s="27"/>
      <x:c r="M43" s="27"/>
      <x:c r="N43" s="27"/>
      <x:c r="O43" s="27"/>
      <x:c r="P43" s="27"/>
      <x:c r="Q43" s="27"/>
      <x:c r="R43" s="27"/>
      <x:c r="S43" s="27"/>
      <x:c r="T43" s="27"/>
      <x:c r="U43" s="27"/>
      <x:c r="V43" s="27"/>
      <x:c r="W43" s="27"/>
      <x:c r="X43" s="27"/>
      <x:c r="Y43" s="27"/>
      <x:c r="Z43" s="27"/>
      <x:c r="AA43" s="27"/>
      <x:c r="AB43" s="27"/>
      <x:c r="AC43" s="27"/>
      <x:c r="AD43" s="27"/>
      <x:c r="AE43" s="27"/>
      <x:c r="AF43" s="27"/>
      <x:c r="AG43" s="27"/>
      <x:c r="AH43" s="27"/>
      <x:c r="AI43" s="27"/>
      <x:c r="AJ43" s="27"/>
      <x:c r="AK43" s="27"/>
      <x:c r="AL43" s="27"/>
      <x:c r="AM43" s="27"/>
      <x:c r="AN43" s="27"/>
      <x:c r="AO43" s="27"/>
      <x:c r="AP43" s="27"/>
      <x:c r="AQ43" s="27"/>
      <x:c r="AR43" s="27"/>
      <x:c r="AS43" s="27"/>
      <x:c r="AT43" s="27"/>
      <x:c r="AU43" s="27"/>
      <x:c r="AV43" s="27"/>
      <x:c r="AW43" s="27"/>
      <x:c r="AX43" s="27"/>
      <x:c r="AY43" s="27"/>
      <x:c r="AZ43" s="27"/>
    </x:row>
    <x:row r="44">
      <x:c r="A44" s="27" t="str">
        <x:v>Canonical backup updated</x:v>
      </x:c>
      <x:c r="B44" s="27" t="str">
        <x:v>PASS</x:v>
      </x:c>
      <x:c r="C44" s="27" t="str">
        <x:v>/mnt/data/Operation_Pancake_Master_Database_v1.6_TE_Formula_Phase_Complete.xlsx</x:v>
      </x:c>
      <x:c r="D44" s="27" t="str">
        <x:v>INFO</x:v>
      </x:c>
      <x:c r="E44" s="27" t="str">
        <x:v>Keep prior versions</x:v>
      </x:c>
      <x:c r="F44" s="27" t="str">
        <x:v>v1.6 marks TE formula phase operationally complete and adds status/prospective controls.</x:v>
      </x:c>
      <x:c r="G44" s="27"/>
      <x:c r="H44" s="27"/>
      <x:c r="I44" s="27"/>
      <x:c r="J44" s="27"/>
      <x:c r="K44" s="27"/>
      <x:c r="L44" s="27"/>
      <x:c r="M44" s="27"/>
      <x:c r="N44" s="27"/>
      <x:c r="O44" s="27"/>
      <x:c r="P44" s="27"/>
      <x:c r="Q44" s="27"/>
      <x:c r="R44" s="27"/>
      <x:c r="S44" s="27"/>
      <x:c r="T44" s="27"/>
      <x:c r="U44" s="27"/>
      <x:c r="V44" s="27"/>
      <x:c r="W44" s="27"/>
      <x:c r="X44" s="27"/>
      <x:c r="Y44" s="27"/>
      <x:c r="Z44" s="27"/>
      <x:c r="AA44" s="27"/>
      <x:c r="AB44" s="27"/>
      <x:c r="AC44" s="27"/>
      <x:c r="AD44" s="27"/>
      <x:c r="AE44" s="27"/>
      <x:c r="AF44" s="27"/>
      <x:c r="AG44" s="27"/>
      <x:c r="AH44" s="27"/>
      <x:c r="AI44" s="27"/>
      <x:c r="AJ44" s="27"/>
      <x:c r="AK44" s="27"/>
      <x:c r="AL44" s="27"/>
      <x:c r="AM44" s="27"/>
      <x:c r="AN44" s="27"/>
      <x:c r="AO44" s="27"/>
      <x:c r="AP44" s="27"/>
      <x:c r="AQ44" s="27"/>
      <x:c r="AR44" s="27"/>
      <x:c r="AS44" s="27"/>
      <x:c r="AT44" s="27"/>
      <x:c r="AU44" s="27"/>
      <x:c r="AV44" s="27"/>
      <x:c r="AW44" s="27"/>
      <x:c r="AX44" s="27"/>
      <x:c r="AY44" s="27"/>
      <x:c r="AZ44" s="27"/>
    </x:row>
    <x:row r="45">
      <x:c r="A45" s="27" t="str">
        <x:v>TE Moneyball data coverage</x:v>
      </x:c>
      <x:c r="B45" s="27" t="str">
        <x:v>PASS</x:v>
      </x:c>
      <x:c r="C45" s="27" t="str">
        <x:v>67 eligible cards</x:v>
      </x:c>
      <x:c r="D45" s="27" t="str">
        <x:v>INFO</x:v>
      </x:c>
      <x:c r="E45" s="27" t="str">
        <x:v>Proceed</x:v>
      </x:c>
      <x:c r="F45" s="27" t="str">
        <x:v>Pure Blocker excluded.</x:v>
      </x:c>
      <x:c r="G45" s="27"/>
      <x:c r="H45" s="27"/>
      <x:c r="I45" s="27"/>
      <x:c r="J45" s="27"/>
      <x:c r="K45" s="27"/>
      <x:c r="L45" s="27"/>
      <x:c r="M45" s="27"/>
      <x:c r="N45" s="27"/>
      <x:c r="O45" s="27"/>
      <x:c r="P45" s="27"/>
      <x:c r="Q45" s="27"/>
      <x:c r="R45" s="27"/>
      <x:c r="S45" s="27"/>
      <x:c r="T45" s="27"/>
      <x:c r="U45" s="27"/>
      <x:c r="V45" s="27"/>
      <x:c r="W45" s="27"/>
      <x:c r="X45" s="27"/>
      <x:c r="Y45" s="27"/>
      <x:c r="Z45" s="27"/>
      <x:c r="AA45" s="27"/>
      <x:c r="AB45" s="27"/>
      <x:c r="AC45" s="27"/>
      <x:c r="AD45" s="27"/>
      <x:c r="AE45" s="27"/>
      <x:c r="AF45" s="27"/>
      <x:c r="AG45" s="27"/>
      <x:c r="AH45" s="27"/>
      <x:c r="AI45" s="27"/>
      <x:c r="AJ45" s="27"/>
      <x:c r="AK45" s="27"/>
      <x:c r="AL45" s="27"/>
      <x:c r="AM45" s="27"/>
      <x:c r="AN45" s="27"/>
      <x:c r="AO45" s="27"/>
      <x:c r="AP45" s="27"/>
      <x:c r="AQ45" s="27"/>
      <x:c r="AR45" s="27"/>
      <x:c r="AS45" s="27"/>
      <x:c r="AT45" s="27"/>
      <x:c r="AU45" s="27"/>
      <x:c r="AV45" s="27"/>
      <x:c r="AW45" s="27"/>
      <x:c r="AX45" s="27"/>
      <x:c r="AY45" s="27"/>
      <x:c r="AZ45" s="27"/>
    </x:row>
    <x:row r="46">
      <x:c r="A46" s="27" t="str">
        <x:v>Role weight transparency</x:v>
      </x:c>
      <x:c r="B46" s="27" t="str">
        <x:v>PASS</x:v>
      </x:c>
      <x:c r="C46" s="27" t="str">
        <x:v>6 roles / visible weights</x:v>
      </x:c>
      <x:c r="D46" s="27" t="str">
        <x:v>INFO</x:v>
      </x:c>
      <x:c r="E46" s="27" t="str">
        <x:v>Calibrate later</x:v>
      </x:c>
      <x:c r="F46" s="27" t="str">
        <x:v>No hidden composite weights.</x:v>
      </x:c>
      <x:c r="G46" s="27"/>
      <x:c r="H46" s="27"/>
      <x:c r="I46" s="27"/>
      <x:c r="J46" s="27"/>
      <x:c r="K46" s="27"/>
      <x:c r="L46" s="27"/>
      <x:c r="M46" s="27"/>
      <x:c r="N46" s="27"/>
      <x:c r="O46" s="27"/>
      <x:c r="P46" s="27"/>
      <x:c r="Q46" s="27"/>
      <x:c r="R46" s="27"/>
      <x:c r="S46" s="27"/>
      <x:c r="T46" s="27"/>
      <x:c r="U46" s="27"/>
      <x:c r="V46" s="27"/>
      <x:c r="W46" s="27"/>
      <x:c r="X46" s="27"/>
      <x:c r="Y46" s="27"/>
      <x:c r="Z46" s="27"/>
      <x:c r="AA46" s="27"/>
      <x:c r="AB46" s="27"/>
      <x:c r="AC46" s="27"/>
      <x:c r="AD46" s="27"/>
      <x:c r="AE46" s="27"/>
      <x:c r="AF46" s="27"/>
      <x:c r="AG46" s="27"/>
      <x:c r="AH46" s="27"/>
      <x:c r="AI46" s="27"/>
      <x:c r="AJ46" s="27"/>
      <x:c r="AK46" s="27"/>
      <x:c r="AL46" s="27"/>
      <x:c r="AM46" s="27"/>
      <x:c r="AN46" s="27"/>
      <x:c r="AO46" s="27"/>
      <x:c r="AP46" s="27"/>
      <x:c r="AQ46" s="27"/>
      <x:c r="AR46" s="27"/>
      <x:c r="AS46" s="27"/>
      <x:c r="AT46" s="27"/>
      <x:c r="AU46" s="27"/>
      <x:c r="AV46" s="27"/>
      <x:c r="AW46" s="27"/>
      <x:c r="AX46" s="27"/>
      <x:c r="AY46" s="27"/>
      <x:c r="AZ46" s="27"/>
    </x:row>
    <x:row r="47">
      <x:c r="A47" s="27" t="str">
        <x:v>Market-price contamination</x:v>
      </x:c>
      <x:c r="B47" s="27" t="str">
        <x:v>PASS</x:v>
      </x:c>
      <x:c r="C47" s="27" t="str">
        <x:v>0 prices used</x:v>
      </x:c>
      <x:c r="D47" s="27" t="str">
        <x:v>CRITICAL</x:v>
      </x:c>
      <x:c r="E47" s="27" t="str">
        <x:v>None</x:v>
      </x:c>
      <x:c r="F47" s="27" t="str">
        <x:v>Outputs labeled football value, not coin value.</x:v>
      </x:c>
      <x:c r="G47" s="27"/>
      <x:c r="H47" s="27"/>
      <x:c r="I47" s="27"/>
      <x:c r="J47" s="27"/>
      <x:c r="K47" s="27"/>
      <x:c r="L47" s="27"/>
      <x:c r="M47" s="27"/>
      <x:c r="N47" s="27"/>
      <x:c r="O47" s="27"/>
      <x:c r="P47" s="27"/>
      <x:c r="Q47" s="27"/>
      <x:c r="R47" s="27"/>
      <x:c r="S47" s="27"/>
      <x:c r="T47" s="27"/>
      <x:c r="U47" s="27"/>
      <x:c r="V47" s="27"/>
      <x:c r="W47" s="27"/>
      <x:c r="X47" s="27"/>
      <x:c r="Y47" s="27"/>
      <x:c r="Z47" s="27"/>
      <x:c r="AA47" s="27"/>
      <x:c r="AB47" s="27"/>
      <x:c r="AC47" s="27"/>
      <x:c r="AD47" s="27"/>
      <x:c r="AE47" s="27"/>
      <x:c r="AF47" s="27"/>
      <x:c r="AG47" s="27"/>
      <x:c r="AH47" s="27"/>
      <x:c r="AI47" s="27"/>
      <x:c r="AJ47" s="27"/>
      <x:c r="AK47" s="27"/>
      <x:c r="AL47" s="27"/>
      <x:c r="AM47" s="27"/>
      <x:c r="AN47" s="27"/>
      <x:c r="AO47" s="27"/>
      <x:c r="AP47" s="27"/>
      <x:c r="AQ47" s="27"/>
      <x:c r="AR47" s="27"/>
      <x:c r="AS47" s="27"/>
      <x:c r="AT47" s="27"/>
      <x:c r="AU47" s="27"/>
      <x:c r="AV47" s="27"/>
      <x:c r="AW47" s="27"/>
      <x:c r="AX47" s="27"/>
      <x:c r="AY47" s="27"/>
      <x:c r="AZ47" s="27"/>
    </x:row>
    <x:row r="48">
      <x:c r="A48" s="27" t="str">
        <x:v>Moneyball empirical validation</x:v>
      </x:c>
      <x:c r="B48" s="27" t="str">
        <x:v>PENDING</x:v>
      </x:c>
      <x:c r="C48" s="27" t="str">
        <x:v>No gameplay/sim outcomes</x:v>
      </x:c>
      <x:c r="D48" s="27" t="str">
        <x:v>WARNING</x:v>
      </x:c>
      <x:c r="E48" s="27" t="str">
        <x:v>Next phase</x:v>
      </x:c>
      <x:c r="F48" s="27" t="str">
        <x:v>Scores preliminary until calibrated.</x:v>
      </x:c>
      <x:c r="G48" s="27"/>
      <x:c r="H48" s="27"/>
      <x:c r="I48" s="27"/>
      <x:c r="J48" s="27"/>
      <x:c r="K48" s="27"/>
      <x:c r="L48" s="27"/>
      <x:c r="M48" s="27"/>
      <x:c r="N48" s="27"/>
      <x:c r="O48" s="27"/>
      <x:c r="P48" s="27"/>
      <x:c r="Q48" s="27"/>
      <x:c r="R48" s="27"/>
      <x:c r="S48" s="27"/>
      <x:c r="T48" s="27"/>
      <x:c r="U48" s="27"/>
      <x:c r="V48" s="27"/>
      <x:c r="W48" s="27"/>
      <x:c r="X48" s="27"/>
      <x:c r="Y48" s="27"/>
      <x:c r="Z48" s="27"/>
      <x:c r="AA48" s="27"/>
      <x:c r="AB48" s="27"/>
      <x:c r="AC48" s="27"/>
      <x:c r="AD48" s="27"/>
      <x:c r="AE48" s="27"/>
      <x:c r="AF48" s="27"/>
      <x:c r="AG48" s="27"/>
      <x:c r="AH48" s="27"/>
      <x:c r="AI48" s="27"/>
      <x:c r="AJ48" s="27"/>
      <x:c r="AK48" s="27"/>
      <x:c r="AL48" s="27"/>
      <x:c r="AM48" s="27"/>
      <x:c r="AN48" s="27"/>
      <x:c r="AO48" s="27"/>
      <x:c r="AP48" s="27"/>
      <x:c r="AQ48" s="27"/>
      <x:c r="AR48" s="27"/>
      <x:c r="AS48" s="27"/>
      <x:c r="AT48" s="27"/>
      <x:c r="AU48" s="27"/>
      <x:c r="AV48" s="27"/>
      <x:c r="AW48" s="27"/>
      <x:c r="AX48" s="27"/>
      <x:c r="AY48" s="27"/>
      <x:c r="AZ48" s="27"/>
    </x:row>
    <x:row r="49">
      <x:c r="A49" s="27" t="str">
        <x:v>Canonical backup updated</x:v>
      </x:c>
      <x:c r="B49" s="27" t="str">
        <x:v>PASS</x:v>
      </x:c>
      <x:c r="C49" s="27" t="str">
        <x:v>/mnt/data/Operation_Pancake_Master_Database_v1.7_TE_Moneyball_v1.0.xlsx</x:v>
      </x:c>
      <x:c r="D49" s="27" t="str">
        <x:v>INFO</x:v>
      </x:c>
      <x:c r="E49" s="27" t="str">
        <x:v>Keep v1.6 and v1.7</x:v>
      </x:c>
      <x:c r="F49" s="27" t="str">
        <x:v>v1.7 adds TE Moneyball v1.0 without changing frozen OVR models.</x:v>
      </x:c>
      <x:c r="G49" s="27"/>
      <x:c r="H49" s="27"/>
      <x:c r="I49" s="27"/>
      <x:c r="J49" s="27"/>
      <x:c r="K49" s="27"/>
      <x:c r="L49" s="27"/>
      <x:c r="M49" s="27"/>
      <x:c r="N49" s="27"/>
      <x:c r="O49" s="27"/>
      <x:c r="P49" s="27"/>
      <x:c r="Q49" s="27"/>
      <x:c r="R49" s="27"/>
      <x:c r="S49" s="27"/>
      <x:c r="T49" s="27"/>
      <x:c r="U49" s="27"/>
      <x:c r="V49" s="27"/>
      <x:c r="W49" s="27"/>
      <x:c r="X49" s="27"/>
      <x:c r="Y49" s="27"/>
      <x:c r="Z49" s="27"/>
      <x:c r="AA49" s="27"/>
      <x:c r="AB49" s="27"/>
      <x:c r="AC49" s="27"/>
      <x:c r="AD49" s="27"/>
      <x:c r="AE49" s="27"/>
      <x:c r="AF49" s="27"/>
      <x:c r="AG49" s="27"/>
      <x:c r="AH49" s="27"/>
      <x:c r="AI49" s="27"/>
      <x:c r="AJ49" s="27"/>
      <x:c r="AK49" s="27"/>
      <x:c r="AL49" s="27"/>
      <x:c r="AM49" s="27"/>
      <x:c r="AN49" s="27"/>
      <x:c r="AO49" s="27"/>
      <x:c r="AP49" s="27"/>
      <x:c r="AQ49" s="27"/>
      <x:c r="AR49" s="27"/>
      <x:c r="AS49" s="27"/>
      <x:c r="AT49" s="27"/>
      <x:c r="AU49" s="27"/>
      <x:c r="AV49" s="27"/>
      <x:c r="AW49" s="27"/>
      <x:c r="AX49" s="27"/>
      <x:c r="AY49" s="27"/>
      <x:c r="AZ49" s="27"/>
    </x:row>
    <x:row r="50">
      <x:c r="A50" s="270" t="str">
        <x:v>QB source audit</x:v>
      </x:c>
      <x:c r="B50" s="270" t="str">
        <x:v>PASS</x:v>
      </x:c>
      <x:c r="C50" s="270" t="str">
        <x:v>74 PDF pages → 73 unique 80+ card/version rows</x:v>
      </x:c>
      <x:c r="D50" s="270" t="str">
        <x:v>INFO</x:v>
      </x:c>
      <x:c r="E50" s="270" t="str">
        <x:v>None</x:v>
      </x:c>
      <x:c r="F50" s="270" t="str">
        <x:v>Page 56 exact duplicate excluded; distinct versions retained.</x:v>
      </x:c>
      <x:c r="G50" s="27"/>
      <x:c r="H50" s="27"/>
      <x:c r="I50" s="27"/>
      <x:c r="J50" s="27"/>
      <x:c r="K50" s="27"/>
      <x:c r="L50" s="27"/>
      <x:c r="M50" s="27"/>
      <x:c r="N50" s="27"/>
      <x:c r="O50" s="27"/>
      <x:c r="P50" s="27"/>
      <x:c r="Q50" s="27"/>
      <x:c r="R50" s="27"/>
      <x:c r="S50" s="27"/>
      <x:c r="T50" s="27"/>
      <x:c r="U50" s="27"/>
      <x:c r="V50" s="27"/>
      <x:c r="W50" s="27"/>
      <x:c r="X50" s="27"/>
      <x:c r="Y50" s="27"/>
      <x:c r="Z50" s="27"/>
      <x:c r="AA50" s="27"/>
      <x:c r="AB50" s="27"/>
      <x:c r="AC50" s="27"/>
      <x:c r="AD50" s="27"/>
      <x:c r="AE50" s="27"/>
      <x:c r="AF50" s="27"/>
      <x:c r="AG50" s="27"/>
      <x:c r="AH50" s="27"/>
      <x:c r="AI50" s="27"/>
      <x:c r="AJ50" s="27"/>
      <x:c r="AK50" s="27"/>
      <x:c r="AL50" s="27"/>
      <x:c r="AM50" s="27"/>
      <x:c r="AN50" s="27"/>
      <x:c r="AO50" s="27"/>
      <x:c r="AP50" s="27"/>
      <x:c r="AQ50" s="27"/>
      <x:c r="AR50" s="27"/>
      <x:c r="AS50" s="27"/>
      <x:c r="AT50" s="27"/>
      <x:c r="AU50" s="27"/>
      <x:c r="AV50" s="27"/>
      <x:c r="AW50" s="27"/>
      <x:c r="AX50" s="27"/>
      <x:c r="AY50" s="27"/>
      <x:c r="AZ50" s="27"/>
    </x:row>
    <x:row r="51">
      <x:c r="A51" s="267" t="str">
        <x:v>QB numeric completeness</x:v>
      </x:c>
      <x:c r="B51" s="267" t="str">
        <x:v>PASS</x:v>
      </x:c>
      <x:c r="C51" s="267" t="str">
        <x:v>0 missing core formula attributes</x:v>
      </x:c>
      <x:c r="D51" s="267" t="str">
        <x:v>CRITICAL</x:v>
      </x:c>
      <x:c r="E51" s="267" t="str">
        <x:v>None</x:v>
      </x:c>
      <x:c r="F51" s="267" t="str">
        <x:v>No unreadable core value was guessed.</x:v>
      </x:c>
      <x:c r="G51" s="27"/>
      <x:c r="H51" s="27"/>
      <x:c r="I51" s="27"/>
      <x:c r="J51" s="27"/>
      <x:c r="K51" s="27"/>
      <x:c r="L51" s="27"/>
      <x:c r="M51" s="27"/>
      <x:c r="N51" s="27"/>
      <x:c r="O51" s="27"/>
      <x:c r="P51" s="27"/>
      <x:c r="Q51" s="27"/>
      <x:c r="R51" s="27"/>
      <x:c r="S51" s="27"/>
      <x:c r="T51" s="27"/>
      <x:c r="U51" s="27"/>
      <x:c r="V51" s="27"/>
      <x:c r="W51" s="27"/>
      <x:c r="X51" s="27"/>
      <x:c r="Y51" s="27"/>
      <x:c r="Z51" s="27"/>
      <x:c r="AA51" s="27"/>
      <x:c r="AB51" s="27"/>
      <x:c r="AC51" s="27"/>
      <x:c r="AD51" s="27"/>
      <x:c r="AE51" s="27"/>
      <x:c r="AF51" s="27"/>
      <x:c r="AG51" s="27"/>
      <x:c r="AH51" s="27"/>
      <x:c r="AI51" s="27"/>
      <x:c r="AJ51" s="27"/>
      <x:c r="AK51" s="27"/>
      <x:c r="AL51" s="27"/>
      <x:c r="AM51" s="27"/>
      <x:c r="AN51" s="27"/>
      <x:c r="AO51" s="27"/>
      <x:c r="AP51" s="27"/>
      <x:c r="AQ51" s="27"/>
      <x:c r="AR51" s="27"/>
      <x:c r="AS51" s="27"/>
      <x:c r="AT51" s="27"/>
      <x:c r="AU51" s="27"/>
      <x:c r="AV51" s="27"/>
      <x:c r="AW51" s="27"/>
      <x:c r="AX51" s="27"/>
      <x:c r="AY51" s="27"/>
      <x:c r="AZ51" s="27"/>
    </x:row>
    <x:row r="52">
      <x:c r="A52" s="270" t="str">
        <x:v>QB progression audit</x:v>
      </x:c>
      <x:c r="B52" s="270" t="str">
        <x:v>PASS</x:v>
      </x:c>
      <x:c r="C52" s="270" t="str">
        <x:v>4 Joey Harrington states / 3 transitions</x:v>
      </x:c>
      <x:c r="D52" s="270" t="str">
        <x:v>INFO</x:v>
      </x:c>
      <x:c r="E52" s="270" t="str">
        <x:v>None</x:v>
      </x:c>
      <x:c r="F52" s="270" t="str">
        <x:v>79 OVR boundary added; 81/84/86 reconcile to card population.</x:v>
      </x:c>
      <x:c r="G52" s="27"/>
      <x:c r="H52" s="27"/>
      <x:c r="I52" s="27"/>
      <x:c r="J52" s="27"/>
      <x:c r="K52" s="27"/>
      <x:c r="L52" s="27"/>
      <x:c r="M52" s="27"/>
      <x:c r="N52" s="27"/>
      <x:c r="O52" s="27"/>
      <x:c r="P52" s="27"/>
      <x:c r="Q52" s="27"/>
      <x:c r="R52" s="27"/>
      <x:c r="S52" s="27"/>
      <x:c r="T52" s="27"/>
      <x:c r="U52" s="27"/>
      <x:c r="V52" s="27"/>
      <x:c r="W52" s="27"/>
      <x:c r="X52" s="27"/>
      <x:c r="Y52" s="27"/>
      <x:c r="Z52" s="27"/>
      <x:c r="AA52" s="27"/>
      <x:c r="AB52" s="27"/>
      <x:c r="AC52" s="27"/>
      <x:c r="AD52" s="27"/>
      <x:c r="AE52" s="27"/>
      <x:c r="AF52" s="27"/>
      <x:c r="AG52" s="27"/>
      <x:c r="AH52" s="27"/>
      <x:c r="AI52" s="27"/>
      <x:c r="AJ52" s="27"/>
      <x:c r="AK52" s="27"/>
      <x:c r="AL52" s="27"/>
      <x:c r="AM52" s="27"/>
      <x:c r="AN52" s="27"/>
      <x:c r="AO52" s="27"/>
      <x:c r="AP52" s="27"/>
      <x:c r="AQ52" s="27"/>
      <x:c r="AR52" s="27"/>
      <x:c r="AS52" s="27"/>
      <x:c r="AT52" s="27"/>
      <x:c r="AU52" s="27"/>
      <x:c r="AV52" s="27"/>
      <x:c r="AW52" s="27"/>
      <x:c r="AX52" s="27"/>
      <x:c r="AY52" s="27"/>
      <x:c r="AZ52" s="27"/>
    </x:row>
    <x:row r="53">
      <x:c r="A53" s="267" t="str">
        <x:v>QB holdout integrity</x:v>
      </x:c>
      <x:c r="B53" s="267" t="str">
        <x:v>PASS</x:v>
      </x:c>
      <x:c r="C53" s="267" t="str">
        <x:v>Player-disjoint; fixed before fitting</x:v>
      </x:c>
      <x:c r="D53" s="267" t="str">
        <x:v>CRITICAL</x:v>
      </x:c>
      <x:c r="E53" s="267" t="str">
        <x:v>Keep frozen</x:v>
      </x:c>
      <x:c r="F53" s="267" t="str">
        <x:v>Every validation pair includes at least one holdout card.</x:v>
      </x:c>
      <x:c r="G53" s="27"/>
      <x:c r="H53" s="27"/>
      <x:c r="I53" s="27"/>
      <x:c r="J53" s="27"/>
      <x:c r="K53" s="27"/>
      <x:c r="L53" s="27"/>
      <x:c r="M53" s="27"/>
      <x:c r="N53" s="27"/>
      <x:c r="O53" s="27"/>
      <x:c r="P53" s="27"/>
      <x:c r="Q53" s="27"/>
      <x:c r="R53" s="27"/>
      <x:c r="S53" s="27"/>
      <x:c r="T53" s="27"/>
      <x:c r="U53" s="27"/>
      <x:c r="V53" s="27"/>
      <x:c r="W53" s="27"/>
      <x:c r="X53" s="27"/>
      <x:c r="Y53" s="27"/>
      <x:c r="Z53" s="27"/>
      <x:c r="AA53" s="27"/>
      <x:c r="AB53" s="27"/>
      <x:c r="AC53" s="27"/>
      <x:c r="AD53" s="27"/>
      <x:c r="AE53" s="27"/>
      <x:c r="AF53" s="27"/>
      <x:c r="AG53" s="27"/>
      <x:c r="AH53" s="27"/>
      <x:c r="AI53" s="27"/>
      <x:c r="AJ53" s="27"/>
      <x:c r="AK53" s="27"/>
      <x:c r="AL53" s="27"/>
      <x:c r="AM53" s="27"/>
      <x:c r="AN53" s="27"/>
      <x:c r="AO53" s="27"/>
      <x:c r="AP53" s="27"/>
      <x:c r="AQ53" s="27"/>
      <x:c r="AR53" s="27"/>
      <x:c r="AS53" s="27"/>
      <x:c r="AT53" s="27"/>
      <x:c r="AU53" s="27"/>
      <x:c r="AV53" s="27"/>
      <x:c r="AW53" s="27"/>
      <x:c r="AX53" s="27"/>
      <x:c r="AY53" s="27"/>
      <x:c r="AZ53" s="27"/>
    </x:row>
    <x:row r="54">
      <x:c r="A54" s="270" t="str">
        <x:v>QB Pocket Passer production</x:v>
      </x:c>
      <x:c r="B54" s="270" t="str">
        <x:v>PASS</x:v>
      </x:c>
      <x:c r="C54" s="270" t="str">
        <x:v>458/458 validation; 1080/1080 full</x:v>
      </x:c>
      <x:c r="D54" s="270" t="str">
        <x:v>INFO</x:v>
      </x:c>
      <x:c r="E54" s="270" t="str">
        <x:v>Freeze QB-SHARED-001</x:v>
      </x:c>
      <x:c r="F54" s="270" t="str">
        <x:v>51 unique model profiles including 79 boundary.</x:v>
      </x:c>
      <x:c r="G54" s="27"/>
      <x:c r="H54" s="27"/>
      <x:c r="I54" s="27"/>
      <x:c r="J54" s="27"/>
      <x:c r="K54" s="27"/>
      <x:c r="L54" s="27"/>
      <x:c r="M54" s="27"/>
      <x:c r="N54" s="27"/>
      <x:c r="O54" s="27"/>
      <x:c r="P54" s="27"/>
      <x:c r="Q54" s="27"/>
      <x:c r="R54" s="27"/>
      <x:c r="S54" s="27"/>
      <x:c r="T54" s="27"/>
      <x:c r="U54" s="27"/>
      <x:c r="V54" s="27"/>
      <x:c r="W54" s="27"/>
      <x:c r="X54" s="27"/>
      <x:c r="Y54" s="27"/>
      <x:c r="Z54" s="27"/>
      <x:c r="AA54" s="27"/>
      <x:c r="AB54" s="27"/>
      <x:c r="AC54" s="27"/>
      <x:c r="AD54" s="27"/>
      <x:c r="AE54" s="27"/>
      <x:c r="AF54" s="27"/>
      <x:c r="AG54" s="27"/>
      <x:c r="AH54" s="27"/>
      <x:c r="AI54" s="27"/>
      <x:c r="AJ54" s="27"/>
      <x:c r="AK54" s="27"/>
      <x:c r="AL54" s="27"/>
      <x:c r="AM54" s="27"/>
      <x:c r="AN54" s="27"/>
      <x:c r="AO54" s="27"/>
      <x:c r="AP54" s="27"/>
      <x:c r="AQ54" s="27"/>
      <x:c r="AR54" s="27"/>
      <x:c r="AS54" s="27"/>
      <x:c r="AT54" s="27"/>
      <x:c r="AU54" s="27"/>
      <x:c r="AV54" s="27"/>
      <x:c r="AW54" s="27"/>
      <x:c r="AX54" s="27"/>
      <x:c r="AY54" s="27"/>
      <x:c r="AZ54" s="27"/>
    </x:row>
    <x:row r="55">
      <x:c r="A55" s="267" t="str">
        <x:v>QB Backfield Creator production</x:v>
      </x:c>
      <x:c r="B55" s="267" t="str">
        <x:v>PASS</x:v>
      </x:c>
      <x:c r="C55" s="267" t="str">
        <x:v>18/18 validation; 33/33 full</x:v>
      </x:c>
      <x:c r="D55" s="267" t="str">
        <x:v>INFO</x:v>
      </x:c>
      <x:c r="E55" s="267" t="str">
        <x:v>Freeze QB-SHARED-001</x:v>
      </x:c>
      <x:c r="F55" s="267" t="str">
        <x:v>Archetype-only candidate rejected at 94.4% validation.</x:v>
      </x:c>
      <x:c r="G55" s="27"/>
      <x:c r="H55" s="27"/>
      <x:c r="I55" s="27"/>
      <x:c r="J55" s="27"/>
      <x:c r="K55" s="27"/>
      <x:c r="L55" s="27"/>
      <x:c r="M55" s="27"/>
      <x:c r="N55" s="27"/>
      <x:c r="O55" s="27"/>
      <x:c r="P55" s="27"/>
      <x:c r="Q55" s="27"/>
      <x:c r="R55" s="27"/>
      <x:c r="S55" s="27"/>
      <x:c r="T55" s="27"/>
      <x:c r="U55" s="27"/>
      <x:c r="V55" s="27"/>
      <x:c r="W55" s="27"/>
      <x:c r="X55" s="27"/>
      <x:c r="Y55" s="27"/>
      <x:c r="Z55" s="27"/>
      <x:c r="AA55" s="27"/>
      <x:c r="AB55" s="27"/>
      <x:c r="AC55" s="27"/>
      <x:c r="AD55" s="27"/>
      <x:c r="AE55" s="27"/>
      <x:c r="AF55" s="27"/>
      <x:c r="AG55" s="27"/>
      <x:c r="AH55" s="27"/>
      <x:c r="AI55" s="27"/>
      <x:c r="AJ55" s="27"/>
      <x:c r="AK55" s="27"/>
      <x:c r="AL55" s="27"/>
      <x:c r="AM55" s="27"/>
      <x:c r="AN55" s="27"/>
      <x:c r="AO55" s="27"/>
      <x:c r="AP55" s="27"/>
      <x:c r="AQ55" s="27"/>
      <x:c r="AR55" s="27"/>
      <x:c r="AS55" s="27"/>
      <x:c r="AT55" s="27"/>
      <x:c r="AU55" s="27"/>
      <x:c r="AV55" s="27"/>
      <x:c r="AW55" s="27"/>
      <x:c r="AX55" s="27"/>
      <x:c r="AY55" s="27"/>
      <x:c r="AZ55" s="27"/>
    </x:row>
    <x:row r="56">
      <x:c r="A56" s="270" t="str">
        <x:v>QB Dual Threat production</x:v>
      </x:c>
      <x:c r="B56" s="270" t="str">
        <x:v>PASS</x:v>
      </x:c>
      <x:c r="C56" s="270" t="str">
        <x:v>20/20 validation; 37/37 full</x:v>
      </x:c>
      <x:c r="D56" s="270" t="str">
        <x:v>INFO</x:v>
      </x:c>
      <x:c r="E56" s="270" t="str">
        <x:v>Freeze QB-SHARED-001</x:v>
      </x:c>
      <x:c r="F56" s="270" t="str">
        <x:v>Archetype-only candidate rejected at 90.0% validation.</x:v>
      </x:c>
      <x:c r="G56" s="27"/>
      <x:c r="H56" s="27"/>
      <x:c r="I56" s="27"/>
      <x:c r="J56" s="27"/>
      <x:c r="K56" s="27"/>
      <x:c r="L56" s="27"/>
      <x:c r="M56" s="27"/>
      <x:c r="N56" s="27"/>
      <x:c r="O56" s="27"/>
      <x:c r="P56" s="27"/>
      <x:c r="Q56" s="27"/>
      <x:c r="R56" s="27"/>
      <x:c r="S56" s="27"/>
      <x:c r="T56" s="27"/>
      <x:c r="U56" s="27"/>
      <x:c r="V56" s="27"/>
      <x:c r="W56" s="27"/>
      <x:c r="X56" s="27"/>
      <x:c r="Y56" s="27"/>
      <x:c r="Z56" s="27"/>
      <x:c r="AA56" s="27"/>
      <x:c r="AB56" s="27"/>
      <x:c r="AC56" s="27"/>
      <x:c r="AD56" s="27"/>
      <x:c r="AE56" s="27"/>
      <x:c r="AF56" s="27"/>
      <x:c r="AG56" s="27"/>
      <x:c r="AH56" s="27"/>
      <x:c r="AI56" s="27"/>
      <x:c r="AJ56" s="27"/>
      <x:c r="AK56" s="27"/>
      <x:c r="AL56" s="27"/>
      <x:c r="AM56" s="27"/>
      <x:c r="AN56" s="27"/>
      <x:c r="AO56" s="27"/>
      <x:c r="AP56" s="27"/>
      <x:c r="AQ56" s="27"/>
      <x:c r="AR56" s="27"/>
      <x:c r="AS56" s="27"/>
      <x:c r="AT56" s="27"/>
      <x:c r="AU56" s="27"/>
      <x:c r="AV56" s="27"/>
      <x:c r="AW56" s="27"/>
      <x:c r="AX56" s="27"/>
      <x:c r="AY56" s="27"/>
      <x:c r="AZ56" s="27"/>
    </x:row>
    <x:row r="57">
      <x:c r="A57" s="267" t="str">
        <x:v>QB shared global ordering</x:v>
      </x:c>
      <x:c r="B57" s="267" t="str">
        <x:v>PASS</x:v>
      </x:c>
      <x:c r="C57" s="267" t="str">
        <x:v>929/936 validation = 99.25%; 2046/2057 full = 99.47%</x:v>
      </x:c>
      <x:c r="D57" s="267" t="str">
        <x:v>INFO</x:v>
      </x:c>
      <x:c r="E57" s="267" t="str">
        <x:v>Prospective validation only</x:v>
      </x:c>
      <x:c r="F57" s="267" t="str">
        <x:v>Meets ≥98% operational standard despite 11 retained cross-archetype inversions.</x:v>
      </x:c>
      <x:c r="G57" s="27"/>
      <x:c r="H57" s="27"/>
      <x:c r="I57" s="27"/>
      <x:c r="J57" s="27"/>
      <x:c r="K57" s="27"/>
      <x:c r="L57" s="27"/>
      <x:c r="M57" s="27"/>
      <x:c r="N57" s="27"/>
      <x:c r="O57" s="27"/>
      <x:c r="P57" s="27"/>
      <x:c r="Q57" s="27"/>
      <x:c r="R57" s="27"/>
      <x:c r="S57" s="27"/>
      <x:c r="T57" s="27"/>
      <x:c r="U57" s="27"/>
      <x:c r="V57" s="27"/>
      <x:c r="W57" s="27"/>
      <x:c r="X57" s="27"/>
      <x:c r="Y57" s="27"/>
      <x:c r="Z57" s="27"/>
      <x:c r="AA57" s="27"/>
      <x:c r="AB57" s="27"/>
      <x:c r="AC57" s="27"/>
      <x:c r="AD57" s="27"/>
      <x:c r="AE57" s="27"/>
      <x:c r="AF57" s="27"/>
      <x:c r="AG57" s="27"/>
      <x:c r="AH57" s="27"/>
      <x:c r="AI57" s="27"/>
      <x:c r="AJ57" s="27"/>
      <x:c r="AK57" s="27"/>
      <x:c r="AL57" s="27"/>
      <x:c r="AM57" s="27"/>
      <x:c r="AN57" s="27"/>
      <x:c r="AO57" s="27"/>
      <x:c r="AP57" s="27"/>
      <x:c r="AQ57" s="27"/>
      <x:c r="AR57" s="27"/>
      <x:c r="AS57" s="27"/>
      <x:c r="AT57" s="27"/>
      <x:c r="AU57" s="27"/>
      <x:c r="AV57" s="27"/>
      <x:c r="AW57" s="27"/>
      <x:c r="AX57" s="27"/>
      <x:c r="AY57" s="27"/>
      <x:c r="AZ57" s="27"/>
    </x:row>
    <x:row r="58">
      <x:c r="A58" s="270" t="str">
        <x:v>QB Pure Runner readiness</x:v>
      </x:c>
      <x:c r="B58" s="270" t="str">
        <x:v>INSUFFICIENT</x:v>
      </x:c>
      <x:c r="C58" s="270" t="str">
        <x:v>3 profiles / 2 OVR tiers / 0 holdout</x:v>
      </x:c>
      <x:c r="D58" s="270" t="str">
        <x:v>WARNING</x:v>
      </x:c>
      <x:c r="E58" s="270" t="str">
        <x:v>Complete QB-PR assignment</x:v>
      </x:c>
      <x:c r="F58" s="270" t="str">
        <x:v>Explicit exception; not used to weaken solved model.</x:v>
      </x:c>
      <x:c r="G58" s="27"/>
      <x:c r="H58" s="27"/>
      <x:c r="I58" s="27"/>
      <x:c r="J58" s="27"/>
      <x:c r="K58" s="27"/>
      <x:c r="L58" s="27"/>
      <x:c r="M58" s="27"/>
      <x:c r="N58" s="27"/>
      <x:c r="O58" s="27"/>
      <x:c r="P58" s="27"/>
      <x:c r="Q58" s="27"/>
      <x:c r="R58" s="27"/>
      <x:c r="S58" s="27"/>
      <x:c r="T58" s="27"/>
      <x:c r="U58" s="27"/>
      <x:c r="V58" s="27"/>
      <x:c r="W58" s="27"/>
      <x:c r="X58" s="27"/>
      <x:c r="Y58" s="27"/>
      <x:c r="Z58" s="27"/>
      <x:c r="AA58" s="27"/>
      <x:c r="AB58" s="27"/>
      <x:c r="AC58" s="27"/>
      <x:c r="AD58" s="27"/>
      <x:c r="AE58" s="27"/>
      <x:c r="AF58" s="27"/>
      <x:c r="AG58" s="27"/>
      <x:c r="AH58" s="27"/>
      <x:c r="AI58" s="27"/>
      <x:c r="AJ58" s="27"/>
      <x:c r="AK58" s="27"/>
      <x:c r="AL58" s="27"/>
      <x:c r="AM58" s="27"/>
      <x:c r="AN58" s="27"/>
      <x:c r="AO58" s="27"/>
      <x:c r="AP58" s="27"/>
      <x:c r="AQ58" s="27"/>
      <x:c r="AR58" s="27"/>
      <x:c r="AS58" s="27"/>
      <x:c r="AT58" s="27"/>
      <x:c r="AU58" s="27"/>
      <x:c r="AV58" s="27"/>
      <x:c r="AW58" s="27"/>
      <x:c r="AX58" s="27"/>
      <x:c r="AY58" s="27"/>
      <x:c r="AZ58" s="27"/>
    </x:row>
    <x:row r="59">
      <x:c r="A59" s="267" t="str">
        <x:v>Canonical backup updated</x:v>
      </x:c>
      <x:c r="B59" s="267" t="str">
        <x:v>PASS</x:v>
      </x:c>
      <x:c r="C59" s="267" t="str">
        <x:v>C:\Users\Trash Panda\Documents\Codex\2026-08-01\referenced-chatgpt-conversation-this-is-an\outputs\Operation_Pancake_Master_Database_v1.9_QB_Formula_Phase.xlsx</x:v>
      </x:c>
      <x:c r="D59" s="267" t="str">
        <x:v>INFO</x:v>
      </x:c>
      <x:c r="E59" s="267" t="str">
        <x:v>Keep v1.8 and v1.9</x:v>
      </x:c>
      <x:c r="F59" s="267" t="str">
        <x:v>v1.9 imports and extends v1.8; all TE/Moneyball sheets preserved.</x:v>
      </x:c>
      <x:c r="G59" s="27"/>
      <x:c r="H59" s="27"/>
      <x:c r="I59" s="27"/>
      <x:c r="J59" s="27"/>
      <x:c r="K59" s="27"/>
      <x:c r="L59" s="27"/>
      <x:c r="M59" s="27"/>
      <x:c r="N59" s="27"/>
      <x:c r="O59" s="27"/>
      <x:c r="P59" s="27"/>
      <x:c r="Q59" s="27"/>
      <x:c r="R59" s="27"/>
      <x:c r="S59" s="27"/>
      <x:c r="T59" s="27"/>
      <x:c r="U59" s="27"/>
      <x:c r="V59" s="27"/>
      <x:c r="W59" s="27"/>
      <x:c r="X59" s="27"/>
      <x:c r="Y59" s="27"/>
      <x:c r="Z59" s="27"/>
      <x:c r="AA59" s="27"/>
      <x:c r="AB59" s="27"/>
      <x:c r="AC59" s="27"/>
      <x:c r="AD59" s="27"/>
      <x:c r="AE59" s="27"/>
      <x:c r="AF59" s="27"/>
      <x:c r="AG59" s="27"/>
      <x:c r="AH59" s="27"/>
      <x:c r="AI59" s="27"/>
      <x:c r="AJ59" s="27"/>
      <x:c r="AK59" s="27"/>
      <x:c r="AL59" s="27"/>
      <x:c r="AM59" s="27"/>
      <x:c r="AN59" s="27"/>
      <x:c r="AO59" s="27"/>
      <x:c r="AP59" s="27"/>
      <x:c r="AQ59" s="27"/>
      <x:c r="AR59" s="27"/>
      <x:c r="AS59" s="27"/>
      <x:c r="AT59" s="27"/>
      <x:c r="AU59" s="27"/>
      <x:c r="AV59" s="27"/>
      <x:c r="AW59" s="27"/>
      <x:c r="AX59" s="27"/>
      <x:c r="AY59" s="27"/>
      <x:c r="AZ59" s="27"/>
    </x:row>
    <x:row r="60">
      <x:c r="A60" s="27"/>
      <x:c r="B60" s="27"/>
      <x:c r="C60" s="27"/>
      <x:c r="D60" s="27"/>
      <x:c r="E60" s="27"/>
      <x:c r="F60" s="27"/>
      <x:c r="G60" s="27"/>
      <x:c r="H60" s="27"/>
      <x:c r="I60" s="27"/>
      <x:c r="J60" s="27"/>
      <x:c r="K60" s="27"/>
      <x:c r="L60" s="27"/>
      <x:c r="M60" s="27"/>
      <x:c r="N60" s="27"/>
      <x:c r="O60" s="27"/>
      <x:c r="P60" s="27"/>
      <x:c r="Q60" s="27"/>
      <x:c r="R60" s="27"/>
      <x:c r="S60" s="27"/>
      <x:c r="T60" s="27"/>
      <x:c r="U60" s="27"/>
      <x:c r="V60" s="27"/>
      <x:c r="W60" s="27"/>
      <x:c r="X60" s="27"/>
      <x:c r="Y60" s="27"/>
      <x:c r="Z60" s="27"/>
      <x:c r="AA60" s="27"/>
      <x:c r="AB60" s="27"/>
      <x:c r="AC60" s="27"/>
      <x:c r="AD60" s="27"/>
      <x:c r="AE60" s="27"/>
      <x:c r="AF60" s="27"/>
      <x:c r="AG60" s="27"/>
      <x:c r="AH60" s="27"/>
      <x:c r="AI60" s="27"/>
      <x:c r="AJ60" s="27"/>
      <x:c r="AK60" s="27"/>
      <x:c r="AL60" s="27"/>
      <x:c r="AM60" s="27"/>
      <x:c r="AN60" s="27"/>
      <x:c r="AO60" s="27"/>
      <x:c r="AP60" s="27"/>
      <x:c r="AQ60" s="27"/>
      <x:c r="AR60" s="27"/>
      <x:c r="AS60" s="27"/>
      <x:c r="AT60" s="27"/>
      <x:c r="AU60" s="27"/>
      <x:c r="AV60" s="27"/>
      <x:c r="AW60" s="27"/>
      <x:c r="AX60" s="27"/>
      <x:c r="AY60" s="27"/>
      <x:c r="AZ60" s="27"/>
    </x:row>
    <x:row r="61">
      <x:c r="A61" s="27"/>
      <x:c r="B61" s="27"/>
      <x:c r="C61" s="27"/>
      <x:c r="D61" s="27"/>
      <x:c r="E61" s="27"/>
      <x:c r="F61" s="27"/>
      <x:c r="G61" s="27"/>
      <x:c r="H61" s="27"/>
      <x:c r="I61" s="27"/>
      <x:c r="J61" s="27"/>
      <x:c r="K61" s="27"/>
      <x:c r="L61" s="27"/>
      <x:c r="M61" s="27"/>
      <x:c r="N61" s="27"/>
      <x:c r="O61" s="27"/>
      <x:c r="P61" s="27"/>
      <x:c r="Q61" s="27"/>
      <x:c r="R61" s="27"/>
      <x:c r="S61" s="27"/>
      <x:c r="T61" s="27"/>
      <x:c r="U61" s="27"/>
      <x:c r="V61" s="27"/>
      <x:c r="W61" s="27"/>
      <x:c r="X61" s="27"/>
      <x:c r="Y61" s="27"/>
      <x:c r="Z61" s="27"/>
      <x:c r="AA61" s="27"/>
      <x:c r="AB61" s="27"/>
      <x:c r="AC61" s="27"/>
      <x:c r="AD61" s="27"/>
      <x:c r="AE61" s="27"/>
      <x:c r="AF61" s="27"/>
      <x:c r="AG61" s="27"/>
      <x:c r="AH61" s="27"/>
      <x:c r="AI61" s="27"/>
      <x:c r="AJ61" s="27"/>
      <x:c r="AK61" s="27"/>
      <x:c r="AL61" s="27"/>
      <x:c r="AM61" s="27"/>
      <x:c r="AN61" s="27"/>
      <x:c r="AO61" s="27"/>
      <x:c r="AP61" s="27"/>
      <x:c r="AQ61" s="27"/>
      <x:c r="AR61" s="27"/>
      <x:c r="AS61" s="27"/>
      <x:c r="AT61" s="27"/>
      <x:c r="AU61" s="27"/>
      <x:c r="AV61" s="27"/>
      <x:c r="AW61" s="27"/>
      <x:c r="AX61" s="27"/>
      <x:c r="AY61" s="27"/>
      <x:c r="AZ61" s="27"/>
    </x:row>
    <x:row r="62">
      <x:c r="A62" s="27"/>
      <x:c r="B62" s="27"/>
      <x:c r="C62" s="27"/>
      <x:c r="D62" s="27"/>
      <x:c r="E62" s="27"/>
      <x:c r="F62" s="27"/>
      <x:c r="G62" s="27"/>
      <x:c r="H62" s="27"/>
      <x:c r="I62" s="27"/>
      <x:c r="J62" s="27"/>
      <x:c r="K62" s="27"/>
      <x:c r="L62" s="27"/>
      <x:c r="M62" s="27"/>
      <x:c r="N62" s="27"/>
      <x:c r="O62" s="27"/>
      <x:c r="P62" s="27"/>
      <x:c r="Q62" s="27"/>
      <x:c r="R62" s="27"/>
      <x:c r="S62" s="27"/>
      <x:c r="T62" s="27"/>
      <x:c r="U62" s="27"/>
      <x:c r="V62" s="27"/>
      <x:c r="W62" s="27"/>
      <x:c r="X62" s="27"/>
      <x:c r="Y62" s="27"/>
      <x:c r="Z62" s="27"/>
      <x:c r="AA62" s="27"/>
      <x:c r="AB62" s="27"/>
      <x:c r="AC62" s="27"/>
      <x:c r="AD62" s="27"/>
      <x:c r="AE62" s="27"/>
      <x:c r="AF62" s="27"/>
      <x:c r="AG62" s="27"/>
      <x:c r="AH62" s="27"/>
      <x:c r="AI62" s="27"/>
      <x:c r="AJ62" s="27"/>
      <x:c r="AK62" s="27"/>
      <x:c r="AL62" s="27"/>
      <x:c r="AM62" s="27"/>
      <x:c r="AN62" s="27"/>
      <x:c r="AO62" s="27"/>
      <x:c r="AP62" s="27"/>
      <x:c r="AQ62" s="27"/>
      <x:c r="AR62" s="27"/>
      <x:c r="AS62" s="27"/>
      <x:c r="AT62" s="27"/>
      <x:c r="AU62" s="27"/>
      <x:c r="AV62" s="27"/>
      <x:c r="AW62" s="27"/>
      <x:c r="AX62" s="27"/>
      <x:c r="AY62" s="27"/>
      <x:c r="AZ62" s="27"/>
    </x:row>
    <x:row r="63">
      <x:c r="A63" s="27"/>
      <x:c r="B63" s="27"/>
      <x:c r="C63" s="27"/>
      <x:c r="D63" s="27"/>
      <x:c r="E63" s="27"/>
      <x:c r="F63" s="27"/>
      <x:c r="G63" s="27"/>
      <x:c r="H63" s="27"/>
      <x:c r="I63" s="27"/>
      <x:c r="J63" s="27"/>
      <x:c r="K63" s="27"/>
      <x:c r="L63" s="27"/>
      <x:c r="M63" s="27"/>
      <x:c r="N63" s="27"/>
      <x:c r="O63" s="27"/>
      <x:c r="P63" s="27"/>
      <x:c r="Q63" s="27"/>
      <x:c r="R63" s="27"/>
      <x:c r="S63" s="27"/>
      <x:c r="T63" s="27"/>
      <x:c r="U63" s="27"/>
      <x:c r="V63" s="27"/>
      <x:c r="W63" s="27"/>
      <x:c r="X63" s="27"/>
      <x:c r="Y63" s="27"/>
      <x:c r="Z63" s="27"/>
      <x:c r="AA63" s="27"/>
      <x:c r="AB63" s="27"/>
      <x:c r="AC63" s="27"/>
      <x:c r="AD63" s="27"/>
      <x:c r="AE63" s="27"/>
      <x:c r="AF63" s="27"/>
      <x:c r="AG63" s="27"/>
      <x:c r="AH63" s="27"/>
      <x:c r="AI63" s="27"/>
      <x:c r="AJ63" s="27"/>
      <x:c r="AK63" s="27"/>
      <x:c r="AL63" s="27"/>
      <x:c r="AM63" s="27"/>
      <x:c r="AN63" s="27"/>
      <x:c r="AO63" s="27"/>
      <x:c r="AP63" s="27"/>
      <x:c r="AQ63" s="27"/>
      <x:c r="AR63" s="27"/>
      <x:c r="AS63" s="27"/>
      <x:c r="AT63" s="27"/>
      <x:c r="AU63" s="27"/>
      <x:c r="AV63" s="27"/>
      <x:c r="AW63" s="27"/>
      <x:c r="AX63" s="27"/>
      <x:c r="AY63" s="27"/>
      <x:c r="AZ63" s="27"/>
    </x:row>
    <x:row r="64">
      <x:c r="A64" s="27"/>
      <x:c r="B64" s="27"/>
      <x:c r="C64" s="27"/>
      <x:c r="D64" s="27"/>
      <x:c r="E64" s="27"/>
      <x:c r="F64" s="27"/>
      <x:c r="G64" s="27"/>
      <x:c r="H64" s="27"/>
      <x:c r="I64" s="27"/>
      <x:c r="J64" s="27"/>
      <x:c r="K64" s="27"/>
      <x:c r="L64" s="27"/>
      <x:c r="M64" s="27"/>
      <x:c r="N64" s="27"/>
      <x:c r="O64" s="27"/>
      <x:c r="P64" s="27"/>
      <x:c r="Q64" s="27"/>
      <x:c r="R64" s="27"/>
      <x:c r="S64" s="27"/>
      <x:c r="T64" s="27"/>
      <x:c r="U64" s="27"/>
      <x:c r="V64" s="27"/>
      <x:c r="W64" s="27"/>
      <x:c r="X64" s="27"/>
      <x:c r="Y64" s="27"/>
      <x:c r="Z64" s="27"/>
      <x:c r="AA64" s="27"/>
      <x:c r="AB64" s="27"/>
      <x:c r="AC64" s="27"/>
      <x:c r="AD64" s="27"/>
      <x:c r="AE64" s="27"/>
      <x:c r="AF64" s="27"/>
      <x:c r="AG64" s="27"/>
      <x:c r="AH64" s="27"/>
      <x:c r="AI64" s="27"/>
      <x:c r="AJ64" s="27"/>
      <x:c r="AK64" s="27"/>
      <x:c r="AL64" s="27"/>
      <x:c r="AM64" s="27"/>
      <x:c r="AN64" s="27"/>
      <x:c r="AO64" s="27"/>
      <x:c r="AP64" s="27"/>
      <x:c r="AQ64" s="27"/>
      <x:c r="AR64" s="27"/>
      <x:c r="AS64" s="27"/>
      <x:c r="AT64" s="27"/>
      <x:c r="AU64" s="27"/>
      <x:c r="AV64" s="27"/>
      <x:c r="AW64" s="27"/>
      <x:c r="AX64" s="27"/>
      <x:c r="AY64" s="27"/>
      <x:c r="AZ64" s="27"/>
    </x:row>
    <x:row r="65">
      <x:c r="A65" s="27"/>
      <x:c r="B65" s="27"/>
      <x:c r="C65" s="27"/>
      <x:c r="D65" s="27"/>
      <x:c r="E65" s="27"/>
      <x:c r="F65" s="27"/>
      <x:c r="G65" s="27"/>
      <x:c r="H65" s="27"/>
      <x:c r="I65" s="27"/>
      <x:c r="J65" s="27"/>
      <x:c r="K65" s="27"/>
      <x:c r="L65" s="27"/>
      <x:c r="M65" s="27"/>
      <x:c r="N65" s="27"/>
      <x:c r="O65" s="27"/>
      <x:c r="P65" s="27"/>
      <x:c r="Q65" s="27"/>
      <x:c r="R65" s="27"/>
      <x:c r="S65" s="27"/>
      <x:c r="T65" s="27"/>
      <x:c r="U65" s="27"/>
      <x:c r="V65" s="27"/>
      <x:c r="W65" s="27"/>
      <x:c r="X65" s="27"/>
      <x:c r="Y65" s="27"/>
      <x:c r="Z65" s="27"/>
      <x:c r="AA65" s="27"/>
      <x:c r="AB65" s="27"/>
      <x:c r="AC65" s="27"/>
      <x:c r="AD65" s="27"/>
      <x:c r="AE65" s="27"/>
      <x:c r="AF65" s="27"/>
      <x:c r="AG65" s="27"/>
      <x:c r="AH65" s="27"/>
      <x:c r="AI65" s="27"/>
      <x:c r="AJ65" s="27"/>
      <x:c r="AK65" s="27"/>
      <x:c r="AL65" s="27"/>
      <x:c r="AM65" s="27"/>
      <x:c r="AN65" s="27"/>
      <x:c r="AO65" s="27"/>
      <x:c r="AP65" s="27"/>
      <x:c r="AQ65" s="27"/>
      <x:c r="AR65" s="27"/>
      <x:c r="AS65" s="27"/>
      <x:c r="AT65" s="27"/>
      <x:c r="AU65" s="27"/>
      <x:c r="AV65" s="27"/>
      <x:c r="AW65" s="27"/>
      <x:c r="AX65" s="27"/>
      <x:c r="AY65" s="27"/>
      <x:c r="AZ65" s="27"/>
    </x:row>
    <x:row r="66">
      <x:c r="A66" s="27"/>
      <x:c r="B66" s="27"/>
      <x:c r="C66" s="27"/>
      <x:c r="D66" s="27"/>
      <x:c r="E66" s="27"/>
      <x:c r="F66" s="27"/>
      <x:c r="G66" s="27"/>
      <x:c r="H66" s="27"/>
      <x:c r="I66" s="27"/>
      <x:c r="J66" s="27"/>
      <x:c r="K66" s="27"/>
      <x:c r="L66" s="27"/>
      <x:c r="M66" s="27"/>
      <x:c r="N66" s="27"/>
      <x:c r="O66" s="27"/>
      <x:c r="P66" s="27"/>
      <x:c r="Q66" s="27"/>
      <x:c r="R66" s="27"/>
      <x:c r="S66" s="27"/>
      <x:c r="T66" s="27"/>
      <x:c r="U66" s="27"/>
      <x:c r="V66" s="27"/>
      <x:c r="W66" s="27"/>
      <x:c r="X66" s="27"/>
      <x:c r="Y66" s="27"/>
      <x:c r="Z66" s="27"/>
      <x:c r="AA66" s="27"/>
      <x:c r="AB66" s="27"/>
      <x:c r="AC66" s="27"/>
      <x:c r="AD66" s="27"/>
      <x:c r="AE66" s="27"/>
      <x:c r="AF66" s="27"/>
      <x:c r="AG66" s="27"/>
      <x:c r="AH66" s="27"/>
      <x:c r="AI66" s="27"/>
      <x:c r="AJ66" s="27"/>
      <x:c r="AK66" s="27"/>
      <x:c r="AL66" s="27"/>
      <x:c r="AM66" s="27"/>
      <x:c r="AN66" s="27"/>
      <x:c r="AO66" s="27"/>
      <x:c r="AP66" s="27"/>
      <x:c r="AQ66" s="27"/>
      <x:c r="AR66" s="27"/>
      <x:c r="AS66" s="27"/>
      <x:c r="AT66" s="27"/>
      <x:c r="AU66" s="27"/>
      <x:c r="AV66" s="27"/>
      <x:c r="AW66" s="27"/>
      <x:c r="AX66" s="27"/>
      <x:c r="AY66" s="27"/>
      <x:c r="AZ66" s="27"/>
    </x:row>
    <x:row r="67">
      <x:c r="A67" s="27"/>
      <x:c r="B67" s="27"/>
      <x:c r="C67" s="27"/>
      <x:c r="D67" s="27"/>
      <x:c r="E67" s="27"/>
      <x:c r="F67" s="27"/>
      <x:c r="G67" s="27"/>
      <x:c r="H67" s="27"/>
      <x:c r="I67" s="27"/>
      <x:c r="J67" s="27"/>
      <x:c r="K67" s="27"/>
      <x:c r="L67" s="27"/>
      <x:c r="M67" s="27"/>
      <x:c r="N67" s="27"/>
      <x:c r="O67" s="27"/>
      <x:c r="P67" s="27"/>
      <x:c r="Q67" s="27"/>
      <x:c r="R67" s="27"/>
      <x:c r="S67" s="27"/>
      <x:c r="T67" s="27"/>
      <x:c r="U67" s="27"/>
      <x:c r="V67" s="27"/>
      <x:c r="W67" s="27"/>
      <x:c r="X67" s="27"/>
      <x:c r="Y67" s="27"/>
      <x:c r="Z67" s="27"/>
      <x:c r="AA67" s="27"/>
      <x:c r="AB67" s="27"/>
      <x:c r="AC67" s="27"/>
      <x:c r="AD67" s="27"/>
      <x:c r="AE67" s="27"/>
      <x:c r="AF67" s="27"/>
      <x:c r="AG67" s="27"/>
      <x:c r="AH67" s="27"/>
      <x:c r="AI67" s="27"/>
      <x:c r="AJ67" s="27"/>
      <x:c r="AK67" s="27"/>
      <x:c r="AL67" s="27"/>
      <x:c r="AM67" s="27"/>
      <x:c r="AN67" s="27"/>
      <x:c r="AO67" s="27"/>
      <x:c r="AP67" s="27"/>
      <x:c r="AQ67" s="27"/>
      <x:c r="AR67" s="27"/>
      <x:c r="AS67" s="27"/>
      <x:c r="AT67" s="27"/>
      <x:c r="AU67" s="27"/>
      <x:c r="AV67" s="27"/>
      <x:c r="AW67" s="27"/>
      <x:c r="AX67" s="27"/>
      <x:c r="AY67" s="27"/>
      <x:c r="AZ67" s="27"/>
    </x:row>
    <x:row r="68">
      <x:c r="A68" s="27"/>
      <x:c r="B68" s="27"/>
      <x:c r="C68" s="27"/>
      <x:c r="D68" s="27"/>
      <x:c r="E68" s="27"/>
      <x:c r="F68" s="27"/>
      <x:c r="G68" s="27"/>
      <x:c r="H68" s="27"/>
      <x:c r="I68" s="27"/>
      <x:c r="J68" s="27"/>
      <x:c r="K68" s="27"/>
      <x:c r="L68" s="27"/>
      <x:c r="M68" s="27"/>
      <x:c r="N68" s="27"/>
      <x:c r="O68" s="27"/>
      <x:c r="P68" s="27"/>
      <x:c r="Q68" s="27"/>
      <x:c r="R68" s="27"/>
      <x:c r="S68" s="27"/>
      <x:c r="T68" s="27"/>
      <x:c r="U68" s="27"/>
      <x:c r="V68" s="27"/>
      <x:c r="W68" s="27"/>
      <x:c r="X68" s="27"/>
      <x:c r="Y68" s="27"/>
      <x:c r="Z68" s="27"/>
      <x:c r="AA68" s="27"/>
      <x:c r="AB68" s="27"/>
      <x:c r="AC68" s="27"/>
      <x:c r="AD68" s="27"/>
      <x:c r="AE68" s="27"/>
      <x:c r="AF68" s="27"/>
      <x:c r="AG68" s="27"/>
      <x:c r="AH68" s="27"/>
      <x:c r="AI68" s="27"/>
      <x:c r="AJ68" s="27"/>
      <x:c r="AK68" s="27"/>
      <x:c r="AL68" s="27"/>
      <x:c r="AM68" s="27"/>
      <x:c r="AN68" s="27"/>
      <x:c r="AO68" s="27"/>
      <x:c r="AP68" s="27"/>
      <x:c r="AQ68" s="27"/>
      <x:c r="AR68" s="27"/>
      <x:c r="AS68" s="27"/>
      <x:c r="AT68" s="27"/>
      <x:c r="AU68" s="27"/>
      <x:c r="AV68" s="27"/>
      <x:c r="AW68" s="27"/>
      <x:c r="AX68" s="27"/>
      <x:c r="AY68" s="27"/>
      <x:c r="AZ68" s="27"/>
    </x:row>
    <x:row r="69">
      <x:c r="A69" s="27"/>
      <x:c r="B69" s="27"/>
      <x:c r="C69" s="27"/>
      <x:c r="D69" s="27"/>
      <x:c r="E69" s="27"/>
      <x:c r="F69" s="27"/>
      <x:c r="G69" s="27"/>
      <x:c r="H69" s="27"/>
      <x:c r="I69" s="27"/>
      <x:c r="J69" s="27"/>
      <x:c r="K69" s="27"/>
      <x:c r="L69" s="27"/>
      <x:c r="M69" s="27"/>
      <x:c r="N69" s="27"/>
      <x:c r="O69" s="27"/>
      <x:c r="P69" s="27"/>
      <x:c r="Q69" s="27"/>
      <x:c r="R69" s="27"/>
      <x:c r="S69" s="27"/>
      <x:c r="T69" s="27"/>
      <x:c r="U69" s="27"/>
      <x:c r="V69" s="27"/>
      <x:c r="W69" s="27"/>
      <x:c r="X69" s="27"/>
      <x:c r="Y69" s="27"/>
      <x:c r="Z69" s="27"/>
      <x:c r="AA69" s="27"/>
      <x:c r="AB69" s="27"/>
      <x:c r="AC69" s="27"/>
      <x:c r="AD69" s="27"/>
      <x:c r="AE69" s="27"/>
      <x:c r="AF69" s="27"/>
      <x:c r="AG69" s="27"/>
      <x:c r="AH69" s="27"/>
      <x:c r="AI69" s="27"/>
      <x:c r="AJ69" s="27"/>
      <x:c r="AK69" s="27"/>
      <x:c r="AL69" s="27"/>
      <x:c r="AM69" s="27"/>
      <x:c r="AN69" s="27"/>
      <x:c r="AO69" s="27"/>
      <x:c r="AP69" s="27"/>
      <x:c r="AQ69" s="27"/>
      <x:c r="AR69" s="27"/>
      <x:c r="AS69" s="27"/>
      <x:c r="AT69" s="27"/>
      <x:c r="AU69" s="27"/>
      <x:c r="AV69" s="27"/>
      <x:c r="AW69" s="27"/>
      <x:c r="AX69" s="27"/>
      <x:c r="AY69" s="27"/>
      <x:c r="AZ69" s="27"/>
    </x:row>
    <x:row r="70">
      <x:c r="A70" s="27"/>
      <x:c r="B70" s="27"/>
      <x:c r="C70" s="27"/>
      <x:c r="D70" s="27"/>
      <x:c r="E70" s="27"/>
      <x:c r="F70" s="27"/>
      <x:c r="G70" s="27"/>
      <x:c r="H70" s="27"/>
      <x:c r="I70" s="27"/>
      <x:c r="J70" s="27"/>
      <x:c r="K70" s="27"/>
      <x:c r="L70" s="27"/>
      <x:c r="M70" s="27"/>
      <x:c r="N70" s="27"/>
      <x:c r="O70" s="27"/>
      <x:c r="P70" s="27"/>
      <x:c r="Q70" s="27"/>
      <x:c r="R70" s="27"/>
      <x:c r="S70" s="27"/>
      <x:c r="T70" s="27"/>
      <x:c r="U70" s="27"/>
      <x:c r="V70" s="27"/>
      <x:c r="W70" s="27"/>
      <x:c r="X70" s="27"/>
      <x:c r="Y70" s="27"/>
      <x:c r="Z70" s="27"/>
      <x:c r="AA70" s="27"/>
      <x:c r="AB70" s="27"/>
      <x:c r="AC70" s="27"/>
      <x:c r="AD70" s="27"/>
      <x:c r="AE70" s="27"/>
      <x:c r="AF70" s="27"/>
      <x:c r="AG70" s="27"/>
      <x:c r="AH70" s="27"/>
      <x:c r="AI70" s="27"/>
      <x:c r="AJ70" s="27"/>
      <x:c r="AK70" s="27"/>
      <x:c r="AL70" s="27"/>
      <x:c r="AM70" s="27"/>
      <x:c r="AN70" s="27"/>
      <x:c r="AO70" s="27"/>
      <x:c r="AP70" s="27"/>
      <x:c r="AQ70" s="27"/>
      <x:c r="AR70" s="27"/>
      <x:c r="AS70" s="27"/>
      <x:c r="AT70" s="27"/>
      <x:c r="AU70" s="27"/>
      <x:c r="AV70" s="27"/>
      <x:c r="AW70" s="27"/>
      <x:c r="AX70" s="27"/>
      <x:c r="AY70" s="27"/>
      <x:c r="AZ70" s="27"/>
    </x:row>
    <x:row r="71">
      <x:c r="A71" s="27"/>
      <x:c r="B71" s="27"/>
      <x:c r="C71" s="27"/>
      <x:c r="D71" s="27"/>
      <x:c r="E71" s="27"/>
      <x:c r="F71" s="27"/>
      <x:c r="G71" s="27"/>
      <x:c r="H71" s="27"/>
      <x:c r="I71" s="27"/>
      <x:c r="J71" s="27"/>
      <x:c r="K71" s="27"/>
      <x:c r="L71" s="27"/>
      <x:c r="M71" s="27"/>
      <x:c r="N71" s="27"/>
      <x:c r="O71" s="27"/>
      <x:c r="P71" s="27"/>
      <x:c r="Q71" s="27"/>
      <x:c r="R71" s="27"/>
      <x:c r="S71" s="27"/>
      <x:c r="T71" s="27"/>
      <x:c r="U71" s="27"/>
      <x:c r="V71" s="27"/>
      <x:c r="W71" s="27"/>
      <x:c r="X71" s="27"/>
      <x:c r="Y71" s="27"/>
      <x:c r="Z71" s="27"/>
      <x:c r="AA71" s="27"/>
      <x:c r="AB71" s="27"/>
      <x:c r="AC71" s="27"/>
      <x:c r="AD71" s="27"/>
      <x:c r="AE71" s="27"/>
      <x:c r="AF71" s="27"/>
      <x:c r="AG71" s="27"/>
      <x:c r="AH71" s="27"/>
      <x:c r="AI71" s="27"/>
      <x:c r="AJ71" s="27"/>
      <x:c r="AK71" s="27"/>
      <x:c r="AL71" s="27"/>
      <x:c r="AM71" s="27"/>
      <x:c r="AN71" s="27"/>
      <x:c r="AO71" s="27"/>
      <x:c r="AP71" s="27"/>
      <x:c r="AQ71" s="27"/>
      <x:c r="AR71" s="27"/>
      <x:c r="AS71" s="27"/>
      <x:c r="AT71" s="27"/>
      <x:c r="AU71" s="27"/>
      <x:c r="AV71" s="27"/>
      <x:c r="AW71" s="27"/>
      <x:c r="AX71" s="27"/>
      <x:c r="AY71" s="27"/>
      <x:c r="AZ71" s="27"/>
    </x:row>
    <x:row r="72">
      <x:c r="A72" s="27"/>
      <x:c r="B72" s="27"/>
      <x:c r="C72" s="27"/>
      <x:c r="D72" s="27"/>
      <x:c r="E72" s="27"/>
      <x:c r="F72" s="27"/>
      <x:c r="G72" s="27"/>
      <x:c r="H72" s="27"/>
      <x:c r="I72" s="27"/>
      <x:c r="J72" s="27"/>
      <x:c r="K72" s="27"/>
      <x:c r="L72" s="27"/>
      <x:c r="M72" s="27"/>
      <x:c r="N72" s="27"/>
      <x:c r="O72" s="27"/>
      <x:c r="P72" s="27"/>
      <x:c r="Q72" s="27"/>
      <x:c r="R72" s="27"/>
      <x:c r="S72" s="27"/>
      <x:c r="T72" s="27"/>
      <x:c r="U72" s="27"/>
      <x:c r="V72" s="27"/>
      <x:c r="W72" s="27"/>
      <x:c r="X72" s="27"/>
      <x:c r="Y72" s="27"/>
      <x:c r="Z72" s="27"/>
      <x:c r="AA72" s="27"/>
      <x:c r="AB72" s="27"/>
      <x:c r="AC72" s="27"/>
      <x:c r="AD72" s="27"/>
      <x:c r="AE72" s="27"/>
      <x:c r="AF72" s="27"/>
      <x:c r="AG72" s="27"/>
      <x:c r="AH72" s="27"/>
      <x:c r="AI72" s="27"/>
      <x:c r="AJ72" s="27"/>
      <x:c r="AK72" s="27"/>
      <x:c r="AL72" s="27"/>
      <x:c r="AM72" s="27"/>
      <x:c r="AN72" s="27"/>
      <x:c r="AO72" s="27"/>
      <x:c r="AP72" s="27"/>
      <x:c r="AQ72" s="27"/>
      <x:c r="AR72" s="27"/>
      <x:c r="AS72" s="27"/>
      <x:c r="AT72" s="27"/>
      <x:c r="AU72" s="27"/>
      <x:c r="AV72" s="27"/>
      <x:c r="AW72" s="27"/>
      <x:c r="AX72" s="27"/>
      <x:c r="AY72" s="27"/>
      <x:c r="AZ72" s="27"/>
    </x:row>
    <x:row r="73">
      <x:c r="A73" s="27"/>
      <x:c r="B73" s="27"/>
      <x:c r="C73" s="27"/>
      <x:c r="D73" s="27"/>
      <x:c r="E73" s="27"/>
      <x:c r="F73" s="27"/>
      <x:c r="G73" s="27"/>
      <x:c r="H73" s="27"/>
      <x:c r="I73" s="27"/>
      <x:c r="J73" s="27"/>
      <x:c r="K73" s="27"/>
      <x:c r="L73" s="27"/>
      <x:c r="M73" s="27"/>
      <x:c r="N73" s="27"/>
      <x:c r="O73" s="27"/>
      <x:c r="P73" s="27"/>
      <x:c r="Q73" s="27"/>
      <x:c r="R73" s="27"/>
      <x:c r="S73" s="27"/>
      <x:c r="T73" s="27"/>
      <x:c r="U73" s="27"/>
      <x:c r="V73" s="27"/>
      <x:c r="W73" s="27"/>
      <x:c r="X73" s="27"/>
      <x:c r="Y73" s="27"/>
      <x:c r="Z73" s="27"/>
      <x:c r="AA73" s="27"/>
      <x:c r="AB73" s="27"/>
      <x:c r="AC73" s="27"/>
      <x:c r="AD73" s="27"/>
      <x:c r="AE73" s="27"/>
      <x:c r="AF73" s="27"/>
      <x:c r="AG73" s="27"/>
      <x:c r="AH73" s="27"/>
      <x:c r="AI73" s="27"/>
      <x:c r="AJ73" s="27"/>
      <x:c r="AK73" s="27"/>
      <x:c r="AL73" s="27"/>
      <x:c r="AM73" s="27"/>
      <x:c r="AN73" s="27"/>
      <x:c r="AO73" s="27"/>
      <x:c r="AP73" s="27"/>
      <x:c r="AQ73" s="27"/>
      <x:c r="AR73" s="27"/>
      <x:c r="AS73" s="27"/>
      <x:c r="AT73" s="27"/>
      <x:c r="AU73" s="27"/>
      <x:c r="AV73" s="27"/>
      <x:c r="AW73" s="27"/>
      <x:c r="AX73" s="27"/>
      <x:c r="AY73" s="27"/>
      <x:c r="AZ73" s="27"/>
    </x:row>
    <x:row r="74">
      <x:c r="A74" s="27"/>
      <x:c r="B74" s="27"/>
      <x:c r="C74" s="27"/>
      <x:c r="D74" s="27"/>
      <x:c r="E74" s="27"/>
      <x:c r="F74" s="27"/>
      <x:c r="G74" s="27"/>
      <x:c r="H74" s="27"/>
      <x:c r="I74" s="27"/>
      <x:c r="J74" s="27"/>
      <x:c r="K74" s="27"/>
      <x:c r="L74" s="27"/>
      <x:c r="M74" s="27"/>
      <x:c r="N74" s="27"/>
      <x:c r="O74" s="27"/>
      <x:c r="P74" s="27"/>
      <x:c r="Q74" s="27"/>
      <x:c r="R74" s="27"/>
      <x:c r="S74" s="27"/>
      <x:c r="T74" s="27"/>
      <x:c r="U74" s="27"/>
      <x:c r="V74" s="27"/>
      <x:c r="W74" s="27"/>
      <x:c r="X74" s="27"/>
      <x:c r="Y74" s="27"/>
      <x:c r="Z74" s="27"/>
      <x:c r="AA74" s="27"/>
      <x:c r="AB74" s="27"/>
      <x:c r="AC74" s="27"/>
      <x:c r="AD74" s="27"/>
      <x:c r="AE74" s="27"/>
      <x:c r="AF74" s="27"/>
      <x:c r="AG74" s="27"/>
      <x:c r="AH74" s="27"/>
      <x:c r="AI74" s="27"/>
      <x:c r="AJ74" s="27"/>
      <x:c r="AK74" s="27"/>
      <x:c r="AL74" s="27"/>
      <x:c r="AM74" s="27"/>
      <x:c r="AN74" s="27"/>
      <x:c r="AO74" s="27"/>
      <x:c r="AP74" s="27"/>
      <x:c r="AQ74" s="27"/>
      <x:c r="AR74" s="27"/>
      <x:c r="AS74" s="27"/>
      <x:c r="AT74" s="27"/>
      <x:c r="AU74" s="27"/>
      <x:c r="AV74" s="27"/>
      <x:c r="AW74" s="27"/>
      <x:c r="AX74" s="27"/>
      <x:c r="AY74" s="27"/>
      <x:c r="AZ74" s="27"/>
    </x:row>
    <x:row r="75">
      <x:c r="A75" s="27"/>
      <x:c r="B75" s="27"/>
      <x:c r="C75" s="27"/>
      <x:c r="D75" s="27"/>
      <x:c r="E75" s="27"/>
      <x:c r="F75" s="27"/>
      <x:c r="G75" s="27"/>
      <x:c r="H75" s="27"/>
      <x:c r="I75" s="27"/>
      <x:c r="J75" s="27"/>
      <x:c r="K75" s="27"/>
      <x:c r="L75" s="27"/>
      <x:c r="M75" s="27"/>
      <x:c r="N75" s="27"/>
      <x:c r="O75" s="27"/>
      <x:c r="P75" s="27"/>
      <x:c r="Q75" s="27"/>
      <x:c r="R75" s="27"/>
      <x:c r="S75" s="27"/>
      <x:c r="T75" s="27"/>
      <x:c r="U75" s="27"/>
      <x:c r="V75" s="27"/>
      <x:c r="W75" s="27"/>
      <x:c r="X75" s="27"/>
      <x:c r="Y75" s="27"/>
      <x:c r="Z75" s="27"/>
      <x:c r="AA75" s="27"/>
      <x:c r="AB75" s="27"/>
      <x:c r="AC75" s="27"/>
      <x:c r="AD75" s="27"/>
      <x:c r="AE75" s="27"/>
      <x:c r="AF75" s="27"/>
      <x:c r="AG75" s="27"/>
      <x:c r="AH75" s="27"/>
      <x:c r="AI75" s="27"/>
      <x:c r="AJ75" s="27"/>
      <x:c r="AK75" s="27"/>
      <x:c r="AL75" s="27"/>
      <x:c r="AM75" s="27"/>
      <x:c r="AN75" s="27"/>
      <x:c r="AO75" s="27"/>
      <x:c r="AP75" s="27"/>
      <x:c r="AQ75" s="27"/>
      <x:c r="AR75" s="27"/>
      <x:c r="AS75" s="27"/>
      <x:c r="AT75" s="27"/>
      <x:c r="AU75" s="27"/>
      <x:c r="AV75" s="27"/>
      <x:c r="AW75" s="27"/>
      <x:c r="AX75" s="27"/>
      <x:c r="AY75" s="27"/>
      <x:c r="AZ75" s="27"/>
    </x:row>
    <x:row r="76">
      <x:c r="A76" s="27"/>
      <x:c r="B76" s="27"/>
      <x:c r="C76" s="27"/>
      <x:c r="D76" s="27"/>
      <x:c r="E76" s="27"/>
      <x:c r="F76" s="27"/>
      <x:c r="G76" s="27"/>
      <x:c r="H76" s="27"/>
      <x:c r="I76" s="27"/>
      <x:c r="J76" s="27"/>
      <x:c r="K76" s="27"/>
      <x:c r="L76" s="27"/>
      <x:c r="M76" s="27"/>
      <x:c r="N76" s="27"/>
      <x:c r="O76" s="27"/>
      <x:c r="P76" s="27"/>
      <x:c r="Q76" s="27"/>
      <x:c r="R76" s="27"/>
      <x:c r="S76" s="27"/>
      <x:c r="T76" s="27"/>
      <x:c r="U76" s="27"/>
      <x:c r="V76" s="27"/>
      <x:c r="W76" s="27"/>
      <x:c r="X76" s="27"/>
      <x:c r="Y76" s="27"/>
      <x:c r="Z76" s="27"/>
      <x:c r="AA76" s="27"/>
      <x:c r="AB76" s="27"/>
      <x:c r="AC76" s="27"/>
      <x:c r="AD76" s="27"/>
      <x:c r="AE76" s="27"/>
      <x:c r="AF76" s="27"/>
      <x:c r="AG76" s="27"/>
      <x:c r="AH76" s="27"/>
      <x:c r="AI76" s="27"/>
      <x:c r="AJ76" s="27"/>
      <x:c r="AK76" s="27"/>
      <x:c r="AL76" s="27"/>
      <x:c r="AM76" s="27"/>
      <x:c r="AN76" s="27"/>
      <x:c r="AO76" s="27"/>
      <x:c r="AP76" s="27"/>
      <x:c r="AQ76" s="27"/>
      <x:c r="AR76" s="27"/>
      <x:c r="AS76" s="27"/>
      <x:c r="AT76" s="27"/>
      <x:c r="AU76" s="27"/>
      <x:c r="AV76" s="27"/>
      <x:c r="AW76" s="27"/>
      <x:c r="AX76" s="27"/>
      <x:c r="AY76" s="27"/>
      <x:c r="AZ76" s="27"/>
    </x:row>
    <x:row r="77">
      <x:c r="A77" s="27"/>
      <x:c r="B77" s="27"/>
      <x:c r="C77" s="27"/>
      <x:c r="D77" s="27"/>
      <x:c r="E77" s="27"/>
      <x:c r="F77" s="27"/>
      <x:c r="G77" s="27"/>
      <x:c r="H77" s="27"/>
      <x:c r="I77" s="27"/>
      <x:c r="J77" s="27"/>
      <x:c r="K77" s="27"/>
      <x:c r="L77" s="27"/>
      <x:c r="M77" s="27"/>
      <x:c r="N77" s="27"/>
      <x:c r="O77" s="27"/>
      <x:c r="P77" s="27"/>
      <x:c r="Q77" s="27"/>
      <x:c r="R77" s="27"/>
      <x:c r="S77" s="27"/>
      <x:c r="T77" s="27"/>
      <x:c r="U77" s="27"/>
      <x:c r="V77" s="27"/>
      <x:c r="W77" s="27"/>
      <x:c r="X77" s="27"/>
      <x:c r="Y77" s="27"/>
      <x:c r="Z77" s="27"/>
      <x:c r="AA77" s="27"/>
      <x:c r="AB77" s="27"/>
      <x:c r="AC77" s="27"/>
      <x:c r="AD77" s="27"/>
      <x:c r="AE77" s="27"/>
      <x:c r="AF77" s="27"/>
      <x:c r="AG77" s="27"/>
      <x:c r="AH77" s="27"/>
      <x:c r="AI77" s="27"/>
      <x:c r="AJ77" s="27"/>
      <x:c r="AK77" s="27"/>
      <x:c r="AL77" s="27"/>
      <x:c r="AM77" s="27"/>
      <x:c r="AN77" s="27"/>
      <x:c r="AO77" s="27"/>
      <x:c r="AP77" s="27"/>
      <x:c r="AQ77" s="27"/>
      <x:c r="AR77" s="27"/>
      <x:c r="AS77" s="27"/>
      <x:c r="AT77" s="27"/>
      <x:c r="AU77" s="27"/>
      <x:c r="AV77" s="27"/>
      <x:c r="AW77" s="27"/>
      <x:c r="AX77" s="27"/>
      <x:c r="AY77" s="27"/>
      <x:c r="AZ77" s="27"/>
    </x:row>
    <x:row r="78">
      <x:c r="A78" s="27"/>
      <x:c r="B78" s="27"/>
      <x:c r="C78" s="27"/>
      <x:c r="D78" s="27"/>
      <x:c r="E78" s="27"/>
      <x:c r="F78" s="27"/>
      <x:c r="G78" s="27"/>
      <x:c r="H78" s="27"/>
      <x:c r="I78" s="27"/>
      <x:c r="J78" s="27"/>
      <x:c r="K78" s="27"/>
      <x:c r="L78" s="27"/>
      <x:c r="M78" s="27"/>
      <x:c r="N78" s="27"/>
      <x:c r="O78" s="27"/>
      <x:c r="P78" s="27"/>
      <x:c r="Q78" s="27"/>
      <x:c r="R78" s="27"/>
      <x:c r="S78" s="27"/>
      <x:c r="T78" s="27"/>
      <x:c r="U78" s="27"/>
      <x:c r="V78" s="27"/>
      <x:c r="W78" s="27"/>
      <x:c r="X78" s="27"/>
      <x:c r="Y78" s="27"/>
      <x:c r="Z78" s="27"/>
      <x:c r="AA78" s="27"/>
      <x:c r="AB78" s="27"/>
      <x:c r="AC78" s="27"/>
      <x:c r="AD78" s="27"/>
      <x:c r="AE78" s="27"/>
      <x:c r="AF78" s="27"/>
      <x:c r="AG78" s="27"/>
      <x:c r="AH78" s="27"/>
      <x:c r="AI78" s="27"/>
      <x:c r="AJ78" s="27"/>
      <x:c r="AK78" s="27"/>
      <x:c r="AL78" s="27"/>
      <x:c r="AM78" s="27"/>
      <x:c r="AN78" s="27"/>
      <x:c r="AO78" s="27"/>
      <x:c r="AP78" s="27"/>
      <x:c r="AQ78" s="27"/>
      <x:c r="AR78" s="27"/>
      <x:c r="AS78" s="27"/>
      <x:c r="AT78" s="27"/>
      <x:c r="AU78" s="27"/>
      <x:c r="AV78" s="27"/>
      <x:c r="AW78" s="27"/>
      <x:c r="AX78" s="27"/>
      <x:c r="AY78" s="27"/>
      <x:c r="AZ78" s="27"/>
    </x:row>
    <x:row r="79">
      <x:c r="A79" s="27"/>
      <x:c r="B79" s="27"/>
      <x:c r="C79" s="27"/>
      <x:c r="D79" s="27"/>
      <x:c r="E79" s="27"/>
      <x:c r="F79" s="27"/>
      <x:c r="G79" s="27"/>
      <x:c r="H79" s="27"/>
      <x:c r="I79" s="27"/>
      <x:c r="J79" s="27"/>
      <x:c r="K79" s="27"/>
      <x:c r="L79" s="27"/>
      <x:c r="M79" s="27"/>
      <x:c r="N79" s="27"/>
      <x:c r="O79" s="27"/>
      <x:c r="P79" s="27"/>
      <x:c r="Q79" s="27"/>
      <x:c r="R79" s="27"/>
      <x:c r="S79" s="27"/>
      <x:c r="T79" s="27"/>
      <x:c r="U79" s="27"/>
      <x:c r="V79" s="27"/>
      <x:c r="W79" s="27"/>
      <x:c r="X79" s="27"/>
      <x:c r="Y79" s="27"/>
      <x:c r="Z79" s="27"/>
      <x:c r="AA79" s="27"/>
      <x:c r="AB79" s="27"/>
      <x:c r="AC79" s="27"/>
      <x:c r="AD79" s="27"/>
      <x:c r="AE79" s="27"/>
      <x:c r="AF79" s="27"/>
      <x:c r="AG79" s="27"/>
      <x:c r="AH79" s="27"/>
      <x:c r="AI79" s="27"/>
      <x:c r="AJ79" s="27"/>
      <x:c r="AK79" s="27"/>
      <x:c r="AL79" s="27"/>
      <x:c r="AM79" s="27"/>
      <x:c r="AN79" s="27"/>
      <x:c r="AO79" s="27"/>
      <x:c r="AP79" s="27"/>
      <x:c r="AQ79" s="27"/>
      <x:c r="AR79" s="27"/>
      <x:c r="AS79" s="27"/>
      <x:c r="AT79" s="27"/>
      <x:c r="AU79" s="27"/>
      <x:c r="AV79" s="27"/>
      <x:c r="AW79" s="27"/>
      <x:c r="AX79" s="27"/>
      <x:c r="AY79" s="27"/>
      <x:c r="AZ79" s="27"/>
    </x:row>
    <x:row r="80">
      <x:c r="A80" s="27"/>
      <x:c r="B80" s="27"/>
      <x:c r="C80" s="27"/>
      <x:c r="D80" s="27"/>
      <x:c r="E80" s="27"/>
      <x:c r="F80" s="27"/>
      <x:c r="G80" s="27"/>
      <x:c r="H80" s="27"/>
      <x:c r="I80" s="27"/>
      <x:c r="J80" s="27"/>
      <x:c r="K80" s="27"/>
      <x:c r="L80" s="27"/>
      <x:c r="M80" s="27"/>
      <x:c r="N80" s="27"/>
      <x:c r="O80" s="27"/>
      <x:c r="P80" s="27"/>
      <x:c r="Q80" s="27"/>
      <x:c r="R80" s="27"/>
      <x:c r="S80" s="27"/>
      <x:c r="T80" s="27"/>
      <x:c r="U80" s="27"/>
      <x:c r="V80" s="27"/>
      <x:c r="W80" s="27"/>
      <x:c r="X80" s="27"/>
      <x:c r="Y80" s="27"/>
      <x:c r="Z80" s="27"/>
      <x:c r="AA80" s="27"/>
      <x:c r="AB80" s="27"/>
      <x:c r="AC80" s="27"/>
      <x:c r="AD80" s="27"/>
      <x:c r="AE80" s="27"/>
      <x:c r="AF80" s="27"/>
      <x:c r="AG80" s="27"/>
      <x:c r="AH80" s="27"/>
      <x:c r="AI80" s="27"/>
      <x:c r="AJ80" s="27"/>
      <x:c r="AK80" s="27"/>
      <x:c r="AL80" s="27"/>
      <x:c r="AM80" s="27"/>
      <x:c r="AN80" s="27"/>
      <x:c r="AO80" s="27"/>
      <x:c r="AP80" s="27"/>
      <x:c r="AQ80" s="27"/>
      <x:c r="AR80" s="27"/>
      <x:c r="AS80" s="27"/>
      <x:c r="AT80" s="27"/>
      <x:c r="AU80" s="27"/>
      <x:c r="AV80" s="27"/>
      <x:c r="AW80" s="27"/>
      <x:c r="AX80" s="27"/>
      <x:c r="AY80" s="27"/>
      <x:c r="AZ80" s="27"/>
    </x:row>
    <x:row r="81">
      <x:c r="A81" s="27"/>
      <x:c r="B81" s="27"/>
      <x:c r="C81" s="27"/>
      <x:c r="D81" s="27"/>
      <x:c r="E81" s="27"/>
      <x:c r="F81" s="27"/>
      <x:c r="G81" s="27"/>
      <x:c r="H81" s="27"/>
      <x:c r="I81" s="27"/>
      <x:c r="J81" s="27"/>
      <x:c r="K81" s="27"/>
      <x:c r="L81" s="27"/>
      <x:c r="M81" s="27"/>
      <x:c r="N81" s="27"/>
      <x:c r="O81" s="27"/>
      <x:c r="P81" s="27"/>
      <x:c r="Q81" s="27"/>
      <x:c r="R81" s="27"/>
      <x:c r="S81" s="27"/>
      <x:c r="T81" s="27"/>
      <x:c r="U81" s="27"/>
      <x:c r="V81" s="27"/>
      <x:c r="W81" s="27"/>
      <x:c r="X81" s="27"/>
      <x:c r="Y81" s="27"/>
      <x:c r="Z81" s="27"/>
      <x:c r="AA81" s="27"/>
      <x:c r="AB81" s="27"/>
      <x:c r="AC81" s="27"/>
      <x:c r="AD81" s="27"/>
      <x:c r="AE81" s="27"/>
      <x:c r="AF81" s="27"/>
      <x:c r="AG81" s="27"/>
      <x:c r="AH81" s="27"/>
      <x:c r="AI81" s="27"/>
      <x:c r="AJ81" s="27"/>
      <x:c r="AK81" s="27"/>
      <x:c r="AL81" s="27"/>
      <x:c r="AM81" s="27"/>
      <x:c r="AN81" s="27"/>
      <x:c r="AO81" s="27"/>
      <x:c r="AP81" s="27"/>
      <x:c r="AQ81" s="27"/>
      <x:c r="AR81" s="27"/>
      <x:c r="AS81" s="27"/>
      <x:c r="AT81" s="27"/>
      <x:c r="AU81" s="27"/>
      <x:c r="AV81" s="27"/>
      <x:c r="AW81" s="27"/>
      <x:c r="AX81" s="27"/>
      <x:c r="AY81" s="27"/>
      <x:c r="AZ81" s="27"/>
    </x:row>
    <x:row r="82">
      <x:c r="A82" s="27"/>
      <x:c r="B82" s="27"/>
      <x:c r="C82" s="27"/>
      <x:c r="D82" s="27"/>
      <x:c r="E82" s="27"/>
      <x:c r="F82" s="27"/>
      <x:c r="G82" s="27"/>
      <x:c r="H82" s="27"/>
      <x:c r="I82" s="27"/>
      <x:c r="J82" s="27"/>
      <x:c r="K82" s="27"/>
      <x:c r="L82" s="27"/>
      <x:c r="M82" s="27"/>
      <x:c r="N82" s="27"/>
      <x:c r="O82" s="27"/>
      <x:c r="P82" s="27"/>
      <x:c r="Q82" s="27"/>
      <x:c r="R82" s="27"/>
      <x:c r="S82" s="27"/>
      <x:c r="T82" s="27"/>
      <x:c r="U82" s="27"/>
      <x:c r="V82" s="27"/>
      <x:c r="W82" s="27"/>
      <x:c r="X82" s="27"/>
      <x:c r="Y82" s="27"/>
      <x:c r="Z82" s="27"/>
      <x:c r="AA82" s="27"/>
      <x:c r="AB82" s="27"/>
      <x:c r="AC82" s="27"/>
      <x:c r="AD82" s="27"/>
      <x:c r="AE82" s="27"/>
      <x:c r="AF82" s="27"/>
      <x:c r="AG82" s="27"/>
      <x:c r="AH82" s="27"/>
      <x:c r="AI82" s="27"/>
      <x:c r="AJ82" s="27"/>
      <x:c r="AK82" s="27"/>
      <x:c r="AL82" s="27"/>
      <x:c r="AM82" s="27"/>
      <x:c r="AN82" s="27"/>
      <x:c r="AO82" s="27"/>
      <x:c r="AP82" s="27"/>
      <x:c r="AQ82" s="27"/>
      <x:c r="AR82" s="27"/>
      <x:c r="AS82" s="27"/>
      <x:c r="AT82" s="27"/>
      <x:c r="AU82" s="27"/>
      <x:c r="AV82" s="27"/>
      <x:c r="AW82" s="27"/>
      <x:c r="AX82" s="27"/>
      <x:c r="AY82" s="27"/>
      <x:c r="AZ82" s="27"/>
    </x:row>
    <x:row r="83">
      <x:c r="A83" s="27"/>
      <x:c r="B83" s="27"/>
      <x:c r="C83" s="27"/>
      <x:c r="D83" s="27"/>
      <x:c r="E83" s="27"/>
      <x:c r="F83" s="27"/>
      <x:c r="G83" s="27"/>
      <x:c r="H83" s="27"/>
      <x:c r="I83" s="27"/>
      <x:c r="J83" s="27"/>
      <x:c r="K83" s="27"/>
      <x:c r="L83" s="27"/>
      <x:c r="M83" s="27"/>
      <x:c r="N83" s="27"/>
      <x:c r="O83" s="27"/>
      <x:c r="P83" s="27"/>
      <x:c r="Q83" s="27"/>
      <x:c r="R83" s="27"/>
      <x:c r="S83" s="27"/>
      <x:c r="T83" s="27"/>
      <x:c r="U83" s="27"/>
      <x:c r="V83" s="27"/>
      <x:c r="W83" s="27"/>
      <x:c r="X83" s="27"/>
      <x:c r="Y83" s="27"/>
      <x:c r="Z83" s="27"/>
      <x:c r="AA83" s="27"/>
      <x:c r="AB83" s="27"/>
      <x:c r="AC83" s="27"/>
      <x:c r="AD83" s="27"/>
      <x:c r="AE83" s="27"/>
      <x:c r="AF83" s="27"/>
      <x:c r="AG83" s="27"/>
      <x:c r="AH83" s="27"/>
      <x:c r="AI83" s="27"/>
      <x:c r="AJ83" s="27"/>
      <x:c r="AK83" s="27"/>
      <x:c r="AL83" s="27"/>
      <x:c r="AM83" s="27"/>
      <x:c r="AN83" s="27"/>
      <x:c r="AO83" s="27"/>
      <x:c r="AP83" s="27"/>
      <x:c r="AQ83" s="27"/>
      <x:c r="AR83" s="27"/>
      <x:c r="AS83" s="27"/>
      <x:c r="AT83" s="27"/>
      <x:c r="AU83" s="27"/>
      <x:c r="AV83" s="27"/>
      <x:c r="AW83" s="27"/>
      <x:c r="AX83" s="27"/>
      <x:c r="AY83" s="27"/>
      <x:c r="AZ83" s="27"/>
    </x:row>
    <x:row r="84">
      <x:c r="A84" s="27"/>
      <x:c r="B84" s="27"/>
      <x:c r="C84" s="27"/>
      <x:c r="D84" s="27"/>
      <x:c r="E84" s="27"/>
      <x:c r="F84" s="27"/>
      <x:c r="G84" s="27"/>
      <x:c r="H84" s="27"/>
      <x:c r="I84" s="27"/>
      <x:c r="J84" s="27"/>
      <x:c r="K84" s="27"/>
      <x:c r="L84" s="27"/>
      <x:c r="M84" s="27"/>
      <x:c r="N84" s="27"/>
      <x:c r="O84" s="27"/>
      <x:c r="P84" s="27"/>
      <x:c r="Q84" s="27"/>
      <x:c r="R84" s="27"/>
      <x:c r="S84" s="27"/>
      <x:c r="T84" s="27"/>
      <x:c r="U84" s="27"/>
      <x:c r="V84" s="27"/>
      <x:c r="W84" s="27"/>
      <x:c r="X84" s="27"/>
      <x:c r="Y84" s="27"/>
      <x:c r="Z84" s="27"/>
      <x:c r="AA84" s="27"/>
      <x:c r="AB84" s="27"/>
      <x:c r="AC84" s="27"/>
      <x:c r="AD84" s="27"/>
      <x:c r="AE84" s="27"/>
      <x:c r="AF84" s="27"/>
      <x:c r="AG84" s="27"/>
      <x:c r="AH84" s="27"/>
      <x:c r="AI84" s="27"/>
      <x:c r="AJ84" s="27"/>
      <x:c r="AK84" s="27"/>
      <x:c r="AL84" s="27"/>
      <x:c r="AM84" s="27"/>
      <x:c r="AN84" s="27"/>
      <x:c r="AO84" s="27"/>
      <x:c r="AP84" s="27"/>
      <x:c r="AQ84" s="27"/>
      <x:c r="AR84" s="27"/>
      <x:c r="AS84" s="27"/>
      <x:c r="AT84" s="27"/>
      <x:c r="AU84" s="27"/>
      <x:c r="AV84" s="27"/>
      <x:c r="AW84" s="27"/>
      <x:c r="AX84" s="27"/>
      <x:c r="AY84" s="27"/>
      <x:c r="AZ84" s="27"/>
    </x:row>
    <x:row r="85">
      <x:c r="A85" s="27"/>
      <x:c r="B85" s="27"/>
      <x:c r="C85" s="27"/>
      <x:c r="D85" s="27"/>
      <x:c r="E85" s="27"/>
      <x:c r="F85" s="27"/>
      <x:c r="G85" s="27"/>
      <x:c r="H85" s="27"/>
      <x:c r="I85" s="27"/>
      <x:c r="J85" s="27"/>
      <x:c r="K85" s="27"/>
      <x:c r="L85" s="27"/>
      <x:c r="M85" s="27"/>
      <x:c r="N85" s="27"/>
      <x:c r="O85" s="27"/>
      <x:c r="P85" s="27"/>
      <x:c r="Q85" s="27"/>
      <x:c r="R85" s="27"/>
      <x:c r="S85" s="27"/>
      <x:c r="T85" s="27"/>
      <x:c r="U85" s="27"/>
      <x:c r="V85" s="27"/>
      <x:c r="W85" s="27"/>
      <x:c r="X85" s="27"/>
      <x:c r="Y85" s="27"/>
      <x:c r="Z85" s="27"/>
      <x:c r="AA85" s="27"/>
      <x:c r="AB85" s="27"/>
      <x:c r="AC85" s="27"/>
      <x:c r="AD85" s="27"/>
      <x:c r="AE85" s="27"/>
      <x:c r="AF85" s="27"/>
      <x:c r="AG85" s="27"/>
      <x:c r="AH85" s="27"/>
      <x:c r="AI85" s="27"/>
      <x:c r="AJ85" s="27"/>
      <x:c r="AK85" s="27"/>
      <x:c r="AL85" s="27"/>
      <x:c r="AM85" s="27"/>
      <x:c r="AN85" s="27"/>
      <x:c r="AO85" s="27"/>
      <x:c r="AP85" s="27"/>
      <x:c r="AQ85" s="27"/>
      <x:c r="AR85" s="27"/>
      <x:c r="AS85" s="27"/>
      <x:c r="AT85" s="27"/>
      <x:c r="AU85" s="27"/>
      <x:c r="AV85" s="27"/>
      <x:c r="AW85" s="27"/>
      <x:c r="AX85" s="27"/>
      <x:c r="AY85" s="27"/>
      <x:c r="AZ85" s="27"/>
    </x:row>
    <x:row r="86">
      <x:c r="A86" s="27"/>
      <x:c r="B86" s="27"/>
      <x:c r="C86" s="27"/>
      <x:c r="D86" s="27"/>
      <x:c r="E86" s="27"/>
      <x:c r="F86" s="27"/>
      <x:c r="G86" s="27"/>
      <x:c r="H86" s="27"/>
      <x:c r="I86" s="27"/>
      <x:c r="J86" s="27"/>
      <x:c r="K86" s="27"/>
      <x:c r="L86" s="27"/>
      <x:c r="M86" s="27"/>
      <x:c r="N86" s="27"/>
      <x:c r="O86" s="27"/>
      <x:c r="P86" s="27"/>
      <x:c r="Q86" s="27"/>
      <x:c r="R86" s="27"/>
      <x:c r="S86" s="27"/>
      <x:c r="T86" s="27"/>
      <x:c r="U86" s="27"/>
      <x:c r="V86" s="27"/>
      <x:c r="W86" s="27"/>
      <x:c r="X86" s="27"/>
      <x:c r="Y86" s="27"/>
      <x:c r="Z86" s="27"/>
      <x:c r="AA86" s="27"/>
      <x:c r="AB86" s="27"/>
      <x:c r="AC86" s="27"/>
      <x:c r="AD86" s="27"/>
      <x:c r="AE86" s="27"/>
      <x:c r="AF86" s="27"/>
      <x:c r="AG86" s="27"/>
      <x:c r="AH86" s="27"/>
      <x:c r="AI86" s="27"/>
      <x:c r="AJ86" s="27"/>
      <x:c r="AK86" s="27"/>
      <x:c r="AL86" s="27"/>
      <x:c r="AM86" s="27"/>
      <x:c r="AN86" s="27"/>
      <x:c r="AO86" s="27"/>
      <x:c r="AP86" s="27"/>
      <x:c r="AQ86" s="27"/>
      <x:c r="AR86" s="27"/>
      <x:c r="AS86" s="27"/>
      <x:c r="AT86" s="27"/>
      <x:c r="AU86" s="27"/>
      <x:c r="AV86" s="27"/>
      <x:c r="AW86" s="27"/>
      <x:c r="AX86" s="27"/>
      <x:c r="AY86" s="27"/>
      <x:c r="AZ86" s="27"/>
    </x:row>
    <x:row r="87">
      <x:c r="A87" s="27"/>
      <x:c r="B87" s="27"/>
      <x:c r="C87" s="27"/>
      <x:c r="D87" s="27"/>
      <x:c r="E87" s="27"/>
      <x:c r="F87" s="27"/>
      <x:c r="G87" s="27"/>
      <x:c r="H87" s="27"/>
      <x:c r="I87" s="27"/>
      <x:c r="J87" s="27"/>
      <x:c r="K87" s="27"/>
      <x:c r="L87" s="27"/>
      <x:c r="M87" s="27"/>
      <x:c r="N87" s="27"/>
      <x:c r="O87" s="27"/>
      <x:c r="P87" s="27"/>
      <x:c r="Q87" s="27"/>
      <x:c r="R87" s="27"/>
      <x:c r="S87" s="27"/>
      <x:c r="T87" s="27"/>
      <x:c r="U87" s="27"/>
      <x:c r="V87" s="27"/>
      <x:c r="W87" s="27"/>
      <x:c r="X87" s="27"/>
      <x:c r="Y87" s="27"/>
      <x:c r="Z87" s="27"/>
      <x:c r="AA87" s="27"/>
      <x:c r="AB87" s="27"/>
      <x:c r="AC87" s="27"/>
      <x:c r="AD87" s="27"/>
      <x:c r="AE87" s="27"/>
      <x:c r="AF87" s="27"/>
      <x:c r="AG87" s="27"/>
      <x:c r="AH87" s="27"/>
      <x:c r="AI87" s="27"/>
      <x:c r="AJ87" s="27"/>
      <x:c r="AK87" s="27"/>
      <x:c r="AL87" s="27"/>
      <x:c r="AM87" s="27"/>
      <x:c r="AN87" s="27"/>
      <x:c r="AO87" s="27"/>
      <x:c r="AP87" s="27"/>
      <x:c r="AQ87" s="27"/>
      <x:c r="AR87" s="27"/>
      <x:c r="AS87" s="27"/>
      <x:c r="AT87" s="27"/>
      <x:c r="AU87" s="27"/>
      <x:c r="AV87" s="27"/>
      <x:c r="AW87" s="27"/>
      <x:c r="AX87" s="27"/>
      <x:c r="AY87" s="27"/>
      <x:c r="AZ87" s="27"/>
    </x:row>
    <x:row r="88">
      <x:c r="A88" s="27"/>
      <x:c r="B88" s="27"/>
      <x:c r="C88" s="27"/>
      <x:c r="D88" s="27"/>
      <x:c r="E88" s="27"/>
      <x:c r="F88" s="27"/>
      <x:c r="G88" s="27"/>
      <x:c r="H88" s="27"/>
      <x:c r="I88" s="27"/>
      <x:c r="J88" s="27"/>
      <x:c r="K88" s="27"/>
      <x:c r="L88" s="27"/>
      <x:c r="M88" s="27"/>
      <x:c r="N88" s="27"/>
      <x:c r="O88" s="27"/>
      <x:c r="P88" s="27"/>
      <x:c r="Q88" s="27"/>
      <x:c r="R88" s="27"/>
      <x:c r="S88" s="27"/>
      <x:c r="T88" s="27"/>
      <x:c r="U88" s="27"/>
      <x:c r="V88" s="27"/>
      <x:c r="W88" s="27"/>
      <x:c r="X88" s="27"/>
      <x:c r="Y88" s="27"/>
      <x:c r="Z88" s="27"/>
      <x:c r="AA88" s="27"/>
      <x:c r="AB88" s="27"/>
      <x:c r="AC88" s="27"/>
      <x:c r="AD88" s="27"/>
      <x:c r="AE88" s="27"/>
      <x:c r="AF88" s="27"/>
      <x:c r="AG88" s="27"/>
      <x:c r="AH88" s="27"/>
      <x:c r="AI88" s="27"/>
      <x:c r="AJ88" s="27"/>
      <x:c r="AK88" s="27"/>
      <x:c r="AL88" s="27"/>
      <x:c r="AM88" s="27"/>
      <x:c r="AN88" s="27"/>
      <x:c r="AO88" s="27"/>
      <x:c r="AP88" s="27"/>
      <x:c r="AQ88" s="27"/>
      <x:c r="AR88" s="27"/>
      <x:c r="AS88" s="27"/>
      <x:c r="AT88" s="27"/>
      <x:c r="AU88" s="27"/>
      <x:c r="AV88" s="27"/>
      <x:c r="AW88" s="27"/>
      <x:c r="AX88" s="27"/>
      <x:c r="AY88" s="27"/>
      <x:c r="AZ88" s="27"/>
    </x:row>
    <x:row r="89">
      <x:c r="A89" s="27"/>
      <x:c r="B89" s="27"/>
      <x:c r="C89" s="27"/>
      <x:c r="D89" s="27"/>
      <x:c r="E89" s="27"/>
      <x:c r="F89" s="27"/>
      <x:c r="G89" s="27"/>
      <x:c r="H89" s="27"/>
      <x:c r="I89" s="27"/>
      <x:c r="J89" s="27"/>
      <x:c r="K89" s="27"/>
      <x:c r="L89" s="27"/>
      <x:c r="M89" s="27"/>
      <x:c r="N89" s="27"/>
      <x:c r="O89" s="27"/>
      <x:c r="P89" s="27"/>
      <x:c r="Q89" s="27"/>
      <x:c r="R89" s="27"/>
      <x:c r="S89" s="27"/>
      <x:c r="T89" s="27"/>
      <x:c r="U89" s="27"/>
      <x:c r="V89" s="27"/>
      <x:c r="W89" s="27"/>
      <x:c r="X89" s="27"/>
      <x:c r="Y89" s="27"/>
      <x:c r="Z89" s="27"/>
      <x:c r="AA89" s="27"/>
      <x:c r="AB89" s="27"/>
      <x:c r="AC89" s="27"/>
      <x:c r="AD89" s="27"/>
      <x:c r="AE89" s="27"/>
      <x:c r="AF89" s="27"/>
      <x:c r="AG89" s="27"/>
      <x:c r="AH89" s="27"/>
      <x:c r="AI89" s="27"/>
      <x:c r="AJ89" s="27"/>
      <x:c r="AK89" s="27"/>
      <x:c r="AL89" s="27"/>
      <x:c r="AM89" s="27"/>
      <x:c r="AN89" s="27"/>
      <x:c r="AO89" s="27"/>
      <x:c r="AP89" s="27"/>
      <x:c r="AQ89" s="27"/>
      <x:c r="AR89" s="27"/>
      <x:c r="AS89" s="27"/>
      <x:c r="AT89" s="27"/>
      <x:c r="AU89" s="27"/>
      <x:c r="AV89" s="27"/>
      <x:c r="AW89" s="27"/>
      <x:c r="AX89" s="27"/>
      <x:c r="AY89" s="27"/>
      <x:c r="AZ89" s="27"/>
    </x:row>
    <x:row r="90">
      <x:c r="A90" s="27"/>
      <x:c r="B90" s="27"/>
      <x:c r="C90" s="27"/>
      <x:c r="D90" s="27"/>
      <x:c r="E90" s="27"/>
      <x:c r="F90" s="27"/>
      <x:c r="G90" s="27"/>
      <x:c r="H90" s="27"/>
      <x:c r="I90" s="27"/>
      <x:c r="J90" s="27"/>
      <x:c r="K90" s="27"/>
      <x:c r="L90" s="27"/>
      <x:c r="M90" s="27"/>
      <x:c r="N90" s="27"/>
      <x:c r="O90" s="27"/>
      <x:c r="P90" s="27"/>
      <x:c r="Q90" s="27"/>
      <x:c r="R90" s="27"/>
      <x:c r="S90" s="27"/>
      <x:c r="T90" s="27"/>
      <x:c r="U90" s="27"/>
      <x:c r="V90" s="27"/>
      <x:c r="W90" s="27"/>
      <x:c r="X90" s="27"/>
      <x:c r="Y90" s="27"/>
      <x:c r="Z90" s="27"/>
      <x:c r="AA90" s="27"/>
      <x:c r="AB90" s="27"/>
      <x:c r="AC90" s="27"/>
      <x:c r="AD90" s="27"/>
      <x:c r="AE90" s="27"/>
      <x:c r="AF90" s="27"/>
      <x:c r="AG90" s="27"/>
      <x:c r="AH90" s="27"/>
      <x:c r="AI90" s="27"/>
      <x:c r="AJ90" s="27"/>
      <x:c r="AK90" s="27"/>
      <x:c r="AL90" s="27"/>
      <x:c r="AM90" s="27"/>
      <x:c r="AN90" s="27"/>
      <x:c r="AO90" s="27"/>
      <x:c r="AP90" s="27"/>
      <x:c r="AQ90" s="27"/>
      <x:c r="AR90" s="27"/>
      <x:c r="AS90" s="27"/>
      <x:c r="AT90" s="27"/>
      <x:c r="AU90" s="27"/>
      <x:c r="AV90" s="27"/>
      <x:c r="AW90" s="27"/>
      <x:c r="AX90" s="27"/>
      <x:c r="AY90" s="27"/>
      <x:c r="AZ90" s="27"/>
    </x:row>
    <x:row r="91">
      <x:c r="A91" s="27"/>
      <x:c r="B91" s="27"/>
      <x:c r="C91" s="27"/>
      <x:c r="D91" s="27"/>
      <x:c r="E91" s="27"/>
      <x:c r="F91" s="27"/>
      <x:c r="G91" s="27"/>
      <x:c r="H91" s="27"/>
      <x:c r="I91" s="27"/>
      <x:c r="J91" s="27"/>
      <x:c r="K91" s="27"/>
      <x:c r="L91" s="27"/>
      <x:c r="M91" s="27"/>
      <x:c r="N91" s="27"/>
      <x:c r="O91" s="27"/>
      <x:c r="P91" s="27"/>
      <x:c r="Q91" s="27"/>
      <x:c r="R91" s="27"/>
      <x:c r="S91" s="27"/>
      <x:c r="T91" s="27"/>
      <x:c r="U91" s="27"/>
      <x:c r="V91" s="27"/>
      <x:c r="W91" s="27"/>
      <x:c r="X91" s="27"/>
      <x:c r="Y91" s="27"/>
      <x:c r="Z91" s="27"/>
      <x:c r="AA91" s="27"/>
      <x:c r="AB91" s="27"/>
      <x:c r="AC91" s="27"/>
      <x:c r="AD91" s="27"/>
      <x:c r="AE91" s="27"/>
      <x:c r="AF91" s="27"/>
      <x:c r="AG91" s="27"/>
      <x:c r="AH91" s="27"/>
      <x:c r="AI91" s="27"/>
      <x:c r="AJ91" s="27"/>
      <x:c r="AK91" s="27"/>
      <x:c r="AL91" s="27"/>
      <x:c r="AM91" s="27"/>
      <x:c r="AN91" s="27"/>
      <x:c r="AO91" s="27"/>
      <x:c r="AP91" s="27"/>
      <x:c r="AQ91" s="27"/>
      <x:c r="AR91" s="27"/>
      <x:c r="AS91" s="27"/>
      <x:c r="AT91" s="27"/>
      <x:c r="AU91" s="27"/>
      <x:c r="AV91" s="27"/>
      <x:c r="AW91" s="27"/>
      <x:c r="AX91" s="27"/>
      <x:c r="AY91" s="27"/>
      <x:c r="AZ91" s="27"/>
    </x:row>
    <x:row r="92">
      <x:c r="A92" s="27"/>
      <x:c r="B92" s="27"/>
      <x:c r="C92" s="27"/>
      <x:c r="D92" s="27"/>
      <x:c r="E92" s="27"/>
      <x:c r="F92" s="27"/>
      <x:c r="G92" s="27"/>
      <x:c r="H92" s="27"/>
      <x:c r="I92" s="27"/>
      <x:c r="J92" s="27"/>
      <x:c r="K92" s="27"/>
      <x:c r="L92" s="27"/>
      <x:c r="M92" s="27"/>
      <x:c r="N92" s="27"/>
      <x:c r="O92" s="27"/>
      <x:c r="P92" s="27"/>
      <x:c r="Q92" s="27"/>
      <x:c r="R92" s="27"/>
      <x:c r="S92" s="27"/>
      <x:c r="T92" s="27"/>
      <x:c r="U92" s="27"/>
      <x:c r="V92" s="27"/>
      <x:c r="W92" s="27"/>
      <x:c r="X92" s="27"/>
      <x:c r="Y92" s="27"/>
      <x:c r="Z92" s="27"/>
      <x:c r="AA92" s="27"/>
      <x:c r="AB92" s="27"/>
      <x:c r="AC92" s="27"/>
      <x:c r="AD92" s="27"/>
      <x:c r="AE92" s="27"/>
      <x:c r="AF92" s="27"/>
      <x:c r="AG92" s="27"/>
      <x:c r="AH92" s="27"/>
      <x:c r="AI92" s="27"/>
      <x:c r="AJ92" s="27"/>
      <x:c r="AK92" s="27"/>
      <x:c r="AL92" s="27"/>
      <x:c r="AM92" s="27"/>
      <x:c r="AN92" s="27"/>
      <x:c r="AO92" s="27"/>
      <x:c r="AP92" s="27"/>
      <x:c r="AQ92" s="27"/>
      <x:c r="AR92" s="27"/>
      <x:c r="AS92" s="27"/>
      <x:c r="AT92" s="27"/>
      <x:c r="AU92" s="27"/>
      <x:c r="AV92" s="27"/>
      <x:c r="AW92" s="27"/>
      <x:c r="AX92" s="27"/>
      <x:c r="AY92" s="27"/>
      <x:c r="AZ92" s="27"/>
    </x:row>
    <x:row r="93">
      <x:c r="A93" s="27"/>
      <x:c r="B93" s="27"/>
      <x:c r="C93" s="27"/>
      <x:c r="D93" s="27"/>
      <x:c r="E93" s="27"/>
      <x:c r="F93" s="27"/>
      <x:c r="G93" s="27"/>
      <x:c r="H93" s="27"/>
      <x:c r="I93" s="27"/>
      <x:c r="J93" s="27"/>
      <x:c r="K93" s="27"/>
      <x:c r="L93" s="27"/>
      <x:c r="M93" s="27"/>
      <x:c r="N93" s="27"/>
      <x:c r="O93" s="27"/>
      <x:c r="P93" s="27"/>
      <x:c r="Q93" s="27"/>
      <x:c r="R93" s="27"/>
      <x:c r="S93" s="27"/>
      <x:c r="T93" s="27"/>
      <x:c r="U93" s="27"/>
      <x:c r="V93" s="27"/>
      <x:c r="W93" s="27"/>
      <x:c r="X93" s="27"/>
      <x:c r="Y93" s="27"/>
      <x:c r="Z93" s="27"/>
      <x:c r="AA93" s="27"/>
      <x:c r="AB93" s="27"/>
      <x:c r="AC93" s="27"/>
      <x:c r="AD93" s="27"/>
      <x:c r="AE93" s="27"/>
      <x:c r="AF93" s="27"/>
      <x:c r="AG93" s="27"/>
      <x:c r="AH93" s="27"/>
      <x:c r="AI93" s="27"/>
      <x:c r="AJ93" s="27"/>
      <x:c r="AK93" s="27"/>
      <x:c r="AL93" s="27"/>
      <x:c r="AM93" s="27"/>
      <x:c r="AN93" s="27"/>
      <x:c r="AO93" s="27"/>
      <x:c r="AP93" s="27"/>
      <x:c r="AQ93" s="27"/>
      <x:c r="AR93" s="27"/>
      <x:c r="AS93" s="27"/>
      <x:c r="AT93" s="27"/>
      <x:c r="AU93" s="27"/>
      <x:c r="AV93" s="27"/>
      <x:c r="AW93" s="27"/>
      <x:c r="AX93" s="27"/>
      <x:c r="AY93" s="27"/>
      <x:c r="AZ93" s="27"/>
    </x:row>
    <x:row r="94">
      <x:c r="A94" s="27"/>
      <x:c r="B94" s="27"/>
      <x:c r="C94" s="27"/>
      <x:c r="D94" s="27"/>
      <x:c r="E94" s="27"/>
      <x:c r="F94" s="27"/>
      <x:c r="G94" s="27"/>
      <x:c r="H94" s="27"/>
      <x:c r="I94" s="27"/>
      <x:c r="J94" s="27"/>
      <x:c r="K94" s="27"/>
      <x:c r="L94" s="27"/>
      <x:c r="M94" s="27"/>
      <x:c r="N94" s="27"/>
      <x:c r="O94" s="27"/>
      <x:c r="P94" s="27"/>
      <x:c r="Q94" s="27"/>
      <x:c r="R94" s="27"/>
      <x:c r="S94" s="27"/>
      <x:c r="T94" s="27"/>
      <x:c r="U94" s="27"/>
      <x:c r="V94" s="27"/>
      <x:c r="W94" s="27"/>
      <x:c r="X94" s="27"/>
      <x:c r="Y94" s="27"/>
      <x:c r="Z94" s="27"/>
      <x:c r="AA94" s="27"/>
      <x:c r="AB94" s="27"/>
      <x:c r="AC94" s="27"/>
      <x:c r="AD94" s="27"/>
      <x:c r="AE94" s="27"/>
      <x:c r="AF94" s="27"/>
      <x:c r="AG94" s="27"/>
      <x:c r="AH94" s="27"/>
      <x:c r="AI94" s="27"/>
      <x:c r="AJ94" s="27"/>
      <x:c r="AK94" s="27"/>
      <x:c r="AL94" s="27"/>
      <x:c r="AM94" s="27"/>
      <x:c r="AN94" s="27"/>
      <x:c r="AO94" s="27"/>
      <x:c r="AP94" s="27"/>
      <x:c r="AQ94" s="27"/>
      <x:c r="AR94" s="27"/>
      <x:c r="AS94" s="27"/>
      <x:c r="AT94" s="27"/>
      <x:c r="AU94" s="27"/>
      <x:c r="AV94" s="27"/>
      <x:c r="AW94" s="27"/>
      <x:c r="AX94" s="27"/>
      <x:c r="AY94" s="27"/>
      <x:c r="AZ94" s="27"/>
    </x:row>
    <x:row r="95">
      <x:c r="A95" s="27"/>
      <x:c r="B95" s="27"/>
      <x:c r="C95" s="27"/>
      <x:c r="D95" s="27"/>
      <x:c r="E95" s="27"/>
      <x:c r="F95" s="27"/>
      <x:c r="G95" s="27"/>
      <x:c r="H95" s="27"/>
      <x:c r="I95" s="27"/>
      <x:c r="J95" s="27"/>
      <x:c r="K95" s="27"/>
      <x:c r="L95" s="27"/>
      <x:c r="M95" s="27"/>
      <x:c r="N95" s="27"/>
      <x:c r="O95" s="27"/>
      <x:c r="P95" s="27"/>
      <x:c r="Q95" s="27"/>
      <x:c r="R95" s="27"/>
      <x:c r="S95" s="27"/>
      <x:c r="T95" s="27"/>
      <x:c r="U95" s="27"/>
      <x:c r="V95" s="27"/>
      <x:c r="W95" s="27"/>
      <x:c r="X95" s="27"/>
      <x:c r="Y95" s="27"/>
      <x:c r="Z95" s="27"/>
      <x:c r="AA95" s="27"/>
      <x:c r="AB95" s="27"/>
      <x:c r="AC95" s="27"/>
      <x:c r="AD95" s="27"/>
      <x:c r="AE95" s="27"/>
      <x:c r="AF95" s="27"/>
      <x:c r="AG95" s="27"/>
      <x:c r="AH95" s="27"/>
      <x:c r="AI95" s="27"/>
      <x:c r="AJ95" s="27"/>
      <x:c r="AK95" s="27"/>
      <x:c r="AL95" s="27"/>
      <x:c r="AM95" s="27"/>
      <x:c r="AN95" s="27"/>
      <x:c r="AO95" s="27"/>
      <x:c r="AP95" s="27"/>
      <x:c r="AQ95" s="27"/>
      <x:c r="AR95" s="27"/>
      <x:c r="AS95" s="27"/>
      <x:c r="AT95" s="27"/>
      <x:c r="AU95" s="27"/>
      <x:c r="AV95" s="27"/>
      <x:c r="AW95" s="27"/>
      <x:c r="AX95" s="27"/>
      <x:c r="AY95" s="27"/>
      <x:c r="AZ95" s="27"/>
    </x:row>
    <x:row r="96">
      <x:c r="A96" s="27"/>
      <x:c r="B96" s="27"/>
      <x:c r="C96" s="27"/>
      <x:c r="D96" s="27"/>
      <x:c r="E96" s="27"/>
      <x:c r="F96" s="27"/>
      <x:c r="G96" s="27"/>
      <x:c r="H96" s="27"/>
      <x:c r="I96" s="27"/>
      <x:c r="J96" s="27"/>
      <x:c r="K96" s="27"/>
      <x:c r="L96" s="27"/>
      <x:c r="M96" s="27"/>
      <x:c r="N96" s="27"/>
      <x:c r="O96" s="27"/>
      <x:c r="P96" s="27"/>
      <x:c r="Q96" s="27"/>
      <x:c r="R96" s="27"/>
      <x:c r="S96" s="27"/>
      <x:c r="T96" s="27"/>
      <x:c r="U96" s="27"/>
      <x:c r="V96" s="27"/>
      <x:c r="W96" s="27"/>
      <x:c r="X96" s="27"/>
      <x:c r="Y96" s="27"/>
      <x:c r="Z96" s="27"/>
      <x:c r="AA96" s="27"/>
      <x:c r="AB96" s="27"/>
      <x:c r="AC96" s="27"/>
      <x:c r="AD96" s="27"/>
      <x:c r="AE96" s="27"/>
      <x:c r="AF96" s="27"/>
      <x:c r="AG96" s="27"/>
      <x:c r="AH96" s="27"/>
      <x:c r="AI96" s="27"/>
      <x:c r="AJ96" s="27"/>
      <x:c r="AK96" s="27"/>
      <x:c r="AL96" s="27"/>
      <x:c r="AM96" s="27"/>
      <x:c r="AN96" s="27"/>
      <x:c r="AO96" s="27"/>
      <x:c r="AP96" s="27"/>
      <x:c r="AQ96" s="27"/>
      <x:c r="AR96" s="27"/>
      <x:c r="AS96" s="27"/>
      <x:c r="AT96" s="27"/>
      <x:c r="AU96" s="27"/>
      <x:c r="AV96" s="27"/>
      <x:c r="AW96" s="27"/>
      <x:c r="AX96" s="27"/>
      <x:c r="AY96" s="27"/>
      <x:c r="AZ96" s="27"/>
    </x:row>
    <x:row r="97">
      <x:c r="A97" s="27"/>
      <x:c r="B97" s="27"/>
      <x:c r="C97" s="27"/>
      <x:c r="D97" s="27"/>
      <x:c r="E97" s="27"/>
      <x:c r="F97" s="27"/>
      <x:c r="G97" s="27"/>
      <x:c r="H97" s="27"/>
      <x:c r="I97" s="27"/>
      <x:c r="J97" s="27"/>
      <x:c r="K97" s="27"/>
      <x:c r="L97" s="27"/>
      <x:c r="M97" s="27"/>
      <x:c r="N97" s="27"/>
      <x:c r="O97" s="27"/>
      <x:c r="P97" s="27"/>
      <x:c r="Q97" s="27"/>
      <x:c r="R97" s="27"/>
      <x:c r="S97" s="27"/>
      <x:c r="T97" s="27"/>
      <x:c r="U97" s="27"/>
      <x:c r="V97" s="27"/>
      <x:c r="W97" s="27"/>
      <x:c r="X97" s="27"/>
      <x:c r="Y97" s="27"/>
      <x:c r="Z97" s="27"/>
      <x:c r="AA97" s="27"/>
      <x:c r="AB97" s="27"/>
      <x:c r="AC97" s="27"/>
      <x:c r="AD97" s="27"/>
      <x:c r="AE97" s="27"/>
      <x:c r="AF97" s="27"/>
      <x:c r="AG97" s="27"/>
      <x:c r="AH97" s="27"/>
      <x:c r="AI97" s="27"/>
      <x:c r="AJ97" s="27"/>
      <x:c r="AK97" s="27"/>
      <x:c r="AL97" s="27"/>
      <x:c r="AM97" s="27"/>
      <x:c r="AN97" s="27"/>
      <x:c r="AO97" s="27"/>
      <x:c r="AP97" s="27"/>
      <x:c r="AQ97" s="27"/>
      <x:c r="AR97" s="27"/>
      <x:c r="AS97" s="27"/>
      <x:c r="AT97" s="27"/>
      <x:c r="AU97" s="27"/>
      <x:c r="AV97" s="27"/>
      <x:c r="AW97" s="27"/>
      <x:c r="AX97" s="27"/>
      <x:c r="AY97" s="27"/>
      <x:c r="AZ97" s="27"/>
    </x:row>
    <x:row r="98">
      <x:c r="A98" s="27"/>
      <x:c r="B98" s="27"/>
      <x:c r="C98" s="27"/>
      <x:c r="D98" s="27"/>
      <x:c r="E98" s="27"/>
      <x:c r="F98" s="27"/>
      <x:c r="G98" s="27"/>
      <x:c r="H98" s="27"/>
      <x:c r="I98" s="27"/>
      <x:c r="J98" s="27"/>
      <x:c r="K98" s="27"/>
      <x:c r="L98" s="27"/>
      <x:c r="M98" s="27"/>
      <x:c r="N98" s="27"/>
      <x:c r="O98" s="27"/>
      <x:c r="P98" s="27"/>
      <x:c r="Q98" s="27"/>
      <x:c r="R98" s="27"/>
      <x:c r="S98" s="27"/>
      <x:c r="T98" s="27"/>
      <x:c r="U98" s="27"/>
      <x:c r="V98" s="27"/>
      <x:c r="W98" s="27"/>
      <x:c r="X98" s="27"/>
      <x:c r="Y98" s="27"/>
      <x:c r="Z98" s="27"/>
      <x:c r="AA98" s="27"/>
      <x:c r="AB98" s="27"/>
      <x:c r="AC98" s="27"/>
      <x:c r="AD98" s="27"/>
      <x:c r="AE98" s="27"/>
      <x:c r="AF98" s="27"/>
      <x:c r="AG98" s="27"/>
      <x:c r="AH98" s="27"/>
      <x:c r="AI98" s="27"/>
      <x:c r="AJ98" s="27"/>
      <x:c r="AK98" s="27"/>
      <x:c r="AL98" s="27"/>
      <x:c r="AM98" s="27"/>
      <x:c r="AN98" s="27"/>
      <x:c r="AO98" s="27"/>
      <x:c r="AP98" s="27"/>
      <x:c r="AQ98" s="27"/>
      <x:c r="AR98" s="27"/>
      <x:c r="AS98" s="27"/>
      <x:c r="AT98" s="27"/>
      <x:c r="AU98" s="27"/>
      <x:c r="AV98" s="27"/>
      <x:c r="AW98" s="27"/>
      <x:c r="AX98" s="27"/>
      <x:c r="AY98" s="27"/>
      <x:c r="AZ98" s="27"/>
    </x:row>
    <x:row r="99">
      <x:c r="A99" s="27"/>
      <x:c r="B99" s="27"/>
      <x:c r="C99" s="27"/>
      <x:c r="D99" s="27"/>
      <x:c r="E99" s="27"/>
      <x:c r="F99" s="27"/>
      <x:c r="G99" s="27"/>
      <x:c r="H99" s="27"/>
      <x:c r="I99" s="27"/>
      <x:c r="J99" s="27"/>
      <x:c r="K99" s="27"/>
      <x:c r="L99" s="27"/>
      <x:c r="M99" s="27"/>
      <x:c r="N99" s="27"/>
      <x:c r="O99" s="27"/>
      <x:c r="P99" s="27"/>
      <x:c r="Q99" s="27"/>
      <x:c r="R99" s="27"/>
      <x:c r="S99" s="27"/>
      <x:c r="T99" s="27"/>
      <x:c r="U99" s="27"/>
      <x:c r="V99" s="27"/>
      <x:c r="W99" s="27"/>
      <x:c r="X99" s="27"/>
      <x:c r="Y99" s="27"/>
      <x:c r="Z99" s="27"/>
      <x:c r="AA99" s="27"/>
      <x:c r="AB99" s="27"/>
      <x:c r="AC99" s="27"/>
      <x:c r="AD99" s="27"/>
      <x:c r="AE99" s="27"/>
      <x:c r="AF99" s="27"/>
      <x:c r="AG99" s="27"/>
      <x:c r="AH99" s="27"/>
      <x:c r="AI99" s="27"/>
      <x:c r="AJ99" s="27"/>
      <x:c r="AK99" s="27"/>
      <x:c r="AL99" s="27"/>
      <x:c r="AM99" s="27"/>
      <x:c r="AN99" s="27"/>
      <x:c r="AO99" s="27"/>
      <x:c r="AP99" s="27"/>
      <x:c r="AQ99" s="27"/>
      <x:c r="AR99" s="27"/>
      <x:c r="AS99" s="27"/>
      <x:c r="AT99" s="27"/>
      <x:c r="AU99" s="27"/>
      <x:c r="AV99" s="27"/>
      <x:c r="AW99" s="27"/>
      <x:c r="AX99" s="27"/>
      <x:c r="AY99" s="27"/>
      <x:c r="AZ99" s="27"/>
    </x:row>
    <x:row r="100">
      <x:c r="A100" s="27"/>
      <x:c r="B100" s="27"/>
      <x:c r="C100" s="27"/>
      <x:c r="D100" s="27"/>
      <x:c r="E100" s="27"/>
      <x:c r="F100" s="27"/>
      <x:c r="G100" s="27"/>
      <x:c r="H100" s="27"/>
      <x:c r="I100" s="27"/>
      <x:c r="J100" s="27"/>
      <x:c r="K100" s="27"/>
      <x:c r="L100" s="27"/>
      <x:c r="M100" s="27"/>
      <x:c r="N100" s="27"/>
      <x:c r="O100" s="27"/>
      <x:c r="P100" s="27"/>
      <x:c r="Q100" s="27"/>
      <x:c r="R100" s="27"/>
      <x:c r="S100" s="27"/>
      <x:c r="T100" s="27"/>
      <x:c r="U100" s="27"/>
      <x:c r="V100" s="27"/>
      <x:c r="W100" s="27"/>
      <x:c r="X100" s="27"/>
      <x:c r="Y100" s="27"/>
      <x:c r="Z100" s="27"/>
      <x:c r="AA100" s="27"/>
      <x:c r="AB100" s="27"/>
      <x:c r="AC100" s="27"/>
      <x:c r="AD100" s="27"/>
      <x:c r="AE100" s="27"/>
      <x:c r="AF100" s="27"/>
      <x:c r="AG100" s="27"/>
      <x:c r="AH100" s="27"/>
      <x:c r="AI100" s="27"/>
      <x:c r="AJ100" s="27"/>
      <x:c r="AK100" s="27"/>
      <x:c r="AL100" s="27"/>
      <x:c r="AM100" s="27"/>
      <x:c r="AN100" s="27"/>
      <x:c r="AO100" s="27"/>
      <x:c r="AP100" s="27"/>
      <x:c r="AQ100" s="27"/>
      <x:c r="AR100" s="27"/>
      <x:c r="AS100" s="27"/>
      <x:c r="AT100" s="27"/>
      <x:c r="AU100" s="27"/>
      <x:c r="AV100" s="27"/>
      <x:c r="AW100" s="27"/>
      <x:c r="AX100" s="27"/>
      <x:c r="AY100" s="27"/>
      <x:c r="AZ100" s="27"/>
    </x:row>
    <x:row r="101">
      <x:c r="A101" s="27"/>
      <x:c r="B101" s="27"/>
      <x:c r="C101" s="27"/>
      <x:c r="D101" s="27"/>
      <x:c r="E101" s="27"/>
      <x:c r="F101" s="27"/>
      <x:c r="G101" s="27"/>
      <x:c r="H101" s="27"/>
      <x:c r="I101" s="27"/>
      <x:c r="J101" s="27"/>
      <x:c r="K101" s="27"/>
      <x:c r="L101" s="27"/>
      <x:c r="M101" s="27"/>
      <x:c r="N101" s="27"/>
      <x:c r="O101" s="27"/>
      <x:c r="P101" s="27"/>
      <x:c r="Q101" s="27"/>
      <x:c r="R101" s="27"/>
      <x:c r="S101" s="27"/>
      <x:c r="T101" s="27"/>
      <x:c r="U101" s="27"/>
      <x:c r="V101" s="27"/>
      <x:c r="W101" s="27"/>
      <x:c r="X101" s="27"/>
      <x:c r="Y101" s="27"/>
      <x:c r="Z101" s="27"/>
      <x:c r="AA101" s="27"/>
      <x:c r="AB101" s="27"/>
      <x:c r="AC101" s="27"/>
      <x:c r="AD101" s="27"/>
      <x:c r="AE101" s="27"/>
      <x:c r="AF101" s="27"/>
      <x:c r="AG101" s="27"/>
      <x:c r="AH101" s="27"/>
      <x:c r="AI101" s="27"/>
      <x:c r="AJ101" s="27"/>
      <x:c r="AK101" s="27"/>
      <x:c r="AL101" s="27"/>
      <x:c r="AM101" s="27"/>
      <x:c r="AN101" s="27"/>
      <x:c r="AO101" s="27"/>
      <x:c r="AP101" s="27"/>
      <x:c r="AQ101" s="27"/>
      <x:c r="AR101" s="27"/>
      <x:c r="AS101" s="27"/>
      <x:c r="AT101" s="27"/>
      <x:c r="AU101" s="27"/>
      <x:c r="AV101" s="27"/>
      <x:c r="AW101" s="27"/>
      <x:c r="AX101" s="27"/>
      <x:c r="AY101" s="27"/>
      <x:c r="AZ101" s="27"/>
    </x:row>
    <x:row r="102">
      <x:c r="A102" s="27"/>
      <x:c r="B102" s="27"/>
      <x:c r="C102" s="27"/>
      <x:c r="D102" s="27"/>
      <x:c r="E102" s="27"/>
      <x:c r="F102" s="27"/>
      <x:c r="G102" s="27"/>
      <x:c r="H102" s="27"/>
      <x:c r="I102" s="27"/>
      <x:c r="J102" s="27"/>
      <x:c r="K102" s="27"/>
      <x:c r="L102" s="27"/>
      <x:c r="M102" s="27"/>
      <x:c r="N102" s="27"/>
      <x:c r="O102" s="27"/>
      <x:c r="P102" s="27"/>
      <x:c r="Q102" s="27"/>
      <x:c r="R102" s="27"/>
      <x:c r="S102" s="27"/>
      <x:c r="T102" s="27"/>
      <x:c r="U102" s="27"/>
      <x:c r="V102" s="27"/>
      <x:c r="W102" s="27"/>
      <x:c r="X102" s="27"/>
      <x:c r="Y102" s="27"/>
      <x:c r="Z102" s="27"/>
      <x:c r="AA102" s="27"/>
      <x:c r="AB102" s="27"/>
      <x:c r="AC102" s="27"/>
      <x:c r="AD102" s="27"/>
      <x:c r="AE102" s="27"/>
      <x:c r="AF102" s="27"/>
      <x:c r="AG102" s="27"/>
      <x:c r="AH102" s="27"/>
      <x:c r="AI102" s="27"/>
      <x:c r="AJ102" s="27"/>
      <x:c r="AK102" s="27"/>
      <x:c r="AL102" s="27"/>
      <x:c r="AM102" s="27"/>
      <x:c r="AN102" s="27"/>
      <x:c r="AO102" s="27"/>
      <x:c r="AP102" s="27"/>
      <x:c r="AQ102" s="27"/>
      <x:c r="AR102" s="27"/>
      <x:c r="AS102" s="27"/>
      <x:c r="AT102" s="27"/>
      <x:c r="AU102" s="27"/>
      <x:c r="AV102" s="27"/>
      <x:c r="AW102" s="27"/>
      <x:c r="AX102" s="27"/>
      <x:c r="AY102" s="27"/>
      <x:c r="AZ102" s="27"/>
    </x:row>
    <x:row r="103">
      <x:c r="A103" s="27"/>
      <x:c r="B103" s="27"/>
      <x:c r="C103" s="27"/>
      <x:c r="D103" s="27"/>
      <x:c r="E103" s="27"/>
      <x:c r="F103" s="27"/>
      <x:c r="G103" s="27"/>
      <x:c r="H103" s="27"/>
      <x:c r="I103" s="27"/>
      <x:c r="J103" s="27"/>
      <x:c r="K103" s="27"/>
      <x:c r="L103" s="27"/>
      <x:c r="M103" s="27"/>
      <x:c r="N103" s="27"/>
      <x:c r="O103" s="27"/>
      <x:c r="P103" s="27"/>
      <x:c r="Q103" s="27"/>
      <x:c r="R103" s="27"/>
      <x:c r="S103" s="27"/>
      <x:c r="T103" s="27"/>
      <x:c r="U103" s="27"/>
      <x:c r="V103" s="27"/>
      <x:c r="W103" s="27"/>
      <x:c r="X103" s="27"/>
      <x:c r="Y103" s="27"/>
      <x:c r="Z103" s="27"/>
      <x:c r="AA103" s="27"/>
      <x:c r="AB103" s="27"/>
      <x:c r="AC103" s="27"/>
      <x:c r="AD103" s="27"/>
      <x:c r="AE103" s="27"/>
      <x:c r="AF103" s="27"/>
      <x:c r="AG103" s="27"/>
      <x:c r="AH103" s="27"/>
      <x:c r="AI103" s="27"/>
      <x:c r="AJ103" s="27"/>
      <x:c r="AK103" s="27"/>
      <x:c r="AL103" s="27"/>
      <x:c r="AM103" s="27"/>
      <x:c r="AN103" s="27"/>
      <x:c r="AO103" s="27"/>
      <x:c r="AP103" s="27"/>
      <x:c r="AQ103" s="27"/>
      <x:c r="AR103" s="27"/>
      <x:c r="AS103" s="27"/>
      <x:c r="AT103" s="27"/>
      <x:c r="AU103" s="27"/>
      <x:c r="AV103" s="27"/>
      <x:c r="AW103" s="27"/>
      <x:c r="AX103" s="27"/>
      <x:c r="AY103" s="27"/>
      <x:c r="AZ103" s="27"/>
    </x:row>
    <x:row r="104">
      <x:c r="A104" s="27"/>
      <x:c r="B104" s="27"/>
      <x:c r="C104" s="27"/>
      <x:c r="D104" s="27"/>
      <x:c r="E104" s="27"/>
      <x:c r="F104" s="27"/>
      <x:c r="G104" s="27"/>
      <x:c r="H104" s="27"/>
      <x:c r="I104" s="27"/>
      <x:c r="J104" s="27"/>
      <x:c r="K104" s="27"/>
      <x:c r="L104" s="27"/>
      <x:c r="M104" s="27"/>
      <x:c r="N104" s="27"/>
      <x:c r="O104" s="27"/>
      <x:c r="P104" s="27"/>
      <x:c r="Q104" s="27"/>
      <x:c r="R104" s="27"/>
      <x:c r="S104" s="27"/>
      <x:c r="T104" s="27"/>
      <x:c r="U104" s="27"/>
      <x:c r="V104" s="27"/>
      <x:c r="W104" s="27"/>
      <x:c r="X104" s="27"/>
      <x:c r="Y104" s="27"/>
      <x:c r="Z104" s="27"/>
      <x:c r="AA104" s="27"/>
      <x:c r="AB104" s="27"/>
      <x:c r="AC104" s="27"/>
      <x:c r="AD104" s="27"/>
      <x:c r="AE104" s="27"/>
      <x:c r="AF104" s="27"/>
      <x:c r="AG104" s="27"/>
      <x:c r="AH104" s="27"/>
      <x:c r="AI104" s="27"/>
      <x:c r="AJ104" s="27"/>
      <x:c r="AK104" s="27"/>
      <x:c r="AL104" s="27"/>
      <x:c r="AM104" s="27"/>
      <x:c r="AN104" s="27"/>
      <x:c r="AO104" s="27"/>
      <x:c r="AP104" s="27"/>
      <x:c r="AQ104" s="27"/>
      <x:c r="AR104" s="27"/>
      <x:c r="AS104" s="27"/>
      <x:c r="AT104" s="27"/>
      <x:c r="AU104" s="27"/>
      <x:c r="AV104" s="27"/>
      <x:c r="AW104" s="27"/>
      <x:c r="AX104" s="27"/>
      <x:c r="AY104" s="27"/>
      <x:c r="AZ104" s="27"/>
    </x:row>
    <x:row r="105">
      <x:c r="A105" s="27"/>
      <x:c r="B105" s="27"/>
      <x:c r="C105" s="27"/>
      <x:c r="D105" s="27"/>
      <x:c r="E105" s="27"/>
      <x:c r="F105" s="27"/>
      <x:c r="G105" s="27"/>
      <x:c r="H105" s="27"/>
      <x:c r="I105" s="27"/>
      <x:c r="J105" s="27"/>
      <x:c r="K105" s="27"/>
      <x:c r="L105" s="27"/>
      <x:c r="M105" s="27"/>
      <x:c r="N105" s="27"/>
      <x:c r="O105" s="27"/>
      <x:c r="P105" s="27"/>
      <x:c r="Q105" s="27"/>
      <x:c r="R105" s="27"/>
      <x:c r="S105" s="27"/>
      <x:c r="T105" s="27"/>
      <x:c r="U105" s="27"/>
      <x:c r="V105" s="27"/>
      <x:c r="W105" s="27"/>
      <x:c r="X105" s="27"/>
      <x:c r="Y105" s="27"/>
      <x:c r="Z105" s="27"/>
      <x:c r="AA105" s="27"/>
      <x:c r="AB105" s="27"/>
      <x:c r="AC105" s="27"/>
      <x:c r="AD105" s="27"/>
      <x:c r="AE105" s="27"/>
      <x:c r="AF105" s="27"/>
      <x:c r="AG105" s="27"/>
      <x:c r="AH105" s="27"/>
      <x:c r="AI105" s="27"/>
      <x:c r="AJ105" s="27"/>
      <x:c r="AK105" s="27"/>
      <x:c r="AL105" s="27"/>
      <x:c r="AM105" s="27"/>
      <x:c r="AN105" s="27"/>
      <x:c r="AO105" s="27"/>
      <x:c r="AP105" s="27"/>
      <x:c r="AQ105" s="27"/>
      <x:c r="AR105" s="27"/>
      <x:c r="AS105" s="27"/>
      <x:c r="AT105" s="27"/>
      <x:c r="AU105" s="27"/>
      <x:c r="AV105" s="27"/>
      <x:c r="AW105" s="27"/>
      <x:c r="AX105" s="27"/>
      <x:c r="AY105" s="27"/>
      <x:c r="AZ105" s="27"/>
    </x:row>
    <x:row r="106">
      <x:c r="A106" s="27"/>
      <x:c r="B106" s="27"/>
      <x:c r="C106" s="27"/>
      <x:c r="D106" s="27"/>
      <x:c r="E106" s="27"/>
      <x:c r="F106" s="27"/>
      <x:c r="G106" s="27"/>
      <x:c r="H106" s="27"/>
      <x:c r="I106" s="27"/>
      <x:c r="J106" s="27"/>
      <x:c r="K106" s="27"/>
      <x:c r="L106" s="27"/>
      <x:c r="M106" s="27"/>
      <x:c r="N106" s="27"/>
      <x:c r="O106" s="27"/>
      <x:c r="P106" s="27"/>
      <x:c r="Q106" s="27"/>
      <x:c r="R106" s="27"/>
      <x:c r="S106" s="27"/>
      <x:c r="T106" s="27"/>
      <x:c r="U106" s="27"/>
      <x:c r="V106" s="27"/>
      <x:c r="W106" s="27"/>
      <x:c r="X106" s="27"/>
      <x:c r="Y106" s="27"/>
      <x:c r="Z106" s="27"/>
      <x:c r="AA106" s="27"/>
      <x:c r="AB106" s="27"/>
      <x:c r="AC106" s="27"/>
      <x:c r="AD106" s="27"/>
      <x:c r="AE106" s="27"/>
      <x:c r="AF106" s="27"/>
      <x:c r="AG106" s="27"/>
      <x:c r="AH106" s="27"/>
      <x:c r="AI106" s="27"/>
      <x:c r="AJ106" s="27"/>
      <x:c r="AK106" s="27"/>
      <x:c r="AL106" s="27"/>
      <x:c r="AM106" s="27"/>
      <x:c r="AN106" s="27"/>
      <x:c r="AO106" s="27"/>
      <x:c r="AP106" s="27"/>
      <x:c r="AQ106" s="27"/>
      <x:c r="AR106" s="27"/>
      <x:c r="AS106" s="27"/>
      <x:c r="AT106" s="27"/>
      <x:c r="AU106" s="27"/>
      <x:c r="AV106" s="27"/>
      <x:c r="AW106" s="27"/>
      <x:c r="AX106" s="27"/>
      <x:c r="AY106" s="27"/>
      <x:c r="AZ106" s="27"/>
    </x:row>
    <x:row r="107">
      <x:c r="A107" s="27"/>
      <x:c r="B107" s="27"/>
      <x:c r="C107" s="27"/>
      <x:c r="D107" s="27"/>
      <x:c r="E107" s="27"/>
      <x:c r="F107" s="27"/>
      <x:c r="G107" s="27"/>
      <x:c r="H107" s="27"/>
      <x:c r="I107" s="27"/>
      <x:c r="J107" s="27"/>
      <x:c r="K107" s="27"/>
      <x:c r="L107" s="27"/>
      <x:c r="M107" s="27"/>
      <x:c r="N107" s="27"/>
      <x:c r="O107" s="27"/>
      <x:c r="P107" s="27"/>
      <x:c r="Q107" s="27"/>
      <x:c r="R107" s="27"/>
      <x:c r="S107" s="27"/>
      <x:c r="T107" s="27"/>
      <x:c r="U107" s="27"/>
      <x:c r="V107" s="27"/>
      <x:c r="W107" s="27"/>
      <x:c r="X107" s="27"/>
      <x:c r="Y107" s="27"/>
      <x:c r="Z107" s="27"/>
      <x:c r="AA107" s="27"/>
      <x:c r="AB107" s="27"/>
      <x:c r="AC107" s="27"/>
      <x:c r="AD107" s="27"/>
      <x:c r="AE107" s="27"/>
      <x:c r="AF107" s="27"/>
      <x:c r="AG107" s="27"/>
      <x:c r="AH107" s="27"/>
      <x:c r="AI107" s="27"/>
      <x:c r="AJ107" s="27"/>
      <x:c r="AK107" s="27"/>
      <x:c r="AL107" s="27"/>
      <x:c r="AM107" s="27"/>
      <x:c r="AN107" s="27"/>
      <x:c r="AO107" s="27"/>
      <x:c r="AP107" s="27"/>
      <x:c r="AQ107" s="27"/>
      <x:c r="AR107" s="27"/>
      <x:c r="AS107" s="27"/>
      <x:c r="AT107" s="27"/>
      <x:c r="AU107" s="27"/>
      <x:c r="AV107" s="27"/>
      <x:c r="AW107" s="27"/>
      <x:c r="AX107" s="27"/>
      <x:c r="AY107" s="27"/>
      <x:c r="AZ107" s="27"/>
    </x:row>
    <x:row r="108">
      <x:c r="A108" s="27"/>
      <x:c r="B108" s="27"/>
      <x:c r="C108" s="27"/>
      <x:c r="D108" s="27"/>
      <x:c r="E108" s="27"/>
      <x:c r="F108" s="27"/>
      <x:c r="G108" s="27"/>
      <x:c r="H108" s="27"/>
      <x:c r="I108" s="27"/>
      <x:c r="J108" s="27"/>
      <x:c r="K108" s="27"/>
      <x:c r="L108" s="27"/>
      <x:c r="M108" s="27"/>
      <x:c r="N108" s="27"/>
      <x:c r="O108" s="27"/>
      <x:c r="P108" s="27"/>
      <x:c r="Q108" s="27"/>
      <x:c r="R108" s="27"/>
      <x:c r="S108" s="27"/>
      <x:c r="T108" s="27"/>
      <x:c r="U108" s="27"/>
      <x:c r="V108" s="27"/>
      <x:c r="W108" s="27"/>
      <x:c r="X108" s="27"/>
      <x:c r="Y108" s="27"/>
      <x:c r="Z108" s="27"/>
      <x:c r="AA108" s="27"/>
      <x:c r="AB108" s="27"/>
      <x:c r="AC108" s="27"/>
      <x:c r="AD108" s="27"/>
      <x:c r="AE108" s="27"/>
      <x:c r="AF108" s="27"/>
      <x:c r="AG108" s="27"/>
      <x:c r="AH108" s="27"/>
      <x:c r="AI108" s="27"/>
      <x:c r="AJ108" s="27"/>
      <x:c r="AK108" s="27"/>
      <x:c r="AL108" s="27"/>
      <x:c r="AM108" s="27"/>
      <x:c r="AN108" s="27"/>
      <x:c r="AO108" s="27"/>
      <x:c r="AP108" s="27"/>
      <x:c r="AQ108" s="27"/>
      <x:c r="AR108" s="27"/>
      <x:c r="AS108" s="27"/>
      <x:c r="AT108" s="27"/>
      <x:c r="AU108" s="27"/>
      <x:c r="AV108" s="27"/>
      <x:c r="AW108" s="27"/>
      <x:c r="AX108" s="27"/>
      <x:c r="AY108" s="27"/>
      <x:c r="AZ108" s="27"/>
    </x:row>
    <x:row r="109">
      <x:c r="A109" s="27"/>
      <x:c r="B109" s="27"/>
      <x:c r="C109" s="27"/>
      <x:c r="D109" s="27"/>
      <x:c r="E109" s="27"/>
      <x:c r="F109" s="27"/>
      <x:c r="G109" s="27"/>
      <x:c r="H109" s="27"/>
      <x:c r="I109" s="27"/>
      <x:c r="J109" s="27"/>
      <x:c r="K109" s="27"/>
      <x:c r="L109" s="27"/>
      <x:c r="M109" s="27"/>
      <x:c r="N109" s="27"/>
      <x:c r="O109" s="27"/>
      <x:c r="P109" s="27"/>
      <x:c r="Q109" s="27"/>
      <x:c r="R109" s="27"/>
      <x:c r="S109" s="27"/>
      <x:c r="T109" s="27"/>
      <x:c r="U109" s="27"/>
      <x:c r="V109" s="27"/>
      <x:c r="W109" s="27"/>
      <x:c r="X109" s="27"/>
      <x:c r="Y109" s="27"/>
      <x:c r="Z109" s="27"/>
      <x:c r="AA109" s="27"/>
      <x:c r="AB109" s="27"/>
      <x:c r="AC109" s="27"/>
      <x:c r="AD109" s="27"/>
      <x:c r="AE109" s="27"/>
      <x:c r="AF109" s="27"/>
      <x:c r="AG109" s="27"/>
      <x:c r="AH109" s="27"/>
      <x:c r="AI109" s="27"/>
      <x:c r="AJ109" s="27"/>
      <x:c r="AK109" s="27"/>
      <x:c r="AL109" s="27"/>
      <x:c r="AM109" s="27"/>
      <x:c r="AN109" s="27"/>
      <x:c r="AO109" s="27"/>
      <x:c r="AP109" s="27"/>
      <x:c r="AQ109" s="27"/>
      <x:c r="AR109" s="27"/>
      <x:c r="AS109" s="27"/>
      <x:c r="AT109" s="27"/>
      <x:c r="AU109" s="27"/>
      <x:c r="AV109" s="27"/>
      <x:c r="AW109" s="27"/>
      <x:c r="AX109" s="27"/>
      <x:c r="AY109" s="27"/>
      <x:c r="AZ109" s="27"/>
    </x:row>
    <x:row r="110">
      <x:c r="A110" s="27"/>
      <x:c r="B110" s="27"/>
      <x:c r="C110" s="27"/>
      <x:c r="D110" s="27"/>
      <x:c r="E110" s="27"/>
      <x:c r="F110" s="27"/>
      <x:c r="G110" s="27"/>
      <x:c r="H110" s="27"/>
      <x:c r="I110" s="27"/>
      <x:c r="J110" s="27"/>
      <x:c r="K110" s="27"/>
      <x:c r="L110" s="27"/>
      <x:c r="M110" s="27"/>
      <x:c r="N110" s="27"/>
      <x:c r="O110" s="27"/>
      <x:c r="P110" s="27"/>
      <x:c r="Q110" s="27"/>
      <x:c r="R110" s="27"/>
      <x:c r="S110" s="27"/>
      <x:c r="T110" s="27"/>
      <x:c r="U110" s="27"/>
      <x:c r="V110" s="27"/>
      <x:c r="W110" s="27"/>
      <x:c r="X110" s="27"/>
      <x:c r="Y110" s="27"/>
      <x:c r="Z110" s="27"/>
      <x:c r="AA110" s="27"/>
      <x:c r="AB110" s="27"/>
      <x:c r="AC110" s="27"/>
      <x:c r="AD110" s="27"/>
      <x:c r="AE110" s="27"/>
      <x:c r="AF110" s="27"/>
      <x:c r="AG110" s="27"/>
      <x:c r="AH110" s="27"/>
      <x:c r="AI110" s="27"/>
      <x:c r="AJ110" s="27"/>
      <x:c r="AK110" s="27"/>
      <x:c r="AL110" s="27"/>
      <x:c r="AM110" s="27"/>
      <x:c r="AN110" s="27"/>
      <x:c r="AO110" s="27"/>
      <x:c r="AP110" s="27"/>
      <x:c r="AQ110" s="27"/>
      <x:c r="AR110" s="27"/>
      <x:c r="AS110" s="27"/>
      <x:c r="AT110" s="27"/>
      <x:c r="AU110" s="27"/>
      <x:c r="AV110" s="27"/>
      <x:c r="AW110" s="27"/>
      <x:c r="AX110" s="27"/>
      <x:c r="AY110" s="27"/>
      <x:c r="AZ110" s="27"/>
    </x:row>
    <x:row r="111">
      <x:c r="A111" s="27"/>
      <x:c r="B111" s="27"/>
      <x:c r="C111" s="27"/>
      <x:c r="D111" s="27"/>
      <x:c r="E111" s="27"/>
      <x:c r="F111" s="27"/>
      <x:c r="G111" s="27"/>
      <x:c r="H111" s="27"/>
      <x:c r="I111" s="27"/>
      <x:c r="J111" s="27"/>
      <x:c r="K111" s="27"/>
      <x:c r="L111" s="27"/>
      <x:c r="M111" s="27"/>
      <x:c r="N111" s="27"/>
      <x:c r="O111" s="27"/>
      <x:c r="P111" s="27"/>
      <x:c r="Q111" s="27"/>
      <x:c r="R111" s="27"/>
      <x:c r="S111" s="27"/>
      <x:c r="T111" s="27"/>
      <x:c r="U111" s="27"/>
      <x:c r="V111" s="27"/>
      <x:c r="W111" s="27"/>
      <x:c r="X111" s="27"/>
      <x:c r="Y111" s="27"/>
      <x:c r="Z111" s="27"/>
      <x:c r="AA111" s="27"/>
      <x:c r="AB111" s="27"/>
      <x:c r="AC111" s="27"/>
      <x:c r="AD111" s="27"/>
      <x:c r="AE111" s="27"/>
      <x:c r="AF111" s="27"/>
      <x:c r="AG111" s="27"/>
      <x:c r="AH111" s="27"/>
      <x:c r="AI111" s="27"/>
      <x:c r="AJ111" s="27"/>
      <x:c r="AK111" s="27"/>
      <x:c r="AL111" s="27"/>
      <x:c r="AM111" s="27"/>
      <x:c r="AN111" s="27"/>
      <x:c r="AO111" s="27"/>
      <x:c r="AP111" s="27"/>
      <x:c r="AQ111" s="27"/>
      <x:c r="AR111" s="27"/>
      <x:c r="AS111" s="27"/>
      <x:c r="AT111" s="27"/>
      <x:c r="AU111" s="27"/>
      <x:c r="AV111" s="27"/>
      <x:c r="AW111" s="27"/>
      <x:c r="AX111" s="27"/>
      <x:c r="AY111" s="27"/>
      <x:c r="AZ111" s="27"/>
    </x:row>
    <x:row r="112">
      <x:c r="A112" s="27"/>
      <x:c r="B112" s="27"/>
      <x:c r="C112" s="27"/>
      <x:c r="D112" s="27"/>
      <x:c r="E112" s="27"/>
      <x:c r="F112" s="27"/>
      <x:c r="G112" s="27"/>
      <x:c r="H112" s="27"/>
      <x:c r="I112" s="27"/>
      <x:c r="J112" s="27"/>
      <x:c r="K112" s="27"/>
      <x:c r="L112" s="27"/>
      <x:c r="M112" s="27"/>
      <x:c r="N112" s="27"/>
      <x:c r="O112" s="27"/>
      <x:c r="P112" s="27"/>
      <x:c r="Q112" s="27"/>
      <x:c r="R112" s="27"/>
      <x:c r="S112" s="27"/>
      <x:c r="T112" s="27"/>
      <x:c r="U112" s="27"/>
      <x:c r="V112" s="27"/>
      <x:c r="W112" s="27"/>
      <x:c r="X112" s="27"/>
      <x:c r="Y112" s="27"/>
      <x:c r="Z112" s="27"/>
      <x:c r="AA112" s="27"/>
      <x:c r="AB112" s="27"/>
      <x:c r="AC112" s="27"/>
      <x:c r="AD112" s="27"/>
      <x:c r="AE112" s="27"/>
      <x:c r="AF112" s="27"/>
      <x:c r="AG112" s="27"/>
      <x:c r="AH112" s="27"/>
      <x:c r="AI112" s="27"/>
      <x:c r="AJ112" s="27"/>
      <x:c r="AK112" s="27"/>
      <x:c r="AL112" s="27"/>
      <x:c r="AM112" s="27"/>
      <x:c r="AN112" s="27"/>
      <x:c r="AO112" s="27"/>
      <x:c r="AP112" s="27"/>
      <x:c r="AQ112" s="27"/>
      <x:c r="AR112" s="27"/>
      <x:c r="AS112" s="27"/>
      <x:c r="AT112" s="27"/>
      <x:c r="AU112" s="27"/>
      <x:c r="AV112" s="27"/>
      <x:c r="AW112" s="27"/>
      <x:c r="AX112" s="27"/>
      <x:c r="AY112" s="27"/>
      <x:c r="AZ112" s="27"/>
    </x:row>
    <x:row r="113">
      <x:c r="A113" s="27"/>
      <x:c r="B113" s="27"/>
      <x:c r="C113" s="27"/>
      <x:c r="D113" s="27"/>
      <x:c r="E113" s="27"/>
      <x:c r="F113" s="27"/>
      <x:c r="G113" s="27"/>
      <x:c r="H113" s="27"/>
      <x:c r="I113" s="27"/>
      <x:c r="J113" s="27"/>
      <x:c r="K113" s="27"/>
      <x:c r="L113" s="27"/>
      <x:c r="M113" s="27"/>
      <x:c r="N113" s="27"/>
      <x:c r="O113" s="27"/>
      <x:c r="P113" s="27"/>
      <x:c r="Q113" s="27"/>
      <x:c r="R113" s="27"/>
      <x:c r="S113" s="27"/>
      <x:c r="T113" s="27"/>
      <x:c r="U113" s="27"/>
      <x:c r="V113" s="27"/>
      <x:c r="W113" s="27"/>
      <x:c r="X113" s="27"/>
      <x:c r="Y113" s="27"/>
      <x:c r="Z113" s="27"/>
      <x:c r="AA113" s="27"/>
      <x:c r="AB113" s="27"/>
      <x:c r="AC113" s="27"/>
      <x:c r="AD113" s="27"/>
      <x:c r="AE113" s="27"/>
      <x:c r="AF113" s="27"/>
      <x:c r="AG113" s="27"/>
      <x:c r="AH113" s="27"/>
      <x:c r="AI113" s="27"/>
      <x:c r="AJ113" s="27"/>
      <x:c r="AK113" s="27"/>
      <x:c r="AL113" s="27"/>
      <x:c r="AM113" s="27"/>
      <x:c r="AN113" s="27"/>
      <x:c r="AO113" s="27"/>
      <x:c r="AP113" s="27"/>
      <x:c r="AQ113" s="27"/>
      <x:c r="AR113" s="27"/>
      <x:c r="AS113" s="27"/>
      <x:c r="AT113" s="27"/>
      <x:c r="AU113" s="27"/>
      <x:c r="AV113" s="27"/>
      <x:c r="AW113" s="27"/>
      <x:c r="AX113" s="27"/>
      <x:c r="AY113" s="27"/>
      <x:c r="AZ113" s="27"/>
    </x:row>
    <x:row r="114">
      <x:c r="A114" s="27"/>
      <x:c r="B114" s="27"/>
      <x:c r="C114" s="27"/>
      <x:c r="D114" s="27"/>
      <x:c r="E114" s="27"/>
      <x:c r="F114" s="27"/>
      <x:c r="G114" s="27"/>
      <x:c r="H114" s="27"/>
      <x:c r="I114" s="27"/>
      <x:c r="J114" s="27"/>
      <x:c r="K114" s="27"/>
      <x:c r="L114" s="27"/>
      <x:c r="M114" s="27"/>
      <x:c r="N114" s="27"/>
      <x:c r="O114" s="27"/>
      <x:c r="P114" s="27"/>
      <x:c r="Q114" s="27"/>
      <x:c r="R114" s="27"/>
      <x:c r="S114" s="27"/>
      <x:c r="T114" s="27"/>
      <x:c r="U114" s="27"/>
      <x:c r="V114" s="27"/>
      <x:c r="W114" s="27"/>
      <x:c r="X114" s="27"/>
      <x:c r="Y114" s="27"/>
      <x:c r="Z114" s="27"/>
      <x:c r="AA114" s="27"/>
      <x:c r="AB114" s="27"/>
      <x:c r="AC114" s="27"/>
      <x:c r="AD114" s="27"/>
      <x:c r="AE114" s="27"/>
      <x:c r="AF114" s="27"/>
      <x:c r="AG114" s="27"/>
      <x:c r="AH114" s="27"/>
      <x:c r="AI114" s="27"/>
      <x:c r="AJ114" s="27"/>
      <x:c r="AK114" s="27"/>
      <x:c r="AL114" s="27"/>
      <x:c r="AM114" s="27"/>
      <x:c r="AN114" s="27"/>
      <x:c r="AO114" s="27"/>
      <x:c r="AP114" s="27"/>
      <x:c r="AQ114" s="27"/>
      <x:c r="AR114" s="27"/>
      <x:c r="AS114" s="27"/>
      <x:c r="AT114" s="27"/>
      <x:c r="AU114" s="27"/>
      <x:c r="AV114" s="27"/>
      <x:c r="AW114" s="27"/>
      <x:c r="AX114" s="27"/>
      <x:c r="AY114" s="27"/>
      <x:c r="AZ114" s="27"/>
    </x:row>
    <x:row r="115">
      <x:c r="A115" s="27"/>
      <x:c r="B115" s="27"/>
      <x:c r="C115" s="27"/>
      <x:c r="D115" s="27"/>
      <x:c r="E115" s="27"/>
      <x:c r="F115" s="27"/>
      <x:c r="G115" s="27"/>
      <x:c r="H115" s="27"/>
      <x:c r="I115" s="27"/>
      <x:c r="J115" s="27"/>
      <x:c r="K115" s="27"/>
      <x:c r="L115" s="27"/>
      <x:c r="M115" s="27"/>
      <x:c r="N115" s="27"/>
      <x:c r="O115" s="27"/>
      <x:c r="P115" s="27"/>
      <x:c r="Q115" s="27"/>
      <x:c r="R115" s="27"/>
      <x:c r="S115" s="27"/>
      <x:c r="T115" s="27"/>
      <x:c r="U115" s="27"/>
      <x:c r="V115" s="27"/>
      <x:c r="W115" s="27"/>
      <x:c r="X115" s="27"/>
      <x:c r="Y115" s="27"/>
      <x:c r="Z115" s="27"/>
      <x:c r="AA115" s="27"/>
      <x:c r="AB115" s="27"/>
      <x:c r="AC115" s="27"/>
      <x:c r="AD115" s="27"/>
      <x:c r="AE115" s="27"/>
      <x:c r="AF115" s="27"/>
      <x:c r="AG115" s="27"/>
      <x:c r="AH115" s="27"/>
      <x:c r="AI115" s="27"/>
      <x:c r="AJ115" s="27"/>
      <x:c r="AK115" s="27"/>
      <x:c r="AL115" s="27"/>
      <x:c r="AM115" s="27"/>
      <x:c r="AN115" s="27"/>
      <x:c r="AO115" s="27"/>
      <x:c r="AP115" s="27"/>
      <x:c r="AQ115" s="27"/>
      <x:c r="AR115" s="27"/>
      <x:c r="AS115" s="27"/>
      <x:c r="AT115" s="27"/>
      <x:c r="AU115" s="27"/>
      <x:c r="AV115" s="27"/>
      <x:c r="AW115" s="27"/>
      <x:c r="AX115" s="27"/>
      <x:c r="AY115" s="27"/>
      <x:c r="AZ115" s="27"/>
    </x:row>
    <x:row r="116">
      <x:c r="A116" s="27"/>
      <x:c r="B116" s="27"/>
      <x:c r="C116" s="27"/>
      <x:c r="D116" s="27"/>
      <x:c r="E116" s="27"/>
      <x:c r="F116" s="27"/>
      <x:c r="G116" s="27"/>
      <x:c r="H116" s="27"/>
      <x:c r="I116" s="27"/>
      <x:c r="J116" s="27"/>
      <x:c r="K116" s="27"/>
      <x:c r="L116" s="27"/>
      <x:c r="M116" s="27"/>
      <x:c r="N116" s="27"/>
      <x:c r="O116" s="27"/>
      <x:c r="P116" s="27"/>
      <x:c r="Q116" s="27"/>
      <x:c r="R116" s="27"/>
      <x:c r="S116" s="27"/>
      <x:c r="T116" s="27"/>
      <x:c r="U116" s="27"/>
      <x:c r="V116" s="27"/>
      <x:c r="W116" s="27"/>
      <x:c r="X116" s="27"/>
      <x:c r="Y116" s="27"/>
      <x:c r="Z116" s="27"/>
      <x:c r="AA116" s="27"/>
      <x:c r="AB116" s="27"/>
      <x:c r="AC116" s="27"/>
      <x:c r="AD116" s="27"/>
      <x:c r="AE116" s="27"/>
      <x:c r="AF116" s="27"/>
      <x:c r="AG116" s="27"/>
      <x:c r="AH116" s="27"/>
      <x:c r="AI116" s="27"/>
      <x:c r="AJ116" s="27"/>
      <x:c r="AK116" s="27"/>
      <x:c r="AL116" s="27"/>
      <x:c r="AM116" s="27"/>
      <x:c r="AN116" s="27"/>
      <x:c r="AO116" s="27"/>
      <x:c r="AP116" s="27"/>
      <x:c r="AQ116" s="27"/>
      <x:c r="AR116" s="27"/>
      <x:c r="AS116" s="27"/>
      <x:c r="AT116" s="27"/>
      <x:c r="AU116" s="27"/>
      <x:c r="AV116" s="27"/>
      <x:c r="AW116" s="27"/>
      <x:c r="AX116" s="27"/>
      <x:c r="AY116" s="27"/>
      <x:c r="AZ116" s="27"/>
    </x:row>
    <x:row r="117">
      <x:c r="A117" s="27"/>
      <x:c r="B117" s="27"/>
      <x:c r="C117" s="27"/>
      <x:c r="D117" s="27"/>
      <x:c r="E117" s="27"/>
      <x:c r="F117" s="27"/>
      <x:c r="G117" s="27"/>
      <x:c r="H117" s="27"/>
      <x:c r="I117" s="27"/>
      <x:c r="J117" s="27"/>
      <x:c r="K117" s="27"/>
      <x:c r="L117" s="27"/>
      <x:c r="M117" s="27"/>
      <x:c r="N117" s="27"/>
      <x:c r="O117" s="27"/>
      <x:c r="P117" s="27"/>
      <x:c r="Q117" s="27"/>
      <x:c r="R117" s="27"/>
      <x:c r="S117" s="27"/>
      <x:c r="T117" s="27"/>
      <x:c r="U117" s="27"/>
      <x:c r="V117" s="27"/>
      <x:c r="W117" s="27"/>
      <x:c r="X117" s="27"/>
      <x:c r="Y117" s="27"/>
      <x:c r="Z117" s="27"/>
      <x:c r="AA117" s="27"/>
      <x:c r="AB117" s="27"/>
      <x:c r="AC117" s="27"/>
      <x:c r="AD117" s="27"/>
      <x:c r="AE117" s="27"/>
      <x:c r="AF117" s="27"/>
      <x:c r="AG117" s="27"/>
      <x:c r="AH117" s="27"/>
      <x:c r="AI117" s="27"/>
      <x:c r="AJ117" s="27"/>
      <x:c r="AK117" s="27"/>
      <x:c r="AL117" s="27"/>
      <x:c r="AM117" s="27"/>
      <x:c r="AN117" s="27"/>
      <x:c r="AO117" s="27"/>
      <x:c r="AP117" s="27"/>
      <x:c r="AQ117" s="27"/>
      <x:c r="AR117" s="27"/>
      <x:c r="AS117" s="27"/>
      <x:c r="AT117" s="27"/>
      <x:c r="AU117" s="27"/>
      <x:c r="AV117" s="27"/>
      <x:c r="AW117" s="27"/>
      <x:c r="AX117" s="27"/>
      <x:c r="AY117" s="27"/>
      <x:c r="AZ117" s="27"/>
    </x:row>
    <x:row r="118">
      <x:c r="A118" s="27"/>
      <x:c r="B118" s="27"/>
      <x:c r="C118" s="27"/>
      <x:c r="D118" s="27"/>
      <x:c r="E118" s="27"/>
      <x:c r="F118" s="27"/>
      <x:c r="G118" s="27"/>
      <x:c r="H118" s="27"/>
      <x:c r="I118" s="27"/>
      <x:c r="J118" s="27"/>
      <x:c r="K118" s="27"/>
      <x:c r="L118" s="27"/>
      <x:c r="M118" s="27"/>
      <x:c r="N118" s="27"/>
      <x:c r="O118" s="27"/>
      <x:c r="P118" s="27"/>
      <x:c r="Q118" s="27"/>
      <x:c r="R118" s="27"/>
      <x:c r="S118" s="27"/>
      <x:c r="T118" s="27"/>
      <x:c r="U118" s="27"/>
      <x:c r="V118" s="27"/>
      <x:c r="W118" s="27"/>
      <x:c r="X118" s="27"/>
      <x:c r="Y118" s="27"/>
      <x:c r="Z118" s="27"/>
      <x:c r="AA118" s="27"/>
      <x:c r="AB118" s="27"/>
      <x:c r="AC118" s="27"/>
      <x:c r="AD118" s="27"/>
      <x:c r="AE118" s="27"/>
      <x:c r="AF118" s="27"/>
      <x:c r="AG118" s="27"/>
      <x:c r="AH118" s="27"/>
      <x:c r="AI118" s="27"/>
      <x:c r="AJ118" s="27"/>
      <x:c r="AK118" s="27"/>
      <x:c r="AL118" s="27"/>
      <x:c r="AM118" s="27"/>
      <x:c r="AN118" s="27"/>
      <x:c r="AO118" s="27"/>
      <x:c r="AP118" s="27"/>
      <x:c r="AQ118" s="27"/>
      <x:c r="AR118" s="27"/>
      <x:c r="AS118" s="27"/>
      <x:c r="AT118" s="27"/>
      <x:c r="AU118" s="27"/>
      <x:c r="AV118" s="27"/>
      <x:c r="AW118" s="27"/>
      <x:c r="AX118" s="27"/>
      <x:c r="AY118" s="27"/>
      <x:c r="AZ118" s="27"/>
    </x:row>
    <x:row r="119">
      <x:c r="A119" s="27"/>
      <x:c r="B119" s="27"/>
      <x:c r="C119" s="27"/>
      <x:c r="D119" s="27"/>
      <x:c r="E119" s="27"/>
      <x:c r="F119" s="27"/>
      <x:c r="G119" s="27"/>
      <x:c r="H119" s="27"/>
      <x:c r="I119" s="27"/>
      <x:c r="J119" s="27"/>
      <x:c r="K119" s="27"/>
      <x:c r="L119" s="27"/>
      <x:c r="M119" s="27"/>
      <x:c r="N119" s="27"/>
      <x:c r="O119" s="27"/>
      <x:c r="P119" s="27"/>
      <x:c r="Q119" s="27"/>
      <x:c r="R119" s="27"/>
      <x:c r="S119" s="27"/>
      <x:c r="T119" s="27"/>
      <x:c r="U119" s="27"/>
      <x:c r="V119" s="27"/>
      <x:c r="W119" s="27"/>
      <x:c r="X119" s="27"/>
      <x:c r="Y119" s="27"/>
      <x:c r="Z119" s="27"/>
      <x:c r="AA119" s="27"/>
      <x:c r="AB119" s="27"/>
      <x:c r="AC119" s="27"/>
      <x:c r="AD119" s="27"/>
      <x:c r="AE119" s="27"/>
      <x:c r="AF119" s="27"/>
      <x:c r="AG119" s="27"/>
      <x:c r="AH119" s="27"/>
      <x:c r="AI119" s="27"/>
      <x:c r="AJ119" s="27"/>
      <x:c r="AK119" s="27"/>
      <x:c r="AL119" s="27"/>
      <x:c r="AM119" s="27"/>
      <x:c r="AN119" s="27"/>
      <x:c r="AO119" s="27"/>
      <x:c r="AP119" s="27"/>
      <x:c r="AQ119" s="27"/>
      <x:c r="AR119" s="27"/>
      <x:c r="AS119" s="27"/>
      <x:c r="AT119" s="27"/>
      <x:c r="AU119" s="27"/>
      <x:c r="AV119" s="27"/>
      <x:c r="AW119" s="27"/>
      <x:c r="AX119" s="27"/>
      <x:c r="AY119" s="27"/>
      <x:c r="AZ119" s="27"/>
    </x:row>
    <x:row r="120">
      <x:c r="A120" s="27"/>
      <x:c r="B120" s="27"/>
      <x:c r="C120" s="27"/>
      <x:c r="D120" s="27"/>
      <x:c r="E120" s="27"/>
      <x:c r="F120" s="27"/>
      <x:c r="G120" s="27"/>
      <x:c r="H120" s="27"/>
      <x:c r="I120" s="27"/>
      <x:c r="J120" s="27"/>
      <x:c r="K120" s="27"/>
      <x:c r="L120" s="27"/>
      <x:c r="M120" s="27"/>
      <x:c r="N120" s="27"/>
      <x:c r="O120" s="27"/>
      <x:c r="P120" s="27"/>
      <x:c r="Q120" s="27"/>
      <x:c r="R120" s="27"/>
      <x:c r="S120" s="27"/>
      <x:c r="T120" s="27"/>
      <x:c r="U120" s="27"/>
      <x:c r="V120" s="27"/>
      <x:c r="W120" s="27"/>
      <x:c r="X120" s="27"/>
      <x:c r="Y120" s="27"/>
      <x:c r="Z120" s="27"/>
      <x:c r="AA120" s="27"/>
      <x:c r="AB120" s="27"/>
      <x:c r="AC120" s="27"/>
      <x:c r="AD120" s="27"/>
      <x:c r="AE120" s="27"/>
      <x:c r="AF120" s="27"/>
      <x:c r="AG120" s="27"/>
      <x:c r="AH120" s="27"/>
      <x:c r="AI120" s="27"/>
      <x:c r="AJ120" s="27"/>
      <x:c r="AK120" s="27"/>
      <x:c r="AL120" s="27"/>
      <x:c r="AM120" s="27"/>
      <x:c r="AN120" s="27"/>
      <x:c r="AO120" s="27"/>
      <x:c r="AP120" s="27"/>
      <x:c r="AQ120" s="27"/>
      <x:c r="AR120" s="27"/>
      <x:c r="AS120" s="27"/>
      <x:c r="AT120" s="27"/>
      <x:c r="AU120" s="27"/>
      <x:c r="AV120" s="27"/>
      <x:c r="AW120" s="27"/>
      <x:c r="AX120" s="27"/>
      <x:c r="AY120" s="27"/>
      <x:c r="AZ120" s="27"/>
    </x:row>
    <x:row r="121">
      <x:c r="A121" s="27"/>
      <x:c r="B121" s="27"/>
      <x:c r="C121" s="27"/>
      <x:c r="D121" s="27"/>
      <x:c r="E121" s="27"/>
      <x:c r="F121" s="27"/>
      <x:c r="G121" s="27"/>
      <x:c r="H121" s="27"/>
      <x:c r="I121" s="27"/>
      <x:c r="J121" s="27"/>
      <x:c r="K121" s="27"/>
      <x:c r="L121" s="27"/>
      <x:c r="M121" s="27"/>
      <x:c r="N121" s="27"/>
      <x:c r="O121" s="27"/>
      <x:c r="P121" s="27"/>
      <x:c r="Q121" s="27"/>
      <x:c r="R121" s="27"/>
      <x:c r="S121" s="27"/>
      <x:c r="T121" s="27"/>
      <x:c r="U121" s="27"/>
      <x:c r="V121" s="27"/>
      <x:c r="W121" s="27"/>
      <x:c r="X121" s="27"/>
      <x:c r="Y121" s="27"/>
      <x:c r="Z121" s="27"/>
      <x:c r="AA121" s="27"/>
      <x:c r="AB121" s="27"/>
      <x:c r="AC121" s="27"/>
      <x:c r="AD121" s="27"/>
      <x:c r="AE121" s="27"/>
      <x:c r="AF121" s="27"/>
      <x:c r="AG121" s="27"/>
      <x:c r="AH121" s="27"/>
      <x:c r="AI121" s="27"/>
      <x:c r="AJ121" s="27"/>
      <x:c r="AK121" s="27"/>
      <x:c r="AL121" s="27"/>
      <x:c r="AM121" s="27"/>
      <x:c r="AN121" s="27"/>
      <x:c r="AO121" s="27"/>
      <x:c r="AP121" s="27"/>
      <x:c r="AQ121" s="27"/>
      <x:c r="AR121" s="27"/>
      <x:c r="AS121" s="27"/>
      <x:c r="AT121" s="27"/>
      <x:c r="AU121" s="27"/>
      <x:c r="AV121" s="27"/>
      <x:c r="AW121" s="27"/>
      <x:c r="AX121" s="27"/>
      <x:c r="AY121" s="27"/>
      <x:c r="AZ121" s="27"/>
    </x:row>
    <x:row r="122">
      <x:c r="A122" s="27"/>
      <x:c r="B122" s="27"/>
      <x:c r="C122" s="27"/>
      <x:c r="D122" s="27"/>
      <x:c r="E122" s="27"/>
      <x:c r="F122" s="27"/>
      <x:c r="G122" s="27"/>
      <x:c r="H122" s="27"/>
      <x:c r="I122" s="27"/>
      <x:c r="J122" s="27"/>
      <x:c r="K122" s="27"/>
      <x:c r="L122" s="27"/>
      <x:c r="M122" s="27"/>
      <x:c r="N122" s="27"/>
      <x:c r="O122" s="27"/>
      <x:c r="P122" s="27"/>
      <x:c r="Q122" s="27"/>
      <x:c r="R122" s="27"/>
      <x:c r="S122" s="27"/>
      <x:c r="T122" s="27"/>
      <x:c r="U122" s="27"/>
      <x:c r="V122" s="27"/>
      <x:c r="W122" s="27"/>
      <x:c r="X122" s="27"/>
      <x:c r="Y122" s="27"/>
      <x:c r="Z122" s="27"/>
      <x:c r="AA122" s="27"/>
      <x:c r="AB122" s="27"/>
      <x:c r="AC122" s="27"/>
      <x:c r="AD122" s="27"/>
      <x:c r="AE122" s="27"/>
      <x:c r="AF122" s="27"/>
      <x:c r="AG122" s="27"/>
      <x:c r="AH122" s="27"/>
      <x:c r="AI122" s="27"/>
      <x:c r="AJ122" s="27"/>
      <x:c r="AK122" s="27"/>
      <x:c r="AL122" s="27"/>
      <x:c r="AM122" s="27"/>
      <x:c r="AN122" s="27"/>
      <x:c r="AO122" s="27"/>
      <x:c r="AP122" s="27"/>
      <x:c r="AQ122" s="27"/>
      <x:c r="AR122" s="27"/>
      <x:c r="AS122" s="27"/>
      <x:c r="AT122" s="27"/>
      <x:c r="AU122" s="27"/>
      <x:c r="AV122" s="27"/>
      <x:c r="AW122" s="27"/>
      <x:c r="AX122" s="27"/>
      <x:c r="AY122" s="27"/>
      <x:c r="AZ122" s="27"/>
    </x:row>
    <x:row r="123">
      <x:c r="A123" s="27"/>
      <x:c r="B123" s="27"/>
      <x:c r="C123" s="27"/>
      <x:c r="D123" s="27"/>
      <x:c r="E123" s="27"/>
      <x:c r="F123" s="27"/>
      <x:c r="G123" s="27"/>
      <x:c r="H123" s="27"/>
      <x:c r="I123" s="27"/>
      <x:c r="J123" s="27"/>
      <x:c r="K123" s="27"/>
      <x:c r="L123" s="27"/>
      <x:c r="M123" s="27"/>
      <x:c r="N123" s="27"/>
      <x:c r="O123" s="27"/>
      <x:c r="P123" s="27"/>
      <x:c r="Q123" s="27"/>
      <x:c r="R123" s="27"/>
      <x:c r="S123" s="27"/>
      <x:c r="T123" s="27"/>
      <x:c r="U123" s="27"/>
      <x:c r="V123" s="27"/>
      <x:c r="W123" s="27"/>
      <x:c r="X123" s="27"/>
      <x:c r="Y123" s="27"/>
      <x:c r="Z123" s="27"/>
      <x:c r="AA123" s="27"/>
      <x:c r="AB123" s="27"/>
      <x:c r="AC123" s="27"/>
      <x:c r="AD123" s="27"/>
      <x:c r="AE123" s="27"/>
      <x:c r="AF123" s="27"/>
      <x:c r="AG123" s="27"/>
      <x:c r="AH123" s="27"/>
      <x:c r="AI123" s="27"/>
      <x:c r="AJ123" s="27"/>
      <x:c r="AK123" s="27"/>
      <x:c r="AL123" s="27"/>
      <x:c r="AM123" s="27"/>
      <x:c r="AN123" s="27"/>
      <x:c r="AO123" s="27"/>
      <x:c r="AP123" s="27"/>
      <x:c r="AQ123" s="27"/>
      <x:c r="AR123" s="27"/>
      <x:c r="AS123" s="27"/>
      <x:c r="AT123" s="27"/>
      <x:c r="AU123" s="27"/>
      <x:c r="AV123" s="27"/>
      <x:c r="AW123" s="27"/>
      <x:c r="AX123" s="27"/>
      <x:c r="AY123" s="27"/>
      <x:c r="AZ123" s="27"/>
    </x:row>
    <x:row r="124">
      <x:c r="A124" s="27"/>
      <x:c r="B124" s="27"/>
      <x:c r="C124" s="27"/>
      <x:c r="D124" s="27"/>
      <x:c r="E124" s="27"/>
      <x:c r="F124" s="27"/>
      <x:c r="G124" s="27"/>
      <x:c r="H124" s="27"/>
      <x:c r="I124" s="27"/>
      <x:c r="J124" s="27"/>
      <x:c r="K124" s="27"/>
      <x:c r="L124" s="27"/>
      <x:c r="M124" s="27"/>
      <x:c r="N124" s="27"/>
      <x:c r="O124" s="27"/>
      <x:c r="P124" s="27"/>
      <x:c r="Q124" s="27"/>
      <x:c r="R124" s="27"/>
      <x:c r="S124" s="27"/>
      <x:c r="T124" s="27"/>
      <x:c r="U124" s="27"/>
      <x:c r="V124" s="27"/>
      <x:c r="W124" s="27"/>
      <x:c r="X124" s="27"/>
      <x:c r="Y124" s="27"/>
      <x:c r="Z124" s="27"/>
      <x:c r="AA124" s="27"/>
      <x:c r="AB124" s="27"/>
      <x:c r="AC124" s="27"/>
      <x:c r="AD124" s="27"/>
      <x:c r="AE124" s="27"/>
      <x:c r="AF124" s="27"/>
      <x:c r="AG124" s="27"/>
      <x:c r="AH124" s="27"/>
      <x:c r="AI124" s="27"/>
      <x:c r="AJ124" s="27"/>
      <x:c r="AK124" s="27"/>
      <x:c r="AL124" s="27"/>
      <x:c r="AM124" s="27"/>
      <x:c r="AN124" s="27"/>
      <x:c r="AO124" s="27"/>
      <x:c r="AP124" s="27"/>
      <x:c r="AQ124" s="27"/>
      <x:c r="AR124" s="27"/>
      <x:c r="AS124" s="27"/>
      <x:c r="AT124" s="27"/>
      <x:c r="AU124" s="27"/>
      <x:c r="AV124" s="27"/>
      <x:c r="AW124" s="27"/>
      <x:c r="AX124" s="27"/>
      <x:c r="AY124" s="27"/>
      <x:c r="AZ124" s="27"/>
    </x:row>
    <x:row r="125">
      <x:c r="A125" s="27"/>
      <x:c r="B125" s="27"/>
      <x:c r="C125" s="27"/>
      <x:c r="D125" s="27"/>
      <x:c r="E125" s="27"/>
      <x:c r="F125" s="27"/>
      <x:c r="G125" s="27"/>
      <x:c r="H125" s="27"/>
      <x:c r="I125" s="27"/>
      <x:c r="J125" s="27"/>
      <x:c r="K125" s="27"/>
      <x:c r="L125" s="27"/>
      <x:c r="M125" s="27"/>
      <x:c r="N125" s="27"/>
      <x:c r="O125" s="27"/>
      <x:c r="P125" s="27"/>
      <x:c r="Q125" s="27"/>
      <x:c r="R125" s="27"/>
      <x:c r="S125" s="27"/>
      <x:c r="T125" s="27"/>
      <x:c r="U125" s="27"/>
      <x:c r="V125" s="27"/>
      <x:c r="W125" s="27"/>
      <x:c r="X125" s="27"/>
      <x:c r="Y125" s="27"/>
      <x:c r="Z125" s="27"/>
      <x:c r="AA125" s="27"/>
      <x:c r="AB125" s="27"/>
      <x:c r="AC125" s="27"/>
      <x:c r="AD125" s="27"/>
      <x:c r="AE125" s="27"/>
      <x:c r="AF125" s="27"/>
      <x:c r="AG125" s="27"/>
      <x:c r="AH125" s="27"/>
      <x:c r="AI125" s="27"/>
      <x:c r="AJ125" s="27"/>
      <x:c r="AK125" s="27"/>
      <x:c r="AL125" s="27"/>
      <x:c r="AM125" s="27"/>
      <x:c r="AN125" s="27"/>
      <x:c r="AO125" s="27"/>
      <x:c r="AP125" s="27"/>
      <x:c r="AQ125" s="27"/>
      <x:c r="AR125" s="27"/>
      <x:c r="AS125" s="27"/>
      <x:c r="AT125" s="27"/>
      <x:c r="AU125" s="27"/>
      <x:c r="AV125" s="27"/>
      <x:c r="AW125" s="27"/>
      <x:c r="AX125" s="27"/>
      <x:c r="AY125" s="27"/>
      <x:c r="AZ125" s="27"/>
    </x:row>
    <x:row r="126">
      <x:c r="A126" s="27"/>
      <x:c r="B126" s="27"/>
      <x:c r="C126" s="27"/>
      <x:c r="D126" s="27"/>
      <x:c r="E126" s="27"/>
      <x:c r="F126" s="27"/>
      <x:c r="G126" s="27"/>
      <x:c r="H126" s="27"/>
      <x:c r="I126" s="27"/>
      <x:c r="J126" s="27"/>
      <x:c r="K126" s="27"/>
      <x:c r="L126" s="27"/>
      <x:c r="M126" s="27"/>
      <x:c r="N126" s="27"/>
      <x:c r="O126" s="27"/>
      <x:c r="P126" s="27"/>
      <x:c r="Q126" s="27"/>
      <x:c r="R126" s="27"/>
      <x:c r="S126" s="27"/>
      <x:c r="T126" s="27"/>
      <x:c r="U126" s="27"/>
      <x:c r="V126" s="27"/>
      <x:c r="W126" s="27"/>
      <x:c r="X126" s="27"/>
      <x:c r="Y126" s="27"/>
      <x:c r="Z126" s="27"/>
      <x:c r="AA126" s="27"/>
      <x:c r="AB126" s="27"/>
      <x:c r="AC126" s="27"/>
      <x:c r="AD126" s="27"/>
      <x:c r="AE126" s="27"/>
      <x:c r="AF126" s="27"/>
      <x:c r="AG126" s="27"/>
      <x:c r="AH126" s="27"/>
      <x:c r="AI126" s="27"/>
      <x:c r="AJ126" s="27"/>
      <x:c r="AK126" s="27"/>
      <x:c r="AL126" s="27"/>
      <x:c r="AM126" s="27"/>
      <x:c r="AN126" s="27"/>
      <x:c r="AO126" s="27"/>
      <x:c r="AP126" s="27"/>
      <x:c r="AQ126" s="27"/>
      <x:c r="AR126" s="27"/>
      <x:c r="AS126" s="27"/>
      <x:c r="AT126" s="27"/>
      <x:c r="AU126" s="27"/>
      <x:c r="AV126" s="27"/>
      <x:c r="AW126" s="27"/>
      <x:c r="AX126" s="27"/>
      <x:c r="AY126" s="27"/>
      <x:c r="AZ126" s="27"/>
    </x:row>
    <x:row r="127">
      <x:c r="A127" s="27"/>
      <x:c r="B127" s="27"/>
      <x:c r="C127" s="27"/>
      <x:c r="D127" s="27"/>
      <x:c r="E127" s="27"/>
      <x:c r="F127" s="27"/>
      <x:c r="G127" s="27"/>
      <x:c r="H127" s="27"/>
      <x:c r="I127" s="27"/>
      <x:c r="J127" s="27"/>
      <x:c r="K127" s="27"/>
      <x:c r="L127" s="27"/>
      <x:c r="M127" s="27"/>
      <x:c r="N127" s="27"/>
      <x:c r="O127" s="27"/>
      <x:c r="P127" s="27"/>
      <x:c r="Q127" s="27"/>
      <x:c r="R127" s="27"/>
      <x:c r="S127" s="27"/>
      <x:c r="T127" s="27"/>
      <x:c r="U127" s="27"/>
      <x:c r="V127" s="27"/>
      <x:c r="W127" s="27"/>
      <x:c r="X127" s="27"/>
      <x:c r="Y127" s="27"/>
      <x:c r="Z127" s="27"/>
      <x:c r="AA127" s="27"/>
      <x:c r="AB127" s="27"/>
      <x:c r="AC127" s="27"/>
      <x:c r="AD127" s="27"/>
      <x:c r="AE127" s="27"/>
      <x:c r="AF127" s="27"/>
      <x:c r="AG127" s="27"/>
      <x:c r="AH127" s="27"/>
      <x:c r="AI127" s="27"/>
      <x:c r="AJ127" s="27"/>
      <x:c r="AK127" s="27"/>
      <x:c r="AL127" s="27"/>
      <x:c r="AM127" s="27"/>
      <x:c r="AN127" s="27"/>
      <x:c r="AO127" s="27"/>
      <x:c r="AP127" s="27"/>
      <x:c r="AQ127" s="27"/>
      <x:c r="AR127" s="27"/>
      <x:c r="AS127" s="27"/>
      <x:c r="AT127" s="27"/>
      <x:c r="AU127" s="27"/>
      <x:c r="AV127" s="27"/>
      <x:c r="AW127" s="27"/>
      <x:c r="AX127" s="27"/>
      <x:c r="AY127" s="27"/>
      <x:c r="AZ127" s="27"/>
    </x:row>
    <x:row r="128">
      <x:c r="A128" s="27"/>
      <x:c r="B128" s="27"/>
      <x:c r="C128" s="27"/>
      <x:c r="D128" s="27"/>
      <x:c r="E128" s="27"/>
      <x:c r="F128" s="27"/>
      <x:c r="G128" s="27"/>
      <x:c r="H128" s="27"/>
      <x:c r="I128" s="27"/>
      <x:c r="J128" s="27"/>
      <x:c r="K128" s="27"/>
      <x:c r="L128" s="27"/>
      <x:c r="M128" s="27"/>
      <x:c r="N128" s="27"/>
      <x:c r="O128" s="27"/>
      <x:c r="P128" s="27"/>
      <x:c r="Q128" s="27"/>
      <x:c r="R128" s="27"/>
      <x:c r="S128" s="27"/>
      <x:c r="T128" s="27"/>
      <x:c r="U128" s="27"/>
      <x:c r="V128" s="27"/>
      <x:c r="W128" s="27"/>
      <x:c r="X128" s="27"/>
      <x:c r="Y128" s="27"/>
      <x:c r="Z128" s="27"/>
      <x:c r="AA128" s="27"/>
      <x:c r="AB128" s="27"/>
      <x:c r="AC128" s="27"/>
      <x:c r="AD128" s="27"/>
      <x:c r="AE128" s="27"/>
      <x:c r="AF128" s="27"/>
      <x:c r="AG128" s="27"/>
      <x:c r="AH128" s="27"/>
      <x:c r="AI128" s="27"/>
      <x:c r="AJ128" s="27"/>
      <x:c r="AK128" s="27"/>
      <x:c r="AL128" s="27"/>
      <x:c r="AM128" s="27"/>
      <x:c r="AN128" s="27"/>
      <x:c r="AO128" s="27"/>
      <x:c r="AP128" s="27"/>
      <x:c r="AQ128" s="27"/>
      <x:c r="AR128" s="27"/>
      <x:c r="AS128" s="27"/>
      <x:c r="AT128" s="27"/>
      <x:c r="AU128" s="27"/>
      <x:c r="AV128" s="27"/>
      <x:c r="AW128" s="27"/>
      <x:c r="AX128" s="27"/>
      <x:c r="AY128" s="27"/>
      <x:c r="AZ128" s="27"/>
    </x:row>
    <x:row r="129">
      <x:c r="A129" s="27"/>
      <x:c r="B129" s="27"/>
      <x:c r="C129" s="27"/>
      <x:c r="D129" s="27"/>
      <x:c r="E129" s="27"/>
      <x:c r="F129" s="27"/>
      <x:c r="G129" s="27"/>
      <x:c r="H129" s="27"/>
      <x:c r="I129" s="27"/>
      <x:c r="J129" s="27"/>
      <x:c r="K129" s="27"/>
      <x:c r="L129" s="27"/>
      <x:c r="M129" s="27"/>
      <x:c r="N129" s="27"/>
      <x:c r="O129" s="27"/>
      <x:c r="P129" s="27"/>
      <x:c r="Q129" s="27"/>
      <x:c r="R129" s="27"/>
      <x:c r="S129" s="27"/>
      <x:c r="T129" s="27"/>
      <x:c r="U129" s="27"/>
      <x:c r="V129" s="27"/>
      <x:c r="W129" s="27"/>
      <x:c r="X129" s="27"/>
      <x:c r="Y129" s="27"/>
      <x:c r="Z129" s="27"/>
      <x:c r="AA129" s="27"/>
      <x:c r="AB129" s="27"/>
      <x:c r="AC129" s="27"/>
      <x:c r="AD129" s="27"/>
      <x:c r="AE129" s="27"/>
      <x:c r="AF129" s="27"/>
      <x:c r="AG129" s="27"/>
      <x:c r="AH129" s="27"/>
      <x:c r="AI129" s="27"/>
      <x:c r="AJ129" s="27"/>
      <x:c r="AK129" s="27"/>
      <x:c r="AL129" s="27"/>
      <x:c r="AM129" s="27"/>
      <x:c r="AN129" s="27"/>
      <x:c r="AO129" s="27"/>
      <x:c r="AP129" s="27"/>
      <x:c r="AQ129" s="27"/>
      <x:c r="AR129" s="27"/>
      <x:c r="AS129" s="27"/>
      <x:c r="AT129" s="27"/>
      <x:c r="AU129" s="27"/>
      <x:c r="AV129" s="27"/>
      <x:c r="AW129" s="27"/>
      <x:c r="AX129" s="27"/>
      <x:c r="AY129" s="27"/>
      <x:c r="AZ129" s="27"/>
    </x:row>
    <x:row r="130">
      <x:c r="A130" s="27"/>
      <x:c r="B130" s="27"/>
      <x:c r="C130" s="27"/>
      <x:c r="D130" s="27"/>
      <x:c r="E130" s="27"/>
      <x:c r="F130" s="27"/>
      <x:c r="G130" s="27"/>
      <x:c r="H130" s="27"/>
      <x:c r="I130" s="27"/>
      <x:c r="J130" s="27"/>
      <x:c r="K130" s="27"/>
      <x:c r="L130" s="27"/>
      <x:c r="M130" s="27"/>
      <x:c r="N130" s="27"/>
      <x:c r="O130" s="27"/>
      <x:c r="P130" s="27"/>
      <x:c r="Q130" s="27"/>
      <x:c r="R130" s="27"/>
      <x:c r="S130" s="27"/>
      <x:c r="T130" s="27"/>
      <x:c r="U130" s="27"/>
      <x:c r="V130" s="27"/>
      <x:c r="W130" s="27"/>
      <x:c r="X130" s="27"/>
      <x:c r="Y130" s="27"/>
      <x:c r="Z130" s="27"/>
      <x:c r="AA130" s="27"/>
      <x:c r="AB130" s="27"/>
      <x:c r="AC130" s="27"/>
      <x:c r="AD130" s="27"/>
      <x:c r="AE130" s="27"/>
      <x:c r="AF130" s="27"/>
      <x:c r="AG130" s="27"/>
      <x:c r="AH130" s="27"/>
      <x:c r="AI130" s="27"/>
      <x:c r="AJ130" s="27"/>
      <x:c r="AK130" s="27"/>
      <x:c r="AL130" s="27"/>
      <x:c r="AM130" s="27"/>
      <x:c r="AN130" s="27"/>
      <x:c r="AO130" s="27"/>
      <x:c r="AP130" s="27"/>
      <x:c r="AQ130" s="27"/>
      <x:c r="AR130" s="27"/>
      <x:c r="AS130" s="27"/>
      <x:c r="AT130" s="27"/>
      <x:c r="AU130" s="27"/>
      <x:c r="AV130" s="27"/>
      <x:c r="AW130" s="27"/>
      <x:c r="AX130" s="27"/>
      <x:c r="AY130" s="27"/>
      <x:c r="AZ130" s="27"/>
    </x:row>
    <x:row r="131">
      <x:c r="A131" s="27"/>
      <x:c r="B131" s="27"/>
      <x:c r="C131" s="27"/>
      <x:c r="D131" s="27"/>
      <x:c r="E131" s="27"/>
      <x:c r="F131" s="27"/>
      <x:c r="G131" s="27"/>
      <x:c r="H131" s="27"/>
      <x:c r="I131" s="27"/>
      <x:c r="J131" s="27"/>
      <x:c r="K131" s="27"/>
      <x:c r="L131" s="27"/>
      <x:c r="M131" s="27"/>
      <x:c r="N131" s="27"/>
      <x:c r="O131" s="27"/>
      <x:c r="P131" s="27"/>
      <x:c r="Q131" s="27"/>
      <x:c r="R131" s="27"/>
      <x:c r="S131" s="27"/>
      <x:c r="T131" s="27"/>
      <x:c r="U131" s="27"/>
      <x:c r="V131" s="27"/>
      <x:c r="W131" s="27"/>
      <x:c r="X131" s="27"/>
      <x:c r="Y131" s="27"/>
      <x:c r="Z131" s="27"/>
      <x:c r="AA131" s="27"/>
      <x:c r="AB131" s="27"/>
      <x:c r="AC131" s="27"/>
      <x:c r="AD131" s="27"/>
      <x:c r="AE131" s="27"/>
      <x:c r="AF131" s="27"/>
      <x:c r="AG131" s="27"/>
      <x:c r="AH131" s="27"/>
      <x:c r="AI131" s="27"/>
      <x:c r="AJ131" s="27"/>
      <x:c r="AK131" s="27"/>
      <x:c r="AL131" s="27"/>
      <x:c r="AM131" s="27"/>
      <x:c r="AN131" s="27"/>
      <x:c r="AO131" s="27"/>
      <x:c r="AP131" s="27"/>
      <x:c r="AQ131" s="27"/>
      <x:c r="AR131" s="27"/>
      <x:c r="AS131" s="27"/>
      <x:c r="AT131" s="27"/>
      <x:c r="AU131" s="27"/>
      <x:c r="AV131" s="27"/>
      <x:c r="AW131" s="27"/>
      <x:c r="AX131" s="27"/>
      <x:c r="AY131" s="27"/>
      <x:c r="AZ131" s="27"/>
    </x:row>
    <x:row r="132">
      <x:c r="A132" s="27"/>
      <x:c r="B132" s="27"/>
      <x:c r="C132" s="27"/>
      <x:c r="D132" s="27"/>
      <x:c r="E132" s="27"/>
      <x:c r="F132" s="27"/>
      <x:c r="G132" s="27"/>
      <x:c r="H132" s="27"/>
      <x:c r="I132" s="27"/>
      <x:c r="J132" s="27"/>
      <x:c r="K132" s="27"/>
      <x:c r="L132" s="27"/>
      <x:c r="M132" s="27"/>
      <x:c r="N132" s="27"/>
      <x:c r="O132" s="27"/>
      <x:c r="P132" s="27"/>
      <x:c r="Q132" s="27"/>
      <x:c r="R132" s="27"/>
      <x:c r="S132" s="27"/>
      <x:c r="T132" s="27"/>
      <x:c r="U132" s="27"/>
      <x:c r="V132" s="27"/>
      <x:c r="W132" s="27"/>
      <x:c r="X132" s="27"/>
      <x:c r="Y132" s="27"/>
      <x:c r="Z132" s="27"/>
      <x:c r="AA132" s="27"/>
      <x:c r="AB132" s="27"/>
      <x:c r="AC132" s="27"/>
      <x:c r="AD132" s="27"/>
      <x:c r="AE132" s="27"/>
      <x:c r="AF132" s="27"/>
      <x:c r="AG132" s="27"/>
      <x:c r="AH132" s="27"/>
      <x:c r="AI132" s="27"/>
      <x:c r="AJ132" s="27"/>
      <x:c r="AK132" s="27"/>
      <x:c r="AL132" s="27"/>
      <x:c r="AM132" s="27"/>
      <x:c r="AN132" s="27"/>
      <x:c r="AO132" s="27"/>
      <x:c r="AP132" s="27"/>
      <x:c r="AQ132" s="27"/>
      <x:c r="AR132" s="27"/>
      <x:c r="AS132" s="27"/>
      <x:c r="AT132" s="27"/>
      <x:c r="AU132" s="27"/>
      <x:c r="AV132" s="27"/>
      <x:c r="AW132" s="27"/>
      <x:c r="AX132" s="27"/>
      <x:c r="AY132" s="27"/>
      <x:c r="AZ132" s="27"/>
    </x:row>
    <x:row r="133">
      <x:c r="A133" s="27"/>
      <x:c r="B133" s="27"/>
      <x:c r="C133" s="27"/>
      <x:c r="D133" s="27"/>
      <x:c r="E133" s="27"/>
      <x:c r="F133" s="27"/>
      <x:c r="G133" s="27"/>
      <x:c r="H133" s="27"/>
      <x:c r="I133" s="27"/>
      <x:c r="J133" s="27"/>
      <x:c r="K133" s="27"/>
      <x:c r="L133" s="27"/>
      <x:c r="M133" s="27"/>
      <x:c r="N133" s="27"/>
      <x:c r="O133" s="27"/>
      <x:c r="P133" s="27"/>
      <x:c r="Q133" s="27"/>
      <x:c r="R133" s="27"/>
      <x:c r="S133" s="27"/>
      <x:c r="T133" s="27"/>
      <x:c r="U133" s="27"/>
      <x:c r="V133" s="27"/>
      <x:c r="W133" s="27"/>
      <x:c r="X133" s="27"/>
      <x:c r="Y133" s="27"/>
      <x:c r="Z133" s="27"/>
      <x:c r="AA133" s="27"/>
      <x:c r="AB133" s="27"/>
      <x:c r="AC133" s="27"/>
      <x:c r="AD133" s="27"/>
      <x:c r="AE133" s="27"/>
      <x:c r="AF133" s="27"/>
      <x:c r="AG133" s="27"/>
      <x:c r="AH133" s="27"/>
      <x:c r="AI133" s="27"/>
      <x:c r="AJ133" s="27"/>
      <x:c r="AK133" s="27"/>
      <x:c r="AL133" s="27"/>
      <x:c r="AM133" s="27"/>
      <x:c r="AN133" s="27"/>
      <x:c r="AO133" s="27"/>
      <x:c r="AP133" s="27"/>
      <x:c r="AQ133" s="27"/>
      <x:c r="AR133" s="27"/>
      <x:c r="AS133" s="27"/>
      <x:c r="AT133" s="27"/>
      <x:c r="AU133" s="27"/>
      <x:c r="AV133" s="27"/>
      <x:c r="AW133" s="27"/>
      <x:c r="AX133" s="27"/>
      <x:c r="AY133" s="27"/>
      <x:c r="AZ133" s="27"/>
    </x:row>
    <x:row r="134">
      <x:c r="A134" s="27"/>
      <x:c r="B134" s="27"/>
      <x:c r="C134" s="27"/>
      <x:c r="D134" s="27"/>
      <x:c r="E134" s="27"/>
      <x:c r="F134" s="27"/>
      <x:c r="G134" s="27"/>
      <x:c r="H134" s="27"/>
      <x:c r="I134" s="27"/>
      <x:c r="J134" s="27"/>
      <x:c r="K134" s="27"/>
      <x:c r="L134" s="27"/>
      <x:c r="M134" s="27"/>
      <x:c r="N134" s="27"/>
      <x:c r="O134" s="27"/>
      <x:c r="P134" s="27"/>
      <x:c r="Q134" s="27"/>
      <x:c r="R134" s="27"/>
      <x:c r="S134" s="27"/>
      <x:c r="T134" s="27"/>
      <x:c r="U134" s="27"/>
      <x:c r="V134" s="27"/>
      <x:c r="W134" s="27"/>
      <x:c r="X134" s="27"/>
      <x:c r="Y134" s="27"/>
      <x:c r="Z134" s="27"/>
      <x:c r="AA134" s="27"/>
      <x:c r="AB134" s="27"/>
      <x:c r="AC134" s="27"/>
      <x:c r="AD134" s="27"/>
      <x:c r="AE134" s="27"/>
      <x:c r="AF134" s="27"/>
      <x:c r="AG134" s="27"/>
      <x:c r="AH134" s="27"/>
      <x:c r="AI134" s="27"/>
      <x:c r="AJ134" s="27"/>
      <x:c r="AK134" s="27"/>
      <x:c r="AL134" s="27"/>
      <x:c r="AM134" s="27"/>
      <x:c r="AN134" s="27"/>
      <x:c r="AO134" s="27"/>
      <x:c r="AP134" s="27"/>
      <x:c r="AQ134" s="27"/>
      <x:c r="AR134" s="27"/>
      <x:c r="AS134" s="27"/>
      <x:c r="AT134" s="27"/>
      <x:c r="AU134" s="27"/>
      <x:c r="AV134" s="27"/>
      <x:c r="AW134" s="27"/>
      <x:c r="AX134" s="27"/>
      <x:c r="AY134" s="27"/>
      <x:c r="AZ134" s="27"/>
    </x:row>
    <x:row r="135">
      <x:c r="A135" s="27"/>
      <x:c r="B135" s="27"/>
      <x:c r="C135" s="27"/>
      <x:c r="D135" s="27"/>
      <x:c r="E135" s="27"/>
      <x:c r="F135" s="27"/>
      <x:c r="G135" s="27"/>
      <x:c r="H135" s="27"/>
      <x:c r="I135" s="27"/>
      <x:c r="J135" s="27"/>
      <x:c r="K135" s="27"/>
      <x:c r="L135" s="27"/>
      <x:c r="M135" s="27"/>
      <x:c r="N135" s="27"/>
      <x:c r="O135" s="27"/>
      <x:c r="P135" s="27"/>
      <x:c r="Q135" s="27"/>
      <x:c r="R135" s="27"/>
      <x:c r="S135" s="27"/>
      <x:c r="T135" s="27"/>
      <x:c r="U135" s="27"/>
      <x:c r="V135" s="27"/>
      <x:c r="W135" s="27"/>
      <x:c r="X135" s="27"/>
      <x:c r="Y135" s="27"/>
      <x:c r="Z135" s="27"/>
      <x:c r="AA135" s="27"/>
      <x:c r="AB135" s="27"/>
      <x:c r="AC135" s="27"/>
      <x:c r="AD135" s="27"/>
      <x:c r="AE135" s="27"/>
      <x:c r="AF135" s="27"/>
      <x:c r="AG135" s="27"/>
      <x:c r="AH135" s="27"/>
      <x:c r="AI135" s="27"/>
      <x:c r="AJ135" s="27"/>
      <x:c r="AK135" s="27"/>
      <x:c r="AL135" s="27"/>
      <x:c r="AM135" s="27"/>
      <x:c r="AN135" s="27"/>
      <x:c r="AO135" s="27"/>
      <x:c r="AP135" s="27"/>
      <x:c r="AQ135" s="27"/>
      <x:c r="AR135" s="27"/>
      <x:c r="AS135" s="27"/>
      <x:c r="AT135" s="27"/>
      <x:c r="AU135" s="27"/>
      <x:c r="AV135" s="27"/>
      <x:c r="AW135" s="27"/>
      <x:c r="AX135" s="27"/>
      <x:c r="AY135" s="27"/>
      <x:c r="AZ135" s="27"/>
    </x:row>
    <x:row r="136">
      <x:c r="A136" s="27"/>
      <x:c r="B136" s="27"/>
      <x:c r="C136" s="27"/>
      <x:c r="D136" s="27"/>
      <x:c r="E136" s="27"/>
      <x:c r="F136" s="27"/>
      <x:c r="G136" s="27"/>
      <x:c r="H136" s="27"/>
      <x:c r="I136" s="27"/>
      <x:c r="J136" s="27"/>
      <x:c r="K136" s="27"/>
      <x:c r="L136" s="27"/>
      <x:c r="M136" s="27"/>
      <x:c r="N136" s="27"/>
      <x:c r="O136" s="27"/>
      <x:c r="P136" s="27"/>
      <x:c r="Q136" s="27"/>
      <x:c r="R136" s="27"/>
      <x:c r="S136" s="27"/>
      <x:c r="T136" s="27"/>
      <x:c r="U136" s="27"/>
      <x:c r="V136" s="27"/>
      <x:c r="W136" s="27"/>
      <x:c r="X136" s="27"/>
      <x:c r="Y136" s="27"/>
      <x:c r="Z136" s="27"/>
      <x:c r="AA136" s="27"/>
      <x:c r="AB136" s="27"/>
      <x:c r="AC136" s="27"/>
      <x:c r="AD136" s="27"/>
      <x:c r="AE136" s="27"/>
      <x:c r="AF136" s="27"/>
      <x:c r="AG136" s="27"/>
      <x:c r="AH136" s="27"/>
      <x:c r="AI136" s="27"/>
      <x:c r="AJ136" s="27"/>
      <x:c r="AK136" s="27"/>
      <x:c r="AL136" s="27"/>
      <x:c r="AM136" s="27"/>
      <x:c r="AN136" s="27"/>
      <x:c r="AO136" s="27"/>
      <x:c r="AP136" s="27"/>
      <x:c r="AQ136" s="27"/>
      <x:c r="AR136" s="27"/>
      <x:c r="AS136" s="27"/>
      <x:c r="AT136" s="27"/>
      <x:c r="AU136" s="27"/>
      <x:c r="AV136" s="27"/>
      <x:c r="AW136" s="27"/>
      <x:c r="AX136" s="27"/>
      <x:c r="AY136" s="27"/>
      <x:c r="AZ136" s="27"/>
    </x:row>
    <x:row r="137">
      <x:c r="A137" s="27"/>
      <x:c r="B137" s="27"/>
      <x:c r="C137" s="27"/>
      <x:c r="D137" s="27"/>
      <x:c r="E137" s="27"/>
      <x:c r="F137" s="27"/>
      <x:c r="G137" s="27"/>
      <x:c r="H137" s="27"/>
      <x:c r="I137" s="27"/>
      <x:c r="J137" s="27"/>
      <x:c r="K137" s="27"/>
      <x:c r="L137" s="27"/>
      <x:c r="M137" s="27"/>
      <x:c r="N137" s="27"/>
      <x:c r="O137" s="27"/>
      <x:c r="P137" s="27"/>
      <x:c r="Q137" s="27"/>
      <x:c r="R137" s="27"/>
      <x:c r="S137" s="27"/>
      <x:c r="T137" s="27"/>
      <x:c r="U137" s="27"/>
      <x:c r="V137" s="27"/>
      <x:c r="W137" s="27"/>
      <x:c r="X137" s="27"/>
      <x:c r="Y137" s="27"/>
      <x:c r="Z137" s="27"/>
      <x:c r="AA137" s="27"/>
      <x:c r="AB137" s="27"/>
      <x:c r="AC137" s="27"/>
      <x:c r="AD137" s="27"/>
      <x:c r="AE137" s="27"/>
      <x:c r="AF137" s="27"/>
      <x:c r="AG137" s="27"/>
      <x:c r="AH137" s="27"/>
      <x:c r="AI137" s="27"/>
      <x:c r="AJ137" s="27"/>
      <x:c r="AK137" s="27"/>
      <x:c r="AL137" s="27"/>
      <x:c r="AM137" s="27"/>
      <x:c r="AN137" s="27"/>
      <x:c r="AO137" s="27"/>
      <x:c r="AP137" s="27"/>
      <x:c r="AQ137" s="27"/>
      <x:c r="AR137" s="27"/>
      <x:c r="AS137" s="27"/>
      <x:c r="AT137" s="27"/>
      <x:c r="AU137" s="27"/>
      <x:c r="AV137" s="27"/>
      <x:c r="AW137" s="27"/>
      <x:c r="AX137" s="27"/>
      <x:c r="AY137" s="27"/>
      <x:c r="AZ137" s="27"/>
    </x:row>
    <x:row r="138">
      <x:c r="A138" s="27"/>
      <x:c r="B138" s="27"/>
      <x:c r="C138" s="27"/>
      <x:c r="D138" s="27"/>
      <x:c r="E138" s="27"/>
      <x:c r="F138" s="27"/>
      <x:c r="G138" s="27"/>
      <x:c r="H138" s="27"/>
      <x:c r="I138" s="27"/>
      <x:c r="J138" s="27"/>
      <x:c r="K138" s="27"/>
      <x:c r="L138" s="27"/>
      <x:c r="M138" s="27"/>
      <x:c r="N138" s="27"/>
      <x:c r="O138" s="27"/>
      <x:c r="P138" s="27"/>
      <x:c r="Q138" s="27"/>
      <x:c r="R138" s="27"/>
      <x:c r="S138" s="27"/>
      <x:c r="T138" s="27"/>
      <x:c r="U138" s="27"/>
      <x:c r="V138" s="27"/>
      <x:c r="W138" s="27"/>
      <x:c r="X138" s="27"/>
      <x:c r="Y138" s="27"/>
      <x:c r="Z138" s="27"/>
      <x:c r="AA138" s="27"/>
      <x:c r="AB138" s="27"/>
      <x:c r="AC138" s="27"/>
      <x:c r="AD138" s="27"/>
      <x:c r="AE138" s="27"/>
      <x:c r="AF138" s="27"/>
      <x:c r="AG138" s="27"/>
      <x:c r="AH138" s="27"/>
      <x:c r="AI138" s="27"/>
      <x:c r="AJ138" s="27"/>
      <x:c r="AK138" s="27"/>
      <x:c r="AL138" s="27"/>
      <x:c r="AM138" s="27"/>
      <x:c r="AN138" s="27"/>
      <x:c r="AO138" s="27"/>
      <x:c r="AP138" s="27"/>
      <x:c r="AQ138" s="27"/>
      <x:c r="AR138" s="27"/>
      <x:c r="AS138" s="27"/>
      <x:c r="AT138" s="27"/>
      <x:c r="AU138" s="27"/>
      <x:c r="AV138" s="27"/>
      <x:c r="AW138" s="27"/>
      <x:c r="AX138" s="27"/>
      <x:c r="AY138" s="27"/>
      <x:c r="AZ138" s="27"/>
    </x:row>
    <x:row r="139">
      <x:c r="A139" s="27"/>
      <x:c r="B139" s="27"/>
      <x:c r="C139" s="27"/>
      <x:c r="D139" s="27"/>
      <x:c r="E139" s="27"/>
      <x:c r="F139" s="27"/>
      <x:c r="G139" s="27"/>
      <x:c r="H139" s="27"/>
      <x:c r="I139" s="27"/>
      <x:c r="J139" s="27"/>
      <x:c r="K139" s="27"/>
      <x:c r="L139" s="27"/>
      <x:c r="M139" s="27"/>
      <x:c r="N139" s="27"/>
      <x:c r="O139" s="27"/>
      <x:c r="P139" s="27"/>
      <x:c r="Q139" s="27"/>
      <x:c r="R139" s="27"/>
      <x:c r="S139" s="27"/>
      <x:c r="T139" s="27"/>
      <x:c r="U139" s="27"/>
      <x:c r="V139" s="27"/>
      <x:c r="W139" s="27"/>
      <x:c r="X139" s="27"/>
      <x:c r="Y139" s="27"/>
      <x:c r="Z139" s="27"/>
      <x:c r="AA139" s="27"/>
      <x:c r="AB139" s="27"/>
      <x:c r="AC139" s="27"/>
      <x:c r="AD139" s="27"/>
      <x:c r="AE139" s="27"/>
      <x:c r="AF139" s="27"/>
      <x:c r="AG139" s="27"/>
      <x:c r="AH139" s="27"/>
      <x:c r="AI139" s="27"/>
      <x:c r="AJ139" s="27"/>
      <x:c r="AK139" s="27"/>
      <x:c r="AL139" s="27"/>
      <x:c r="AM139" s="27"/>
      <x:c r="AN139" s="27"/>
      <x:c r="AO139" s="27"/>
      <x:c r="AP139" s="27"/>
      <x:c r="AQ139" s="27"/>
      <x:c r="AR139" s="27"/>
      <x:c r="AS139" s="27"/>
      <x:c r="AT139" s="27"/>
      <x:c r="AU139" s="27"/>
      <x:c r="AV139" s="27"/>
      <x:c r="AW139" s="27"/>
      <x:c r="AX139" s="27"/>
      <x:c r="AY139" s="27"/>
      <x:c r="AZ139" s="27"/>
    </x:row>
    <x:row r="140">
      <x:c r="A140" s="27"/>
      <x:c r="B140" s="27"/>
      <x:c r="C140" s="27"/>
      <x:c r="D140" s="27"/>
      <x:c r="E140" s="27"/>
      <x:c r="F140" s="27"/>
      <x:c r="G140" s="27"/>
      <x:c r="H140" s="27"/>
      <x:c r="I140" s="27"/>
      <x:c r="J140" s="27"/>
      <x:c r="K140" s="27"/>
      <x:c r="L140" s="27"/>
      <x:c r="M140" s="27"/>
      <x:c r="N140" s="27"/>
      <x:c r="O140" s="27"/>
      <x:c r="P140" s="27"/>
      <x:c r="Q140" s="27"/>
      <x:c r="R140" s="27"/>
      <x:c r="S140" s="27"/>
      <x:c r="T140" s="27"/>
      <x:c r="U140" s="27"/>
      <x:c r="V140" s="27"/>
      <x:c r="W140" s="27"/>
      <x:c r="X140" s="27"/>
      <x:c r="Y140" s="27"/>
      <x:c r="Z140" s="27"/>
      <x:c r="AA140" s="27"/>
      <x:c r="AB140" s="27"/>
      <x:c r="AC140" s="27"/>
      <x:c r="AD140" s="27"/>
      <x:c r="AE140" s="27"/>
      <x:c r="AF140" s="27"/>
      <x:c r="AG140" s="27"/>
      <x:c r="AH140" s="27"/>
      <x:c r="AI140" s="27"/>
      <x:c r="AJ140" s="27"/>
      <x:c r="AK140" s="27"/>
      <x:c r="AL140" s="27"/>
      <x:c r="AM140" s="27"/>
      <x:c r="AN140" s="27"/>
      <x:c r="AO140" s="27"/>
      <x:c r="AP140" s="27"/>
      <x:c r="AQ140" s="27"/>
      <x:c r="AR140" s="27"/>
      <x:c r="AS140" s="27"/>
      <x:c r="AT140" s="27"/>
      <x:c r="AU140" s="27"/>
      <x:c r="AV140" s="27"/>
      <x:c r="AW140" s="27"/>
      <x:c r="AX140" s="27"/>
      <x:c r="AY140" s="27"/>
      <x:c r="AZ140" s="27"/>
    </x:row>
    <x:row r="141">
      <x:c r="A141" s="27"/>
      <x:c r="B141" s="27"/>
      <x:c r="C141" s="27"/>
      <x:c r="D141" s="27"/>
      <x:c r="E141" s="27"/>
      <x:c r="F141" s="27"/>
      <x:c r="G141" s="27"/>
      <x:c r="H141" s="27"/>
      <x:c r="I141" s="27"/>
      <x:c r="J141" s="27"/>
      <x:c r="K141" s="27"/>
      <x:c r="L141" s="27"/>
      <x:c r="M141" s="27"/>
      <x:c r="N141" s="27"/>
      <x:c r="O141" s="27"/>
      <x:c r="P141" s="27"/>
      <x:c r="Q141" s="27"/>
      <x:c r="R141" s="27"/>
      <x:c r="S141" s="27"/>
      <x:c r="T141" s="27"/>
      <x:c r="U141" s="27"/>
      <x:c r="V141" s="27"/>
      <x:c r="W141" s="27"/>
      <x:c r="X141" s="27"/>
      <x:c r="Y141" s="27"/>
      <x:c r="Z141" s="27"/>
      <x:c r="AA141" s="27"/>
      <x:c r="AB141" s="27"/>
      <x:c r="AC141" s="27"/>
      <x:c r="AD141" s="27"/>
      <x:c r="AE141" s="27"/>
      <x:c r="AF141" s="27"/>
      <x:c r="AG141" s="27"/>
      <x:c r="AH141" s="27"/>
      <x:c r="AI141" s="27"/>
      <x:c r="AJ141" s="27"/>
      <x:c r="AK141" s="27"/>
      <x:c r="AL141" s="27"/>
      <x:c r="AM141" s="27"/>
      <x:c r="AN141" s="27"/>
      <x:c r="AO141" s="27"/>
      <x:c r="AP141" s="27"/>
      <x:c r="AQ141" s="27"/>
      <x:c r="AR141" s="27"/>
      <x:c r="AS141" s="27"/>
      <x:c r="AT141" s="27"/>
      <x:c r="AU141" s="27"/>
      <x:c r="AV141" s="27"/>
      <x:c r="AW141" s="27"/>
      <x:c r="AX141" s="27"/>
      <x:c r="AY141" s="27"/>
      <x:c r="AZ141" s="27"/>
    </x:row>
    <x:row r="142">
      <x:c r="A142" s="27"/>
      <x:c r="B142" s="27"/>
      <x:c r="C142" s="27"/>
      <x:c r="D142" s="27"/>
      <x:c r="E142" s="27"/>
      <x:c r="F142" s="27"/>
      <x:c r="G142" s="27"/>
      <x:c r="H142" s="27"/>
      <x:c r="I142" s="27"/>
      <x:c r="J142" s="27"/>
      <x:c r="K142" s="27"/>
      <x:c r="L142" s="27"/>
      <x:c r="M142" s="27"/>
      <x:c r="N142" s="27"/>
      <x:c r="O142" s="27"/>
      <x:c r="P142" s="27"/>
      <x:c r="Q142" s="27"/>
      <x:c r="R142" s="27"/>
      <x:c r="S142" s="27"/>
      <x:c r="T142" s="27"/>
      <x:c r="U142" s="27"/>
      <x:c r="V142" s="27"/>
      <x:c r="W142" s="27"/>
      <x:c r="X142" s="27"/>
      <x:c r="Y142" s="27"/>
      <x:c r="Z142" s="27"/>
      <x:c r="AA142" s="27"/>
      <x:c r="AB142" s="27"/>
      <x:c r="AC142" s="27"/>
      <x:c r="AD142" s="27"/>
      <x:c r="AE142" s="27"/>
      <x:c r="AF142" s="27"/>
      <x:c r="AG142" s="27"/>
      <x:c r="AH142" s="27"/>
      <x:c r="AI142" s="27"/>
      <x:c r="AJ142" s="27"/>
      <x:c r="AK142" s="27"/>
      <x:c r="AL142" s="27"/>
      <x:c r="AM142" s="27"/>
      <x:c r="AN142" s="27"/>
      <x:c r="AO142" s="27"/>
      <x:c r="AP142" s="27"/>
      <x:c r="AQ142" s="27"/>
      <x:c r="AR142" s="27"/>
      <x:c r="AS142" s="27"/>
      <x:c r="AT142" s="27"/>
      <x:c r="AU142" s="27"/>
      <x:c r="AV142" s="27"/>
      <x:c r="AW142" s="27"/>
      <x:c r="AX142" s="27"/>
      <x:c r="AY142" s="27"/>
      <x:c r="AZ142" s="27"/>
    </x:row>
    <x:row r="143">
      <x:c r="A143" s="27"/>
      <x:c r="B143" s="27"/>
      <x:c r="C143" s="27"/>
      <x:c r="D143" s="27"/>
      <x:c r="E143" s="27"/>
      <x:c r="F143" s="27"/>
      <x:c r="G143" s="27"/>
      <x:c r="H143" s="27"/>
      <x:c r="I143" s="27"/>
      <x:c r="J143" s="27"/>
      <x:c r="K143" s="27"/>
      <x:c r="L143" s="27"/>
      <x:c r="M143" s="27"/>
      <x:c r="N143" s="27"/>
      <x:c r="O143" s="27"/>
      <x:c r="P143" s="27"/>
      <x:c r="Q143" s="27"/>
      <x:c r="R143" s="27"/>
      <x:c r="S143" s="27"/>
      <x:c r="T143" s="27"/>
      <x:c r="U143" s="27"/>
      <x:c r="V143" s="27"/>
      <x:c r="W143" s="27"/>
      <x:c r="X143" s="27"/>
      <x:c r="Y143" s="27"/>
      <x:c r="Z143" s="27"/>
      <x:c r="AA143" s="27"/>
      <x:c r="AB143" s="27"/>
      <x:c r="AC143" s="27"/>
      <x:c r="AD143" s="27"/>
      <x:c r="AE143" s="27"/>
      <x:c r="AF143" s="27"/>
      <x:c r="AG143" s="27"/>
      <x:c r="AH143" s="27"/>
      <x:c r="AI143" s="27"/>
      <x:c r="AJ143" s="27"/>
      <x:c r="AK143" s="27"/>
      <x:c r="AL143" s="27"/>
      <x:c r="AM143" s="27"/>
      <x:c r="AN143" s="27"/>
      <x:c r="AO143" s="27"/>
      <x:c r="AP143" s="27"/>
      <x:c r="AQ143" s="27"/>
      <x:c r="AR143" s="27"/>
      <x:c r="AS143" s="27"/>
      <x:c r="AT143" s="27"/>
      <x:c r="AU143" s="27"/>
      <x:c r="AV143" s="27"/>
      <x:c r="AW143" s="27"/>
      <x:c r="AX143" s="27"/>
      <x:c r="AY143" s="27"/>
      <x:c r="AZ143" s="27"/>
    </x:row>
    <x:row r="144">
      <x:c r="A144" s="27"/>
      <x:c r="B144" s="27"/>
      <x:c r="C144" s="27"/>
      <x:c r="D144" s="27"/>
      <x:c r="E144" s="27"/>
      <x:c r="F144" s="27"/>
      <x:c r="G144" s="27"/>
      <x:c r="H144" s="27"/>
      <x:c r="I144" s="27"/>
      <x:c r="J144" s="27"/>
      <x:c r="K144" s="27"/>
      <x:c r="L144" s="27"/>
      <x:c r="M144" s="27"/>
      <x:c r="N144" s="27"/>
      <x:c r="O144" s="27"/>
      <x:c r="P144" s="27"/>
      <x:c r="Q144" s="27"/>
      <x:c r="R144" s="27"/>
      <x:c r="S144" s="27"/>
      <x:c r="T144" s="27"/>
      <x:c r="U144" s="27"/>
      <x:c r="V144" s="27"/>
      <x:c r="W144" s="27"/>
      <x:c r="X144" s="27"/>
      <x:c r="Y144" s="27"/>
      <x:c r="Z144" s="27"/>
      <x:c r="AA144" s="27"/>
      <x:c r="AB144" s="27"/>
      <x:c r="AC144" s="27"/>
      <x:c r="AD144" s="27"/>
      <x:c r="AE144" s="27"/>
      <x:c r="AF144" s="27"/>
      <x:c r="AG144" s="27"/>
      <x:c r="AH144" s="27"/>
      <x:c r="AI144" s="27"/>
      <x:c r="AJ144" s="27"/>
      <x:c r="AK144" s="27"/>
      <x:c r="AL144" s="27"/>
      <x:c r="AM144" s="27"/>
      <x:c r="AN144" s="27"/>
      <x:c r="AO144" s="27"/>
      <x:c r="AP144" s="27"/>
      <x:c r="AQ144" s="27"/>
      <x:c r="AR144" s="27"/>
      <x:c r="AS144" s="27"/>
      <x:c r="AT144" s="27"/>
      <x:c r="AU144" s="27"/>
      <x:c r="AV144" s="27"/>
      <x:c r="AW144" s="27"/>
      <x:c r="AX144" s="27"/>
      <x:c r="AY144" s="27"/>
      <x:c r="AZ144" s="27"/>
    </x:row>
    <x:row r="145">
      <x:c r="A145" s="27"/>
      <x:c r="B145" s="27"/>
      <x:c r="C145" s="27"/>
      <x:c r="D145" s="27"/>
      <x:c r="E145" s="27"/>
      <x:c r="F145" s="27"/>
      <x:c r="G145" s="27"/>
      <x:c r="H145" s="27"/>
      <x:c r="I145" s="27"/>
      <x:c r="J145" s="27"/>
      <x:c r="K145" s="27"/>
      <x:c r="L145" s="27"/>
      <x:c r="M145" s="27"/>
      <x:c r="N145" s="27"/>
      <x:c r="O145" s="27"/>
      <x:c r="P145" s="27"/>
      <x:c r="Q145" s="27"/>
      <x:c r="R145" s="27"/>
      <x:c r="S145" s="27"/>
      <x:c r="T145" s="27"/>
      <x:c r="U145" s="27"/>
      <x:c r="V145" s="27"/>
      <x:c r="W145" s="27"/>
      <x:c r="X145" s="27"/>
      <x:c r="Y145" s="27"/>
      <x:c r="Z145" s="27"/>
      <x:c r="AA145" s="27"/>
      <x:c r="AB145" s="27"/>
      <x:c r="AC145" s="27"/>
      <x:c r="AD145" s="27"/>
      <x:c r="AE145" s="27"/>
      <x:c r="AF145" s="27"/>
      <x:c r="AG145" s="27"/>
      <x:c r="AH145" s="27"/>
      <x:c r="AI145" s="27"/>
      <x:c r="AJ145" s="27"/>
      <x:c r="AK145" s="27"/>
      <x:c r="AL145" s="27"/>
      <x:c r="AM145" s="27"/>
      <x:c r="AN145" s="27"/>
      <x:c r="AO145" s="27"/>
      <x:c r="AP145" s="27"/>
      <x:c r="AQ145" s="27"/>
      <x:c r="AR145" s="27"/>
      <x:c r="AS145" s="27"/>
      <x:c r="AT145" s="27"/>
      <x:c r="AU145" s="27"/>
      <x:c r="AV145" s="27"/>
      <x:c r="AW145" s="27"/>
      <x:c r="AX145" s="27"/>
      <x:c r="AY145" s="27"/>
      <x:c r="AZ145" s="27"/>
    </x:row>
    <x:row r="146">
      <x:c r="A146" s="27"/>
      <x:c r="B146" s="27"/>
      <x:c r="C146" s="27"/>
      <x:c r="D146" s="27"/>
      <x:c r="E146" s="27"/>
      <x:c r="F146" s="27"/>
      <x:c r="G146" s="27"/>
      <x:c r="H146" s="27"/>
      <x:c r="I146" s="27"/>
      <x:c r="J146" s="27"/>
      <x:c r="K146" s="27"/>
      <x:c r="L146" s="27"/>
      <x:c r="M146" s="27"/>
      <x:c r="N146" s="27"/>
      <x:c r="O146" s="27"/>
      <x:c r="P146" s="27"/>
      <x:c r="Q146" s="27"/>
      <x:c r="R146" s="27"/>
      <x:c r="S146" s="27"/>
      <x:c r="T146" s="27"/>
      <x:c r="U146" s="27"/>
      <x:c r="V146" s="27"/>
      <x:c r="W146" s="27"/>
      <x:c r="X146" s="27"/>
      <x:c r="Y146" s="27"/>
      <x:c r="Z146" s="27"/>
      <x:c r="AA146" s="27"/>
      <x:c r="AB146" s="27"/>
      <x:c r="AC146" s="27"/>
      <x:c r="AD146" s="27"/>
      <x:c r="AE146" s="27"/>
      <x:c r="AF146" s="27"/>
      <x:c r="AG146" s="27"/>
      <x:c r="AH146" s="27"/>
      <x:c r="AI146" s="27"/>
      <x:c r="AJ146" s="27"/>
      <x:c r="AK146" s="27"/>
      <x:c r="AL146" s="27"/>
      <x:c r="AM146" s="27"/>
      <x:c r="AN146" s="27"/>
      <x:c r="AO146" s="27"/>
      <x:c r="AP146" s="27"/>
      <x:c r="AQ146" s="27"/>
      <x:c r="AR146" s="27"/>
      <x:c r="AS146" s="27"/>
      <x:c r="AT146" s="27"/>
      <x:c r="AU146" s="27"/>
      <x:c r="AV146" s="27"/>
      <x:c r="AW146" s="27"/>
      <x:c r="AX146" s="27"/>
      <x:c r="AY146" s="27"/>
      <x:c r="AZ146" s="27"/>
    </x:row>
    <x:row r="147">
      <x:c r="A147" s="27"/>
      <x:c r="B147" s="27"/>
      <x:c r="C147" s="27"/>
      <x:c r="D147" s="27"/>
      <x:c r="E147" s="27"/>
      <x:c r="F147" s="27"/>
      <x:c r="G147" s="27"/>
      <x:c r="H147" s="27"/>
      <x:c r="I147" s="27"/>
      <x:c r="J147" s="27"/>
      <x:c r="K147" s="27"/>
      <x:c r="L147" s="27"/>
      <x:c r="M147" s="27"/>
      <x:c r="N147" s="27"/>
      <x:c r="O147" s="27"/>
      <x:c r="P147" s="27"/>
      <x:c r="Q147" s="27"/>
      <x:c r="R147" s="27"/>
      <x:c r="S147" s="27"/>
      <x:c r="T147" s="27"/>
      <x:c r="U147" s="27"/>
      <x:c r="V147" s="27"/>
      <x:c r="W147" s="27"/>
      <x:c r="X147" s="27"/>
      <x:c r="Y147" s="27"/>
      <x:c r="Z147" s="27"/>
      <x:c r="AA147" s="27"/>
      <x:c r="AB147" s="27"/>
      <x:c r="AC147" s="27"/>
      <x:c r="AD147" s="27"/>
      <x:c r="AE147" s="27"/>
      <x:c r="AF147" s="27"/>
      <x:c r="AG147" s="27"/>
      <x:c r="AH147" s="27"/>
      <x:c r="AI147" s="27"/>
      <x:c r="AJ147" s="27"/>
      <x:c r="AK147" s="27"/>
      <x:c r="AL147" s="27"/>
      <x:c r="AM147" s="27"/>
      <x:c r="AN147" s="27"/>
      <x:c r="AO147" s="27"/>
      <x:c r="AP147" s="27"/>
      <x:c r="AQ147" s="27"/>
      <x:c r="AR147" s="27"/>
      <x:c r="AS147" s="27"/>
      <x:c r="AT147" s="27"/>
      <x:c r="AU147" s="27"/>
      <x:c r="AV147" s="27"/>
      <x:c r="AW147" s="27"/>
      <x:c r="AX147" s="27"/>
      <x:c r="AY147" s="27"/>
      <x:c r="AZ147" s="27"/>
    </x:row>
    <x:row r="148">
      <x:c r="A148" s="27"/>
      <x:c r="B148" s="27"/>
      <x:c r="C148" s="27"/>
      <x:c r="D148" s="27"/>
      <x:c r="E148" s="27"/>
      <x:c r="F148" s="27"/>
      <x:c r="G148" s="27"/>
      <x:c r="H148" s="27"/>
      <x:c r="I148" s="27"/>
      <x:c r="J148" s="27"/>
      <x:c r="K148" s="27"/>
      <x:c r="L148" s="27"/>
      <x:c r="M148" s="27"/>
      <x:c r="N148" s="27"/>
      <x:c r="O148" s="27"/>
      <x:c r="P148" s="27"/>
      <x:c r="Q148" s="27"/>
      <x:c r="R148" s="27"/>
      <x:c r="S148" s="27"/>
      <x:c r="T148" s="27"/>
      <x:c r="U148" s="27"/>
      <x:c r="V148" s="27"/>
      <x:c r="W148" s="27"/>
      <x:c r="X148" s="27"/>
      <x:c r="Y148" s="27"/>
      <x:c r="Z148" s="27"/>
      <x:c r="AA148" s="27"/>
      <x:c r="AB148" s="27"/>
      <x:c r="AC148" s="27"/>
      <x:c r="AD148" s="27"/>
      <x:c r="AE148" s="27"/>
      <x:c r="AF148" s="27"/>
      <x:c r="AG148" s="27"/>
      <x:c r="AH148" s="27"/>
      <x:c r="AI148" s="27"/>
      <x:c r="AJ148" s="27"/>
      <x:c r="AK148" s="27"/>
      <x:c r="AL148" s="27"/>
      <x:c r="AM148" s="27"/>
      <x:c r="AN148" s="27"/>
      <x:c r="AO148" s="27"/>
      <x:c r="AP148" s="27"/>
      <x:c r="AQ148" s="27"/>
      <x:c r="AR148" s="27"/>
      <x:c r="AS148" s="27"/>
      <x:c r="AT148" s="27"/>
      <x:c r="AU148" s="27"/>
      <x:c r="AV148" s="27"/>
      <x:c r="AW148" s="27"/>
      <x:c r="AX148" s="27"/>
      <x:c r="AY148" s="27"/>
      <x:c r="AZ148" s="27"/>
    </x:row>
    <x:row r="149">
      <x:c r="A149" s="27"/>
      <x:c r="B149" s="27"/>
      <x:c r="C149" s="27"/>
      <x:c r="D149" s="27"/>
      <x:c r="E149" s="27"/>
      <x:c r="F149" s="27"/>
      <x:c r="G149" s="27"/>
      <x:c r="H149" s="27"/>
      <x:c r="I149" s="27"/>
      <x:c r="J149" s="27"/>
      <x:c r="K149" s="27"/>
      <x:c r="L149" s="27"/>
      <x:c r="M149" s="27"/>
      <x:c r="N149" s="27"/>
      <x:c r="O149" s="27"/>
      <x:c r="P149" s="27"/>
      <x:c r="Q149" s="27"/>
      <x:c r="R149" s="27"/>
      <x:c r="S149" s="27"/>
      <x:c r="T149" s="27"/>
      <x:c r="U149" s="27"/>
      <x:c r="V149" s="27"/>
      <x:c r="W149" s="27"/>
      <x:c r="X149" s="27"/>
      <x:c r="Y149" s="27"/>
      <x:c r="Z149" s="27"/>
      <x:c r="AA149" s="27"/>
      <x:c r="AB149" s="27"/>
      <x:c r="AC149" s="27"/>
      <x:c r="AD149" s="27"/>
      <x:c r="AE149" s="27"/>
      <x:c r="AF149" s="27"/>
      <x:c r="AG149" s="27"/>
      <x:c r="AH149" s="27"/>
      <x:c r="AI149" s="27"/>
      <x:c r="AJ149" s="27"/>
      <x:c r="AK149" s="27"/>
      <x:c r="AL149" s="27"/>
      <x:c r="AM149" s="27"/>
      <x:c r="AN149" s="27"/>
      <x:c r="AO149" s="27"/>
      <x:c r="AP149" s="27"/>
      <x:c r="AQ149" s="27"/>
      <x:c r="AR149" s="27"/>
      <x:c r="AS149" s="27"/>
      <x:c r="AT149" s="27"/>
      <x:c r="AU149" s="27"/>
      <x:c r="AV149" s="27"/>
      <x:c r="AW149" s="27"/>
      <x:c r="AX149" s="27"/>
      <x:c r="AY149" s="27"/>
      <x:c r="AZ149" s="27"/>
    </x:row>
    <x:row r="150">
      <x:c r="A150" s="27"/>
      <x:c r="B150" s="27"/>
      <x:c r="C150" s="27"/>
      <x:c r="D150" s="27"/>
      <x:c r="E150" s="27"/>
      <x:c r="F150" s="27"/>
      <x:c r="G150" s="27"/>
      <x:c r="H150" s="27"/>
      <x:c r="I150" s="27"/>
      <x:c r="J150" s="27"/>
      <x:c r="K150" s="27"/>
      <x:c r="L150" s="27"/>
      <x:c r="M150" s="27"/>
      <x:c r="N150" s="27"/>
      <x:c r="O150" s="27"/>
      <x:c r="P150" s="27"/>
      <x:c r="Q150" s="27"/>
      <x:c r="R150" s="27"/>
      <x:c r="S150" s="27"/>
      <x:c r="T150" s="27"/>
      <x:c r="U150" s="27"/>
      <x:c r="V150" s="27"/>
      <x:c r="W150" s="27"/>
      <x:c r="X150" s="27"/>
      <x:c r="Y150" s="27"/>
      <x:c r="Z150" s="27"/>
      <x:c r="AA150" s="27"/>
      <x:c r="AB150" s="27"/>
      <x:c r="AC150" s="27"/>
      <x:c r="AD150" s="27"/>
      <x:c r="AE150" s="27"/>
      <x:c r="AF150" s="27"/>
      <x:c r="AG150" s="27"/>
      <x:c r="AH150" s="27"/>
      <x:c r="AI150" s="27"/>
      <x:c r="AJ150" s="27"/>
      <x:c r="AK150" s="27"/>
      <x:c r="AL150" s="27"/>
      <x:c r="AM150" s="27"/>
      <x:c r="AN150" s="27"/>
      <x:c r="AO150" s="27"/>
      <x:c r="AP150" s="27"/>
      <x:c r="AQ150" s="27"/>
      <x:c r="AR150" s="27"/>
      <x:c r="AS150" s="27"/>
      <x:c r="AT150" s="27"/>
      <x:c r="AU150" s="27"/>
      <x:c r="AV150" s="27"/>
      <x:c r="AW150" s="27"/>
      <x:c r="AX150" s="27"/>
      <x:c r="AY150" s="27"/>
      <x:c r="AZ150" s="27"/>
    </x:row>
    <x:row r="151">
      <x:c r="A151" s="27"/>
      <x:c r="B151" s="27"/>
      <x:c r="C151" s="27"/>
      <x:c r="D151" s="27"/>
      <x:c r="E151" s="27"/>
      <x:c r="F151" s="27"/>
      <x:c r="G151" s="27"/>
      <x:c r="H151" s="27"/>
      <x:c r="I151" s="27"/>
      <x:c r="J151" s="27"/>
      <x:c r="K151" s="27"/>
      <x:c r="L151" s="27"/>
      <x:c r="M151" s="27"/>
      <x:c r="N151" s="27"/>
      <x:c r="O151" s="27"/>
      <x:c r="P151" s="27"/>
      <x:c r="Q151" s="27"/>
      <x:c r="R151" s="27"/>
      <x:c r="S151" s="27"/>
      <x:c r="T151" s="27"/>
      <x:c r="U151" s="27"/>
      <x:c r="V151" s="27"/>
      <x:c r="W151" s="27"/>
      <x:c r="X151" s="27"/>
      <x:c r="Y151" s="27"/>
      <x:c r="Z151" s="27"/>
      <x:c r="AA151" s="27"/>
      <x:c r="AB151" s="27"/>
      <x:c r="AC151" s="27"/>
      <x:c r="AD151" s="27"/>
      <x:c r="AE151" s="27"/>
      <x:c r="AF151" s="27"/>
      <x:c r="AG151" s="27"/>
      <x:c r="AH151" s="27"/>
      <x:c r="AI151" s="27"/>
      <x:c r="AJ151" s="27"/>
      <x:c r="AK151" s="27"/>
      <x:c r="AL151" s="27"/>
      <x:c r="AM151" s="27"/>
      <x:c r="AN151" s="27"/>
      <x:c r="AO151" s="27"/>
      <x:c r="AP151" s="27"/>
      <x:c r="AQ151" s="27"/>
      <x:c r="AR151" s="27"/>
      <x:c r="AS151" s="27"/>
      <x:c r="AT151" s="27"/>
      <x:c r="AU151" s="27"/>
      <x:c r="AV151" s="27"/>
      <x:c r="AW151" s="27"/>
      <x:c r="AX151" s="27"/>
      <x:c r="AY151" s="27"/>
      <x:c r="AZ151" s="27"/>
    </x:row>
    <x:row r="152">
      <x:c r="A152" s="27"/>
      <x:c r="B152" s="27"/>
      <x:c r="C152" s="27"/>
      <x:c r="D152" s="27"/>
      <x:c r="E152" s="27"/>
      <x:c r="F152" s="27"/>
      <x:c r="G152" s="27"/>
      <x:c r="H152" s="27"/>
      <x:c r="I152" s="27"/>
      <x:c r="J152" s="27"/>
      <x:c r="K152" s="27"/>
      <x:c r="L152" s="27"/>
      <x:c r="M152" s="27"/>
      <x:c r="N152" s="27"/>
      <x:c r="O152" s="27"/>
      <x:c r="P152" s="27"/>
      <x:c r="Q152" s="27"/>
      <x:c r="R152" s="27"/>
      <x:c r="S152" s="27"/>
      <x:c r="T152" s="27"/>
      <x:c r="U152" s="27"/>
      <x:c r="V152" s="27"/>
      <x:c r="W152" s="27"/>
      <x:c r="X152" s="27"/>
      <x:c r="Y152" s="27"/>
      <x:c r="Z152" s="27"/>
      <x:c r="AA152" s="27"/>
      <x:c r="AB152" s="27"/>
      <x:c r="AC152" s="27"/>
      <x:c r="AD152" s="27"/>
      <x:c r="AE152" s="27"/>
      <x:c r="AF152" s="27"/>
      <x:c r="AG152" s="27"/>
      <x:c r="AH152" s="27"/>
      <x:c r="AI152" s="27"/>
      <x:c r="AJ152" s="27"/>
      <x:c r="AK152" s="27"/>
      <x:c r="AL152" s="27"/>
      <x:c r="AM152" s="27"/>
      <x:c r="AN152" s="27"/>
      <x:c r="AO152" s="27"/>
      <x:c r="AP152" s="27"/>
      <x:c r="AQ152" s="27"/>
      <x:c r="AR152" s="27"/>
      <x:c r="AS152" s="27"/>
      <x:c r="AT152" s="27"/>
      <x:c r="AU152" s="27"/>
      <x:c r="AV152" s="27"/>
      <x:c r="AW152" s="27"/>
      <x:c r="AX152" s="27"/>
      <x:c r="AY152" s="27"/>
      <x:c r="AZ152" s="27"/>
    </x:row>
    <x:row r="153">
      <x:c r="A153" s="27"/>
      <x:c r="B153" s="27"/>
      <x:c r="C153" s="27"/>
      <x:c r="D153" s="27"/>
      <x:c r="E153" s="27"/>
      <x:c r="F153" s="27"/>
      <x:c r="G153" s="27"/>
      <x:c r="H153" s="27"/>
      <x:c r="I153" s="27"/>
      <x:c r="J153" s="27"/>
      <x:c r="K153" s="27"/>
      <x:c r="L153" s="27"/>
      <x:c r="M153" s="27"/>
      <x:c r="N153" s="27"/>
      <x:c r="O153" s="27"/>
      <x:c r="P153" s="27"/>
      <x:c r="Q153" s="27"/>
      <x:c r="R153" s="27"/>
      <x:c r="S153" s="27"/>
      <x:c r="T153" s="27"/>
      <x:c r="U153" s="27"/>
      <x:c r="V153" s="27"/>
      <x:c r="W153" s="27"/>
      <x:c r="X153" s="27"/>
      <x:c r="Y153" s="27"/>
      <x:c r="Z153" s="27"/>
      <x:c r="AA153" s="27"/>
      <x:c r="AB153" s="27"/>
      <x:c r="AC153" s="27"/>
      <x:c r="AD153" s="27"/>
      <x:c r="AE153" s="27"/>
      <x:c r="AF153" s="27"/>
      <x:c r="AG153" s="27"/>
      <x:c r="AH153" s="27"/>
      <x:c r="AI153" s="27"/>
      <x:c r="AJ153" s="27"/>
      <x:c r="AK153" s="27"/>
      <x:c r="AL153" s="27"/>
      <x:c r="AM153" s="27"/>
      <x:c r="AN153" s="27"/>
      <x:c r="AO153" s="27"/>
      <x:c r="AP153" s="27"/>
      <x:c r="AQ153" s="27"/>
      <x:c r="AR153" s="27"/>
      <x:c r="AS153" s="27"/>
      <x:c r="AT153" s="27"/>
      <x:c r="AU153" s="27"/>
      <x:c r="AV153" s="27"/>
      <x:c r="AW153" s="27"/>
      <x:c r="AX153" s="27"/>
      <x:c r="AY153" s="27"/>
      <x:c r="AZ153" s="27"/>
    </x:row>
    <x:row r="154">
      <x:c r="A154" s="27"/>
      <x:c r="B154" s="27"/>
      <x:c r="C154" s="27"/>
      <x:c r="D154" s="27"/>
      <x:c r="E154" s="27"/>
      <x:c r="F154" s="27"/>
      <x:c r="G154" s="27"/>
      <x:c r="H154" s="27"/>
      <x:c r="I154" s="27"/>
      <x:c r="J154" s="27"/>
      <x:c r="K154" s="27"/>
      <x:c r="L154" s="27"/>
      <x:c r="M154" s="27"/>
      <x:c r="N154" s="27"/>
      <x:c r="O154" s="27"/>
      <x:c r="P154" s="27"/>
      <x:c r="Q154" s="27"/>
      <x:c r="R154" s="27"/>
      <x:c r="S154" s="27"/>
      <x:c r="T154" s="27"/>
      <x:c r="U154" s="27"/>
      <x:c r="V154" s="27"/>
      <x:c r="W154" s="27"/>
      <x:c r="X154" s="27"/>
      <x:c r="Y154" s="27"/>
      <x:c r="Z154" s="27"/>
      <x:c r="AA154" s="27"/>
      <x:c r="AB154" s="27"/>
      <x:c r="AC154" s="27"/>
      <x:c r="AD154" s="27"/>
      <x:c r="AE154" s="27"/>
      <x:c r="AF154" s="27"/>
      <x:c r="AG154" s="27"/>
      <x:c r="AH154" s="27"/>
      <x:c r="AI154" s="27"/>
      <x:c r="AJ154" s="27"/>
      <x:c r="AK154" s="27"/>
      <x:c r="AL154" s="27"/>
      <x:c r="AM154" s="27"/>
      <x:c r="AN154" s="27"/>
      <x:c r="AO154" s="27"/>
      <x:c r="AP154" s="27"/>
      <x:c r="AQ154" s="27"/>
      <x:c r="AR154" s="27"/>
      <x:c r="AS154" s="27"/>
      <x:c r="AT154" s="27"/>
      <x:c r="AU154" s="27"/>
      <x:c r="AV154" s="27"/>
      <x:c r="AW154" s="27"/>
      <x:c r="AX154" s="27"/>
      <x:c r="AY154" s="27"/>
      <x:c r="AZ154" s="27"/>
    </x:row>
    <x:row r="155">
      <x:c r="A155" s="27"/>
      <x:c r="B155" s="27"/>
      <x:c r="C155" s="27"/>
      <x:c r="D155" s="27"/>
      <x:c r="E155" s="27"/>
      <x:c r="F155" s="27"/>
      <x:c r="G155" s="27"/>
      <x:c r="H155" s="27"/>
      <x:c r="I155" s="27"/>
      <x:c r="J155" s="27"/>
      <x:c r="K155" s="27"/>
      <x:c r="L155" s="27"/>
      <x:c r="M155" s="27"/>
      <x:c r="N155" s="27"/>
      <x:c r="O155" s="27"/>
      <x:c r="P155" s="27"/>
      <x:c r="Q155" s="27"/>
      <x:c r="R155" s="27"/>
      <x:c r="S155" s="27"/>
      <x:c r="T155" s="27"/>
      <x:c r="U155" s="27"/>
      <x:c r="V155" s="27"/>
      <x:c r="W155" s="27"/>
      <x:c r="X155" s="27"/>
      <x:c r="Y155" s="27"/>
      <x:c r="Z155" s="27"/>
      <x:c r="AA155" s="27"/>
      <x:c r="AB155" s="27"/>
      <x:c r="AC155" s="27"/>
      <x:c r="AD155" s="27"/>
      <x:c r="AE155" s="27"/>
      <x:c r="AF155" s="27"/>
      <x:c r="AG155" s="27"/>
      <x:c r="AH155" s="27"/>
      <x:c r="AI155" s="27"/>
      <x:c r="AJ155" s="27"/>
      <x:c r="AK155" s="27"/>
      <x:c r="AL155" s="27"/>
      <x:c r="AM155" s="27"/>
      <x:c r="AN155" s="27"/>
      <x:c r="AO155" s="27"/>
      <x:c r="AP155" s="27"/>
      <x:c r="AQ155" s="27"/>
      <x:c r="AR155" s="27"/>
      <x:c r="AS155" s="27"/>
      <x:c r="AT155" s="27"/>
      <x:c r="AU155" s="27"/>
      <x:c r="AV155" s="27"/>
      <x:c r="AW155" s="27"/>
      <x:c r="AX155" s="27"/>
      <x:c r="AY155" s="27"/>
      <x:c r="AZ155" s="27"/>
    </x:row>
    <x:row r="156">
      <x:c r="A156" s="27"/>
      <x:c r="B156" s="27"/>
      <x:c r="C156" s="27"/>
      <x:c r="D156" s="27"/>
      <x:c r="E156" s="27"/>
      <x:c r="F156" s="27"/>
      <x:c r="G156" s="27"/>
      <x:c r="H156" s="27"/>
      <x:c r="I156" s="27"/>
      <x:c r="J156" s="27"/>
      <x:c r="K156" s="27"/>
      <x:c r="L156" s="27"/>
      <x:c r="M156" s="27"/>
      <x:c r="N156" s="27"/>
      <x:c r="O156" s="27"/>
      <x:c r="P156" s="27"/>
      <x:c r="Q156" s="27"/>
      <x:c r="R156" s="27"/>
      <x:c r="S156" s="27"/>
      <x:c r="T156" s="27"/>
      <x:c r="U156" s="27"/>
      <x:c r="V156" s="27"/>
      <x:c r="W156" s="27"/>
      <x:c r="X156" s="27"/>
      <x:c r="Y156" s="27"/>
      <x:c r="Z156" s="27"/>
      <x:c r="AA156" s="27"/>
      <x:c r="AB156" s="27"/>
      <x:c r="AC156" s="27"/>
      <x:c r="AD156" s="27"/>
      <x:c r="AE156" s="27"/>
      <x:c r="AF156" s="27"/>
      <x:c r="AG156" s="27"/>
      <x:c r="AH156" s="27"/>
      <x:c r="AI156" s="27"/>
      <x:c r="AJ156" s="27"/>
      <x:c r="AK156" s="27"/>
      <x:c r="AL156" s="27"/>
      <x:c r="AM156" s="27"/>
      <x:c r="AN156" s="27"/>
      <x:c r="AO156" s="27"/>
      <x:c r="AP156" s="27"/>
      <x:c r="AQ156" s="27"/>
      <x:c r="AR156" s="27"/>
      <x:c r="AS156" s="27"/>
      <x:c r="AT156" s="27"/>
      <x:c r="AU156" s="27"/>
      <x:c r="AV156" s="27"/>
      <x:c r="AW156" s="27"/>
      <x:c r="AX156" s="27"/>
      <x:c r="AY156" s="27"/>
      <x:c r="AZ156" s="27"/>
    </x:row>
    <x:row r="157">
      <x:c r="A157" s="27"/>
      <x:c r="B157" s="27"/>
      <x:c r="C157" s="27"/>
      <x:c r="D157" s="27"/>
      <x:c r="E157" s="27"/>
      <x:c r="F157" s="27"/>
      <x:c r="G157" s="27"/>
      <x:c r="H157" s="27"/>
      <x:c r="I157" s="27"/>
      <x:c r="J157" s="27"/>
      <x:c r="K157" s="27"/>
      <x:c r="L157" s="27"/>
      <x:c r="M157" s="27"/>
      <x:c r="N157" s="27"/>
      <x:c r="O157" s="27"/>
      <x:c r="P157" s="27"/>
      <x:c r="Q157" s="27"/>
      <x:c r="R157" s="27"/>
      <x:c r="S157" s="27"/>
      <x:c r="T157" s="27"/>
      <x:c r="U157" s="27"/>
      <x:c r="V157" s="27"/>
      <x:c r="W157" s="27"/>
      <x:c r="X157" s="27"/>
      <x:c r="Y157" s="27"/>
      <x:c r="Z157" s="27"/>
      <x:c r="AA157" s="27"/>
      <x:c r="AB157" s="27"/>
      <x:c r="AC157" s="27"/>
      <x:c r="AD157" s="27"/>
      <x:c r="AE157" s="27"/>
      <x:c r="AF157" s="27"/>
      <x:c r="AG157" s="27"/>
      <x:c r="AH157" s="27"/>
      <x:c r="AI157" s="27"/>
      <x:c r="AJ157" s="27"/>
      <x:c r="AK157" s="27"/>
      <x:c r="AL157" s="27"/>
      <x:c r="AM157" s="27"/>
      <x:c r="AN157" s="27"/>
      <x:c r="AO157" s="27"/>
      <x:c r="AP157" s="27"/>
      <x:c r="AQ157" s="27"/>
      <x:c r="AR157" s="27"/>
      <x:c r="AS157" s="27"/>
      <x:c r="AT157" s="27"/>
      <x:c r="AU157" s="27"/>
      <x:c r="AV157" s="27"/>
      <x:c r="AW157" s="27"/>
      <x:c r="AX157" s="27"/>
      <x:c r="AY157" s="27"/>
      <x:c r="AZ157" s="27"/>
    </x:row>
    <x:row r="158">
      <x:c r="A158" s="27"/>
      <x:c r="B158" s="27"/>
      <x:c r="C158" s="27"/>
      <x:c r="D158" s="27"/>
      <x:c r="E158" s="27"/>
      <x:c r="F158" s="27"/>
      <x:c r="G158" s="27"/>
      <x:c r="H158" s="27"/>
      <x:c r="I158" s="27"/>
      <x:c r="J158" s="27"/>
      <x:c r="K158" s="27"/>
      <x:c r="L158" s="27"/>
      <x:c r="M158" s="27"/>
      <x:c r="N158" s="27"/>
      <x:c r="O158" s="27"/>
      <x:c r="P158" s="27"/>
      <x:c r="Q158" s="27"/>
      <x:c r="R158" s="27"/>
      <x:c r="S158" s="27"/>
      <x:c r="T158" s="27"/>
      <x:c r="U158" s="27"/>
      <x:c r="V158" s="27"/>
      <x:c r="W158" s="27"/>
      <x:c r="X158" s="27"/>
      <x:c r="Y158" s="27"/>
      <x:c r="Z158" s="27"/>
      <x:c r="AA158" s="27"/>
      <x:c r="AB158" s="27"/>
      <x:c r="AC158" s="27"/>
      <x:c r="AD158" s="27"/>
      <x:c r="AE158" s="27"/>
      <x:c r="AF158" s="27"/>
      <x:c r="AG158" s="27"/>
      <x:c r="AH158" s="27"/>
      <x:c r="AI158" s="27"/>
      <x:c r="AJ158" s="27"/>
      <x:c r="AK158" s="27"/>
      <x:c r="AL158" s="27"/>
      <x:c r="AM158" s="27"/>
      <x:c r="AN158" s="27"/>
      <x:c r="AO158" s="27"/>
      <x:c r="AP158" s="27"/>
      <x:c r="AQ158" s="27"/>
      <x:c r="AR158" s="27"/>
      <x:c r="AS158" s="27"/>
      <x:c r="AT158" s="27"/>
      <x:c r="AU158" s="27"/>
      <x:c r="AV158" s="27"/>
      <x:c r="AW158" s="27"/>
      <x:c r="AX158" s="27"/>
      <x:c r="AY158" s="27"/>
      <x:c r="AZ158" s="27"/>
    </x:row>
    <x:row r="159">
      <x:c r="A159" s="27"/>
      <x:c r="B159" s="27"/>
      <x:c r="C159" s="27"/>
      <x:c r="D159" s="27"/>
      <x:c r="E159" s="27"/>
      <x:c r="F159" s="27"/>
      <x:c r="G159" s="27"/>
      <x:c r="H159" s="27"/>
      <x:c r="I159" s="27"/>
      <x:c r="J159" s="27"/>
      <x:c r="K159" s="27"/>
      <x:c r="L159" s="27"/>
      <x:c r="M159" s="27"/>
      <x:c r="N159" s="27"/>
      <x:c r="O159" s="27"/>
      <x:c r="P159" s="27"/>
      <x:c r="Q159" s="27"/>
      <x:c r="R159" s="27"/>
      <x:c r="S159" s="27"/>
      <x:c r="T159" s="27"/>
      <x:c r="U159" s="27"/>
      <x:c r="V159" s="27"/>
      <x:c r="W159" s="27"/>
      <x:c r="X159" s="27"/>
      <x:c r="Y159" s="27"/>
      <x:c r="Z159" s="27"/>
      <x:c r="AA159" s="27"/>
      <x:c r="AB159" s="27"/>
      <x:c r="AC159" s="27"/>
      <x:c r="AD159" s="27"/>
      <x:c r="AE159" s="27"/>
      <x:c r="AF159" s="27"/>
      <x:c r="AG159" s="27"/>
      <x:c r="AH159" s="27"/>
      <x:c r="AI159" s="27"/>
      <x:c r="AJ159" s="27"/>
      <x:c r="AK159" s="27"/>
      <x:c r="AL159" s="27"/>
      <x:c r="AM159" s="27"/>
      <x:c r="AN159" s="27"/>
      <x:c r="AO159" s="27"/>
      <x:c r="AP159" s="27"/>
      <x:c r="AQ159" s="27"/>
      <x:c r="AR159" s="27"/>
      <x:c r="AS159" s="27"/>
      <x:c r="AT159" s="27"/>
      <x:c r="AU159" s="27"/>
      <x:c r="AV159" s="27"/>
      <x:c r="AW159" s="27"/>
      <x:c r="AX159" s="27"/>
      <x:c r="AY159" s="27"/>
      <x:c r="AZ159" s="27"/>
    </x:row>
    <x:row r="160">
      <x:c r="A160" s="27"/>
      <x:c r="B160" s="27"/>
      <x:c r="C160" s="27"/>
      <x:c r="D160" s="27"/>
      <x:c r="E160" s="27"/>
      <x:c r="F160" s="27"/>
      <x:c r="G160" s="27"/>
      <x:c r="H160" s="27"/>
      <x:c r="I160" s="27"/>
      <x:c r="J160" s="27"/>
      <x:c r="K160" s="27"/>
      <x:c r="L160" s="27"/>
      <x:c r="M160" s="27"/>
      <x:c r="N160" s="27"/>
      <x:c r="O160" s="27"/>
      <x:c r="P160" s="27"/>
      <x:c r="Q160" s="27"/>
      <x:c r="R160" s="27"/>
      <x:c r="S160" s="27"/>
      <x:c r="T160" s="27"/>
      <x:c r="U160" s="27"/>
      <x:c r="V160" s="27"/>
      <x:c r="W160" s="27"/>
      <x:c r="X160" s="27"/>
      <x:c r="Y160" s="27"/>
      <x:c r="Z160" s="27"/>
      <x:c r="AA160" s="27"/>
      <x:c r="AB160" s="27"/>
      <x:c r="AC160" s="27"/>
      <x:c r="AD160" s="27"/>
      <x:c r="AE160" s="27"/>
      <x:c r="AF160" s="27"/>
      <x:c r="AG160" s="27"/>
      <x:c r="AH160" s="27"/>
      <x:c r="AI160" s="27"/>
      <x:c r="AJ160" s="27"/>
      <x:c r="AK160" s="27"/>
      <x:c r="AL160" s="27"/>
      <x:c r="AM160" s="27"/>
      <x:c r="AN160" s="27"/>
      <x:c r="AO160" s="27"/>
      <x:c r="AP160" s="27"/>
      <x:c r="AQ160" s="27"/>
      <x:c r="AR160" s="27"/>
      <x:c r="AS160" s="27"/>
      <x:c r="AT160" s="27"/>
      <x:c r="AU160" s="27"/>
      <x:c r="AV160" s="27"/>
      <x:c r="AW160" s="27"/>
      <x:c r="AX160" s="27"/>
      <x:c r="AY160" s="27"/>
      <x:c r="AZ160" s="27"/>
    </x:row>
    <x:row r="161">
      <x:c r="A161" s="27"/>
      <x:c r="B161" s="27"/>
      <x:c r="C161" s="27"/>
      <x:c r="D161" s="27"/>
      <x:c r="E161" s="27"/>
      <x:c r="F161" s="27"/>
      <x:c r="G161" s="27"/>
      <x:c r="H161" s="27"/>
      <x:c r="I161" s="27"/>
      <x:c r="J161" s="27"/>
      <x:c r="K161" s="27"/>
      <x:c r="L161" s="27"/>
      <x:c r="M161" s="27"/>
      <x:c r="N161" s="27"/>
      <x:c r="O161" s="27"/>
      <x:c r="P161" s="27"/>
      <x:c r="Q161" s="27"/>
      <x:c r="R161" s="27"/>
      <x:c r="S161" s="27"/>
      <x:c r="T161" s="27"/>
      <x:c r="U161" s="27"/>
      <x:c r="V161" s="27"/>
      <x:c r="W161" s="27"/>
      <x:c r="X161" s="27"/>
      <x:c r="Y161" s="27"/>
      <x:c r="Z161" s="27"/>
      <x:c r="AA161" s="27"/>
      <x:c r="AB161" s="27"/>
      <x:c r="AC161" s="27"/>
      <x:c r="AD161" s="27"/>
      <x:c r="AE161" s="27"/>
      <x:c r="AF161" s="27"/>
      <x:c r="AG161" s="27"/>
      <x:c r="AH161" s="27"/>
      <x:c r="AI161" s="27"/>
      <x:c r="AJ161" s="27"/>
      <x:c r="AK161" s="27"/>
      <x:c r="AL161" s="27"/>
      <x:c r="AM161" s="27"/>
      <x:c r="AN161" s="27"/>
      <x:c r="AO161" s="27"/>
      <x:c r="AP161" s="27"/>
      <x:c r="AQ161" s="27"/>
      <x:c r="AR161" s="27"/>
      <x:c r="AS161" s="27"/>
      <x:c r="AT161" s="27"/>
      <x:c r="AU161" s="27"/>
      <x:c r="AV161" s="27"/>
      <x:c r="AW161" s="27"/>
      <x:c r="AX161" s="27"/>
      <x:c r="AY161" s="27"/>
      <x:c r="AZ161" s="27"/>
    </x:row>
    <x:row r="162">
      <x:c r="A162" s="27"/>
      <x:c r="B162" s="27"/>
      <x:c r="C162" s="27"/>
      <x:c r="D162" s="27"/>
      <x:c r="E162" s="27"/>
      <x:c r="F162" s="27"/>
      <x:c r="G162" s="27"/>
      <x:c r="H162" s="27"/>
      <x:c r="I162" s="27"/>
      <x:c r="J162" s="27"/>
      <x:c r="K162" s="27"/>
      <x:c r="L162" s="27"/>
      <x:c r="M162" s="27"/>
      <x:c r="N162" s="27"/>
      <x:c r="O162" s="27"/>
      <x:c r="P162" s="27"/>
      <x:c r="Q162" s="27"/>
      <x:c r="R162" s="27"/>
      <x:c r="S162" s="27"/>
      <x:c r="T162" s="27"/>
      <x:c r="U162" s="27"/>
      <x:c r="V162" s="27"/>
      <x:c r="W162" s="27"/>
      <x:c r="X162" s="27"/>
      <x:c r="Y162" s="27"/>
      <x:c r="Z162" s="27"/>
      <x:c r="AA162" s="27"/>
      <x:c r="AB162" s="27"/>
      <x:c r="AC162" s="27"/>
      <x:c r="AD162" s="27"/>
      <x:c r="AE162" s="27"/>
      <x:c r="AF162" s="27"/>
      <x:c r="AG162" s="27"/>
      <x:c r="AH162" s="27"/>
      <x:c r="AI162" s="27"/>
      <x:c r="AJ162" s="27"/>
      <x:c r="AK162" s="27"/>
      <x:c r="AL162" s="27"/>
      <x:c r="AM162" s="27"/>
      <x:c r="AN162" s="27"/>
      <x:c r="AO162" s="27"/>
      <x:c r="AP162" s="27"/>
      <x:c r="AQ162" s="27"/>
      <x:c r="AR162" s="27"/>
      <x:c r="AS162" s="27"/>
      <x:c r="AT162" s="27"/>
      <x:c r="AU162" s="27"/>
      <x:c r="AV162" s="27"/>
      <x:c r="AW162" s="27"/>
      <x:c r="AX162" s="27"/>
      <x:c r="AY162" s="27"/>
      <x:c r="AZ162" s="27"/>
    </x:row>
    <x:row r="163">
      <x:c r="A163" s="27"/>
      <x:c r="B163" s="27"/>
      <x:c r="C163" s="27"/>
      <x:c r="D163" s="27"/>
      <x:c r="E163" s="27"/>
      <x:c r="F163" s="27"/>
      <x:c r="G163" s="27"/>
      <x:c r="H163" s="27"/>
      <x:c r="I163" s="27"/>
      <x:c r="J163" s="27"/>
      <x:c r="K163" s="27"/>
      <x:c r="L163" s="27"/>
      <x:c r="M163" s="27"/>
      <x:c r="N163" s="27"/>
      <x:c r="O163" s="27"/>
      <x:c r="P163" s="27"/>
      <x:c r="Q163" s="27"/>
      <x:c r="R163" s="27"/>
      <x:c r="S163" s="27"/>
      <x:c r="T163" s="27"/>
      <x:c r="U163" s="27"/>
      <x:c r="V163" s="27"/>
      <x:c r="W163" s="27"/>
      <x:c r="X163" s="27"/>
      <x:c r="Y163" s="27"/>
      <x:c r="Z163" s="27"/>
      <x:c r="AA163" s="27"/>
      <x:c r="AB163" s="27"/>
      <x:c r="AC163" s="27"/>
      <x:c r="AD163" s="27"/>
      <x:c r="AE163" s="27"/>
      <x:c r="AF163" s="27"/>
      <x:c r="AG163" s="27"/>
      <x:c r="AH163" s="27"/>
      <x:c r="AI163" s="27"/>
      <x:c r="AJ163" s="27"/>
      <x:c r="AK163" s="27"/>
      <x:c r="AL163" s="27"/>
      <x:c r="AM163" s="27"/>
      <x:c r="AN163" s="27"/>
      <x:c r="AO163" s="27"/>
      <x:c r="AP163" s="27"/>
      <x:c r="AQ163" s="27"/>
      <x:c r="AR163" s="27"/>
      <x:c r="AS163" s="27"/>
      <x:c r="AT163" s="27"/>
      <x:c r="AU163" s="27"/>
      <x:c r="AV163" s="27"/>
      <x:c r="AW163" s="27"/>
      <x:c r="AX163" s="27"/>
      <x:c r="AY163" s="27"/>
      <x:c r="AZ163" s="27"/>
    </x:row>
    <x:row r="164">
      <x:c r="A164" s="27"/>
      <x:c r="B164" s="27"/>
      <x:c r="C164" s="27"/>
      <x:c r="D164" s="27"/>
      <x:c r="E164" s="27"/>
      <x:c r="F164" s="27"/>
      <x:c r="G164" s="27"/>
      <x:c r="H164" s="27"/>
      <x:c r="I164" s="27"/>
      <x:c r="J164" s="27"/>
      <x:c r="K164" s="27"/>
      <x:c r="L164" s="27"/>
      <x:c r="M164" s="27"/>
      <x:c r="N164" s="27"/>
      <x:c r="O164" s="27"/>
      <x:c r="P164" s="27"/>
      <x:c r="Q164" s="27"/>
      <x:c r="R164" s="27"/>
      <x:c r="S164" s="27"/>
      <x:c r="T164" s="27"/>
      <x:c r="U164" s="27"/>
      <x:c r="V164" s="27"/>
      <x:c r="W164" s="27"/>
      <x:c r="X164" s="27"/>
      <x:c r="Y164" s="27"/>
      <x:c r="Z164" s="27"/>
      <x:c r="AA164" s="27"/>
      <x:c r="AB164" s="27"/>
      <x:c r="AC164" s="27"/>
      <x:c r="AD164" s="27"/>
      <x:c r="AE164" s="27"/>
      <x:c r="AF164" s="27"/>
      <x:c r="AG164" s="27"/>
      <x:c r="AH164" s="27"/>
      <x:c r="AI164" s="27"/>
      <x:c r="AJ164" s="27"/>
      <x:c r="AK164" s="27"/>
      <x:c r="AL164" s="27"/>
      <x:c r="AM164" s="27"/>
      <x:c r="AN164" s="27"/>
      <x:c r="AO164" s="27"/>
      <x:c r="AP164" s="27"/>
      <x:c r="AQ164" s="27"/>
      <x:c r="AR164" s="27"/>
      <x:c r="AS164" s="27"/>
      <x:c r="AT164" s="27"/>
      <x:c r="AU164" s="27"/>
      <x:c r="AV164" s="27"/>
      <x:c r="AW164" s="27"/>
      <x:c r="AX164" s="27"/>
      <x:c r="AY164" s="27"/>
      <x:c r="AZ164" s="27"/>
    </x:row>
    <x:row r="165">
      <x:c r="A165" s="27"/>
      <x:c r="B165" s="27"/>
      <x:c r="C165" s="27"/>
      <x:c r="D165" s="27"/>
      <x:c r="E165" s="27"/>
      <x:c r="F165" s="27"/>
      <x:c r="G165" s="27"/>
      <x:c r="H165" s="27"/>
      <x:c r="I165" s="27"/>
      <x:c r="J165" s="27"/>
      <x:c r="K165" s="27"/>
      <x:c r="L165" s="27"/>
      <x:c r="M165" s="27"/>
      <x:c r="N165" s="27"/>
      <x:c r="O165" s="27"/>
      <x:c r="P165" s="27"/>
      <x:c r="Q165" s="27"/>
      <x:c r="R165" s="27"/>
      <x:c r="S165" s="27"/>
      <x:c r="T165" s="27"/>
      <x:c r="U165" s="27"/>
      <x:c r="V165" s="27"/>
      <x:c r="W165" s="27"/>
      <x:c r="X165" s="27"/>
      <x:c r="Y165" s="27"/>
      <x:c r="Z165" s="27"/>
      <x:c r="AA165" s="27"/>
      <x:c r="AB165" s="27"/>
      <x:c r="AC165" s="27"/>
      <x:c r="AD165" s="27"/>
      <x:c r="AE165" s="27"/>
      <x:c r="AF165" s="27"/>
      <x:c r="AG165" s="27"/>
      <x:c r="AH165" s="27"/>
      <x:c r="AI165" s="27"/>
      <x:c r="AJ165" s="27"/>
      <x:c r="AK165" s="27"/>
      <x:c r="AL165" s="27"/>
      <x:c r="AM165" s="27"/>
      <x:c r="AN165" s="27"/>
      <x:c r="AO165" s="27"/>
      <x:c r="AP165" s="27"/>
      <x:c r="AQ165" s="27"/>
      <x:c r="AR165" s="27"/>
      <x:c r="AS165" s="27"/>
      <x:c r="AT165" s="27"/>
      <x:c r="AU165" s="27"/>
      <x:c r="AV165" s="27"/>
      <x:c r="AW165" s="27"/>
      <x:c r="AX165" s="27"/>
      <x:c r="AY165" s="27"/>
      <x:c r="AZ165" s="27"/>
    </x:row>
    <x:row r="166">
      <x:c r="A166" s="27"/>
      <x:c r="B166" s="27"/>
      <x:c r="C166" s="27"/>
      <x:c r="D166" s="27"/>
      <x:c r="E166" s="27"/>
      <x:c r="F166" s="27"/>
      <x:c r="G166" s="27"/>
      <x:c r="H166" s="27"/>
      <x:c r="I166" s="27"/>
      <x:c r="J166" s="27"/>
      <x:c r="K166" s="27"/>
      <x:c r="L166" s="27"/>
      <x:c r="M166" s="27"/>
      <x:c r="N166" s="27"/>
      <x:c r="O166" s="27"/>
      <x:c r="P166" s="27"/>
      <x:c r="Q166" s="27"/>
      <x:c r="R166" s="27"/>
      <x:c r="S166" s="27"/>
      <x:c r="T166" s="27"/>
      <x:c r="U166" s="27"/>
      <x:c r="V166" s="27"/>
      <x:c r="W166" s="27"/>
      <x:c r="X166" s="27"/>
      <x:c r="Y166" s="27"/>
      <x:c r="Z166" s="27"/>
      <x:c r="AA166" s="27"/>
      <x:c r="AB166" s="27"/>
      <x:c r="AC166" s="27"/>
      <x:c r="AD166" s="27"/>
      <x:c r="AE166" s="27"/>
      <x:c r="AF166" s="27"/>
      <x:c r="AG166" s="27"/>
      <x:c r="AH166" s="27"/>
      <x:c r="AI166" s="27"/>
      <x:c r="AJ166" s="27"/>
      <x:c r="AK166" s="27"/>
      <x:c r="AL166" s="27"/>
      <x:c r="AM166" s="27"/>
      <x:c r="AN166" s="27"/>
      <x:c r="AO166" s="27"/>
      <x:c r="AP166" s="27"/>
      <x:c r="AQ166" s="27"/>
      <x:c r="AR166" s="27"/>
      <x:c r="AS166" s="27"/>
      <x:c r="AT166" s="27"/>
      <x:c r="AU166" s="27"/>
      <x:c r="AV166" s="27"/>
      <x:c r="AW166" s="27"/>
      <x:c r="AX166" s="27"/>
      <x:c r="AY166" s="27"/>
      <x:c r="AZ166" s="27"/>
    </x:row>
    <x:row r="167">
      <x:c r="A167" s="27"/>
      <x:c r="B167" s="27"/>
      <x:c r="C167" s="27"/>
      <x:c r="D167" s="27"/>
      <x:c r="E167" s="27"/>
      <x:c r="F167" s="27"/>
      <x:c r="G167" s="27"/>
      <x:c r="H167" s="27"/>
      <x:c r="I167" s="27"/>
      <x:c r="J167" s="27"/>
      <x:c r="K167" s="27"/>
      <x:c r="L167" s="27"/>
      <x:c r="M167" s="27"/>
      <x:c r="N167" s="27"/>
      <x:c r="O167" s="27"/>
      <x:c r="P167" s="27"/>
      <x:c r="Q167" s="27"/>
      <x:c r="R167" s="27"/>
      <x:c r="S167" s="27"/>
      <x:c r="T167" s="27"/>
      <x:c r="U167" s="27"/>
      <x:c r="V167" s="27"/>
      <x:c r="W167" s="27"/>
      <x:c r="X167" s="27"/>
      <x:c r="Y167" s="27"/>
      <x:c r="Z167" s="27"/>
      <x:c r="AA167" s="27"/>
      <x:c r="AB167" s="27"/>
      <x:c r="AC167" s="27"/>
      <x:c r="AD167" s="27"/>
      <x:c r="AE167" s="27"/>
      <x:c r="AF167" s="27"/>
      <x:c r="AG167" s="27"/>
      <x:c r="AH167" s="27"/>
      <x:c r="AI167" s="27"/>
      <x:c r="AJ167" s="27"/>
      <x:c r="AK167" s="27"/>
      <x:c r="AL167" s="27"/>
      <x:c r="AM167" s="27"/>
      <x:c r="AN167" s="27"/>
      <x:c r="AO167" s="27"/>
      <x:c r="AP167" s="27"/>
      <x:c r="AQ167" s="27"/>
      <x:c r="AR167" s="27"/>
      <x:c r="AS167" s="27"/>
      <x:c r="AT167" s="27"/>
      <x:c r="AU167" s="27"/>
      <x:c r="AV167" s="27"/>
      <x:c r="AW167" s="27"/>
      <x:c r="AX167" s="27"/>
      <x:c r="AY167" s="27"/>
      <x:c r="AZ167" s="27"/>
    </x:row>
    <x:row r="168">
      <x:c r="A168" s="27"/>
      <x:c r="B168" s="27"/>
      <x:c r="C168" s="27"/>
      <x:c r="D168" s="27"/>
      <x:c r="E168" s="27"/>
      <x:c r="F168" s="27"/>
      <x:c r="G168" s="27"/>
      <x:c r="H168" s="27"/>
      <x:c r="I168" s="27"/>
      <x:c r="J168" s="27"/>
      <x:c r="K168" s="27"/>
      <x:c r="L168" s="27"/>
      <x:c r="M168" s="27"/>
      <x:c r="N168" s="27"/>
      <x:c r="O168" s="27"/>
      <x:c r="P168" s="27"/>
      <x:c r="Q168" s="27"/>
      <x:c r="R168" s="27"/>
      <x:c r="S168" s="27"/>
      <x:c r="T168" s="27"/>
      <x:c r="U168" s="27"/>
      <x:c r="V168" s="27"/>
      <x:c r="W168" s="27"/>
      <x:c r="X168" s="27"/>
      <x:c r="Y168" s="27"/>
      <x:c r="Z168" s="27"/>
      <x:c r="AA168" s="27"/>
      <x:c r="AB168" s="27"/>
      <x:c r="AC168" s="27"/>
      <x:c r="AD168" s="27"/>
      <x:c r="AE168" s="27"/>
      <x:c r="AF168" s="27"/>
      <x:c r="AG168" s="27"/>
      <x:c r="AH168" s="27"/>
      <x:c r="AI168" s="27"/>
      <x:c r="AJ168" s="27"/>
      <x:c r="AK168" s="27"/>
      <x:c r="AL168" s="27"/>
      <x:c r="AM168" s="27"/>
      <x:c r="AN168" s="27"/>
      <x:c r="AO168" s="27"/>
      <x:c r="AP168" s="27"/>
      <x:c r="AQ168" s="27"/>
      <x:c r="AR168" s="27"/>
      <x:c r="AS168" s="27"/>
      <x:c r="AT168" s="27"/>
      <x:c r="AU168" s="27"/>
      <x:c r="AV168" s="27"/>
      <x:c r="AW168" s="27"/>
      <x:c r="AX168" s="27"/>
      <x:c r="AY168" s="27"/>
      <x:c r="AZ168" s="27"/>
    </x:row>
    <x:row r="169">
      <x:c r="A169" s="27"/>
      <x:c r="B169" s="27"/>
      <x:c r="C169" s="27"/>
      <x:c r="D169" s="27"/>
      <x:c r="E169" s="27"/>
      <x:c r="F169" s="27"/>
      <x:c r="G169" s="27"/>
      <x:c r="H169" s="27"/>
      <x:c r="I169" s="27"/>
      <x:c r="J169" s="27"/>
      <x:c r="K169" s="27"/>
      <x:c r="L169" s="27"/>
      <x:c r="M169" s="27"/>
      <x:c r="N169" s="27"/>
      <x:c r="O169" s="27"/>
      <x:c r="P169" s="27"/>
      <x:c r="Q169" s="27"/>
      <x:c r="R169" s="27"/>
      <x:c r="S169" s="27"/>
      <x:c r="T169" s="27"/>
      <x:c r="U169" s="27"/>
      <x:c r="V169" s="27"/>
      <x:c r="W169" s="27"/>
      <x:c r="X169" s="27"/>
      <x:c r="Y169" s="27"/>
      <x:c r="Z169" s="27"/>
      <x:c r="AA169" s="27"/>
      <x:c r="AB169" s="27"/>
      <x:c r="AC169" s="27"/>
      <x:c r="AD169" s="27"/>
      <x:c r="AE169" s="27"/>
      <x:c r="AF169" s="27"/>
      <x:c r="AG169" s="27"/>
      <x:c r="AH169" s="27"/>
      <x:c r="AI169" s="27"/>
      <x:c r="AJ169" s="27"/>
      <x:c r="AK169" s="27"/>
      <x:c r="AL169" s="27"/>
      <x:c r="AM169" s="27"/>
      <x:c r="AN169" s="27"/>
      <x:c r="AO169" s="27"/>
      <x:c r="AP169" s="27"/>
      <x:c r="AQ169" s="27"/>
      <x:c r="AR169" s="27"/>
      <x:c r="AS169" s="27"/>
      <x:c r="AT169" s="27"/>
      <x:c r="AU169" s="27"/>
      <x:c r="AV169" s="27"/>
      <x:c r="AW169" s="27"/>
      <x:c r="AX169" s="27"/>
      <x:c r="AY169" s="27"/>
      <x:c r="AZ169" s="27"/>
    </x:row>
    <x:row r="170">
      <x:c r="A170" s="27"/>
      <x:c r="B170" s="27"/>
      <x:c r="C170" s="27"/>
      <x:c r="D170" s="27"/>
      <x:c r="E170" s="27"/>
      <x:c r="F170" s="27"/>
      <x:c r="G170" s="27"/>
      <x:c r="H170" s="27"/>
      <x:c r="I170" s="27"/>
      <x:c r="J170" s="27"/>
      <x:c r="K170" s="27"/>
      <x:c r="L170" s="27"/>
      <x:c r="M170" s="27"/>
      <x:c r="N170" s="27"/>
      <x:c r="O170" s="27"/>
      <x:c r="P170" s="27"/>
      <x:c r="Q170" s="27"/>
      <x:c r="R170" s="27"/>
      <x:c r="S170" s="27"/>
      <x:c r="T170" s="27"/>
      <x:c r="U170" s="27"/>
      <x:c r="V170" s="27"/>
      <x:c r="W170" s="27"/>
      <x:c r="X170" s="27"/>
      <x:c r="Y170" s="27"/>
      <x:c r="Z170" s="27"/>
      <x:c r="AA170" s="27"/>
      <x:c r="AB170" s="27"/>
      <x:c r="AC170" s="27"/>
      <x:c r="AD170" s="27"/>
      <x:c r="AE170" s="27"/>
      <x:c r="AF170" s="27"/>
      <x:c r="AG170" s="27"/>
      <x:c r="AH170" s="27"/>
      <x:c r="AI170" s="27"/>
      <x:c r="AJ170" s="27"/>
      <x:c r="AK170" s="27"/>
      <x:c r="AL170" s="27"/>
      <x:c r="AM170" s="27"/>
      <x:c r="AN170" s="27"/>
      <x:c r="AO170" s="27"/>
      <x:c r="AP170" s="27"/>
      <x:c r="AQ170" s="27"/>
      <x:c r="AR170" s="27"/>
      <x:c r="AS170" s="27"/>
      <x:c r="AT170" s="27"/>
      <x:c r="AU170" s="27"/>
      <x:c r="AV170" s="27"/>
      <x:c r="AW170" s="27"/>
      <x:c r="AX170" s="27"/>
      <x:c r="AY170" s="27"/>
      <x:c r="AZ170" s="27"/>
    </x:row>
    <x:row r="171">
      <x:c r="A171" s="27"/>
      <x:c r="B171" s="27"/>
      <x:c r="C171" s="27"/>
      <x:c r="D171" s="27"/>
      <x:c r="E171" s="27"/>
      <x:c r="F171" s="27"/>
      <x:c r="G171" s="27"/>
      <x:c r="H171" s="27"/>
      <x:c r="I171" s="27"/>
      <x:c r="J171" s="27"/>
      <x:c r="K171" s="27"/>
      <x:c r="L171" s="27"/>
      <x:c r="M171" s="27"/>
      <x:c r="N171" s="27"/>
      <x:c r="O171" s="27"/>
      <x:c r="P171" s="27"/>
      <x:c r="Q171" s="27"/>
      <x:c r="R171" s="27"/>
      <x:c r="S171" s="27"/>
      <x:c r="T171" s="27"/>
      <x:c r="U171" s="27"/>
      <x:c r="V171" s="27"/>
      <x:c r="W171" s="27"/>
      <x:c r="X171" s="27"/>
      <x:c r="Y171" s="27"/>
      <x:c r="Z171" s="27"/>
      <x:c r="AA171" s="27"/>
      <x:c r="AB171" s="27"/>
      <x:c r="AC171" s="27"/>
      <x:c r="AD171" s="27"/>
      <x:c r="AE171" s="27"/>
      <x:c r="AF171" s="27"/>
      <x:c r="AG171" s="27"/>
      <x:c r="AH171" s="27"/>
      <x:c r="AI171" s="27"/>
      <x:c r="AJ171" s="27"/>
      <x:c r="AK171" s="27"/>
      <x:c r="AL171" s="27"/>
      <x:c r="AM171" s="27"/>
      <x:c r="AN171" s="27"/>
      <x:c r="AO171" s="27"/>
      <x:c r="AP171" s="27"/>
      <x:c r="AQ171" s="27"/>
      <x:c r="AR171" s="27"/>
      <x:c r="AS171" s="27"/>
      <x:c r="AT171" s="27"/>
      <x:c r="AU171" s="27"/>
      <x:c r="AV171" s="27"/>
      <x:c r="AW171" s="27"/>
      <x:c r="AX171" s="27"/>
      <x:c r="AY171" s="27"/>
      <x:c r="AZ171" s="27"/>
    </x:row>
    <x:row r="172">
      <x:c r="A172" s="27"/>
      <x:c r="B172" s="27"/>
      <x:c r="C172" s="27"/>
      <x:c r="D172" s="27"/>
      <x:c r="E172" s="27"/>
      <x:c r="F172" s="27"/>
      <x:c r="G172" s="27"/>
      <x:c r="H172" s="27"/>
      <x:c r="I172" s="27"/>
      <x:c r="J172" s="27"/>
      <x:c r="K172" s="27"/>
      <x:c r="L172" s="27"/>
      <x:c r="M172" s="27"/>
      <x:c r="N172" s="27"/>
      <x:c r="O172" s="27"/>
      <x:c r="P172" s="27"/>
      <x:c r="Q172" s="27"/>
      <x:c r="R172" s="27"/>
      <x:c r="S172" s="27"/>
      <x:c r="T172" s="27"/>
      <x:c r="U172" s="27"/>
      <x:c r="V172" s="27"/>
      <x:c r="W172" s="27"/>
      <x:c r="X172" s="27"/>
      <x:c r="Y172" s="27"/>
      <x:c r="Z172" s="27"/>
      <x:c r="AA172" s="27"/>
      <x:c r="AB172" s="27"/>
      <x:c r="AC172" s="27"/>
      <x:c r="AD172" s="27"/>
      <x:c r="AE172" s="27"/>
      <x:c r="AF172" s="27"/>
      <x:c r="AG172" s="27"/>
      <x:c r="AH172" s="27"/>
      <x:c r="AI172" s="27"/>
      <x:c r="AJ172" s="27"/>
      <x:c r="AK172" s="27"/>
      <x:c r="AL172" s="27"/>
      <x:c r="AM172" s="27"/>
      <x:c r="AN172" s="27"/>
      <x:c r="AO172" s="27"/>
      <x:c r="AP172" s="27"/>
      <x:c r="AQ172" s="27"/>
      <x:c r="AR172" s="27"/>
      <x:c r="AS172" s="27"/>
      <x:c r="AT172" s="27"/>
      <x:c r="AU172" s="27"/>
      <x:c r="AV172" s="27"/>
      <x:c r="AW172" s="27"/>
      <x:c r="AX172" s="27"/>
      <x:c r="AY172" s="27"/>
      <x:c r="AZ172" s="27"/>
    </x:row>
    <x:row r="173">
      <x:c r="A173" s="27"/>
      <x:c r="B173" s="27"/>
      <x:c r="C173" s="27"/>
      <x:c r="D173" s="27"/>
      <x:c r="E173" s="27"/>
      <x:c r="F173" s="27"/>
      <x:c r="G173" s="27"/>
      <x:c r="H173" s="27"/>
      <x:c r="I173" s="27"/>
      <x:c r="J173" s="27"/>
      <x:c r="K173" s="27"/>
      <x:c r="L173" s="27"/>
      <x:c r="M173" s="27"/>
      <x:c r="N173" s="27"/>
      <x:c r="O173" s="27"/>
      <x:c r="P173" s="27"/>
      <x:c r="Q173" s="27"/>
      <x:c r="R173" s="27"/>
      <x:c r="S173" s="27"/>
      <x:c r="T173" s="27"/>
      <x:c r="U173" s="27"/>
      <x:c r="V173" s="27"/>
      <x:c r="W173" s="27"/>
      <x:c r="X173" s="27"/>
      <x:c r="Y173" s="27"/>
      <x:c r="Z173" s="27"/>
      <x:c r="AA173" s="27"/>
      <x:c r="AB173" s="27"/>
      <x:c r="AC173" s="27"/>
      <x:c r="AD173" s="27"/>
      <x:c r="AE173" s="27"/>
      <x:c r="AF173" s="27"/>
      <x:c r="AG173" s="27"/>
      <x:c r="AH173" s="27"/>
      <x:c r="AI173" s="27"/>
      <x:c r="AJ173" s="27"/>
      <x:c r="AK173" s="27"/>
      <x:c r="AL173" s="27"/>
      <x:c r="AM173" s="27"/>
      <x:c r="AN173" s="27"/>
      <x:c r="AO173" s="27"/>
      <x:c r="AP173" s="27"/>
      <x:c r="AQ173" s="27"/>
      <x:c r="AR173" s="27"/>
      <x:c r="AS173" s="27"/>
      <x:c r="AT173" s="27"/>
      <x:c r="AU173" s="27"/>
      <x:c r="AV173" s="27"/>
      <x:c r="AW173" s="27"/>
      <x:c r="AX173" s="27"/>
      <x:c r="AY173" s="27"/>
      <x:c r="AZ173" s="27"/>
    </x:row>
    <x:row r="174">
      <x:c r="A174" s="27"/>
      <x:c r="B174" s="27"/>
      <x:c r="C174" s="27"/>
      <x:c r="D174" s="27"/>
      <x:c r="E174" s="27"/>
      <x:c r="F174" s="27"/>
      <x:c r="G174" s="27"/>
      <x:c r="H174" s="27"/>
      <x:c r="I174" s="27"/>
      <x:c r="J174" s="27"/>
      <x:c r="K174" s="27"/>
      <x:c r="L174" s="27"/>
      <x:c r="M174" s="27"/>
      <x:c r="N174" s="27"/>
      <x:c r="O174" s="27"/>
      <x:c r="P174" s="27"/>
      <x:c r="Q174" s="27"/>
      <x:c r="R174" s="27"/>
      <x:c r="S174" s="27"/>
      <x:c r="T174" s="27"/>
      <x:c r="U174" s="27"/>
      <x:c r="V174" s="27"/>
      <x:c r="W174" s="27"/>
      <x:c r="X174" s="27"/>
      <x:c r="Y174" s="27"/>
      <x:c r="Z174" s="27"/>
      <x:c r="AA174" s="27"/>
      <x:c r="AB174" s="27"/>
      <x:c r="AC174" s="27"/>
      <x:c r="AD174" s="27"/>
      <x:c r="AE174" s="27"/>
      <x:c r="AF174" s="27"/>
      <x:c r="AG174" s="27"/>
      <x:c r="AH174" s="27"/>
      <x:c r="AI174" s="27"/>
      <x:c r="AJ174" s="27"/>
      <x:c r="AK174" s="27"/>
      <x:c r="AL174" s="27"/>
      <x:c r="AM174" s="27"/>
      <x:c r="AN174" s="27"/>
      <x:c r="AO174" s="27"/>
      <x:c r="AP174" s="27"/>
      <x:c r="AQ174" s="27"/>
      <x:c r="AR174" s="27"/>
      <x:c r="AS174" s="27"/>
      <x:c r="AT174" s="27"/>
      <x:c r="AU174" s="27"/>
      <x:c r="AV174" s="27"/>
      <x:c r="AW174" s="27"/>
      <x:c r="AX174" s="27"/>
      <x:c r="AY174" s="27"/>
      <x:c r="AZ174" s="27"/>
    </x:row>
    <x:row r="175">
      <x:c r="A175" s="27"/>
      <x:c r="B175" s="27"/>
      <x:c r="C175" s="27"/>
      <x:c r="D175" s="27"/>
      <x:c r="E175" s="27"/>
      <x:c r="F175" s="27"/>
      <x:c r="G175" s="27"/>
      <x:c r="H175" s="27"/>
      <x:c r="I175" s="27"/>
      <x:c r="J175" s="27"/>
      <x:c r="K175" s="27"/>
      <x:c r="L175" s="27"/>
      <x:c r="M175" s="27"/>
      <x:c r="N175" s="27"/>
      <x:c r="O175" s="27"/>
      <x:c r="P175" s="27"/>
      <x:c r="Q175" s="27"/>
      <x:c r="R175" s="27"/>
      <x:c r="S175" s="27"/>
      <x:c r="T175" s="27"/>
      <x:c r="U175" s="27"/>
      <x:c r="V175" s="27"/>
      <x:c r="W175" s="27"/>
      <x:c r="X175" s="27"/>
      <x:c r="Y175" s="27"/>
      <x:c r="Z175" s="27"/>
      <x:c r="AA175" s="27"/>
      <x:c r="AB175" s="27"/>
      <x:c r="AC175" s="27"/>
      <x:c r="AD175" s="27"/>
      <x:c r="AE175" s="27"/>
      <x:c r="AF175" s="27"/>
      <x:c r="AG175" s="27"/>
      <x:c r="AH175" s="27"/>
      <x:c r="AI175" s="27"/>
      <x:c r="AJ175" s="27"/>
      <x:c r="AK175" s="27"/>
      <x:c r="AL175" s="27"/>
      <x:c r="AM175" s="27"/>
      <x:c r="AN175" s="27"/>
      <x:c r="AO175" s="27"/>
      <x:c r="AP175" s="27"/>
      <x:c r="AQ175" s="27"/>
      <x:c r="AR175" s="27"/>
      <x:c r="AS175" s="27"/>
      <x:c r="AT175" s="27"/>
      <x:c r="AU175" s="27"/>
      <x:c r="AV175" s="27"/>
      <x:c r="AW175" s="27"/>
      <x:c r="AX175" s="27"/>
      <x:c r="AY175" s="27"/>
      <x:c r="AZ175" s="27"/>
    </x:row>
    <x:row r="176">
      <x:c r="A176" s="27"/>
      <x:c r="B176" s="27"/>
      <x:c r="C176" s="27"/>
      <x:c r="D176" s="27"/>
      <x:c r="E176" s="27"/>
      <x:c r="F176" s="27"/>
      <x:c r="G176" s="27"/>
      <x:c r="H176" s="27"/>
      <x:c r="I176" s="27"/>
      <x:c r="J176" s="27"/>
      <x:c r="K176" s="27"/>
      <x:c r="L176" s="27"/>
      <x:c r="M176" s="27"/>
      <x:c r="N176" s="27"/>
      <x:c r="O176" s="27"/>
      <x:c r="P176" s="27"/>
      <x:c r="Q176" s="27"/>
      <x:c r="R176" s="27"/>
      <x:c r="S176" s="27"/>
      <x:c r="T176" s="27"/>
      <x:c r="U176" s="27"/>
      <x:c r="V176" s="27"/>
      <x:c r="W176" s="27"/>
      <x:c r="X176" s="27"/>
      <x:c r="Y176" s="27"/>
      <x:c r="Z176" s="27"/>
      <x:c r="AA176" s="27"/>
      <x:c r="AB176" s="27"/>
      <x:c r="AC176" s="27"/>
      <x:c r="AD176" s="27"/>
      <x:c r="AE176" s="27"/>
      <x:c r="AF176" s="27"/>
      <x:c r="AG176" s="27"/>
      <x:c r="AH176" s="27"/>
      <x:c r="AI176" s="27"/>
      <x:c r="AJ176" s="27"/>
      <x:c r="AK176" s="27"/>
      <x:c r="AL176" s="27"/>
      <x:c r="AM176" s="27"/>
      <x:c r="AN176" s="27"/>
      <x:c r="AO176" s="27"/>
      <x:c r="AP176" s="27"/>
      <x:c r="AQ176" s="27"/>
      <x:c r="AR176" s="27"/>
      <x:c r="AS176" s="27"/>
      <x:c r="AT176" s="27"/>
      <x:c r="AU176" s="27"/>
      <x:c r="AV176" s="27"/>
      <x:c r="AW176" s="27"/>
      <x:c r="AX176" s="27"/>
      <x:c r="AY176" s="27"/>
      <x:c r="AZ176" s="27"/>
    </x:row>
    <x:row r="177">
      <x:c r="A177" s="27"/>
      <x:c r="B177" s="27"/>
      <x:c r="C177" s="27"/>
      <x:c r="D177" s="27"/>
      <x:c r="E177" s="27"/>
      <x:c r="F177" s="27"/>
      <x:c r="G177" s="27"/>
      <x:c r="H177" s="27"/>
      <x:c r="I177" s="27"/>
      <x:c r="J177" s="27"/>
      <x:c r="K177" s="27"/>
      <x:c r="L177" s="27"/>
      <x:c r="M177" s="27"/>
      <x:c r="N177" s="27"/>
      <x:c r="O177" s="27"/>
      <x:c r="P177" s="27"/>
      <x:c r="Q177" s="27"/>
      <x:c r="R177" s="27"/>
      <x:c r="S177" s="27"/>
      <x:c r="T177" s="27"/>
      <x:c r="U177" s="27"/>
      <x:c r="V177" s="27"/>
      <x:c r="W177" s="27"/>
      <x:c r="X177" s="27"/>
      <x:c r="Y177" s="27"/>
      <x:c r="Z177" s="27"/>
      <x:c r="AA177" s="27"/>
      <x:c r="AB177" s="27"/>
      <x:c r="AC177" s="27"/>
      <x:c r="AD177" s="27"/>
      <x:c r="AE177" s="27"/>
      <x:c r="AF177" s="27"/>
      <x:c r="AG177" s="27"/>
      <x:c r="AH177" s="27"/>
      <x:c r="AI177" s="27"/>
      <x:c r="AJ177" s="27"/>
      <x:c r="AK177" s="27"/>
      <x:c r="AL177" s="27"/>
      <x:c r="AM177" s="27"/>
      <x:c r="AN177" s="27"/>
      <x:c r="AO177" s="27"/>
      <x:c r="AP177" s="27"/>
      <x:c r="AQ177" s="27"/>
      <x:c r="AR177" s="27"/>
      <x:c r="AS177" s="27"/>
      <x:c r="AT177" s="27"/>
      <x:c r="AU177" s="27"/>
      <x:c r="AV177" s="27"/>
      <x:c r="AW177" s="27"/>
      <x:c r="AX177" s="27"/>
      <x:c r="AY177" s="27"/>
      <x:c r="AZ177" s="27"/>
    </x:row>
    <x:row r="178">
      <x:c r="A178" s="27"/>
      <x:c r="B178" s="27"/>
      <x:c r="C178" s="27"/>
      <x:c r="D178" s="27"/>
      <x:c r="E178" s="27"/>
      <x:c r="F178" s="27"/>
      <x:c r="G178" s="27"/>
      <x:c r="H178" s="27"/>
      <x:c r="I178" s="27"/>
      <x:c r="J178" s="27"/>
      <x:c r="K178" s="27"/>
      <x:c r="L178" s="27"/>
      <x:c r="M178" s="27"/>
      <x:c r="N178" s="27"/>
      <x:c r="O178" s="27"/>
      <x:c r="P178" s="27"/>
      <x:c r="Q178" s="27"/>
      <x:c r="R178" s="27"/>
      <x:c r="S178" s="27"/>
      <x:c r="T178" s="27"/>
      <x:c r="U178" s="27"/>
      <x:c r="V178" s="27"/>
      <x:c r="W178" s="27"/>
      <x:c r="X178" s="27"/>
      <x:c r="Y178" s="27"/>
      <x:c r="Z178" s="27"/>
      <x:c r="AA178" s="27"/>
      <x:c r="AB178" s="27"/>
      <x:c r="AC178" s="27"/>
      <x:c r="AD178" s="27"/>
      <x:c r="AE178" s="27"/>
      <x:c r="AF178" s="27"/>
      <x:c r="AG178" s="27"/>
      <x:c r="AH178" s="27"/>
      <x:c r="AI178" s="27"/>
      <x:c r="AJ178" s="27"/>
      <x:c r="AK178" s="27"/>
      <x:c r="AL178" s="27"/>
      <x:c r="AM178" s="27"/>
      <x:c r="AN178" s="27"/>
      <x:c r="AO178" s="27"/>
      <x:c r="AP178" s="27"/>
      <x:c r="AQ178" s="27"/>
      <x:c r="AR178" s="27"/>
      <x:c r="AS178" s="27"/>
      <x:c r="AT178" s="27"/>
      <x:c r="AU178" s="27"/>
      <x:c r="AV178" s="27"/>
      <x:c r="AW178" s="27"/>
      <x:c r="AX178" s="27"/>
      <x:c r="AY178" s="27"/>
      <x:c r="AZ178" s="27"/>
    </x:row>
    <x:row r="179">
      <x:c r="A179" s="27"/>
      <x:c r="B179" s="27"/>
      <x:c r="C179" s="27"/>
      <x:c r="D179" s="27"/>
      <x:c r="E179" s="27"/>
      <x:c r="F179" s="27"/>
      <x:c r="G179" s="27"/>
      <x:c r="H179" s="27"/>
      <x:c r="I179" s="27"/>
      <x:c r="J179" s="27"/>
      <x:c r="K179" s="27"/>
      <x:c r="L179" s="27"/>
      <x:c r="M179" s="27"/>
      <x:c r="N179" s="27"/>
      <x:c r="O179" s="27"/>
      <x:c r="P179" s="27"/>
      <x:c r="Q179" s="27"/>
      <x:c r="R179" s="27"/>
      <x:c r="S179" s="27"/>
      <x:c r="T179" s="27"/>
      <x:c r="U179" s="27"/>
      <x:c r="V179" s="27"/>
      <x:c r="W179" s="27"/>
      <x:c r="X179" s="27"/>
      <x:c r="Y179" s="27"/>
      <x:c r="Z179" s="27"/>
      <x:c r="AA179" s="27"/>
      <x:c r="AB179" s="27"/>
      <x:c r="AC179" s="27"/>
      <x:c r="AD179" s="27"/>
      <x:c r="AE179" s="27"/>
      <x:c r="AF179" s="27"/>
      <x:c r="AG179" s="27"/>
      <x:c r="AH179" s="27"/>
      <x:c r="AI179" s="27"/>
      <x:c r="AJ179" s="27"/>
      <x:c r="AK179" s="27"/>
      <x:c r="AL179" s="27"/>
      <x:c r="AM179" s="27"/>
      <x:c r="AN179" s="27"/>
      <x:c r="AO179" s="27"/>
      <x:c r="AP179" s="27"/>
      <x:c r="AQ179" s="27"/>
      <x:c r="AR179" s="27"/>
      <x:c r="AS179" s="27"/>
      <x:c r="AT179" s="27"/>
      <x:c r="AU179" s="27"/>
      <x:c r="AV179" s="27"/>
      <x:c r="AW179" s="27"/>
      <x:c r="AX179" s="27"/>
      <x:c r="AY179" s="27"/>
      <x:c r="AZ179" s="27"/>
    </x:row>
    <x:row r="180">
      <x:c r="A180" s="27"/>
      <x:c r="B180" s="27"/>
      <x:c r="C180" s="27"/>
      <x:c r="D180" s="27"/>
      <x:c r="E180" s="27"/>
      <x:c r="F180" s="27"/>
      <x:c r="G180" s="27"/>
      <x:c r="H180" s="27"/>
      <x:c r="I180" s="27"/>
      <x:c r="J180" s="27"/>
      <x:c r="K180" s="27"/>
      <x:c r="L180" s="27"/>
      <x:c r="M180" s="27"/>
      <x:c r="N180" s="27"/>
      <x:c r="O180" s="27"/>
      <x:c r="P180" s="27"/>
      <x:c r="Q180" s="27"/>
      <x:c r="R180" s="27"/>
      <x:c r="S180" s="27"/>
      <x:c r="T180" s="27"/>
      <x:c r="U180" s="27"/>
      <x:c r="V180" s="27"/>
      <x:c r="W180" s="27"/>
      <x:c r="X180" s="27"/>
      <x:c r="Y180" s="27"/>
      <x:c r="Z180" s="27"/>
      <x:c r="AA180" s="27"/>
      <x:c r="AB180" s="27"/>
      <x:c r="AC180" s="27"/>
      <x:c r="AD180" s="27"/>
      <x:c r="AE180" s="27"/>
      <x:c r="AF180" s="27"/>
      <x:c r="AG180" s="27"/>
      <x:c r="AH180" s="27"/>
      <x:c r="AI180" s="27"/>
      <x:c r="AJ180" s="27"/>
      <x:c r="AK180" s="27"/>
      <x:c r="AL180" s="27"/>
      <x:c r="AM180" s="27"/>
      <x:c r="AN180" s="27"/>
      <x:c r="AO180" s="27"/>
      <x:c r="AP180" s="27"/>
      <x:c r="AQ180" s="27"/>
      <x:c r="AR180" s="27"/>
      <x:c r="AS180" s="27"/>
      <x:c r="AT180" s="27"/>
      <x:c r="AU180" s="27"/>
      <x:c r="AV180" s="27"/>
      <x:c r="AW180" s="27"/>
      <x:c r="AX180" s="27"/>
      <x:c r="AY180" s="27"/>
      <x:c r="AZ180" s="27"/>
    </x:row>
    <x:row r="181">
      <x:c r="A181" s="27"/>
      <x:c r="B181" s="27"/>
      <x:c r="C181" s="27"/>
      <x:c r="D181" s="27"/>
      <x:c r="E181" s="27"/>
      <x:c r="F181" s="27"/>
      <x:c r="G181" s="27"/>
      <x:c r="H181" s="27"/>
      <x:c r="I181" s="27"/>
      <x:c r="J181" s="27"/>
      <x:c r="K181" s="27"/>
      <x:c r="L181" s="27"/>
      <x:c r="M181" s="27"/>
      <x:c r="N181" s="27"/>
      <x:c r="O181" s="27"/>
      <x:c r="P181" s="27"/>
      <x:c r="Q181" s="27"/>
      <x:c r="R181" s="27"/>
      <x:c r="S181" s="27"/>
      <x:c r="T181" s="27"/>
      <x:c r="U181" s="27"/>
      <x:c r="V181" s="27"/>
      <x:c r="W181" s="27"/>
      <x:c r="X181" s="27"/>
      <x:c r="Y181" s="27"/>
      <x:c r="Z181" s="27"/>
      <x:c r="AA181" s="27"/>
      <x:c r="AB181" s="27"/>
      <x:c r="AC181" s="27"/>
      <x:c r="AD181" s="27"/>
      <x:c r="AE181" s="27"/>
      <x:c r="AF181" s="27"/>
      <x:c r="AG181" s="27"/>
      <x:c r="AH181" s="27"/>
      <x:c r="AI181" s="27"/>
      <x:c r="AJ181" s="27"/>
      <x:c r="AK181" s="27"/>
      <x:c r="AL181" s="27"/>
      <x:c r="AM181" s="27"/>
      <x:c r="AN181" s="27"/>
      <x:c r="AO181" s="27"/>
      <x:c r="AP181" s="27"/>
      <x:c r="AQ181" s="27"/>
      <x:c r="AR181" s="27"/>
      <x:c r="AS181" s="27"/>
      <x:c r="AT181" s="27"/>
      <x:c r="AU181" s="27"/>
      <x:c r="AV181" s="27"/>
      <x:c r="AW181" s="27"/>
      <x:c r="AX181" s="27"/>
      <x:c r="AY181" s="27"/>
      <x:c r="AZ181" s="27"/>
    </x:row>
    <x:row r="182">
      <x:c r="A182" s="27"/>
      <x:c r="B182" s="27"/>
      <x:c r="C182" s="27"/>
      <x:c r="D182" s="27"/>
      <x:c r="E182" s="27"/>
      <x:c r="F182" s="27"/>
      <x:c r="G182" s="27"/>
      <x:c r="H182" s="27"/>
      <x:c r="I182" s="27"/>
      <x:c r="J182" s="27"/>
      <x:c r="K182" s="27"/>
      <x:c r="L182" s="27"/>
      <x:c r="M182" s="27"/>
      <x:c r="N182" s="27"/>
      <x:c r="O182" s="27"/>
      <x:c r="P182" s="27"/>
      <x:c r="Q182" s="27"/>
      <x:c r="R182" s="27"/>
      <x:c r="S182" s="27"/>
      <x:c r="T182" s="27"/>
      <x:c r="U182" s="27"/>
      <x:c r="V182" s="27"/>
      <x:c r="W182" s="27"/>
      <x:c r="X182" s="27"/>
      <x:c r="Y182" s="27"/>
      <x:c r="Z182" s="27"/>
      <x:c r="AA182" s="27"/>
      <x:c r="AB182" s="27"/>
      <x:c r="AC182" s="27"/>
      <x:c r="AD182" s="27"/>
      <x:c r="AE182" s="27"/>
      <x:c r="AF182" s="27"/>
      <x:c r="AG182" s="27"/>
      <x:c r="AH182" s="27"/>
      <x:c r="AI182" s="27"/>
      <x:c r="AJ182" s="27"/>
      <x:c r="AK182" s="27"/>
      <x:c r="AL182" s="27"/>
      <x:c r="AM182" s="27"/>
      <x:c r="AN182" s="27"/>
      <x:c r="AO182" s="27"/>
      <x:c r="AP182" s="27"/>
      <x:c r="AQ182" s="27"/>
      <x:c r="AR182" s="27"/>
      <x:c r="AS182" s="27"/>
      <x:c r="AT182" s="27"/>
      <x:c r="AU182" s="27"/>
      <x:c r="AV182" s="27"/>
      <x:c r="AW182" s="27"/>
      <x:c r="AX182" s="27"/>
      <x:c r="AY182" s="27"/>
      <x:c r="AZ182" s="27"/>
    </x:row>
    <x:row r="183">
      <x:c r="A183" s="27"/>
      <x:c r="B183" s="27"/>
      <x:c r="C183" s="27"/>
      <x:c r="D183" s="27"/>
      <x:c r="E183" s="27"/>
      <x:c r="F183" s="27"/>
      <x:c r="G183" s="27"/>
      <x:c r="H183" s="27"/>
      <x:c r="I183" s="27"/>
      <x:c r="J183" s="27"/>
      <x:c r="K183" s="27"/>
      <x:c r="L183" s="27"/>
      <x:c r="M183" s="27"/>
      <x:c r="N183" s="27"/>
      <x:c r="O183" s="27"/>
      <x:c r="P183" s="27"/>
      <x:c r="Q183" s="27"/>
      <x:c r="R183" s="27"/>
      <x:c r="S183" s="27"/>
      <x:c r="T183" s="27"/>
      <x:c r="U183" s="27"/>
      <x:c r="V183" s="27"/>
      <x:c r="W183" s="27"/>
      <x:c r="X183" s="27"/>
      <x:c r="Y183" s="27"/>
      <x:c r="Z183" s="27"/>
      <x:c r="AA183" s="27"/>
      <x:c r="AB183" s="27"/>
      <x:c r="AC183" s="27"/>
      <x:c r="AD183" s="27"/>
      <x:c r="AE183" s="27"/>
      <x:c r="AF183" s="27"/>
      <x:c r="AG183" s="27"/>
      <x:c r="AH183" s="27"/>
      <x:c r="AI183" s="27"/>
      <x:c r="AJ183" s="27"/>
      <x:c r="AK183" s="27"/>
      <x:c r="AL183" s="27"/>
      <x:c r="AM183" s="27"/>
      <x:c r="AN183" s="27"/>
      <x:c r="AO183" s="27"/>
      <x:c r="AP183" s="27"/>
      <x:c r="AQ183" s="27"/>
      <x:c r="AR183" s="27"/>
      <x:c r="AS183" s="27"/>
      <x:c r="AT183" s="27"/>
      <x:c r="AU183" s="27"/>
      <x:c r="AV183" s="27"/>
      <x:c r="AW183" s="27"/>
      <x:c r="AX183" s="27"/>
      <x:c r="AY183" s="27"/>
      <x:c r="AZ183" s="27"/>
    </x:row>
    <x:row r="184">
      <x:c r="A184" s="27"/>
      <x:c r="B184" s="27"/>
      <x:c r="C184" s="27"/>
      <x:c r="D184" s="27"/>
      <x:c r="E184" s="27"/>
      <x:c r="F184" s="27"/>
      <x:c r="G184" s="27"/>
      <x:c r="H184" s="27"/>
      <x:c r="I184" s="27"/>
      <x:c r="J184" s="27"/>
      <x:c r="K184" s="27"/>
      <x:c r="L184" s="27"/>
      <x:c r="M184" s="27"/>
      <x:c r="N184" s="27"/>
      <x:c r="O184" s="27"/>
      <x:c r="P184" s="27"/>
      <x:c r="Q184" s="27"/>
      <x:c r="R184" s="27"/>
      <x:c r="S184" s="27"/>
      <x:c r="T184" s="27"/>
      <x:c r="U184" s="27"/>
      <x:c r="V184" s="27"/>
      <x:c r="W184" s="27"/>
      <x:c r="X184" s="27"/>
      <x:c r="Y184" s="27"/>
      <x:c r="Z184" s="27"/>
      <x:c r="AA184" s="27"/>
      <x:c r="AB184" s="27"/>
      <x:c r="AC184" s="27"/>
      <x:c r="AD184" s="27"/>
      <x:c r="AE184" s="27"/>
      <x:c r="AF184" s="27"/>
      <x:c r="AG184" s="27"/>
      <x:c r="AH184" s="27"/>
      <x:c r="AI184" s="27"/>
      <x:c r="AJ184" s="27"/>
      <x:c r="AK184" s="27"/>
      <x:c r="AL184" s="27"/>
      <x:c r="AM184" s="27"/>
      <x:c r="AN184" s="27"/>
      <x:c r="AO184" s="27"/>
      <x:c r="AP184" s="27"/>
      <x:c r="AQ184" s="27"/>
      <x:c r="AR184" s="27"/>
      <x:c r="AS184" s="27"/>
      <x:c r="AT184" s="27"/>
      <x:c r="AU184" s="27"/>
      <x:c r="AV184" s="27"/>
      <x:c r="AW184" s="27"/>
      <x:c r="AX184" s="27"/>
      <x:c r="AY184" s="27"/>
      <x:c r="AZ184" s="27"/>
    </x:row>
    <x:row r="185">
      <x:c r="A185" s="27"/>
      <x:c r="B185" s="27"/>
      <x:c r="C185" s="27"/>
      <x:c r="D185" s="27"/>
      <x:c r="E185" s="27"/>
      <x:c r="F185" s="27"/>
      <x:c r="G185" s="27"/>
      <x:c r="H185" s="27"/>
      <x:c r="I185" s="27"/>
      <x:c r="J185" s="27"/>
      <x:c r="K185" s="27"/>
      <x:c r="L185" s="27"/>
      <x:c r="M185" s="27"/>
      <x:c r="N185" s="27"/>
      <x:c r="O185" s="27"/>
      <x:c r="P185" s="27"/>
      <x:c r="Q185" s="27"/>
      <x:c r="R185" s="27"/>
      <x:c r="S185" s="27"/>
      <x:c r="T185" s="27"/>
      <x:c r="U185" s="27"/>
      <x:c r="V185" s="27"/>
      <x:c r="W185" s="27"/>
      <x:c r="X185" s="27"/>
      <x:c r="Y185" s="27"/>
      <x:c r="Z185" s="27"/>
      <x:c r="AA185" s="27"/>
      <x:c r="AB185" s="27"/>
      <x:c r="AC185" s="27"/>
      <x:c r="AD185" s="27"/>
      <x:c r="AE185" s="27"/>
      <x:c r="AF185" s="27"/>
      <x:c r="AG185" s="27"/>
      <x:c r="AH185" s="27"/>
      <x:c r="AI185" s="27"/>
      <x:c r="AJ185" s="27"/>
      <x:c r="AK185" s="27"/>
      <x:c r="AL185" s="27"/>
      <x:c r="AM185" s="27"/>
      <x:c r="AN185" s="27"/>
      <x:c r="AO185" s="27"/>
      <x:c r="AP185" s="27"/>
      <x:c r="AQ185" s="27"/>
      <x:c r="AR185" s="27"/>
      <x:c r="AS185" s="27"/>
      <x:c r="AT185" s="27"/>
      <x:c r="AU185" s="27"/>
      <x:c r="AV185" s="27"/>
      <x:c r="AW185" s="27"/>
      <x:c r="AX185" s="27"/>
      <x:c r="AY185" s="27"/>
      <x:c r="AZ185" s="27"/>
    </x:row>
    <x:row r="186">
      <x:c r="A186" s="27"/>
      <x:c r="B186" s="27"/>
      <x:c r="C186" s="27"/>
      <x:c r="D186" s="27"/>
      <x:c r="E186" s="27"/>
      <x:c r="F186" s="27"/>
      <x:c r="G186" s="27"/>
      <x:c r="H186" s="27"/>
      <x:c r="I186" s="27"/>
      <x:c r="J186" s="27"/>
      <x:c r="K186" s="27"/>
      <x:c r="L186" s="27"/>
      <x:c r="M186" s="27"/>
      <x:c r="N186" s="27"/>
      <x:c r="O186" s="27"/>
      <x:c r="P186" s="27"/>
      <x:c r="Q186" s="27"/>
      <x:c r="R186" s="27"/>
      <x:c r="S186" s="27"/>
      <x:c r="T186" s="27"/>
      <x:c r="U186" s="27"/>
      <x:c r="V186" s="27"/>
      <x:c r="W186" s="27"/>
      <x:c r="X186" s="27"/>
      <x:c r="Y186" s="27"/>
      <x:c r="Z186" s="27"/>
      <x:c r="AA186" s="27"/>
      <x:c r="AB186" s="27"/>
      <x:c r="AC186" s="27"/>
      <x:c r="AD186" s="27"/>
      <x:c r="AE186" s="27"/>
      <x:c r="AF186" s="27"/>
      <x:c r="AG186" s="27"/>
      <x:c r="AH186" s="27"/>
      <x:c r="AI186" s="27"/>
      <x:c r="AJ186" s="27"/>
      <x:c r="AK186" s="27"/>
      <x:c r="AL186" s="27"/>
      <x:c r="AM186" s="27"/>
      <x:c r="AN186" s="27"/>
      <x:c r="AO186" s="27"/>
      <x:c r="AP186" s="27"/>
      <x:c r="AQ186" s="27"/>
      <x:c r="AR186" s="27"/>
      <x:c r="AS186" s="27"/>
      <x:c r="AT186" s="27"/>
      <x:c r="AU186" s="27"/>
      <x:c r="AV186" s="27"/>
      <x:c r="AW186" s="27"/>
      <x:c r="AX186" s="27"/>
      <x:c r="AY186" s="27"/>
      <x:c r="AZ186" s="27"/>
    </x:row>
    <x:row r="187">
      <x:c r="A187" s="27"/>
      <x:c r="B187" s="27"/>
      <x:c r="C187" s="27"/>
      <x:c r="D187" s="27"/>
      <x:c r="E187" s="27"/>
      <x:c r="F187" s="27"/>
      <x:c r="G187" s="27"/>
      <x:c r="H187" s="27"/>
      <x:c r="I187" s="27"/>
      <x:c r="J187" s="27"/>
      <x:c r="K187" s="27"/>
      <x:c r="L187" s="27"/>
      <x:c r="M187" s="27"/>
      <x:c r="N187" s="27"/>
      <x:c r="O187" s="27"/>
      <x:c r="P187" s="27"/>
      <x:c r="Q187" s="27"/>
      <x:c r="R187" s="27"/>
      <x:c r="S187" s="27"/>
      <x:c r="T187" s="27"/>
      <x:c r="U187" s="27"/>
      <x:c r="V187" s="27"/>
      <x:c r="W187" s="27"/>
      <x:c r="X187" s="27"/>
      <x:c r="Y187" s="27"/>
      <x:c r="Z187" s="27"/>
      <x:c r="AA187" s="27"/>
      <x:c r="AB187" s="27"/>
      <x:c r="AC187" s="27"/>
      <x:c r="AD187" s="27"/>
      <x:c r="AE187" s="27"/>
      <x:c r="AF187" s="27"/>
      <x:c r="AG187" s="27"/>
      <x:c r="AH187" s="27"/>
      <x:c r="AI187" s="27"/>
      <x:c r="AJ187" s="27"/>
      <x:c r="AK187" s="27"/>
      <x:c r="AL187" s="27"/>
      <x:c r="AM187" s="27"/>
      <x:c r="AN187" s="27"/>
      <x:c r="AO187" s="27"/>
      <x:c r="AP187" s="27"/>
      <x:c r="AQ187" s="27"/>
      <x:c r="AR187" s="27"/>
      <x:c r="AS187" s="27"/>
      <x:c r="AT187" s="27"/>
      <x:c r="AU187" s="27"/>
      <x:c r="AV187" s="27"/>
      <x:c r="AW187" s="27"/>
      <x:c r="AX187" s="27"/>
      <x:c r="AY187" s="27"/>
      <x:c r="AZ187" s="27"/>
    </x:row>
    <x:row r="188">
      <x:c r="A188" s="27"/>
      <x:c r="B188" s="27"/>
      <x:c r="C188" s="27"/>
      <x:c r="D188" s="27"/>
      <x:c r="E188" s="27"/>
      <x:c r="F188" s="27"/>
      <x:c r="G188" s="27"/>
      <x:c r="H188" s="27"/>
      <x:c r="I188" s="27"/>
      <x:c r="J188" s="27"/>
      <x:c r="K188" s="27"/>
      <x:c r="L188" s="27"/>
      <x:c r="M188" s="27"/>
      <x:c r="N188" s="27"/>
      <x:c r="O188" s="27"/>
      <x:c r="P188" s="27"/>
      <x:c r="Q188" s="27"/>
      <x:c r="R188" s="27"/>
      <x:c r="S188" s="27"/>
      <x:c r="T188" s="27"/>
      <x:c r="U188" s="27"/>
      <x:c r="V188" s="27"/>
      <x:c r="W188" s="27"/>
      <x:c r="X188" s="27"/>
      <x:c r="Y188" s="27"/>
      <x:c r="Z188" s="27"/>
      <x:c r="AA188" s="27"/>
      <x:c r="AB188" s="27"/>
      <x:c r="AC188" s="27"/>
      <x:c r="AD188" s="27"/>
      <x:c r="AE188" s="27"/>
      <x:c r="AF188" s="27"/>
      <x:c r="AG188" s="27"/>
      <x:c r="AH188" s="27"/>
      <x:c r="AI188" s="27"/>
      <x:c r="AJ188" s="27"/>
      <x:c r="AK188" s="27"/>
      <x:c r="AL188" s="27"/>
      <x:c r="AM188" s="27"/>
      <x:c r="AN188" s="27"/>
      <x:c r="AO188" s="27"/>
      <x:c r="AP188" s="27"/>
      <x:c r="AQ188" s="27"/>
      <x:c r="AR188" s="27"/>
      <x:c r="AS188" s="27"/>
      <x:c r="AT188" s="27"/>
      <x:c r="AU188" s="27"/>
      <x:c r="AV188" s="27"/>
      <x:c r="AW188" s="27"/>
      <x:c r="AX188" s="27"/>
      <x:c r="AY188" s="27"/>
      <x:c r="AZ188" s="27"/>
    </x:row>
    <x:row r="189">
      <x:c r="A189" s="27"/>
      <x:c r="B189" s="27"/>
      <x:c r="C189" s="27"/>
      <x:c r="D189" s="27"/>
      <x:c r="E189" s="27"/>
      <x:c r="F189" s="27"/>
      <x:c r="G189" s="27"/>
      <x:c r="H189" s="27"/>
      <x:c r="I189" s="27"/>
      <x:c r="J189" s="27"/>
      <x:c r="K189" s="27"/>
      <x:c r="L189" s="27"/>
      <x:c r="M189" s="27"/>
      <x:c r="N189" s="27"/>
      <x:c r="O189" s="27"/>
      <x:c r="P189" s="27"/>
      <x:c r="Q189" s="27"/>
      <x:c r="R189" s="27"/>
      <x:c r="S189" s="27"/>
      <x:c r="T189" s="27"/>
      <x:c r="U189" s="27"/>
      <x:c r="V189" s="27"/>
      <x:c r="W189" s="27"/>
      <x:c r="X189" s="27"/>
      <x:c r="Y189" s="27"/>
      <x:c r="Z189" s="27"/>
      <x:c r="AA189" s="27"/>
      <x:c r="AB189" s="27"/>
      <x:c r="AC189" s="27"/>
      <x:c r="AD189" s="27"/>
      <x:c r="AE189" s="27"/>
      <x:c r="AF189" s="27"/>
      <x:c r="AG189" s="27"/>
      <x:c r="AH189" s="27"/>
      <x:c r="AI189" s="27"/>
      <x:c r="AJ189" s="27"/>
      <x:c r="AK189" s="27"/>
      <x:c r="AL189" s="27"/>
      <x:c r="AM189" s="27"/>
      <x:c r="AN189" s="27"/>
      <x:c r="AO189" s="27"/>
      <x:c r="AP189" s="27"/>
      <x:c r="AQ189" s="27"/>
      <x:c r="AR189" s="27"/>
      <x:c r="AS189" s="27"/>
      <x:c r="AT189" s="27"/>
      <x:c r="AU189" s="27"/>
      <x:c r="AV189" s="27"/>
      <x:c r="AW189" s="27"/>
      <x:c r="AX189" s="27"/>
      <x:c r="AY189" s="27"/>
      <x:c r="AZ189" s="27"/>
    </x:row>
    <x:row r="190">
      <x:c r="A190" s="27"/>
      <x:c r="B190" s="27"/>
      <x:c r="C190" s="27"/>
      <x:c r="D190" s="27"/>
      <x:c r="E190" s="27"/>
      <x:c r="F190" s="27"/>
      <x:c r="G190" s="27"/>
      <x:c r="H190" s="27"/>
      <x:c r="I190" s="27"/>
      <x:c r="J190" s="27"/>
      <x:c r="K190" s="27"/>
      <x:c r="L190" s="27"/>
      <x:c r="M190" s="27"/>
      <x:c r="N190" s="27"/>
      <x:c r="O190" s="27"/>
      <x:c r="P190" s="27"/>
      <x:c r="Q190" s="27"/>
      <x:c r="R190" s="27"/>
      <x:c r="S190" s="27"/>
      <x:c r="T190" s="27"/>
      <x:c r="U190" s="27"/>
      <x:c r="V190" s="27"/>
      <x:c r="W190" s="27"/>
      <x:c r="X190" s="27"/>
      <x:c r="Y190" s="27"/>
      <x:c r="Z190" s="27"/>
      <x:c r="AA190" s="27"/>
      <x:c r="AB190" s="27"/>
      <x:c r="AC190" s="27"/>
      <x:c r="AD190" s="27"/>
      <x:c r="AE190" s="27"/>
      <x:c r="AF190" s="27"/>
      <x:c r="AG190" s="27"/>
      <x:c r="AH190" s="27"/>
      <x:c r="AI190" s="27"/>
      <x:c r="AJ190" s="27"/>
      <x:c r="AK190" s="27"/>
      <x:c r="AL190" s="27"/>
      <x:c r="AM190" s="27"/>
      <x:c r="AN190" s="27"/>
      <x:c r="AO190" s="27"/>
      <x:c r="AP190" s="27"/>
      <x:c r="AQ190" s="27"/>
      <x:c r="AR190" s="27"/>
      <x:c r="AS190" s="27"/>
      <x:c r="AT190" s="27"/>
      <x:c r="AU190" s="27"/>
      <x:c r="AV190" s="27"/>
      <x:c r="AW190" s="27"/>
      <x:c r="AX190" s="27"/>
      <x:c r="AY190" s="27"/>
      <x:c r="AZ190" s="27"/>
    </x:row>
    <x:row r="191">
      <x:c r="A191" s="27"/>
      <x:c r="B191" s="27"/>
      <x:c r="C191" s="27"/>
      <x:c r="D191" s="27"/>
      <x:c r="E191" s="27"/>
      <x:c r="F191" s="27"/>
      <x:c r="G191" s="27"/>
      <x:c r="H191" s="27"/>
      <x:c r="I191" s="27"/>
      <x:c r="J191" s="27"/>
      <x:c r="K191" s="27"/>
      <x:c r="L191" s="27"/>
      <x:c r="M191" s="27"/>
      <x:c r="N191" s="27"/>
      <x:c r="O191" s="27"/>
      <x:c r="P191" s="27"/>
      <x:c r="Q191" s="27"/>
      <x:c r="R191" s="27"/>
      <x:c r="S191" s="27"/>
      <x:c r="T191" s="27"/>
      <x:c r="U191" s="27"/>
      <x:c r="V191" s="27"/>
      <x:c r="W191" s="27"/>
      <x:c r="X191" s="27"/>
      <x:c r="Y191" s="27"/>
      <x:c r="Z191" s="27"/>
      <x:c r="AA191" s="27"/>
      <x:c r="AB191" s="27"/>
      <x:c r="AC191" s="27"/>
      <x:c r="AD191" s="27"/>
      <x:c r="AE191" s="27"/>
      <x:c r="AF191" s="27"/>
      <x:c r="AG191" s="27"/>
      <x:c r="AH191" s="27"/>
      <x:c r="AI191" s="27"/>
      <x:c r="AJ191" s="27"/>
      <x:c r="AK191" s="27"/>
      <x:c r="AL191" s="27"/>
      <x:c r="AM191" s="27"/>
      <x:c r="AN191" s="27"/>
      <x:c r="AO191" s="27"/>
      <x:c r="AP191" s="27"/>
      <x:c r="AQ191" s="27"/>
      <x:c r="AR191" s="27"/>
      <x:c r="AS191" s="27"/>
      <x:c r="AT191" s="27"/>
      <x:c r="AU191" s="27"/>
      <x:c r="AV191" s="27"/>
      <x:c r="AW191" s="27"/>
      <x:c r="AX191" s="27"/>
      <x:c r="AY191" s="27"/>
      <x:c r="AZ191" s="27"/>
    </x:row>
    <x:row r="192">
      <x:c r="A192" s="27"/>
      <x:c r="B192" s="27"/>
      <x:c r="C192" s="27"/>
      <x:c r="D192" s="27"/>
      <x:c r="E192" s="27"/>
      <x:c r="F192" s="27"/>
      <x:c r="G192" s="27"/>
      <x:c r="H192" s="27"/>
      <x:c r="I192" s="27"/>
      <x:c r="J192" s="27"/>
      <x:c r="K192" s="27"/>
      <x:c r="L192" s="27"/>
      <x:c r="M192" s="27"/>
      <x:c r="N192" s="27"/>
      <x:c r="O192" s="27"/>
      <x:c r="P192" s="27"/>
      <x:c r="Q192" s="27"/>
      <x:c r="R192" s="27"/>
      <x:c r="S192" s="27"/>
      <x:c r="T192" s="27"/>
      <x:c r="U192" s="27"/>
      <x:c r="V192" s="27"/>
      <x:c r="W192" s="27"/>
      <x:c r="X192" s="27"/>
      <x:c r="Y192" s="27"/>
      <x:c r="Z192" s="27"/>
      <x:c r="AA192" s="27"/>
      <x:c r="AB192" s="27"/>
      <x:c r="AC192" s="27"/>
      <x:c r="AD192" s="27"/>
      <x:c r="AE192" s="27"/>
      <x:c r="AF192" s="27"/>
      <x:c r="AG192" s="27"/>
      <x:c r="AH192" s="27"/>
      <x:c r="AI192" s="27"/>
      <x:c r="AJ192" s="27"/>
      <x:c r="AK192" s="27"/>
      <x:c r="AL192" s="27"/>
      <x:c r="AM192" s="27"/>
      <x:c r="AN192" s="27"/>
      <x:c r="AO192" s="27"/>
      <x:c r="AP192" s="27"/>
      <x:c r="AQ192" s="27"/>
      <x:c r="AR192" s="27"/>
      <x:c r="AS192" s="27"/>
      <x:c r="AT192" s="27"/>
      <x:c r="AU192" s="27"/>
      <x:c r="AV192" s="27"/>
      <x:c r="AW192" s="27"/>
      <x:c r="AX192" s="27"/>
      <x:c r="AY192" s="27"/>
      <x:c r="AZ192" s="27"/>
    </x:row>
    <x:row r="193">
      <x:c r="A193" s="27"/>
      <x:c r="B193" s="27"/>
      <x:c r="C193" s="27"/>
      <x:c r="D193" s="27"/>
      <x:c r="E193" s="27"/>
      <x:c r="F193" s="27"/>
      <x:c r="G193" s="27"/>
      <x:c r="H193" s="27"/>
      <x:c r="I193" s="27"/>
      <x:c r="J193" s="27"/>
      <x:c r="K193" s="27"/>
      <x:c r="L193" s="27"/>
      <x:c r="M193" s="27"/>
      <x:c r="N193" s="27"/>
      <x:c r="O193" s="27"/>
      <x:c r="P193" s="27"/>
      <x:c r="Q193" s="27"/>
      <x:c r="R193" s="27"/>
      <x:c r="S193" s="27"/>
      <x:c r="T193" s="27"/>
      <x:c r="U193" s="27"/>
      <x:c r="V193" s="27"/>
      <x:c r="W193" s="27"/>
      <x:c r="X193" s="27"/>
      <x:c r="Y193" s="27"/>
      <x:c r="Z193" s="27"/>
      <x:c r="AA193" s="27"/>
      <x:c r="AB193" s="27"/>
      <x:c r="AC193" s="27"/>
      <x:c r="AD193" s="27"/>
      <x:c r="AE193" s="27"/>
      <x:c r="AF193" s="27"/>
      <x:c r="AG193" s="27"/>
      <x:c r="AH193" s="27"/>
      <x:c r="AI193" s="27"/>
      <x:c r="AJ193" s="27"/>
      <x:c r="AK193" s="27"/>
      <x:c r="AL193" s="27"/>
      <x:c r="AM193" s="27"/>
      <x:c r="AN193" s="27"/>
      <x:c r="AO193" s="27"/>
      <x:c r="AP193" s="27"/>
      <x:c r="AQ193" s="27"/>
      <x:c r="AR193" s="27"/>
      <x:c r="AS193" s="27"/>
      <x:c r="AT193" s="27"/>
      <x:c r="AU193" s="27"/>
      <x:c r="AV193" s="27"/>
      <x:c r="AW193" s="27"/>
      <x:c r="AX193" s="27"/>
      <x:c r="AY193" s="27"/>
      <x:c r="AZ193" s="27"/>
    </x:row>
    <x:row r="194">
      <x:c r="A194" s="27"/>
      <x:c r="B194" s="27"/>
      <x:c r="C194" s="27"/>
      <x:c r="D194" s="27"/>
      <x:c r="E194" s="27"/>
      <x:c r="F194" s="27"/>
      <x:c r="G194" s="27"/>
      <x:c r="H194" s="27"/>
      <x:c r="I194" s="27"/>
      <x:c r="J194" s="27"/>
      <x:c r="K194" s="27"/>
      <x:c r="L194" s="27"/>
      <x:c r="M194" s="27"/>
      <x:c r="N194" s="27"/>
      <x:c r="O194" s="27"/>
      <x:c r="P194" s="27"/>
      <x:c r="Q194" s="27"/>
      <x:c r="R194" s="27"/>
      <x:c r="S194" s="27"/>
      <x:c r="T194" s="27"/>
      <x:c r="U194" s="27"/>
      <x:c r="V194" s="27"/>
      <x:c r="W194" s="27"/>
      <x:c r="X194" s="27"/>
      <x:c r="Y194" s="27"/>
      <x:c r="Z194" s="27"/>
      <x:c r="AA194" s="27"/>
      <x:c r="AB194" s="27"/>
      <x:c r="AC194" s="27"/>
      <x:c r="AD194" s="27"/>
      <x:c r="AE194" s="27"/>
      <x:c r="AF194" s="27"/>
      <x:c r="AG194" s="27"/>
      <x:c r="AH194" s="27"/>
      <x:c r="AI194" s="27"/>
      <x:c r="AJ194" s="27"/>
      <x:c r="AK194" s="27"/>
      <x:c r="AL194" s="27"/>
      <x:c r="AM194" s="27"/>
      <x:c r="AN194" s="27"/>
      <x:c r="AO194" s="27"/>
      <x:c r="AP194" s="27"/>
      <x:c r="AQ194" s="27"/>
      <x:c r="AR194" s="27"/>
      <x:c r="AS194" s="27"/>
      <x:c r="AT194" s="27"/>
      <x:c r="AU194" s="27"/>
      <x:c r="AV194" s="27"/>
      <x:c r="AW194" s="27"/>
      <x:c r="AX194" s="27"/>
      <x:c r="AY194" s="27"/>
      <x:c r="AZ194" s="27"/>
    </x:row>
    <x:row r="195">
      <x:c r="A195" s="27"/>
      <x:c r="B195" s="27"/>
      <x:c r="C195" s="27"/>
      <x:c r="D195" s="27"/>
      <x:c r="E195" s="27"/>
      <x:c r="F195" s="27"/>
      <x:c r="G195" s="27"/>
      <x:c r="H195" s="27"/>
      <x:c r="I195" s="27"/>
      <x:c r="J195" s="27"/>
      <x:c r="K195" s="27"/>
      <x:c r="L195" s="27"/>
      <x:c r="M195" s="27"/>
      <x:c r="N195" s="27"/>
      <x:c r="O195" s="27"/>
      <x:c r="P195" s="27"/>
      <x:c r="Q195" s="27"/>
      <x:c r="R195" s="27"/>
      <x:c r="S195" s="27"/>
      <x:c r="T195" s="27"/>
      <x:c r="U195" s="27"/>
      <x:c r="V195" s="27"/>
      <x:c r="W195" s="27"/>
      <x:c r="X195" s="27"/>
      <x:c r="Y195" s="27"/>
      <x:c r="Z195" s="27"/>
      <x:c r="AA195" s="27"/>
      <x:c r="AB195" s="27"/>
      <x:c r="AC195" s="27"/>
      <x:c r="AD195" s="27"/>
      <x:c r="AE195" s="27"/>
      <x:c r="AF195" s="27"/>
      <x:c r="AG195" s="27"/>
      <x:c r="AH195" s="27"/>
      <x:c r="AI195" s="27"/>
      <x:c r="AJ195" s="27"/>
      <x:c r="AK195" s="27"/>
      <x:c r="AL195" s="27"/>
      <x:c r="AM195" s="27"/>
      <x:c r="AN195" s="27"/>
      <x:c r="AO195" s="27"/>
      <x:c r="AP195" s="27"/>
      <x:c r="AQ195" s="27"/>
      <x:c r="AR195" s="27"/>
      <x:c r="AS195" s="27"/>
      <x:c r="AT195" s="27"/>
      <x:c r="AU195" s="27"/>
      <x:c r="AV195" s="27"/>
      <x:c r="AW195" s="27"/>
      <x:c r="AX195" s="27"/>
      <x:c r="AY195" s="27"/>
      <x:c r="AZ195" s="27"/>
    </x:row>
    <x:row r="196">
      <x:c r="A196" s="27"/>
      <x:c r="B196" s="27"/>
      <x:c r="C196" s="27"/>
      <x:c r="D196" s="27"/>
      <x:c r="E196" s="27"/>
      <x:c r="F196" s="27"/>
      <x:c r="G196" s="27"/>
      <x:c r="H196" s="27"/>
      <x:c r="I196" s="27"/>
      <x:c r="J196" s="27"/>
      <x:c r="K196" s="27"/>
      <x:c r="L196" s="27"/>
      <x:c r="M196" s="27"/>
      <x:c r="N196" s="27"/>
      <x:c r="O196" s="27"/>
      <x:c r="P196" s="27"/>
      <x:c r="Q196" s="27"/>
      <x:c r="R196" s="27"/>
      <x:c r="S196" s="27"/>
      <x:c r="T196" s="27"/>
      <x:c r="U196" s="27"/>
      <x:c r="V196" s="27"/>
      <x:c r="W196" s="27"/>
      <x:c r="X196" s="27"/>
      <x:c r="Y196" s="27"/>
      <x:c r="Z196" s="27"/>
      <x:c r="AA196" s="27"/>
      <x:c r="AB196" s="27"/>
      <x:c r="AC196" s="27"/>
      <x:c r="AD196" s="27"/>
      <x:c r="AE196" s="27"/>
      <x:c r="AF196" s="27"/>
      <x:c r="AG196" s="27"/>
      <x:c r="AH196" s="27"/>
      <x:c r="AI196" s="27"/>
      <x:c r="AJ196" s="27"/>
      <x:c r="AK196" s="27"/>
      <x:c r="AL196" s="27"/>
      <x:c r="AM196" s="27"/>
      <x:c r="AN196" s="27"/>
      <x:c r="AO196" s="27"/>
      <x:c r="AP196" s="27"/>
      <x:c r="AQ196" s="27"/>
      <x:c r="AR196" s="27"/>
      <x:c r="AS196" s="27"/>
      <x:c r="AT196" s="27"/>
      <x:c r="AU196" s="27"/>
      <x:c r="AV196" s="27"/>
      <x:c r="AW196" s="27"/>
      <x:c r="AX196" s="27"/>
      <x:c r="AY196" s="27"/>
      <x:c r="AZ196" s="27"/>
    </x:row>
    <x:row r="197">
      <x:c r="A197" s="27"/>
      <x:c r="B197" s="27"/>
      <x:c r="C197" s="27"/>
      <x:c r="D197" s="27"/>
      <x:c r="E197" s="27"/>
      <x:c r="F197" s="27"/>
      <x:c r="G197" s="27"/>
      <x:c r="H197" s="27"/>
      <x:c r="I197" s="27"/>
      <x:c r="J197" s="27"/>
      <x:c r="K197" s="27"/>
      <x:c r="L197" s="27"/>
      <x:c r="M197" s="27"/>
      <x:c r="N197" s="27"/>
      <x:c r="O197" s="27"/>
      <x:c r="P197" s="27"/>
      <x:c r="Q197" s="27"/>
      <x:c r="R197" s="27"/>
      <x:c r="S197" s="27"/>
      <x:c r="T197" s="27"/>
      <x:c r="U197" s="27"/>
      <x:c r="V197" s="27"/>
      <x:c r="W197" s="27"/>
      <x:c r="X197" s="27"/>
      <x:c r="Y197" s="27"/>
      <x:c r="Z197" s="27"/>
      <x:c r="AA197" s="27"/>
      <x:c r="AB197" s="27"/>
      <x:c r="AC197" s="27"/>
      <x:c r="AD197" s="27"/>
      <x:c r="AE197" s="27"/>
      <x:c r="AF197" s="27"/>
      <x:c r="AG197" s="27"/>
      <x:c r="AH197" s="27"/>
      <x:c r="AI197" s="27"/>
      <x:c r="AJ197" s="27"/>
      <x:c r="AK197" s="27"/>
      <x:c r="AL197" s="27"/>
      <x:c r="AM197" s="27"/>
      <x:c r="AN197" s="27"/>
      <x:c r="AO197" s="27"/>
      <x:c r="AP197" s="27"/>
      <x:c r="AQ197" s="27"/>
      <x:c r="AR197" s="27"/>
      <x:c r="AS197" s="27"/>
      <x:c r="AT197" s="27"/>
      <x:c r="AU197" s="27"/>
      <x:c r="AV197" s="27"/>
      <x:c r="AW197" s="27"/>
      <x:c r="AX197" s="27"/>
      <x:c r="AY197" s="27"/>
      <x:c r="AZ197" s="27"/>
    </x:row>
    <x:row r="198">
      <x:c r="A198" s="27"/>
      <x:c r="B198" s="27"/>
      <x:c r="C198" s="27"/>
      <x:c r="D198" s="27"/>
      <x:c r="E198" s="27"/>
      <x:c r="F198" s="27"/>
      <x:c r="G198" s="27"/>
      <x:c r="H198" s="27"/>
      <x:c r="I198" s="27"/>
      <x:c r="J198" s="27"/>
      <x:c r="K198" s="27"/>
      <x:c r="L198" s="27"/>
      <x:c r="M198" s="27"/>
      <x:c r="N198" s="27"/>
      <x:c r="O198" s="27"/>
      <x:c r="P198" s="27"/>
      <x:c r="Q198" s="27"/>
      <x:c r="R198" s="27"/>
      <x:c r="S198" s="27"/>
      <x:c r="T198" s="27"/>
      <x:c r="U198" s="27"/>
      <x:c r="V198" s="27"/>
      <x:c r="W198" s="27"/>
      <x:c r="X198" s="27"/>
      <x:c r="Y198" s="27"/>
      <x:c r="Z198" s="27"/>
      <x:c r="AA198" s="27"/>
      <x:c r="AB198" s="27"/>
      <x:c r="AC198" s="27"/>
      <x:c r="AD198" s="27"/>
      <x:c r="AE198" s="27"/>
      <x:c r="AF198" s="27"/>
      <x:c r="AG198" s="27"/>
      <x:c r="AH198" s="27"/>
      <x:c r="AI198" s="27"/>
      <x:c r="AJ198" s="27"/>
      <x:c r="AK198" s="27"/>
      <x:c r="AL198" s="27"/>
      <x:c r="AM198" s="27"/>
      <x:c r="AN198" s="27"/>
      <x:c r="AO198" s="27"/>
      <x:c r="AP198" s="27"/>
      <x:c r="AQ198" s="27"/>
      <x:c r="AR198" s="27"/>
      <x:c r="AS198" s="27"/>
      <x:c r="AT198" s="27"/>
      <x:c r="AU198" s="27"/>
      <x:c r="AV198" s="27"/>
      <x:c r="AW198" s="27"/>
      <x:c r="AX198" s="27"/>
      <x:c r="AY198" s="27"/>
      <x:c r="AZ198" s="27"/>
    </x:row>
    <x:row r="199">
      <x:c r="A199" s="27"/>
      <x:c r="B199" s="27"/>
      <x:c r="C199" s="27"/>
      <x:c r="D199" s="27"/>
      <x:c r="E199" s="27"/>
      <x:c r="F199" s="27"/>
      <x:c r="G199" s="27"/>
      <x:c r="H199" s="27"/>
      <x:c r="I199" s="27"/>
      <x:c r="J199" s="27"/>
      <x:c r="K199" s="27"/>
      <x:c r="L199" s="27"/>
      <x:c r="M199" s="27"/>
      <x:c r="N199" s="27"/>
      <x:c r="O199" s="27"/>
      <x:c r="P199" s="27"/>
      <x:c r="Q199" s="27"/>
      <x:c r="R199" s="27"/>
      <x:c r="S199" s="27"/>
      <x:c r="T199" s="27"/>
      <x:c r="U199" s="27"/>
      <x:c r="V199" s="27"/>
      <x:c r="W199" s="27"/>
      <x:c r="X199" s="27"/>
      <x:c r="Y199" s="27"/>
      <x:c r="Z199" s="27"/>
      <x:c r="AA199" s="27"/>
      <x:c r="AB199" s="27"/>
      <x:c r="AC199" s="27"/>
      <x:c r="AD199" s="27"/>
      <x:c r="AE199" s="27"/>
      <x:c r="AF199" s="27"/>
      <x:c r="AG199" s="27"/>
      <x:c r="AH199" s="27"/>
      <x:c r="AI199" s="27"/>
      <x:c r="AJ199" s="27"/>
      <x:c r="AK199" s="27"/>
      <x:c r="AL199" s="27"/>
      <x:c r="AM199" s="27"/>
      <x:c r="AN199" s="27"/>
      <x:c r="AO199" s="27"/>
      <x:c r="AP199" s="27"/>
      <x:c r="AQ199" s="27"/>
      <x:c r="AR199" s="27"/>
      <x:c r="AS199" s="27"/>
      <x:c r="AT199" s="27"/>
      <x:c r="AU199" s="27"/>
      <x:c r="AV199" s="27"/>
      <x:c r="AW199" s="27"/>
      <x:c r="AX199" s="27"/>
      <x:c r="AY199" s="27"/>
      <x:c r="AZ199" s="27"/>
    </x:row>
    <x:row r="200">
      <x:c r="A200" s="27"/>
      <x:c r="B200" s="27"/>
      <x:c r="C200" s="27"/>
      <x:c r="D200" s="27"/>
      <x:c r="E200" s="27"/>
      <x:c r="F200" s="27"/>
      <x:c r="G200" s="27"/>
      <x:c r="H200" s="27"/>
      <x:c r="I200" s="27"/>
      <x:c r="J200" s="27"/>
      <x:c r="K200" s="27"/>
      <x:c r="L200" s="27"/>
      <x:c r="M200" s="27"/>
      <x:c r="N200" s="27"/>
      <x:c r="O200" s="27"/>
      <x:c r="P200" s="27"/>
      <x:c r="Q200" s="27"/>
      <x:c r="R200" s="27"/>
      <x:c r="S200" s="27"/>
      <x:c r="T200" s="27"/>
      <x:c r="U200" s="27"/>
      <x:c r="V200" s="27"/>
      <x:c r="W200" s="27"/>
      <x:c r="X200" s="27"/>
      <x:c r="Y200" s="27"/>
      <x:c r="Z200" s="27"/>
      <x:c r="AA200" s="27"/>
      <x:c r="AB200" s="27"/>
      <x:c r="AC200" s="27"/>
      <x:c r="AD200" s="27"/>
      <x:c r="AE200" s="27"/>
      <x:c r="AF200" s="27"/>
      <x:c r="AG200" s="27"/>
      <x:c r="AH200" s="27"/>
      <x:c r="AI200" s="27"/>
      <x:c r="AJ200" s="27"/>
      <x:c r="AK200" s="27"/>
      <x:c r="AL200" s="27"/>
      <x:c r="AM200" s="27"/>
      <x:c r="AN200" s="27"/>
      <x:c r="AO200" s="27"/>
      <x:c r="AP200" s="27"/>
      <x:c r="AQ200" s="27"/>
      <x:c r="AR200" s="27"/>
      <x:c r="AS200" s="27"/>
      <x:c r="AT200" s="27"/>
      <x:c r="AU200" s="27"/>
      <x:c r="AV200" s="27"/>
      <x:c r="AW200" s="27"/>
      <x:c r="AX200" s="27"/>
      <x:c r="AY200" s="27"/>
      <x:c r="AZ200" s="27"/>
    </x:row>
  </x:sheetData>
  <x:mergeCells>
    <x:mergeCell ref="A1:F1"/>
    <x:mergeCell ref="A2:F2"/>
  </x:mergeCells>
  <x:pageMargins left="0.7" right="0.7" top="0.75" bottom="0.75" header="0.3" footer="0.3"/>
  <x:tableParts count="1">
    <x:tablePart xmlns:r="http://schemas.openxmlformats.org/officeDocument/2006/relationships" r:id="Ra856922562dd4c7c"/>
  </x:tableParts>
</x:worksheet>
</file>

<file path=xl/worksheets/sheet12.xml><?xml version="1.0" encoding="utf-8"?>
<x:worksheet xmlns:x="http://schemas.openxmlformats.org/spreadsheetml/2006/main">
  <x:sheetFormatPr defaultRowHeight="15"/>
  <x:cols>
    <x:col min="1" max="1" width="16" hidden="0" customWidth="1"/>
    <x:col min="2" max="2" width="90" hidden="0" customWidth="1"/>
    <x:col min="3" max="3" width="22" hidden="0" customWidth="1"/>
    <x:col min="4" max="4" width="72" hidden="0" customWidth="1"/>
    <x:col min="5" max="5" width="22" hidden="0" customWidth="1"/>
    <x:col min="6" max="6" width="22" hidden="0" customWidth="1"/>
    <x:col min="7" max="7" width="18" hidden="0" customWidth="1"/>
    <x:col min="8" max="8" width="20" hidden="0" customWidth="1"/>
    <x:col min="9" max="9" width="72" hidden="0" customWidth="1"/>
    <x:col min="10" max="10" width="20" hidden="0" customWidth="1"/>
    <x:col min="11" max="11" width="26" hidden="0" customWidth="1"/>
    <x:col min="12" max="12" width="24" hidden="0" customWidth="1"/>
    <x:col min="13" max="13" width="16" hidden="0" customWidth="1"/>
    <x:col min="14" max="14" width="12" hidden="0" customWidth="1"/>
  </x:cols>
  <x:sheetData>
    <x:row r="1" ht="28" customHeight="1">
      <x:c r="A1" s="38" t="str">
        <x:v>Operation Pancake — Tight End Hidden OVR Analysis v1.1</x:v>
      </x:c>
      <x:c r="B1" s="38"/>
      <x:c r="C1" s="38"/>
      <x:c r="D1" s="38"/>
      <x:c r="E1" s="38"/>
      <x:c r="F1" s="38"/>
      <x:c r="G1" s="38"/>
      <x:c r="H1" s="38"/>
      <x:c r="I1" s="38"/>
      <x:c r="J1" s="38"/>
      <x:c r="K1" s="38"/>
      <x:c r="L1" s="38"/>
      <x:c r="M1" s="38"/>
      <x:c r="N1" s="38"/>
    </x:row>
    <x:row r="2" ht="40" customHeight="1">
      <x:c r="A2" s="41" t="str">
        <x:v>Analysis uses the 24 visually verified TE cards currently structured in the canonical database. Madden 19 weights are an external historical reference, not assumed CFB27 facts. Scores below are model tests.</x:v>
      </x:c>
      <x:c r="B2" s="41"/>
      <x:c r="C2" s="41"/>
      <x:c r="D2" s="41"/>
      <x:c r="E2" s="41"/>
      <x:c r="F2" s="41"/>
      <x:c r="G2" s="41"/>
      <x:c r="H2" s="41"/>
      <x:c r="I2" s="41"/>
      <x:c r="J2" s="41"/>
      <x:c r="K2" s="41"/>
      <x:c r="L2" s="41"/>
      <x:c r="M2" s="41"/>
      <x:c r="N2" s="41"/>
    </x:row>
    <x:row r="4" ht="32" customHeight="1">
      <x:c r="A4" s="45" t="str">
        <x:v>Card_ID</x:v>
      </x:c>
      <x:c r="B4" s="45" t="str">
        <x:v>Player</x:v>
      </x:c>
      <x:c r="C4" s="45" t="str">
        <x:v>OVR</x:v>
      </x:c>
      <x:c r="D4" s="45" t="str">
        <x:v>Archetype</x:v>
      </x:c>
      <x:c r="E4" s="45" t="str">
        <x:v>Front5 Sum</x:v>
      </x:c>
      <x:c r="F4" s="45" t="str">
        <x:v>M19 Possession Score</x:v>
      </x:c>
      <x:c r="G4" s="45" t="str">
        <x:v>M19 Vertical Score</x:v>
      </x:c>
      <x:c r="H4" s="45" t="str">
        <x:v>M19 Blocking Score</x:v>
      </x:c>
      <x:c r="I4" s="45" t="str">
        <x:v>Physical Blend Score</x:v>
      </x:c>
      <x:c r="J4" s="45" t="str">
        <x:v>Chosen Candidate Score</x:v>
      </x:c>
      <x:c r="K4" s="45" t="str">
        <x:v>Model Used</x:v>
      </x:c>
      <x:c r="L4" s="45" t="str">
        <x:v>Cross-OVR Order Status</x:v>
      </x:c>
      <x:c r="M4" s="45" t="str">
        <x:v>Source_ID</x:v>
      </x:c>
      <x:c r="N4" s="45" t="str">
        <x:v>Source_Page</x:v>
      </x:c>
    </x:row>
    <x:row r="5">
      <x:c r="A5" s="16" t="str">
        <x:f>TE_Cards!A5</x:f>
        <x:v>TE-0001</x:v>
      </x:c>
      <x:c r="B5" s="16" t="str">
        <x:f>TE_Cards!B5</x:f>
        <x:v>River Helms</x:v>
      </x:c>
      <x:c r="C5" s="16" t="n">
        <x:f>TE_Cards!C5</x:f>
        <x:v>85</x:v>
      </x:c>
      <x:c r="D5" s="16" t="str">
        <x:f>TE_Cards!E5</x:f>
        <x:v>Gritty Possession</x:v>
      </x:c>
      <x:c r="E5" s="48" t="n">
        <x:f>TE_Cards!G5+TE_Cards!N5+TE_Cards!P5+TE_Cards!Q5+TE_Cards!AC5</x:f>
        <x:v>416</x:v>
      </x:c>
      <x:c r="F5" s="49" t="n">
        <x:f>(3*TE_Cards!G5+4*TE_Cards!H5+3*TE_Cards!I5+4*TE_Cards!K5+9*TE_Cards!J5+1*TE_Cards!V5+2*TE_Cards!AB5+1*TE_Cards!Y5+2*TE_Cards!Z5+10*TE_Cards!N5+14*TE_Cards!O5+1*TE_Cards!S5+2*TE_Cards!T5+12*TE_Cards!P5+6*TE_Cards!Q5+4*TE_Cards!AJ5+2*TE_Cards!AI5+3*TE_Cards!AF5+2*TE_Cards!AG5+2*TE_Cards!AH5+5*TE_Cards!AC5+4*TE_Cards!AD5+4*TE_Cards!AE5)/100</x:f>
        <x:v>82.06</x:v>
      </x:c>
      <x:c r="G5" s="49" t="n">
        <x:f>(7*TE_Cards!G5+7*TE_Cards!H5+4*TE_Cards!I5+3*TE_Cards!L5+9*TE_Cards!J5+2*TE_Cards!V5+3*TE_Cards!AB5+1*TE_Cards!Y5+2*TE_Cards!Z5+11*TE_Cards!N5+8*TE_Cards!O5+4*TE_Cards!S5+3*TE_Cards!T5+7*TE_Cards!P5+9*TE_Cards!Q5+5*TE_Cards!R5+2*TE_Cards!AF5+1*TE_Cards!AG5+1*TE_Cards!AH5+3*TE_Cards!AC5+3*TE_Cards!AD5+3*TE_Cards!AE5)/98</x:f>
        <x:v>82.51020408163265</x:v>
      </x:c>
      <x:c r="H5" s="49" t="n">
        <x:f>(6*TE_Cards!K5+9*TE_Cards!J5+2*TE_Cards!AB5+1*TE_Cards!Y5+2*TE_Cards!Z5+3*TE_Cards!N5+3*TE_Cards!O5+5*TE_Cards!P5+4*TE_Cards!Q5+9*TE_Cards!AJ5+8*TE_Cards!AI5+8*TE_Cards!AF5+6*TE_Cards!AG5+6*TE_Cards!AH5+10*TE_Cards!AC5+9*TE_Cards!AD5+9*TE_Cards!AE5)/100</x:f>
        <x:v>78.56</x:v>
      </x:c>
      <x:c r="I5" s="49" t="n">
        <x:f>0.71*G5+0.29*F5</x:f>
        <x:v>82.37964489795918</x:v>
      </x:c>
      <x:c r="J5" s="49" t="n">
        <x:f>IF(D5="Gritty Possession",F5,IF(D5="Vertical Threat",G5,IF(D5="Physical Route Runner",I5,IF(D5="Pure Blocker",H5,""))))</x:f>
        <x:v>82.06</x:v>
      </x:c>
      <x:c r="K5" s="16" t="str">
        <x:f>IF(D5="Gritty Possession","M19 Possession",IF(D5="Vertical Threat","M19 Vertical",IF(D5="Physical Route Runner","71% VT + 29% Possession",IF(D5="Pure Blocker","M19 Blocking",""))))</x:f>
        <x:v>M19 Possession</x:v>
      </x:c>
      <x:c r="L5" s="16" t="str">
        <x:v>See threshold validation below</x:v>
      </x:c>
      <x:c r="M5" s="16" t="str">
        <x:f>TE_Cards!AM5</x:f>
        <x:v>SRC-TE-001</x:v>
      </x:c>
      <x:c r="N5" s="16" t="n">
        <x:f>TE_Cards!AN5</x:f>
        <x:v>1</x:v>
      </x:c>
    </x:row>
    <x:row r="6">
      <x:c r="A6" s="16" t="str">
        <x:f>TE_Cards!A6</x:f>
        <x:v>TE-0002</x:v>
      </x:c>
      <x:c r="B6" s="16" t="str">
        <x:f>TE_Cards!B6</x:f>
        <x:v>Kaelan Chudzinski</x:v>
      </x:c>
      <x:c r="C6" s="16" t="n">
        <x:f>TE_Cards!C6</x:f>
        <x:v>85</x:v>
      </x:c>
      <x:c r="D6" s="16" t="str">
        <x:f>TE_Cards!E6</x:f>
        <x:v>Vertical Threat</x:v>
      </x:c>
      <x:c r="E6" s="48" t="n">
        <x:f>TE_Cards!G6+TE_Cards!N6+TE_Cards!P6+TE_Cards!Q6+TE_Cards!AC6</x:f>
        <x:v>409</x:v>
      </x:c>
      <x:c r="F6" s="49" t="n">
        <x:f>(3*TE_Cards!G6+4*TE_Cards!H6+3*TE_Cards!I6+4*TE_Cards!K6+9*TE_Cards!J6+1*TE_Cards!V6+2*TE_Cards!AB6+1*TE_Cards!Y6+2*TE_Cards!Z6+10*TE_Cards!N6+14*TE_Cards!O6+1*TE_Cards!S6+2*TE_Cards!T6+12*TE_Cards!P6+6*TE_Cards!Q6+4*TE_Cards!AJ6+2*TE_Cards!AI6+3*TE_Cards!AF6+2*TE_Cards!AG6+2*TE_Cards!AH6+5*TE_Cards!AC6+4*TE_Cards!AD6+4*TE_Cards!AE6)/100</x:f>
        <x:v>79.02</x:v>
      </x:c>
      <x:c r="G6" s="49" t="n">
        <x:f>(7*TE_Cards!G6+7*TE_Cards!H6+4*TE_Cards!I6+3*TE_Cards!L6+9*TE_Cards!J6+2*TE_Cards!V6+3*TE_Cards!AB6+1*TE_Cards!Y6+2*TE_Cards!Z6+11*TE_Cards!N6+8*TE_Cards!O6+4*TE_Cards!S6+3*TE_Cards!T6+7*TE_Cards!P6+9*TE_Cards!Q6+5*TE_Cards!R6+2*TE_Cards!AF6+1*TE_Cards!AG6+1*TE_Cards!AH6+3*TE_Cards!AC6+3*TE_Cards!AD6+3*TE_Cards!AE6)/98</x:f>
        <x:v>80.64285714285714</x:v>
      </x:c>
      <x:c r="H6" s="49" t="n">
        <x:f>(6*TE_Cards!K6+9*TE_Cards!J6+2*TE_Cards!AB6+1*TE_Cards!Y6+2*TE_Cards!Z6+3*TE_Cards!N6+3*TE_Cards!O6+5*TE_Cards!P6+4*TE_Cards!Q6+9*TE_Cards!AJ6+8*TE_Cards!AI6+8*TE_Cards!AF6+6*TE_Cards!AG6+6*TE_Cards!AH6+10*TE_Cards!AC6+9*TE_Cards!AD6+9*TE_Cards!AE6)/100</x:f>
        <x:v>74.03</x:v>
      </x:c>
      <x:c r="I6" s="49" t="n">
        <x:f>0.71*G6+0.29*F6</x:f>
        <x:v>80.17222857142856</x:v>
      </x:c>
      <x:c r="J6" s="49" t="n">
        <x:f>IF(D6="Gritty Possession",F6,IF(D6="Vertical Threat",G6,IF(D6="Physical Route Runner",I6,IF(D6="Pure Blocker",H6,""))))</x:f>
        <x:v>80.64285714285714</x:v>
      </x:c>
      <x:c r="K6" s="16" t="str">
        <x:f>IF(D6="Gritty Possession","M19 Possession",IF(D6="Vertical Threat","M19 Vertical",IF(D6="Physical Route Runner","71% VT + 29% Possession",IF(D6="Pure Blocker","M19 Blocking",""))))</x:f>
        <x:v>M19 Vertical</x:v>
      </x:c>
      <x:c r="L6" s="16" t="str">
        <x:v>See threshold validation below</x:v>
      </x:c>
      <x:c r="M6" s="16" t="str">
        <x:f>TE_Cards!AM6</x:f>
        <x:v>SRC-TE-001</x:v>
      </x:c>
      <x:c r="N6" s="16" t="n">
        <x:f>TE_Cards!AN6</x:f>
        <x:v>2</x:v>
      </x:c>
    </x:row>
    <x:row r="7">
      <x:c r="A7" s="16" t="str">
        <x:f>TE_Cards!A7</x:f>
        <x:v>TE-0003</x:v>
      </x:c>
      <x:c r="B7" s="16" t="str">
        <x:f>TE_Cards!B7</x:f>
        <x:v>Jake Johnson</x:v>
      </x:c>
      <x:c r="C7" s="16" t="n">
        <x:f>TE_Cards!C7</x:f>
        <x:v>85</x:v>
      </x:c>
      <x:c r="D7" s="16" t="str">
        <x:f>TE_Cards!E7</x:f>
        <x:v>Gritty Possession</x:v>
      </x:c>
      <x:c r="E7" s="48" t="n">
        <x:f>TE_Cards!G7+TE_Cards!N7+TE_Cards!P7+TE_Cards!Q7+TE_Cards!AC7</x:f>
        <x:v>411</x:v>
      </x:c>
      <x:c r="F7" s="49" t="n">
        <x:f>(3*TE_Cards!G7+4*TE_Cards!H7+3*TE_Cards!I7+4*TE_Cards!K7+9*TE_Cards!J7+1*TE_Cards!V7+2*TE_Cards!AB7+1*TE_Cards!Y7+2*TE_Cards!Z7+10*TE_Cards!N7+14*TE_Cards!O7+1*TE_Cards!S7+2*TE_Cards!T7+12*TE_Cards!P7+6*TE_Cards!Q7+4*TE_Cards!AJ7+2*TE_Cards!AI7+3*TE_Cards!AF7+2*TE_Cards!AG7+2*TE_Cards!AH7+5*TE_Cards!AC7+4*TE_Cards!AD7+4*TE_Cards!AE7)/100</x:f>
        <x:v>81.63</x:v>
      </x:c>
      <x:c r="G7" s="49" t="n">
        <x:f>(7*TE_Cards!G7+7*TE_Cards!H7+4*TE_Cards!I7+3*TE_Cards!L7+9*TE_Cards!J7+2*TE_Cards!V7+3*TE_Cards!AB7+1*TE_Cards!Y7+2*TE_Cards!Z7+11*TE_Cards!N7+8*TE_Cards!O7+4*TE_Cards!S7+3*TE_Cards!T7+7*TE_Cards!P7+9*TE_Cards!Q7+5*TE_Cards!R7+2*TE_Cards!AF7+1*TE_Cards!AG7+1*TE_Cards!AH7+3*TE_Cards!AC7+3*TE_Cards!AD7+3*TE_Cards!AE7)/98</x:f>
        <x:v>83.16326530612245</x:v>
      </x:c>
      <x:c r="H7" s="49" t="n">
        <x:f>(6*TE_Cards!K7+9*TE_Cards!J7+2*TE_Cards!AB7+1*TE_Cards!Y7+2*TE_Cards!Z7+3*TE_Cards!N7+3*TE_Cards!O7+5*TE_Cards!P7+4*TE_Cards!Q7+9*TE_Cards!AJ7+8*TE_Cards!AI7+8*TE_Cards!AF7+6*TE_Cards!AG7+6*TE_Cards!AH7+10*TE_Cards!AC7+9*TE_Cards!AD7+9*TE_Cards!AE7)/100</x:f>
        <x:v>79.22</x:v>
      </x:c>
      <x:c r="I7" s="49" t="n">
        <x:f>0.71*G7+0.29*F7</x:f>
        <x:v>82.71861836734693</x:v>
      </x:c>
      <x:c r="J7" s="49" t="n">
        <x:f>IF(D7="Gritty Possession",F7,IF(D7="Vertical Threat",G7,IF(D7="Physical Route Runner",I7,IF(D7="Pure Blocker",H7,""))))</x:f>
        <x:v>81.63</x:v>
      </x:c>
      <x:c r="K7" s="16" t="str">
        <x:f>IF(D7="Gritty Possession","M19 Possession",IF(D7="Vertical Threat","M19 Vertical",IF(D7="Physical Route Runner","71% VT + 29% Possession",IF(D7="Pure Blocker","M19 Blocking",""))))</x:f>
        <x:v>M19 Possession</x:v>
      </x:c>
      <x:c r="L7" s="16" t="str">
        <x:v>See threshold validation below</x:v>
      </x:c>
      <x:c r="M7" s="16" t="str">
        <x:f>TE_Cards!AM7</x:f>
        <x:v>SRC-TE-001</x:v>
      </x:c>
      <x:c r="N7" s="16" t="n">
        <x:f>TE_Cards!AN7</x:f>
        <x:v>3</x:v>
      </x:c>
    </x:row>
    <x:row r="8">
      <x:c r="A8" s="16" t="str">
        <x:f>TE_Cards!A8</x:f>
        <x:v>TE-0004</x:v>
      </x:c>
      <x:c r="B8" s="16" t="str">
        <x:f>TE_Cards!B8</x:f>
        <x:v>Terrance Carter Jr.</x:v>
      </x:c>
      <x:c r="C8" s="16" t="n">
        <x:f>TE_Cards!C8</x:f>
        <x:v>85</x:v>
      </x:c>
      <x:c r="D8" s="16" t="str">
        <x:f>TE_Cards!E8</x:f>
        <x:v>Physical Route Runner</x:v>
      </x:c>
      <x:c r="E8" s="48" t="n">
        <x:f>TE_Cards!G8+TE_Cards!N8+TE_Cards!P8+TE_Cards!Q8+TE_Cards!AC8</x:f>
        <x:v>409</x:v>
      </x:c>
      <x:c r="F8" s="49" t="n">
        <x:f>(3*TE_Cards!G8+4*TE_Cards!H8+3*TE_Cards!I8+4*TE_Cards!K8+9*TE_Cards!J8+1*TE_Cards!V8+2*TE_Cards!AB8+1*TE_Cards!Y8+2*TE_Cards!Z8+10*TE_Cards!N8+14*TE_Cards!O8+1*TE_Cards!S8+2*TE_Cards!T8+12*TE_Cards!P8+6*TE_Cards!Q8+4*TE_Cards!AJ8+2*TE_Cards!AI8+3*TE_Cards!AF8+2*TE_Cards!AG8+2*TE_Cards!AH8+5*TE_Cards!AC8+4*TE_Cards!AD8+4*TE_Cards!AE8)/100</x:f>
        <x:v>79.86</x:v>
      </x:c>
      <x:c r="G8" s="49" t="n">
        <x:f>(7*TE_Cards!G8+7*TE_Cards!H8+4*TE_Cards!I8+3*TE_Cards!L8+9*TE_Cards!J8+2*TE_Cards!V8+3*TE_Cards!AB8+1*TE_Cards!Y8+2*TE_Cards!Z8+11*TE_Cards!N8+8*TE_Cards!O8+4*TE_Cards!S8+3*TE_Cards!T8+7*TE_Cards!P8+9*TE_Cards!Q8+5*TE_Cards!R8+2*TE_Cards!AF8+1*TE_Cards!AG8+1*TE_Cards!AH8+3*TE_Cards!AC8+3*TE_Cards!AD8+3*TE_Cards!AE8)/98</x:f>
        <x:v>81.26530612244898</x:v>
      </x:c>
      <x:c r="H8" s="49" t="n">
        <x:f>(6*TE_Cards!K8+9*TE_Cards!J8+2*TE_Cards!AB8+1*TE_Cards!Y8+2*TE_Cards!Z8+3*TE_Cards!N8+3*TE_Cards!O8+5*TE_Cards!P8+4*TE_Cards!Q8+9*TE_Cards!AJ8+8*TE_Cards!AI8+8*TE_Cards!AF8+6*TE_Cards!AG8+6*TE_Cards!AH8+10*TE_Cards!AC8+9*TE_Cards!AD8+9*TE_Cards!AE8)/100</x:f>
        <x:v>75.52</x:v>
      </x:c>
      <x:c r="I8" s="49" t="n">
        <x:f>0.71*G8+0.29*F8</x:f>
        <x:v>80.85776734693877</x:v>
      </x:c>
      <x:c r="J8" s="49" t="n">
        <x:f>IF(D8="Gritty Possession",F8,IF(D8="Vertical Threat",G8,IF(D8="Physical Route Runner",I8,IF(D8="Pure Blocker",H8,""))))</x:f>
        <x:v>80.85776734693877</x:v>
      </x:c>
      <x:c r="K8" s="16" t="str">
        <x:f>IF(D8="Gritty Possession","M19 Possession",IF(D8="Vertical Threat","M19 Vertical",IF(D8="Physical Route Runner","71% VT + 29% Possession",IF(D8="Pure Blocker","M19 Blocking",""))))</x:f>
        <x:v>71% VT + 29% Possession</x:v>
      </x:c>
      <x:c r="L8" s="16" t="str">
        <x:v>See threshold validation below</x:v>
      </x:c>
      <x:c r="M8" s="16" t="str">
        <x:f>TE_Cards!AM8</x:f>
        <x:v>SRC-TE-001</x:v>
      </x:c>
      <x:c r="N8" s="16" t="n">
        <x:f>TE_Cards!AN8</x:f>
        <x:v>4</x:v>
      </x:c>
    </x:row>
    <x:row r="9">
      <x:c r="A9" s="16" t="str">
        <x:f>TE_Cards!A9</x:f>
        <x:v>TE-0005</x:v>
      </x:c>
      <x:c r="B9" s="16" t="str">
        <x:f>TE_Cards!B9</x:f>
        <x:v>Trey'Dez Green</x:v>
      </x:c>
      <x:c r="C9" s="16" t="n">
        <x:f>TE_Cards!C9</x:f>
        <x:v>85</x:v>
      </x:c>
      <x:c r="D9" s="16" t="str">
        <x:f>TE_Cards!E9</x:f>
        <x:v>Physical Route Runner</x:v>
      </x:c>
      <x:c r="E9" s="48" t="n">
        <x:f>TE_Cards!G9+TE_Cards!N9+TE_Cards!P9+TE_Cards!Q9+TE_Cards!AC9</x:f>
        <x:v>405</x:v>
      </x:c>
      <x:c r="F9" s="49" t="n">
        <x:f>(3*TE_Cards!G9+4*TE_Cards!H9+3*TE_Cards!I9+4*TE_Cards!K9+9*TE_Cards!J9+1*TE_Cards!V9+2*TE_Cards!AB9+1*TE_Cards!Y9+2*TE_Cards!Z9+10*TE_Cards!N9+14*TE_Cards!O9+1*TE_Cards!S9+2*TE_Cards!T9+12*TE_Cards!P9+6*TE_Cards!Q9+4*TE_Cards!AJ9+2*TE_Cards!AI9+3*TE_Cards!AF9+2*TE_Cards!AG9+2*TE_Cards!AH9+5*TE_Cards!AC9+4*TE_Cards!AD9+4*TE_Cards!AE9)/100</x:f>
        <x:v>79.44</x:v>
      </x:c>
      <x:c r="G9" s="49" t="n">
        <x:f>(7*TE_Cards!G9+7*TE_Cards!H9+4*TE_Cards!I9+3*TE_Cards!L9+9*TE_Cards!J9+2*TE_Cards!V9+3*TE_Cards!AB9+1*TE_Cards!Y9+2*TE_Cards!Z9+11*TE_Cards!N9+8*TE_Cards!O9+4*TE_Cards!S9+3*TE_Cards!T9+7*TE_Cards!P9+9*TE_Cards!Q9+5*TE_Cards!R9+2*TE_Cards!AF9+1*TE_Cards!AG9+1*TE_Cards!AH9+3*TE_Cards!AC9+3*TE_Cards!AD9+3*TE_Cards!AE9)/98</x:f>
        <x:v>81.73469387755102</x:v>
      </x:c>
      <x:c r="H9" s="49" t="n">
        <x:f>(6*TE_Cards!K9+9*TE_Cards!J9+2*TE_Cards!AB9+1*TE_Cards!Y9+2*TE_Cards!Z9+3*TE_Cards!N9+3*TE_Cards!O9+5*TE_Cards!P9+4*TE_Cards!Q9+9*TE_Cards!AJ9+8*TE_Cards!AI9+8*TE_Cards!AF9+6*TE_Cards!AG9+6*TE_Cards!AH9+10*TE_Cards!AC9+9*TE_Cards!AD9+9*TE_Cards!AE9)/100</x:f>
        <x:v>71.79</x:v>
      </x:c>
      <x:c r="I9" s="49" t="n">
        <x:f>0.71*G9+0.29*F9</x:f>
        <x:v>81.06923265306122</x:v>
      </x:c>
      <x:c r="J9" s="49" t="n">
        <x:f>IF(D9="Gritty Possession",F9,IF(D9="Vertical Threat",G9,IF(D9="Physical Route Runner",I9,IF(D9="Pure Blocker",H9,""))))</x:f>
        <x:v>81.06923265306122</x:v>
      </x:c>
      <x:c r="K9" s="16" t="str">
        <x:f>IF(D9="Gritty Possession","M19 Possession",IF(D9="Vertical Threat","M19 Vertical",IF(D9="Physical Route Runner","71% VT + 29% Possession",IF(D9="Pure Blocker","M19 Blocking",""))))</x:f>
        <x:v>71% VT + 29% Possession</x:v>
      </x:c>
      <x:c r="L9" s="16" t="str">
        <x:v>See threshold validation below</x:v>
      </x:c>
      <x:c r="M9" s="16" t="str">
        <x:f>TE_Cards!AM9</x:f>
        <x:v>SRC-TE-001</x:v>
      </x:c>
      <x:c r="N9" s="16" t="n">
        <x:f>TE_Cards!AN9</x:f>
        <x:v>5</x:v>
      </x:c>
    </x:row>
    <x:row r="10">
      <x:c r="A10" s="16" t="str">
        <x:f>TE_Cards!A10</x:f>
        <x:v>TE-0006</x:v>
      </x:c>
      <x:c r="B10" s="16" t="str">
        <x:f>TE_Cards!B10</x:f>
        <x:v>Jamari Johnson</x:v>
      </x:c>
      <x:c r="C10" s="16" t="n">
        <x:f>TE_Cards!C10</x:f>
        <x:v>85</x:v>
      </x:c>
      <x:c r="D10" s="16" t="str">
        <x:f>TE_Cards!E10</x:f>
        <x:v>Physical Route Runner</x:v>
      </x:c>
      <x:c r="E10" s="48" t="n">
        <x:f>TE_Cards!G10+TE_Cards!N10+TE_Cards!P10+TE_Cards!Q10+TE_Cards!AC10</x:f>
        <x:v>408</x:v>
      </x:c>
      <x:c r="F10" s="49" t="n">
        <x:f>(3*TE_Cards!G10+4*TE_Cards!H10+3*TE_Cards!I10+4*TE_Cards!K10+9*TE_Cards!J10+1*TE_Cards!V10+2*TE_Cards!AB10+1*TE_Cards!Y10+2*TE_Cards!Z10+10*TE_Cards!N10+14*TE_Cards!O10+1*TE_Cards!S10+2*TE_Cards!T10+12*TE_Cards!P10+6*TE_Cards!Q10+4*TE_Cards!AJ10+2*TE_Cards!AI10+3*TE_Cards!AF10+2*TE_Cards!AG10+2*TE_Cards!AH10+5*TE_Cards!AC10+4*TE_Cards!AD10+4*TE_Cards!AE10)/100</x:f>
        <x:v>80.12</x:v>
      </x:c>
      <x:c r="G10" s="49" t="n">
        <x:f>(7*TE_Cards!G10+7*TE_Cards!H10+4*TE_Cards!I10+3*TE_Cards!L10+9*TE_Cards!J10+2*TE_Cards!V10+3*TE_Cards!AB10+1*TE_Cards!Y10+2*TE_Cards!Z10+11*TE_Cards!N10+8*TE_Cards!O10+4*TE_Cards!S10+3*TE_Cards!T10+7*TE_Cards!P10+9*TE_Cards!Q10+5*TE_Cards!R10+2*TE_Cards!AF10+1*TE_Cards!AG10+1*TE_Cards!AH10+3*TE_Cards!AC10+3*TE_Cards!AD10+3*TE_Cards!AE10)/98</x:f>
        <x:v>81.22448979591837</x:v>
      </x:c>
      <x:c r="H10" s="49" t="n">
        <x:f>(6*TE_Cards!K10+9*TE_Cards!J10+2*TE_Cards!AB10+1*TE_Cards!Y10+2*TE_Cards!Z10+3*TE_Cards!N10+3*TE_Cards!O10+5*TE_Cards!P10+4*TE_Cards!Q10+9*TE_Cards!AJ10+8*TE_Cards!AI10+8*TE_Cards!AF10+6*TE_Cards!AG10+6*TE_Cards!AH10+10*TE_Cards!AC10+9*TE_Cards!AD10+9*TE_Cards!AE10)/100</x:f>
        <x:v>75.7</x:v>
      </x:c>
      <x:c r="I10" s="49" t="n">
        <x:f>0.71*G10+0.29*F10</x:f>
        <x:v>80.90418775510204</x:v>
      </x:c>
      <x:c r="J10" s="49" t="n">
        <x:f>IF(D10="Gritty Possession",F10,IF(D10="Vertical Threat",G10,IF(D10="Physical Route Runner",I10,IF(D10="Pure Blocker",H10,""))))</x:f>
        <x:v>80.90418775510204</x:v>
      </x:c>
      <x:c r="K10" s="16" t="str">
        <x:f>IF(D10="Gritty Possession","M19 Possession",IF(D10="Vertical Threat","M19 Vertical",IF(D10="Physical Route Runner","71% VT + 29% Possession",IF(D10="Pure Blocker","M19 Blocking",""))))</x:f>
        <x:v>71% VT + 29% Possession</x:v>
      </x:c>
      <x:c r="L10" s="16" t="str">
        <x:v>See threshold validation below</x:v>
      </x:c>
      <x:c r="M10" s="16" t="str">
        <x:f>TE_Cards!AM10</x:f>
        <x:v>SRC-TE-001</x:v>
      </x:c>
      <x:c r="N10" s="16" t="n">
        <x:f>TE_Cards!AN10</x:f>
        <x:v>6</x:v>
      </x:c>
    </x:row>
    <x:row r="11">
      <x:c r="A11" s="16" t="str">
        <x:f>TE_Cards!A11</x:f>
        <x:v>TE-0007</x:v>
      </x:c>
      <x:c r="B11" s="16" t="str">
        <x:f>TE_Cards!B11</x:f>
        <x:v>Jamari Johnson</x:v>
      </x:c>
      <x:c r="C11" s="16" t="n">
        <x:f>TE_Cards!C11</x:f>
        <x:v>85</x:v>
      </x:c>
      <x:c r="D11" s="16" t="str">
        <x:f>TE_Cards!E11</x:f>
        <x:v>Physical Route Runner</x:v>
      </x:c>
      <x:c r="E11" s="48" t="n">
        <x:f>TE_Cards!G11+TE_Cards!N11+TE_Cards!P11+TE_Cards!Q11+TE_Cards!AC11</x:f>
        <x:v>408</x:v>
      </x:c>
      <x:c r="F11" s="49" t="n">
        <x:f>(3*TE_Cards!G11+4*TE_Cards!H11+3*TE_Cards!I11+4*TE_Cards!K11+9*TE_Cards!J11+1*TE_Cards!V11+2*TE_Cards!AB11+1*TE_Cards!Y11+2*TE_Cards!Z11+10*TE_Cards!N11+14*TE_Cards!O11+1*TE_Cards!S11+2*TE_Cards!T11+12*TE_Cards!P11+6*TE_Cards!Q11+4*TE_Cards!AJ11+2*TE_Cards!AI11+3*TE_Cards!AF11+2*TE_Cards!AG11+2*TE_Cards!AH11+5*TE_Cards!AC11+4*TE_Cards!AD11+4*TE_Cards!AE11)/100</x:f>
        <x:v>80.12</x:v>
      </x:c>
      <x:c r="G11" s="49" t="n">
        <x:f>(7*TE_Cards!G11+7*TE_Cards!H11+4*TE_Cards!I11+3*TE_Cards!L11+9*TE_Cards!J11+2*TE_Cards!V11+3*TE_Cards!AB11+1*TE_Cards!Y11+2*TE_Cards!Z11+11*TE_Cards!N11+8*TE_Cards!O11+4*TE_Cards!S11+3*TE_Cards!T11+7*TE_Cards!P11+9*TE_Cards!Q11+5*TE_Cards!R11+2*TE_Cards!AF11+1*TE_Cards!AG11+1*TE_Cards!AH11+3*TE_Cards!AC11+3*TE_Cards!AD11+3*TE_Cards!AE11)/98</x:f>
        <x:v>81.22448979591837</x:v>
      </x:c>
      <x:c r="H11" s="49" t="n">
        <x:f>(6*TE_Cards!K11+9*TE_Cards!J11+2*TE_Cards!AB11+1*TE_Cards!Y11+2*TE_Cards!Z11+3*TE_Cards!N11+3*TE_Cards!O11+5*TE_Cards!P11+4*TE_Cards!Q11+9*TE_Cards!AJ11+8*TE_Cards!AI11+8*TE_Cards!AF11+6*TE_Cards!AG11+6*TE_Cards!AH11+10*TE_Cards!AC11+9*TE_Cards!AD11+9*TE_Cards!AE11)/100</x:f>
        <x:v>75.7</x:v>
      </x:c>
      <x:c r="I11" s="49" t="n">
        <x:f>0.71*G11+0.29*F11</x:f>
        <x:v>80.90418775510204</x:v>
      </x:c>
      <x:c r="J11" s="49" t="n">
        <x:f>IF(D11="Gritty Possession",F11,IF(D11="Vertical Threat",G11,IF(D11="Physical Route Runner",I11,IF(D11="Pure Blocker",H11,""))))</x:f>
        <x:v>80.90418775510204</x:v>
      </x:c>
      <x:c r="K11" s="16" t="str">
        <x:f>IF(D11="Gritty Possession","M19 Possession",IF(D11="Vertical Threat","M19 Vertical",IF(D11="Physical Route Runner","71% VT + 29% Possession",IF(D11="Pure Blocker","M19 Blocking",""))))</x:f>
        <x:v>71% VT + 29% Possession</x:v>
      </x:c>
      <x:c r="L11" s="16" t="str">
        <x:v>See threshold validation below</x:v>
      </x:c>
      <x:c r="M11" s="16" t="str">
        <x:f>TE_Cards!AM11</x:f>
        <x:v>SRC-TE-001</x:v>
      </x:c>
      <x:c r="N11" s="16" t="n">
        <x:f>TE_Cards!AN11</x:f>
        <x:v>7</x:v>
      </x:c>
    </x:row>
    <x:row r="12">
      <x:c r="A12" s="16" t="str">
        <x:f>TE_Cards!A12</x:f>
        <x:v>TE-0008</x:v>
      </x:c>
      <x:c r="B12" s="16" t="str">
        <x:f>TE_Cards!B12</x:f>
        <x:v>Lawson Luckie</x:v>
      </x:c>
      <x:c r="C12" s="16" t="n">
        <x:f>TE_Cards!C12</x:f>
        <x:v>85</x:v>
      </x:c>
      <x:c r="D12" s="16" t="str">
        <x:f>TE_Cards!E12</x:f>
        <x:v>Gritty Possession</x:v>
      </x:c>
      <x:c r="E12" s="48" t="n">
        <x:f>TE_Cards!G12+TE_Cards!N12+TE_Cards!P12+TE_Cards!Q12+TE_Cards!AC12</x:f>
        <x:v>421</x:v>
      </x:c>
      <x:c r="F12" s="49" t="n">
        <x:f>(3*TE_Cards!G12+4*TE_Cards!H12+3*TE_Cards!I12+4*TE_Cards!K12+9*TE_Cards!J12+1*TE_Cards!V12+2*TE_Cards!AB12+1*TE_Cards!Y12+2*TE_Cards!Z12+10*TE_Cards!N12+14*TE_Cards!O12+1*TE_Cards!S12+2*TE_Cards!T12+12*TE_Cards!P12+6*TE_Cards!Q12+4*TE_Cards!AJ12+2*TE_Cards!AI12+3*TE_Cards!AF12+2*TE_Cards!AG12+2*TE_Cards!AH12+5*TE_Cards!AC12+4*TE_Cards!AD12+4*TE_Cards!AE12)/100</x:f>
        <x:v>81.94</x:v>
      </x:c>
      <x:c r="G12" s="49" t="n">
        <x:f>(7*TE_Cards!G12+7*TE_Cards!H12+4*TE_Cards!I12+3*TE_Cards!L12+9*TE_Cards!J12+2*TE_Cards!V12+3*TE_Cards!AB12+1*TE_Cards!Y12+2*TE_Cards!Z12+11*TE_Cards!N12+8*TE_Cards!O12+4*TE_Cards!S12+3*TE_Cards!T12+7*TE_Cards!P12+9*TE_Cards!Q12+5*TE_Cards!R12+2*TE_Cards!AF12+1*TE_Cards!AG12+1*TE_Cards!AH12+3*TE_Cards!AC12+3*TE_Cards!AD12+3*TE_Cards!AE12)/98</x:f>
        <x:v>83.22448979591837</x:v>
      </x:c>
      <x:c r="H12" s="49" t="n">
        <x:f>(6*TE_Cards!K12+9*TE_Cards!J12+2*TE_Cards!AB12+1*TE_Cards!Y12+2*TE_Cards!Z12+3*TE_Cards!N12+3*TE_Cards!O12+5*TE_Cards!P12+4*TE_Cards!Q12+9*TE_Cards!AJ12+8*TE_Cards!AI12+8*TE_Cards!AF12+6*TE_Cards!AG12+6*TE_Cards!AH12+10*TE_Cards!AC12+9*TE_Cards!AD12+9*TE_Cards!AE12)/100</x:f>
        <x:v>78.34</x:v>
      </x:c>
      <x:c r="I12" s="49" t="n">
        <x:f>0.71*G12+0.29*F12</x:f>
        <x:v>82.85198775510204</x:v>
      </x:c>
      <x:c r="J12" s="49" t="n">
        <x:f>IF(D12="Gritty Possession",F12,IF(D12="Vertical Threat",G12,IF(D12="Physical Route Runner",I12,IF(D12="Pure Blocker",H12,""))))</x:f>
        <x:v>81.94</x:v>
      </x:c>
      <x:c r="K12" s="16" t="str">
        <x:f>IF(D12="Gritty Possession","M19 Possession",IF(D12="Vertical Threat","M19 Vertical",IF(D12="Physical Route Runner","71% VT + 29% Possession",IF(D12="Pure Blocker","M19 Blocking",""))))</x:f>
        <x:v>M19 Possession</x:v>
      </x:c>
      <x:c r="L12" s="16" t="str">
        <x:v>See threshold validation below</x:v>
      </x:c>
      <x:c r="M12" s="16" t="str">
        <x:f>TE_Cards!AM12</x:f>
        <x:v>SRC-TE-001</x:v>
      </x:c>
      <x:c r="N12" s="16" t="n">
        <x:f>TE_Cards!AN12</x:f>
        <x:v>8</x:v>
      </x:c>
    </x:row>
    <x:row r="13">
      <x:c r="A13" s="16" t="str">
        <x:f>TE_Cards!A13</x:f>
        <x:v>TE-0009</x:v>
      </x:c>
      <x:c r="B13" s="16" t="str">
        <x:f>TE_Cards!B13</x:f>
        <x:v>Dorian Thomas</x:v>
      </x:c>
      <x:c r="C13" s="16" t="n">
        <x:f>TE_Cards!C13</x:f>
        <x:v>85</x:v>
      </x:c>
      <x:c r="D13" s="16" t="str">
        <x:f>TE_Cards!E13</x:f>
        <x:v>Physical Route Runner</x:v>
      </x:c>
      <x:c r="E13" s="48" t="n">
        <x:f>TE_Cards!G13+TE_Cards!N13+TE_Cards!P13+TE_Cards!Q13+TE_Cards!AC13</x:f>
        <x:v>411</x:v>
      </x:c>
      <x:c r="F13" s="49" t="n">
        <x:f>(3*TE_Cards!G13+4*TE_Cards!H13+3*TE_Cards!I13+4*TE_Cards!K13+9*TE_Cards!J13+1*TE_Cards!V13+2*TE_Cards!AB13+1*TE_Cards!Y13+2*TE_Cards!Z13+10*TE_Cards!N13+14*TE_Cards!O13+1*TE_Cards!S13+2*TE_Cards!T13+12*TE_Cards!P13+6*TE_Cards!Q13+4*TE_Cards!AJ13+2*TE_Cards!AI13+3*TE_Cards!AF13+2*TE_Cards!AG13+2*TE_Cards!AH13+5*TE_Cards!AC13+4*TE_Cards!AD13+4*TE_Cards!AE13)/100</x:f>
        <x:v>81.18</x:v>
      </x:c>
      <x:c r="G13" s="49" t="n">
        <x:f>(7*TE_Cards!G13+7*TE_Cards!H13+4*TE_Cards!I13+3*TE_Cards!L13+9*TE_Cards!J13+2*TE_Cards!V13+3*TE_Cards!AB13+1*TE_Cards!Y13+2*TE_Cards!Z13+11*TE_Cards!N13+8*TE_Cards!O13+4*TE_Cards!S13+3*TE_Cards!T13+7*TE_Cards!P13+9*TE_Cards!Q13+5*TE_Cards!R13+2*TE_Cards!AF13+1*TE_Cards!AG13+1*TE_Cards!AH13+3*TE_Cards!AC13+3*TE_Cards!AD13+3*TE_Cards!AE13)/98</x:f>
        <x:v>80.90816326530613</x:v>
      </x:c>
      <x:c r="H13" s="49" t="n">
        <x:f>(6*TE_Cards!K13+9*TE_Cards!J13+2*TE_Cards!AB13+1*TE_Cards!Y13+2*TE_Cards!Z13+3*TE_Cards!N13+3*TE_Cards!O13+5*TE_Cards!P13+4*TE_Cards!Q13+9*TE_Cards!AJ13+8*TE_Cards!AI13+8*TE_Cards!AF13+6*TE_Cards!AG13+6*TE_Cards!AH13+10*TE_Cards!AC13+9*TE_Cards!AD13+9*TE_Cards!AE13)/100</x:f>
        <x:v>78.61</x:v>
      </x:c>
      <x:c r="I13" s="49" t="n">
        <x:f>0.71*G13+0.29*F13</x:f>
        <x:v>80.98699591836734</x:v>
      </x:c>
      <x:c r="J13" s="49" t="n">
        <x:f>IF(D13="Gritty Possession",F13,IF(D13="Vertical Threat",G13,IF(D13="Physical Route Runner",I13,IF(D13="Pure Blocker",H13,""))))</x:f>
        <x:v>80.98699591836734</x:v>
      </x:c>
      <x:c r="K13" s="16" t="str">
        <x:f>IF(D13="Gritty Possession","M19 Possession",IF(D13="Vertical Threat","M19 Vertical",IF(D13="Physical Route Runner","71% VT + 29% Possession",IF(D13="Pure Blocker","M19 Blocking",""))))</x:f>
        <x:v>71% VT + 29% Possession</x:v>
      </x:c>
      <x:c r="L13" s="16" t="str">
        <x:v>See threshold validation below</x:v>
      </x:c>
      <x:c r="M13" s="16" t="str">
        <x:f>TE_Cards!AM13</x:f>
        <x:v>SRC-TE-001</x:v>
      </x:c>
      <x:c r="N13" s="16" t="n">
        <x:f>TE_Cards!AN13</x:f>
        <x:v>9</x:v>
      </x:c>
    </x:row>
    <x:row r="14">
      <x:c r="A14" s="16" t="str">
        <x:f>TE_Cards!A14</x:f>
        <x:v>TE-0010</x:v>
      </x:c>
      <x:c r="B14" s="16" t="str">
        <x:f>TE_Cards!B14</x:f>
        <x:v>Pierce Walsh</x:v>
      </x:c>
      <x:c r="C14" s="16" t="n">
        <x:f>TE_Cards!C14</x:f>
        <x:v>84</x:v>
      </x:c>
      <x:c r="D14" s="16" t="str">
        <x:f>TE_Cards!E14</x:f>
        <x:v>Gritty Possession</x:v>
      </x:c>
      <x:c r="E14" s="48" t="n">
        <x:f>TE_Cards!G14+TE_Cards!N14+TE_Cards!P14+TE_Cards!Q14+TE_Cards!AC14</x:f>
        <x:v>409</x:v>
      </x:c>
      <x:c r="F14" s="49" t="n">
        <x:f>(3*TE_Cards!G14+4*TE_Cards!H14+3*TE_Cards!I14+4*TE_Cards!K14+9*TE_Cards!J14+1*TE_Cards!V14+2*TE_Cards!AB14+1*TE_Cards!Y14+2*TE_Cards!Z14+10*TE_Cards!N14+14*TE_Cards!O14+1*TE_Cards!S14+2*TE_Cards!T14+12*TE_Cards!P14+6*TE_Cards!Q14+4*TE_Cards!AJ14+2*TE_Cards!AI14+3*TE_Cards!AF14+2*TE_Cards!AG14+2*TE_Cards!AH14+5*TE_Cards!AC14+4*TE_Cards!AD14+4*TE_Cards!AE14)/100</x:f>
        <x:v>80.18</x:v>
      </x:c>
      <x:c r="G14" s="49" t="n">
        <x:f>(7*TE_Cards!G14+7*TE_Cards!H14+4*TE_Cards!I14+3*TE_Cards!L14+9*TE_Cards!J14+2*TE_Cards!V14+3*TE_Cards!AB14+1*TE_Cards!Y14+2*TE_Cards!Z14+11*TE_Cards!N14+8*TE_Cards!O14+4*TE_Cards!S14+3*TE_Cards!T14+7*TE_Cards!P14+9*TE_Cards!Q14+5*TE_Cards!R14+2*TE_Cards!AF14+1*TE_Cards!AG14+1*TE_Cards!AH14+3*TE_Cards!AC14+3*TE_Cards!AD14+3*TE_Cards!AE14)/98</x:f>
        <x:v>80.07142857142857</x:v>
      </x:c>
      <x:c r="H14" s="49" t="n">
        <x:f>(6*TE_Cards!K14+9*TE_Cards!J14+2*TE_Cards!AB14+1*TE_Cards!Y14+2*TE_Cards!Z14+3*TE_Cards!N14+3*TE_Cards!O14+5*TE_Cards!P14+4*TE_Cards!Q14+9*TE_Cards!AJ14+8*TE_Cards!AI14+8*TE_Cards!AF14+6*TE_Cards!AG14+6*TE_Cards!AH14+10*TE_Cards!AC14+9*TE_Cards!AD14+9*TE_Cards!AE14)/100</x:f>
        <x:v>77.96</x:v>
      </x:c>
      <x:c r="I14" s="49" t="n">
        <x:f>0.71*G14+0.29*F14</x:f>
        <x:v>80.10291428571429</x:v>
      </x:c>
      <x:c r="J14" s="49" t="n">
        <x:f>IF(D14="Gritty Possession",F14,IF(D14="Vertical Threat",G14,IF(D14="Physical Route Runner",I14,IF(D14="Pure Blocker",H14,""))))</x:f>
        <x:v>80.18</x:v>
      </x:c>
      <x:c r="K14" s="16" t="str">
        <x:f>IF(D14="Gritty Possession","M19 Possession",IF(D14="Vertical Threat","M19 Vertical",IF(D14="Physical Route Runner","71% VT + 29% Possession",IF(D14="Pure Blocker","M19 Blocking",""))))</x:f>
        <x:v>M19 Possession</x:v>
      </x:c>
      <x:c r="L14" s="16" t="str">
        <x:v>See threshold validation below</x:v>
      </x:c>
      <x:c r="M14" s="16" t="str">
        <x:f>TE_Cards!AM14</x:f>
        <x:v>SRC-TE-001</x:v>
      </x:c>
      <x:c r="N14" s="16" t="n">
        <x:f>TE_Cards!AN14</x:f>
        <x:v>10</x:v>
      </x:c>
    </x:row>
    <x:row r="15">
      <x:c r="A15" s="16" t="str">
        <x:f>TE_Cards!A15</x:f>
        <x:v>TE-0011</x:v>
      </x:c>
      <x:c r="B15" s="16" t="str">
        <x:f>TE_Cards!B15</x:f>
        <x:v>Eli Finley</x:v>
      </x:c>
      <x:c r="C15" s="16" t="n">
        <x:f>TE_Cards!C15</x:f>
        <x:v>84</x:v>
      </x:c>
      <x:c r="D15" s="16" t="str">
        <x:f>TE_Cards!E15</x:f>
        <x:v>Gritty Possession</x:v>
      </x:c>
      <x:c r="E15" s="48" t="n">
        <x:f>TE_Cards!G15+TE_Cards!N15+TE_Cards!P15+TE_Cards!Q15+TE_Cards!AC15</x:f>
        <x:v>410</x:v>
      </x:c>
      <x:c r="F15" s="49" t="n">
        <x:f>(3*TE_Cards!G15+4*TE_Cards!H15+3*TE_Cards!I15+4*TE_Cards!K15+9*TE_Cards!J15+1*TE_Cards!V15+2*TE_Cards!AB15+1*TE_Cards!Y15+2*TE_Cards!Z15+10*TE_Cards!N15+14*TE_Cards!O15+1*TE_Cards!S15+2*TE_Cards!T15+12*TE_Cards!P15+6*TE_Cards!Q15+4*TE_Cards!AJ15+2*TE_Cards!AI15+3*TE_Cards!AF15+2*TE_Cards!AG15+2*TE_Cards!AH15+5*TE_Cards!AC15+4*TE_Cards!AD15+4*TE_Cards!AE15)/100</x:f>
        <x:v>80.96</x:v>
      </x:c>
      <x:c r="G15" s="49" t="n">
        <x:f>(7*TE_Cards!G15+7*TE_Cards!H15+4*TE_Cards!I15+3*TE_Cards!L15+9*TE_Cards!J15+2*TE_Cards!V15+3*TE_Cards!AB15+1*TE_Cards!Y15+2*TE_Cards!Z15+11*TE_Cards!N15+8*TE_Cards!O15+4*TE_Cards!S15+3*TE_Cards!T15+7*TE_Cards!P15+9*TE_Cards!Q15+5*TE_Cards!R15+2*TE_Cards!AF15+1*TE_Cards!AG15+1*TE_Cards!AH15+3*TE_Cards!AC15+3*TE_Cards!AD15+3*TE_Cards!AE15)/98</x:f>
        <x:v>81.56122448979592</x:v>
      </x:c>
      <x:c r="H15" s="49" t="n">
        <x:f>(6*TE_Cards!K15+9*TE_Cards!J15+2*TE_Cards!AB15+1*TE_Cards!Y15+2*TE_Cards!Z15+3*TE_Cards!N15+3*TE_Cards!O15+5*TE_Cards!P15+4*TE_Cards!Q15+9*TE_Cards!AJ15+8*TE_Cards!AI15+8*TE_Cards!AF15+6*TE_Cards!AG15+6*TE_Cards!AH15+10*TE_Cards!AC15+9*TE_Cards!AD15+9*TE_Cards!AE15)/100</x:f>
        <x:v>77.13</x:v>
      </x:c>
      <x:c r="I15" s="49" t="n">
        <x:f>0.71*G15+0.29*F15</x:f>
        <x:v>81.3868693877551</x:v>
      </x:c>
      <x:c r="J15" s="49" t="n">
        <x:f>IF(D15="Gritty Possession",F15,IF(D15="Vertical Threat",G15,IF(D15="Physical Route Runner",I15,IF(D15="Pure Blocker",H15,""))))</x:f>
        <x:v>80.96</x:v>
      </x:c>
      <x:c r="K15" s="16" t="str">
        <x:f>IF(D15="Gritty Possession","M19 Possession",IF(D15="Vertical Threat","M19 Vertical",IF(D15="Physical Route Runner","71% VT + 29% Possession",IF(D15="Pure Blocker","M19 Blocking",""))))</x:f>
        <x:v>M19 Possession</x:v>
      </x:c>
      <x:c r="L15" s="16" t="str">
        <x:v>See threshold validation below</x:v>
      </x:c>
      <x:c r="M15" s="16" t="str">
        <x:f>TE_Cards!AM15</x:f>
        <x:v>SRC-TE-001</x:v>
      </x:c>
      <x:c r="N15" s="16" t="n">
        <x:f>TE_Cards!AN15</x:f>
        <x:v>11</x:v>
      </x:c>
    </x:row>
    <x:row r="16">
      <x:c r="A16" s="16" t="str">
        <x:f>TE_Cards!A16</x:f>
        <x:v>TE-0012</x:v>
      </x:c>
      <x:c r="B16" s="16" t="str">
        <x:f>TE_Cards!B16</x:f>
        <x:v>Ethan Malafa</x:v>
      </x:c>
      <x:c r="C16" s="16" t="n">
        <x:f>TE_Cards!C16</x:f>
        <x:v>84</x:v>
      </x:c>
      <x:c r="D16" s="16" t="str">
        <x:f>TE_Cards!E16</x:f>
        <x:v>Pure Blocker</x:v>
      </x:c>
      <x:c r="E16" s="48" t="n">
        <x:f>TE_Cards!G16+TE_Cards!N16+TE_Cards!P16+TE_Cards!Q16+TE_Cards!AC16</x:f>
        <x:v>407</x:v>
      </x:c>
      <x:c r="F16" s="49" t="n">
        <x:f>(3*TE_Cards!G16+4*TE_Cards!H16+3*TE_Cards!I16+4*TE_Cards!K16+9*TE_Cards!J16+1*TE_Cards!V16+2*TE_Cards!AB16+1*TE_Cards!Y16+2*TE_Cards!Z16+10*TE_Cards!N16+14*TE_Cards!O16+1*TE_Cards!S16+2*TE_Cards!T16+12*TE_Cards!P16+6*TE_Cards!Q16+4*TE_Cards!AJ16+2*TE_Cards!AI16+3*TE_Cards!AF16+2*TE_Cards!AG16+2*TE_Cards!AH16+5*TE_Cards!AC16+4*TE_Cards!AD16+4*TE_Cards!AE16)/100</x:f>
        <x:v>79.54</x:v>
      </x:c>
      <x:c r="G16" s="49" t="n">
        <x:f>(7*TE_Cards!G16+7*TE_Cards!H16+4*TE_Cards!I16+3*TE_Cards!L16+9*TE_Cards!J16+2*TE_Cards!V16+3*TE_Cards!AB16+1*TE_Cards!Y16+2*TE_Cards!Z16+11*TE_Cards!N16+8*TE_Cards!O16+4*TE_Cards!S16+3*TE_Cards!T16+7*TE_Cards!P16+9*TE_Cards!Q16+5*TE_Cards!R16+2*TE_Cards!AF16+1*TE_Cards!AG16+1*TE_Cards!AH16+3*TE_Cards!AC16+3*TE_Cards!AD16+3*TE_Cards!AE16)/98</x:f>
        <x:v>78.96938775510205</x:v>
      </x:c>
      <x:c r="H16" s="49" t="n">
        <x:f>(6*TE_Cards!K16+9*TE_Cards!J16+2*TE_Cards!AB16+1*TE_Cards!Y16+2*TE_Cards!Z16+3*TE_Cards!N16+3*TE_Cards!O16+5*TE_Cards!P16+4*TE_Cards!Q16+9*TE_Cards!AJ16+8*TE_Cards!AI16+8*TE_Cards!AF16+6*TE_Cards!AG16+6*TE_Cards!AH16+10*TE_Cards!AC16+9*TE_Cards!AD16+9*TE_Cards!AE16)/100</x:f>
        <x:v>78.96</x:v>
      </x:c>
      <x:c r="I16" s="49" t="n">
        <x:f>0.71*G16+0.29*F16</x:f>
        <x:v>79.13486530612245</x:v>
      </x:c>
      <x:c r="J16" s="49" t="n">
        <x:f>IF(D16="Gritty Possession",F16,IF(D16="Vertical Threat",G16,IF(D16="Physical Route Runner",I16,IF(D16="Pure Blocker",H16,""))))</x:f>
        <x:v>78.96</x:v>
      </x:c>
      <x:c r="K16" s="16" t="str">
        <x:f>IF(D16="Gritty Possession","M19 Possession",IF(D16="Vertical Threat","M19 Vertical",IF(D16="Physical Route Runner","71% VT + 29% Possession",IF(D16="Pure Blocker","M19 Blocking",""))))</x:f>
        <x:v>M19 Blocking</x:v>
      </x:c>
      <x:c r="L16" s="16" t="str">
        <x:v>See threshold validation below</x:v>
      </x:c>
      <x:c r="M16" s="16" t="str">
        <x:f>TE_Cards!AM16</x:f>
        <x:v>SRC-TE-001</x:v>
      </x:c>
      <x:c r="N16" s="16" t="n">
        <x:f>TE_Cards!AN16</x:f>
        <x:v>12</x:v>
      </x:c>
    </x:row>
    <x:row r="17">
      <x:c r="A17" s="16" t="str">
        <x:f>TE_Cards!A17</x:f>
        <x:v>TE-0013</x:v>
      </x:c>
      <x:c r="B17" s="16" t="str">
        <x:f>TE_Cards!B17</x:f>
        <x:v>Ozzie Newsome</x:v>
      </x:c>
      <x:c r="C17" s="16" t="n">
        <x:f>TE_Cards!C17</x:f>
        <x:v>84</x:v>
      </x:c>
      <x:c r="D17" s="16" t="str">
        <x:f>TE_Cards!E17</x:f>
        <x:v>Gritty Possession</x:v>
      </x:c>
      <x:c r="E17" s="48" t="n">
        <x:f>TE_Cards!G17+TE_Cards!N17+TE_Cards!P17+TE_Cards!Q17+TE_Cards!AC17</x:f>
        <x:v>404</x:v>
      </x:c>
      <x:c r="F17" s="49" t="n">
        <x:f>(3*TE_Cards!G17+4*TE_Cards!H17+3*TE_Cards!I17+4*TE_Cards!K17+9*TE_Cards!J17+1*TE_Cards!V17+2*TE_Cards!AB17+1*TE_Cards!Y17+2*TE_Cards!Z17+10*TE_Cards!N17+14*TE_Cards!O17+1*TE_Cards!S17+2*TE_Cards!T17+12*TE_Cards!P17+6*TE_Cards!Q17+4*TE_Cards!AJ17+2*TE_Cards!AI17+3*TE_Cards!AF17+2*TE_Cards!AG17+2*TE_Cards!AH17+5*TE_Cards!AC17+4*TE_Cards!AD17+4*TE_Cards!AE17)/100</x:f>
        <x:v>80.32</x:v>
      </x:c>
      <x:c r="G17" s="49" t="n">
        <x:f>(7*TE_Cards!G17+7*TE_Cards!H17+4*TE_Cards!I17+3*TE_Cards!L17+9*TE_Cards!J17+2*TE_Cards!V17+3*TE_Cards!AB17+1*TE_Cards!Y17+2*TE_Cards!Z17+11*TE_Cards!N17+8*TE_Cards!O17+4*TE_Cards!S17+3*TE_Cards!T17+7*TE_Cards!P17+9*TE_Cards!Q17+5*TE_Cards!R17+2*TE_Cards!AF17+1*TE_Cards!AG17+1*TE_Cards!AH17+3*TE_Cards!AC17+3*TE_Cards!AD17+3*TE_Cards!AE17)/98</x:f>
        <x:v>80.07142857142857</x:v>
      </x:c>
      <x:c r="H17" s="49" t="n">
        <x:f>(6*TE_Cards!K17+9*TE_Cards!J17+2*TE_Cards!AB17+1*TE_Cards!Y17+2*TE_Cards!Z17+3*TE_Cards!N17+3*TE_Cards!O17+5*TE_Cards!P17+4*TE_Cards!Q17+9*TE_Cards!AJ17+8*TE_Cards!AI17+8*TE_Cards!AF17+6*TE_Cards!AG17+6*TE_Cards!AH17+10*TE_Cards!AC17+9*TE_Cards!AD17+9*TE_Cards!AE17)/100</x:f>
        <x:v>78.85</x:v>
      </x:c>
      <x:c r="I17" s="49" t="n">
        <x:f>0.71*G17+0.29*F17</x:f>
        <x:v>80.14351428571428</x:v>
      </x:c>
      <x:c r="J17" s="49" t="n">
        <x:f>IF(D17="Gritty Possession",F17,IF(D17="Vertical Threat",G17,IF(D17="Physical Route Runner",I17,IF(D17="Pure Blocker",H17,""))))</x:f>
        <x:v>80.32</x:v>
      </x:c>
      <x:c r="K17" s="16" t="str">
        <x:f>IF(D17="Gritty Possession","M19 Possession",IF(D17="Vertical Threat","M19 Vertical",IF(D17="Physical Route Runner","71% VT + 29% Possession",IF(D17="Pure Blocker","M19 Blocking",""))))</x:f>
        <x:v>M19 Possession</x:v>
      </x:c>
      <x:c r="L17" s="16" t="str">
        <x:v>See threshold validation below</x:v>
      </x:c>
      <x:c r="M17" s="16" t="str">
        <x:f>TE_Cards!AM17</x:f>
        <x:v>SRC-TE-001</x:v>
      </x:c>
      <x:c r="N17" s="16" t="n">
        <x:f>TE_Cards!AN17</x:f>
        <x:v>13</x:v>
      </x:c>
    </x:row>
    <x:row r="18">
      <x:c r="A18" s="16" t="str">
        <x:f>TE_Cards!A18</x:f>
        <x:v>TE-0014</x:v>
      </x:c>
      <x:c r="B18" s="16" t="str">
        <x:f>TE_Cards!B18</x:f>
        <x:v>Benjamin Brahmer</x:v>
      </x:c>
      <x:c r="C18" s="16" t="n">
        <x:f>TE_Cards!C18</x:f>
        <x:v>84</x:v>
      </x:c>
      <x:c r="D18" s="16" t="str">
        <x:f>TE_Cards!E18</x:f>
        <x:v>Vertical Threat</x:v>
      </x:c>
      <x:c r="E18" s="48" t="n">
        <x:f>TE_Cards!G18+TE_Cards!N18+TE_Cards!P18+TE_Cards!Q18+TE_Cards!AC18</x:f>
        <x:v>404</x:v>
      </x:c>
      <x:c r="F18" s="49" t="n">
        <x:f>(3*TE_Cards!G18+4*TE_Cards!H18+3*TE_Cards!I18+4*TE_Cards!K18+9*TE_Cards!J18+1*TE_Cards!V18+2*TE_Cards!AB18+1*TE_Cards!Y18+2*TE_Cards!Z18+10*TE_Cards!N18+14*TE_Cards!O18+1*TE_Cards!S18+2*TE_Cards!T18+12*TE_Cards!P18+6*TE_Cards!Q18+4*TE_Cards!AJ18+2*TE_Cards!AI18+3*TE_Cards!AF18+2*TE_Cards!AG18+2*TE_Cards!AH18+5*TE_Cards!AC18+4*TE_Cards!AD18+4*TE_Cards!AE18)/100</x:f>
        <x:v>79.04</x:v>
      </x:c>
      <x:c r="G18" s="49" t="n">
        <x:f>(7*TE_Cards!G18+7*TE_Cards!H18+4*TE_Cards!I18+3*TE_Cards!L18+9*TE_Cards!J18+2*TE_Cards!V18+3*TE_Cards!AB18+1*TE_Cards!Y18+2*TE_Cards!Z18+11*TE_Cards!N18+8*TE_Cards!O18+4*TE_Cards!S18+3*TE_Cards!T18+7*TE_Cards!P18+9*TE_Cards!Q18+5*TE_Cards!R18+2*TE_Cards!AF18+1*TE_Cards!AG18+1*TE_Cards!AH18+3*TE_Cards!AC18+3*TE_Cards!AD18+3*TE_Cards!AE18)/98</x:f>
        <x:v>79.60204081632654</x:v>
      </x:c>
      <x:c r="H18" s="49" t="n">
        <x:f>(6*TE_Cards!K18+9*TE_Cards!J18+2*TE_Cards!AB18+1*TE_Cards!Y18+2*TE_Cards!Z18+3*TE_Cards!N18+3*TE_Cards!O18+5*TE_Cards!P18+4*TE_Cards!Q18+9*TE_Cards!AJ18+8*TE_Cards!AI18+8*TE_Cards!AF18+6*TE_Cards!AG18+6*TE_Cards!AH18+10*TE_Cards!AC18+9*TE_Cards!AD18+9*TE_Cards!AE18)/100</x:f>
        <x:v>76.16</x:v>
      </x:c>
      <x:c r="I18" s="49" t="n">
        <x:f>0.71*G18+0.29*F18</x:f>
        <x:v>79.43904897959185</x:v>
      </x:c>
      <x:c r="J18" s="49" t="n">
        <x:f>IF(D18="Gritty Possession",F18,IF(D18="Vertical Threat",G18,IF(D18="Physical Route Runner",I18,IF(D18="Pure Blocker",H18,""))))</x:f>
        <x:v>79.60204081632654</x:v>
      </x:c>
      <x:c r="K18" s="16" t="str">
        <x:f>IF(D18="Gritty Possession","M19 Possession",IF(D18="Vertical Threat","M19 Vertical",IF(D18="Physical Route Runner","71% VT + 29% Possession",IF(D18="Pure Blocker","M19 Blocking",""))))</x:f>
        <x:v>M19 Vertical</x:v>
      </x:c>
      <x:c r="L18" s="16" t="str">
        <x:v>See threshold validation below</x:v>
      </x:c>
      <x:c r="M18" s="16" t="str">
        <x:f>TE_Cards!AM18</x:f>
        <x:v>SRC-TE-001</x:v>
      </x:c>
      <x:c r="N18" s="16" t="n">
        <x:f>TE_Cards!AN18</x:f>
        <x:v>14</x:v>
      </x:c>
    </x:row>
    <x:row r="19">
      <x:c r="A19" s="16" t="str">
        <x:f>TE_Cards!A19</x:f>
        <x:v>TE-0015</x:v>
      </x:c>
      <x:c r="B19" s="16" t="str">
        <x:f>TE_Cards!B19</x:f>
        <x:v>Peter Clarke</x:v>
      </x:c>
      <x:c r="C19" s="16" t="n">
        <x:f>TE_Cards!C19</x:f>
        <x:v>84</x:v>
      </x:c>
      <x:c r="D19" s="16" t="str">
        <x:f>TE_Cards!E19</x:f>
        <x:v>Physical Route Runner</x:v>
      </x:c>
      <x:c r="E19" s="48" t="n">
        <x:f>TE_Cards!G19+TE_Cards!N19+TE_Cards!P19+TE_Cards!Q19+TE_Cards!AC19</x:f>
        <x:v>405</x:v>
      </x:c>
      <x:c r="F19" s="49" t="n">
        <x:f>(3*TE_Cards!G19+4*TE_Cards!H19+3*TE_Cards!I19+4*TE_Cards!K19+9*TE_Cards!J19+1*TE_Cards!V19+2*TE_Cards!AB19+1*TE_Cards!Y19+2*TE_Cards!Z19+10*TE_Cards!N19+14*TE_Cards!O19+1*TE_Cards!S19+2*TE_Cards!T19+12*TE_Cards!P19+6*TE_Cards!Q19+4*TE_Cards!AJ19+2*TE_Cards!AI19+3*TE_Cards!AF19+2*TE_Cards!AG19+2*TE_Cards!AH19+5*TE_Cards!AC19+4*TE_Cards!AD19+4*TE_Cards!AE19)/100</x:f>
        <x:v>80.72</x:v>
      </x:c>
      <x:c r="G19" s="49" t="n">
        <x:f>(7*TE_Cards!G19+7*TE_Cards!H19+4*TE_Cards!I19+3*TE_Cards!L19+9*TE_Cards!J19+2*TE_Cards!V19+3*TE_Cards!AB19+1*TE_Cards!Y19+2*TE_Cards!Z19+11*TE_Cards!N19+8*TE_Cards!O19+4*TE_Cards!S19+3*TE_Cards!T19+7*TE_Cards!P19+9*TE_Cards!Q19+5*TE_Cards!R19+2*TE_Cards!AF19+1*TE_Cards!AG19+1*TE_Cards!AH19+3*TE_Cards!AC19+3*TE_Cards!AD19+3*TE_Cards!AE19)/98</x:f>
        <x:v>79.79591836734694</x:v>
      </x:c>
      <x:c r="H19" s="49" t="n">
        <x:f>(6*TE_Cards!K19+9*TE_Cards!J19+2*TE_Cards!AB19+1*TE_Cards!Y19+2*TE_Cards!Z19+3*TE_Cards!N19+3*TE_Cards!O19+5*TE_Cards!P19+4*TE_Cards!Q19+9*TE_Cards!AJ19+8*TE_Cards!AI19+8*TE_Cards!AF19+6*TE_Cards!AG19+6*TE_Cards!AH19+10*TE_Cards!AC19+9*TE_Cards!AD19+9*TE_Cards!AE19)/100</x:f>
        <x:v>80.51</x:v>
      </x:c>
      <x:c r="I19" s="49" t="n">
        <x:f>0.71*G19+0.29*F19</x:f>
        <x:v>80.06390204081632</x:v>
      </x:c>
      <x:c r="J19" s="49" t="n">
        <x:f>IF(D19="Gritty Possession",F19,IF(D19="Vertical Threat",G19,IF(D19="Physical Route Runner",I19,IF(D19="Pure Blocker",H19,""))))</x:f>
        <x:v>80.06390204081632</x:v>
      </x:c>
      <x:c r="K19" s="16" t="str">
        <x:f>IF(D19="Gritty Possession","M19 Possession",IF(D19="Vertical Threat","M19 Vertical",IF(D19="Physical Route Runner","71% VT + 29% Possession",IF(D19="Pure Blocker","M19 Blocking",""))))</x:f>
        <x:v>71% VT + 29% Possession</x:v>
      </x:c>
      <x:c r="L19" s="16" t="str">
        <x:v>See threshold validation below</x:v>
      </x:c>
      <x:c r="M19" s="16" t="str">
        <x:f>TE_Cards!AM19</x:f>
        <x:v>SRC-TE-001</x:v>
      </x:c>
      <x:c r="N19" s="16" t="n">
        <x:f>TE_Cards!AN19</x:f>
        <x:v>15</x:v>
      </x:c>
    </x:row>
    <x:row r="20">
      <x:c r="A20" s="16" t="str">
        <x:f>TE_Cards!A20</x:f>
        <x:v>TE-0016</x:v>
      </x:c>
      <x:c r="B20" s="16" t="str">
        <x:f>TE_Cards!B20</x:f>
        <x:v>Dorian Fleming</x:v>
      </x:c>
      <x:c r="C20" s="16" t="n">
        <x:f>TE_Cards!C20</x:f>
        <x:v>84</x:v>
      </x:c>
      <x:c r="D20" s="16" t="str">
        <x:f>TE_Cards!E20</x:f>
        <x:v>Physical Route Runner</x:v>
      </x:c>
      <x:c r="E20" s="48" t="n">
        <x:f>TE_Cards!G20+TE_Cards!N20+TE_Cards!P20+TE_Cards!Q20+TE_Cards!AC20</x:f>
        <x:v>403</x:v>
      </x:c>
      <x:c r="F20" s="49" t="n">
        <x:f>(3*TE_Cards!G20+4*TE_Cards!H20+3*TE_Cards!I20+4*TE_Cards!K20+9*TE_Cards!J20+1*TE_Cards!V20+2*TE_Cards!AB20+1*TE_Cards!Y20+2*TE_Cards!Z20+10*TE_Cards!N20+14*TE_Cards!O20+1*TE_Cards!S20+2*TE_Cards!T20+12*TE_Cards!P20+6*TE_Cards!Q20+4*TE_Cards!AJ20+2*TE_Cards!AI20+3*TE_Cards!AF20+2*TE_Cards!AG20+2*TE_Cards!AH20+5*TE_Cards!AC20+4*TE_Cards!AD20+4*TE_Cards!AE20)/100</x:f>
        <x:v>78.97</x:v>
      </x:c>
      <x:c r="G20" s="49" t="n">
        <x:f>(7*TE_Cards!G20+7*TE_Cards!H20+4*TE_Cards!I20+3*TE_Cards!L20+9*TE_Cards!J20+2*TE_Cards!V20+3*TE_Cards!AB20+1*TE_Cards!Y20+2*TE_Cards!Z20+11*TE_Cards!N20+8*TE_Cards!O20+4*TE_Cards!S20+3*TE_Cards!T20+7*TE_Cards!P20+9*TE_Cards!Q20+5*TE_Cards!R20+2*TE_Cards!AF20+1*TE_Cards!AG20+1*TE_Cards!AH20+3*TE_Cards!AC20+3*TE_Cards!AD20+3*TE_Cards!AE20)/98</x:f>
        <x:v>80.46938775510205</x:v>
      </x:c>
      <x:c r="H20" s="49" t="n">
        <x:f>(6*TE_Cards!K20+9*TE_Cards!J20+2*TE_Cards!AB20+1*TE_Cards!Y20+2*TE_Cards!Z20+3*TE_Cards!N20+3*TE_Cards!O20+5*TE_Cards!P20+4*TE_Cards!Q20+9*TE_Cards!AJ20+8*TE_Cards!AI20+8*TE_Cards!AF20+6*TE_Cards!AG20+6*TE_Cards!AH20+10*TE_Cards!AC20+9*TE_Cards!AD20+9*TE_Cards!AE20)/100</x:f>
        <x:v>74.63</x:v>
      </x:c>
      <x:c r="I20" s="49" t="n">
        <x:f>0.71*G20+0.29*F20</x:f>
        <x:v>80.03456530612246</x:v>
      </x:c>
      <x:c r="J20" s="49" t="n">
        <x:f>IF(D20="Gritty Possession",F20,IF(D20="Vertical Threat",G20,IF(D20="Physical Route Runner",I20,IF(D20="Pure Blocker",H20,""))))</x:f>
        <x:v>80.03456530612246</x:v>
      </x:c>
      <x:c r="K20" s="16" t="str">
        <x:f>IF(D20="Gritty Possession","M19 Possession",IF(D20="Vertical Threat","M19 Vertical",IF(D20="Physical Route Runner","71% VT + 29% Possession",IF(D20="Pure Blocker","M19 Blocking",""))))</x:f>
        <x:v>71% VT + 29% Possession</x:v>
      </x:c>
      <x:c r="L20" s="16" t="str">
        <x:v>See threshold validation below</x:v>
      </x:c>
      <x:c r="M20" s="16" t="str">
        <x:f>TE_Cards!AM20</x:f>
        <x:v>SRC-TE-001</x:v>
      </x:c>
      <x:c r="N20" s="16" t="n">
        <x:f>TE_Cards!AN20</x:f>
        <x:v>16</x:v>
      </x:c>
    </x:row>
    <x:row r="21">
      <x:c r="A21" s="16" t="str">
        <x:f>TE_Cards!A21</x:f>
        <x:v>TE-0017</x:v>
      </x:c>
      <x:c r="B21" s="16" t="str">
        <x:f>TE_Cards!B21</x:f>
        <x:v>Luke Hasz</x:v>
      </x:c>
      <x:c r="C21" s="16" t="n">
        <x:f>TE_Cards!C21</x:f>
        <x:v>84</x:v>
      </x:c>
      <x:c r="D21" s="16" t="str">
        <x:f>TE_Cards!E21</x:f>
        <x:v>Vertical Threat</x:v>
      </x:c>
      <x:c r="E21" s="48" t="n">
        <x:f>TE_Cards!G21+TE_Cards!N21+TE_Cards!P21+TE_Cards!Q21+TE_Cards!AC21</x:f>
        <x:v>396</x:v>
      </x:c>
      <x:c r="F21" s="49" t="n">
        <x:f>(3*TE_Cards!G21+4*TE_Cards!H21+3*TE_Cards!I21+4*TE_Cards!K21+9*TE_Cards!J21+1*TE_Cards!V21+2*TE_Cards!AB21+1*TE_Cards!Y21+2*TE_Cards!Z21+10*TE_Cards!N21+14*TE_Cards!O21+1*TE_Cards!S21+2*TE_Cards!T21+12*TE_Cards!P21+6*TE_Cards!Q21+4*TE_Cards!AJ21+2*TE_Cards!AI21+3*TE_Cards!AF21+2*TE_Cards!AG21+2*TE_Cards!AH21+5*TE_Cards!AC21+4*TE_Cards!AD21+4*TE_Cards!AE21)/100</x:f>
        <x:v>78.28</x:v>
      </x:c>
      <x:c r="G21" s="49" t="n">
        <x:f>(7*TE_Cards!G21+7*TE_Cards!H21+4*TE_Cards!I21+3*TE_Cards!L21+9*TE_Cards!J21+2*TE_Cards!V21+3*TE_Cards!AB21+1*TE_Cards!Y21+2*TE_Cards!Z21+11*TE_Cards!N21+8*TE_Cards!O21+4*TE_Cards!S21+3*TE_Cards!T21+7*TE_Cards!P21+9*TE_Cards!Q21+5*TE_Cards!R21+2*TE_Cards!AF21+1*TE_Cards!AG21+1*TE_Cards!AH21+3*TE_Cards!AC21+3*TE_Cards!AD21+3*TE_Cards!AE21)/98</x:f>
        <x:v>79.91836734693878</x:v>
      </x:c>
      <x:c r="H21" s="49" t="n">
        <x:f>(6*TE_Cards!K21+9*TE_Cards!J21+2*TE_Cards!AB21+1*TE_Cards!Y21+2*TE_Cards!Z21+3*TE_Cards!N21+3*TE_Cards!O21+5*TE_Cards!P21+4*TE_Cards!Q21+9*TE_Cards!AJ21+8*TE_Cards!AI21+8*TE_Cards!AF21+6*TE_Cards!AG21+6*TE_Cards!AH21+10*TE_Cards!AC21+9*TE_Cards!AD21+9*TE_Cards!AE21)/100</x:f>
        <x:v>74.12</x:v>
      </x:c>
      <x:c r="I21" s="49" t="n">
        <x:f>0.71*G21+0.29*F21</x:f>
        <x:v>79.44324081632652</x:v>
      </x:c>
      <x:c r="J21" s="49" t="n">
        <x:f>IF(D21="Gritty Possession",F21,IF(D21="Vertical Threat",G21,IF(D21="Physical Route Runner",I21,IF(D21="Pure Blocker",H21,""))))</x:f>
        <x:v>79.91836734693878</x:v>
      </x:c>
      <x:c r="K21" s="16" t="str">
        <x:f>IF(D21="Gritty Possession","M19 Possession",IF(D21="Vertical Threat","M19 Vertical",IF(D21="Physical Route Runner","71% VT + 29% Possession",IF(D21="Pure Blocker","M19 Blocking",""))))</x:f>
        <x:v>M19 Vertical</x:v>
      </x:c>
      <x:c r="L21" s="16" t="str">
        <x:v>See threshold validation below</x:v>
      </x:c>
      <x:c r="M21" s="16" t="str">
        <x:f>TE_Cards!AM21</x:f>
        <x:v>SRC-TE-001</x:v>
      </x:c>
      <x:c r="N21" s="16" t="n">
        <x:f>TE_Cards!AN21</x:f>
        <x:v>17</x:v>
      </x:c>
    </x:row>
    <x:row r="22">
      <x:c r="A22" s="16" t="str">
        <x:f>TE_Cards!A22</x:f>
        <x:v>TE-0018</x:v>
      </x:c>
      <x:c r="B22" s="16" t="str">
        <x:f>TE_Cards!B22</x:f>
        <x:v>Garrett Oakley</x:v>
      </x:c>
      <x:c r="C22" s="16" t="n">
        <x:f>TE_Cards!C22</x:f>
        <x:v>84</x:v>
      </x:c>
      <x:c r="D22" s="16" t="str">
        <x:f>TE_Cards!E22</x:f>
        <x:v>Physical Route Runner</x:v>
      </x:c>
      <x:c r="E22" s="48" t="n">
        <x:f>TE_Cards!G22+TE_Cards!N22+TE_Cards!P22+TE_Cards!Q22+TE_Cards!AC22</x:f>
        <x:v>413</x:v>
      </x:c>
      <x:c r="F22" s="49" t="n">
        <x:f>(3*TE_Cards!G22+4*TE_Cards!H22+3*TE_Cards!I22+4*TE_Cards!K22+9*TE_Cards!J22+1*TE_Cards!V22+2*TE_Cards!AB22+1*TE_Cards!Y22+2*TE_Cards!Z22+10*TE_Cards!N22+14*TE_Cards!O22+1*TE_Cards!S22+2*TE_Cards!T22+12*TE_Cards!P22+6*TE_Cards!Q22+4*TE_Cards!AJ22+2*TE_Cards!AI22+3*TE_Cards!AF22+2*TE_Cards!AG22+2*TE_Cards!AH22+5*TE_Cards!AC22+4*TE_Cards!AD22+4*TE_Cards!AE22)/100</x:f>
        <x:v>80.16</x:v>
      </x:c>
      <x:c r="G22" s="49" t="n">
        <x:f>(7*TE_Cards!G22+7*TE_Cards!H22+4*TE_Cards!I22+3*TE_Cards!L22+9*TE_Cards!J22+2*TE_Cards!V22+3*TE_Cards!AB22+1*TE_Cards!Y22+2*TE_Cards!Z22+11*TE_Cards!N22+8*TE_Cards!O22+4*TE_Cards!S22+3*TE_Cards!T22+7*TE_Cards!P22+9*TE_Cards!Q22+5*TE_Cards!R22+2*TE_Cards!AF22+1*TE_Cards!AG22+1*TE_Cards!AH22+3*TE_Cards!AC22+3*TE_Cards!AD22+3*TE_Cards!AE22)/98</x:f>
        <x:v>80.79591836734694</x:v>
      </x:c>
      <x:c r="H22" s="49" t="n">
        <x:f>(6*TE_Cards!K22+9*TE_Cards!J22+2*TE_Cards!AB22+1*TE_Cards!Y22+2*TE_Cards!Z22+3*TE_Cards!N22+3*TE_Cards!O22+5*TE_Cards!P22+4*TE_Cards!Q22+9*TE_Cards!AJ22+8*TE_Cards!AI22+8*TE_Cards!AF22+6*TE_Cards!AG22+6*TE_Cards!AH22+10*TE_Cards!AC22+9*TE_Cards!AD22+9*TE_Cards!AE22)/100</x:f>
        <x:v>76.03</x:v>
      </x:c>
      <x:c r="I22" s="49" t="n">
        <x:f>0.71*G22+0.29*F22</x:f>
        <x:v>80.61150204081632</x:v>
      </x:c>
      <x:c r="J22" s="49" t="n">
        <x:f>IF(D22="Gritty Possession",F22,IF(D22="Vertical Threat",G22,IF(D22="Physical Route Runner",I22,IF(D22="Pure Blocker",H22,""))))</x:f>
        <x:v>80.61150204081632</x:v>
      </x:c>
      <x:c r="K22" s="16" t="str">
        <x:f>IF(D22="Gritty Possession","M19 Possession",IF(D22="Vertical Threat","M19 Vertical",IF(D22="Physical Route Runner","71% VT + 29% Possession",IF(D22="Pure Blocker","M19 Blocking",""))))</x:f>
        <x:v>71% VT + 29% Possession</x:v>
      </x:c>
      <x:c r="L22" s="16" t="str">
        <x:v>See threshold validation below</x:v>
      </x:c>
      <x:c r="M22" s="16" t="str">
        <x:f>TE_Cards!AM22</x:f>
        <x:v>SRC-TE-001</x:v>
      </x:c>
      <x:c r="N22" s="16" t="n">
        <x:f>TE_Cards!AN22</x:f>
        <x:v>18</x:v>
      </x:c>
    </x:row>
    <x:row r="23">
      <x:c r="A23" s="16" t="str">
        <x:f>TE_Cards!A23</x:f>
        <x:v>TE-0019</x:v>
      </x:c>
      <x:c r="B23" s="16" t="str">
        <x:f>TE_Cards!B23</x:f>
        <x:v>Dylan Wade</x:v>
      </x:c>
      <x:c r="C23" s="16" t="n">
        <x:f>TE_Cards!C23</x:f>
        <x:v>84</x:v>
      </x:c>
      <x:c r="D23" s="16" t="str">
        <x:f>TE_Cards!E23</x:f>
        <x:v>Vertical Threat</x:v>
      </x:c>
      <x:c r="E23" s="48" t="n">
        <x:f>TE_Cards!G23+TE_Cards!N23+TE_Cards!P23+TE_Cards!Q23+TE_Cards!AC23</x:f>
        <x:v>393</x:v>
      </x:c>
      <x:c r="F23" s="49" t="n">
        <x:f>(3*TE_Cards!G23+4*TE_Cards!H23+3*TE_Cards!I23+4*TE_Cards!K23+9*TE_Cards!J23+1*TE_Cards!V23+2*TE_Cards!AB23+1*TE_Cards!Y23+2*TE_Cards!Z23+10*TE_Cards!N23+14*TE_Cards!O23+1*TE_Cards!S23+2*TE_Cards!T23+12*TE_Cards!P23+6*TE_Cards!Q23+4*TE_Cards!AJ23+2*TE_Cards!AI23+3*TE_Cards!AF23+2*TE_Cards!AG23+2*TE_Cards!AH23+5*TE_Cards!AC23+4*TE_Cards!AD23+4*TE_Cards!AE23)/100</x:f>
        <x:v>76.88</x:v>
      </x:c>
      <x:c r="G23" s="49" t="n">
        <x:f>(7*TE_Cards!G23+7*TE_Cards!H23+4*TE_Cards!I23+3*TE_Cards!L23+9*TE_Cards!J23+2*TE_Cards!V23+3*TE_Cards!AB23+1*TE_Cards!Y23+2*TE_Cards!Z23+11*TE_Cards!N23+8*TE_Cards!O23+4*TE_Cards!S23+3*TE_Cards!T23+7*TE_Cards!P23+9*TE_Cards!Q23+5*TE_Cards!R23+2*TE_Cards!AF23+1*TE_Cards!AG23+1*TE_Cards!AH23+3*TE_Cards!AC23+3*TE_Cards!AD23+3*TE_Cards!AE23)/98</x:f>
        <x:v>79.58163265306122</x:v>
      </x:c>
      <x:c r="H23" s="49" t="n">
        <x:f>(6*TE_Cards!K23+9*TE_Cards!J23+2*TE_Cards!AB23+1*TE_Cards!Y23+2*TE_Cards!Z23+3*TE_Cards!N23+3*TE_Cards!O23+5*TE_Cards!P23+4*TE_Cards!Q23+9*TE_Cards!AJ23+8*TE_Cards!AI23+8*TE_Cards!AF23+6*TE_Cards!AG23+6*TE_Cards!AH23+10*TE_Cards!AC23+9*TE_Cards!AD23+9*TE_Cards!AE23)/100</x:f>
        <x:v>70.01</x:v>
      </x:c>
      <x:c r="I23" s="49" t="n">
        <x:f>0.71*G23+0.29*F23</x:f>
        <x:v>78.79815918367346</x:v>
      </x:c>
      <x:c r="J23" s="49" t="n">
        <x:f>IF(D23="Gritty Possession",F23,IF(D23="Vertical Threat",G23,IF(D23="Physical Route Runner",I23,IF(D23="Pure Blocker",H23,""))))</x:f>
        <x:v>79.58163265306122</x:v>
      </x:c>
      <x:c r="K23" s="16" t="str">
        <x:f>IF(D23="Gritty Possession","M19 Possession",IF(D23="Vertical Threat","M19 Vertical",IF(D23="Physical Route Runner","71% VT + 29% Possession",IF(D23="Pure Blocker","M19 Blocking",""))))</x:f>
        <x:v>M19 Vertical</x:v>
      </x:c>
      <x:c r="L23" s="16" t="str">
        <x:v>See threshold validation below</x:v>
      </x:c>
      <x:c r="M23" s="16" t="str">
        <x:f>TE_Cards!AM23</x:f>
        <x:v>SRC-TE-001</x:v>
      </x:c>
      <x:c r="N23" s="16" t="n">
        <x:f>TE_Cards!AN23</x:f>
        <x:v>19</x:v>
      </x:c>
    </x:row>
    <x:row r="24">
      <x:c r="A24" s="16" t="str">
        <x:f>TE_Cards!A24</x:f>
        <x:v>TE-0020</x:v>
      </x:c>
      <x:c r="B24" s="16" t="str">
        <x:f>TE_Cards!B24</x:f>
        <x:v>Eli Finley</x:v>
      </x:c>
      <x:c r="C24" s="16" t="n">
        <x:f>TE_Cards!C24</x:f>
        <x:v>83</x:v>
      </x:c>
      <x:c r="D24" s="16" t="str">
        <x:f>TE_Cards!E24</x:f>
        <x:v>Gritty Possession</x:v>
      </x:c>
      <x:c r="E24" s="48" t="n">
        <x:f>TE_Cards!G24+TE_Cards!N24+TE_Cards!P24+TE_Cards!Q24+TE_Cards!AC24</x:f>
        <x:v>405</x:v>
      </x:c>
      <x:c r="F24" s="49" t="n">
        <x:f>(3*TE_Cards!G24+4*TE_Cards!H24+3*TE_Cards!I24+4*TE_Cards!K24+9*TE_Cards!J24+1*TE_Cards!V24+2*TE_Cards!AB24+1*TE_Cards!Y24+2*TE_Cards!Z24+10*TE_Cards!N24+14*TE_Cards!O24+1*TE_Cards!S24+2*TE_Cards!T24+12*TE_Cards!P24+6*TE_Cards!Q24+4*TE_Cards!AJ24+2*TE_Cards!AI24+3*TE_Cards!AF24+2*TE_Cards!AG24+2*TE_Cards!AH24+5*TE_Cards!AC24+4*TE_Cards!AD24+4*TE_Cards!AE24)/100</x:f>
        <x:v>80.01</x:v>
      </x:c>
      <x:c r="G24" s="49" t="n">
        <x:f>(7*TE_Cards!G24+7*TE_Cards!H24+4*TE_Cards!I24+3*TE_Cards!L24+9*TE_Cards!J24+2*TE_Cards!V24+3*TE_Cards!AB24+1*TE_Cards!Y24+2*TE_Cards!Z24+11*TE_Cards!N24+8*TE_Cards!O24+4*TE_Cards!S24+3*TE_Cards!T24+7*TE_Cards!P24+9*TE_Cards!Q24+5*TE_Cards!R24+2*TE_Cards!AF24+1*TE_Cards!AG24+1*TE_Cards!AH24+3*TE_Cards!AC24+3*TE_Cards!AD24+3*TE_Cards!AE24)/98</x:f>
        <x:v>80.65306122448979</x:v>
      </x:c>
      <x:c r="H24" s="49" t="n">
        <x:f>(6*TE_Cards!K24+9*TE_Cards!J24+2*TE_Cards!AB24+1*TE_Cards!Y24+2*TE_Cards!Z24+3*TE_Cards!N24+3*TE_Cards!O24+5*TE_Cards!P24+4*TE_Cards!Q24+9*TE_Cards!AJ24+8*TE_Cards!AI24+8*TE_Cards!AF24+6*TE_Cards!AG24+6*TE_Cards!AH24+10*TE_Cards!AC24+9*TE_Cards!AD24+9*TE_Cards!AE24)/100</x:f>
        <x:v>76.13</x:v>
      </x:c>
      <x:c r="I24" s="49" t="n">
        <x:f>0.71*G24+0.29*F24</x:f>
        <x:v>80.46657346938775</x:v>
      </x:c>
      <x:c r="J24" s="49" t="n">
        <x:f>IF(D24="Gritty Possession",F24,IF(D24="Vertical Threat",G24,IF(D24="Physical Route Runner",I24,IF(D24="Pure Blocker",H24,""))))</x:f>
        <x:v>80.01</x:v>
      </x:c>
      <x:c r="K24" s="16" t="str">
        <x:f>IF(D24="Gritty Possession","M19 Possession",IF(D24="Vertical Threat","M19 Vertical",IF(D24="Physical Route Runner","71% VT + 29% Possession",IF(D24="Pure Blocker","M19 Blocking",""))))</x:f>
        <x:v>M19 Possession</x:v>
      </x:c>
      <x:c r="L24" s="16" t="str">
        <x:v>See threshold validation below</x:v>
      </x:c>
      <x:c r="M24" s="16" t="str">
        <x:f>TE_Cards!AM24</x:f>
        <x:v>SRC-TE-001</x:v>
      </x:c>
      <x:c r="N24" s="16" t="n">
        <x:f>TE_Cards!AN24</x:f>
        <x:v>20</x:v>
      </x:c>
    </x:row>
    <x:row r="25">
      <x:c r="A25" s="16" t="str">
        <x:f>TE_Cards!A25</x:f>
        <x:v>TE-0021</x:v>
      </x:c>
      <x:c r="B25" s="16" t="str">
        <x:f>TE_Cards!B25</x:f>
        <x:v>Rocky Beers</x:v>
      </x:c>
      <x:c r="C25" s="16" t="n">
        <x:f>TE_Cards!C25</x:f>
        <x:v>83</x:v>
      </x:c>
      <x:c r="D25" s="16" t="str">
        <x:f>TE_Cards!E25</x:f>
        <x:v>Physical Route Runner</x:v>
      </x:c>
      <x:c r="E25" s="48" t="n">
        <x:f>TE_Cards!G25+TE_Cards!N25+TE_Cards!P25+TE_Cards!Q25+TE_Cards!AC25</x:f>
        <x:v>399</x:v>
      </x:c>
      <x:c r="F25" s="49" t="n">
        <x:f>(3*TE_Cards!G25+4*TE_Cards!H25+3*TE_Cards!I25+4*TE_Cards!K25+9*TE_Cards!J25+1*TE_Cards!V25+2*TE_Cards!AB25+1*TE_Cards!Y25+2*TE_Cards!Z25+10*TE_Cards!N25+14*TE_Cards!O25+1*TE_Cards!S25+2*TE_Cards!T25+12*TE_Cards!P25+6*TE_Cards!Q25+4*TE_Cards!AJ25+2*TE_Cards!AI25+3*TE_Cards!AF25+2*TE_Cards!AG25+2*TE_Cards!AH25+5*TE_Cards!AC25+4*TE_Cards!AD25+4*TE_Cards!AE25)/100</x:f>
        <x:v>79.15</x:v>
      </x:c>
      <x:c r="G25" s="49" t="n">
        <x:f>(7*TE_Cards!G25+7*TE_Cards!H25+4*TE_Cards!I25+3*TE_Cards!L25+9*TE_Cards!J25+2*TE_Cards!V25+3*TE_Cards!AB25+1*TE_Cards!Y25+2*TE_Cards!Z25+11*TE_Cards!N25+8*TE_Cards!O25+4*TE_Cards!S25+3*TE_Cards!T25+7*TE_Cards!P25+9*TE_Cards!Q25+5*TE_Cards!R25+2*TE_Cards!AF25+1*TE_Cards!AG25+1*TE_Cards!AH25+3*TE_Cards!AC25+3*TE_Cards!AD25+3*TE_Cards!AE25)/98</x:f>
        <x:v>78.92857142857143</x:v>
      </x:c>
      <x:c r="H25" s="49" t="n">
        <x:f>(6*TE_Cards!K25+9*TE_Cards!J25+2*TE_Cards!AB25+1*TE_Cards!Y25+2*TE_Cards!Z25+3*TE_Cards!N25+3*TE_Cards!O25+5*TE_Cards!P25+4*TE_Cards!Q25+9*TE_Cards!AJ25+8*TE_Cards!AI25+8*TE_Cards!AF25+6*TE_Cards!AG25+6*TE_Cards!AH25+10*TE_Cards!AC25+9*TE_Cards!AD25+9*TE_Cards!AE25)/100</x:f>
        <x:v>76.15</x:v>
      </x:c>
      <x:c r="I25" s="49" t="n">
        <x:f>0.71*G25+0.29*F25</x:f>
        <x:v>78.99278571428572</x:v>
      </x:c>
      <x:c r="J25" s="49" t="n">
        <x:f>IF(D25="Gritty Possession",F25,IF(D25="Vertical Threat",G25,IF(D25="Physical Route Runner",I25,IF(D25="Pure Blocker",H25,""))))</x:f>
        <x:v>78.99278571428572</x:v>
      </x:c>
      <x:c r="K25" s="16" t="str">
        <x:f>IF(D25="Gritty Possession","M19 Possession",IF(D25="Vertical Threat","M19 Vertical",IF(D25="Physical Route Runner","71% VT + 29% Possession",IF(D25="Pure Blocker","M19 Blocking",""))))</x:f>
        <x:v>71% VT + 29% Possession</x:v>
      </x:c>
      <x:c r="L25" s="16" t="str">
        <x:v>See threshold validation below</x:v>
      </x:c>
      <x:c r="M25" s="16" t="str">
        <x:f>TE_Cards!AM25</x:f>
        <x:v>SRC-TE-001</x:v>
      </x:c>
      <x:c r="N25" s="16" t="n">
        <x:f>TE_Cards!AN25</x:f>
        <x:v>21</x:v>
      </x:c>
    </x:row>
    <x:row r="26">
      <x:c r="A26" s="16" t="str">
        <x:f>TE_Cards!A26</x:f>
        <x:v>TE-0022</x:v>
      </x:c>
      <x:c r="B26" s="16" t="str">
        <x:f>TE_Cards!B26</x:f>
        <x:v>Kaelan Chudzinski</x:v>
      </x:c>
      <x:c r="C26" s="16" t="n">
        <x:f>TE_Cards!C26</x:f>
        <x:v>83</x:v>
      </x:c>
      <x:c r="D26" s="16" t="str">
        <x:f>TE_Cards!E26</x:f>
        <x:v>Vertical Threat</x:v>
      </x:c>
      <x:c r="E26" s="48" t="n">
        <x:f>TE_Cards!G26+TE_Cards!N26+TE_Cards!P26+TE_Cards!Q26+TE_Cards!AC26</x:f>
        <x:v>398</x:v>
      </x:c>
      <x:c r="F26" s="49" t="n">
        <x:f>(3*TE_Cards!G26+4*TE_Cards!H26+3*TE_Cards!I26+4*TE_Cards!K26+9*TE_Cards!J26+1*TE_Cards!V26+2*TE_Cards!AB26+1*TE_Cards!Y26+2*TE_Cards!Z26+10*TE_Cards!N26+14*TE_Cards!O26+1*TE_Cards!S26+2*TE_Cards!T26+12*TE_Cards!P26+6*TE_Cards!Q26+4*TE_Cards!AJ26+2*TE_Cards!AI26+3*TE_Cards!AF26+2*TE_Cards!AG26+2*TE_Cards!AH26+5*TE_Cards!AC26+4*TE_Cards!AD26+4*TE_Cards!AE26)/100</x:f>
        <x:v>77.49</x:v>
      </x:c>
      <x:c r="G26" s="49" t="n">
        <x:f>(7*TE_Cards!G26+7*TE_Cards!H26+4*TE_Cards!I26+3*TE_Cards!L26+9*TE_Cards!J26+2*TE_Cards!V26+3*TE_Cards!AB26+1*TE_Cards!Y26+2*TE_Cards!Z26+11*TE_Cards!N26+8*TE_Cards!O26+4*TE_Cards!S26+3*TE_Cards!T26+7*TE_Cards!P26+9*TE_Cards!Q26+5*TE_Cards!R26+2*TE_Cards!AF26+1*TE_Cards!AG26+1*TE_Cards!AH26+3*TE_Cards!AC26+3*TE_Cards!AD26+3*TE_Cards!AE26)/98</x:f>
        <x:v>78.83673469387755</x:v>
      </x:c>
      <x:c r="H26" s="49" t="n">
        <x:f>(6*TE_Cards!K26+9*TE_Cards!J26+2*TE_Cards!AB26+1*TE_Cards!Y26+2*TE_Cards!Z26+3*TE_Cards!N26+3*TE_Cards!O26+5*TE_Cards!P26+4*TE_Cards!Q26+9*TE_Cards!AJ26+8*TE_Cards!AI26+8*TE_Cards!AF26+6*TE_Cards!AG26+6*TE_Cards!AH26+10*TE_Cards!AC26+9*TE_Cards!AD26+9*TE_Cards!AE26)/100</x:f>
        <x:v>71.88</x:v>
      </x:c>
      <x:c r="I26" s="49" t="n">
        <x:f>0.71*G26+0.29*F26</x:f>
        <x:v>78.44618163265305</x:v>
      </x:c>
      <x:c r="J26" s="49" t="n">
        <x:f>IF(D26="Gritty Possession",F26,IF(D26="Vertical Threat",G26,IF(D26="Physical Route Runner",I26,IF(D26="Pure Blocker",H26,""))))</x:f>
        <x:v>78.83673469387755</x:v>
      </x:c>
      <x:c r="K26" s="16" t="str">
        <x:f>IF(D26="Gritty Possession","M19 Possession",IF(D26="Vertical Threat","M19 Vertical",IF(D26="Physical Route Runner","71% VT + 29% Possession",IF(D26="Pure Blocker","M19 Blocking",""))))</x:f>
        <x:v>M19 Vertical</x:v>
      </x:c>
      <x:c r="L26" s="16" t="str">
        <x:v>See threshold validation below</x:v>
      </x:c>
      <x:c r="M26" s="16" t="str">
        <x:f>TE_Cards!AM26</x:f>
        <x:v>SRC-TE-001</x:v>
      </x:c>
      <x:c r="N26" s="16" t="n">
        <x:f>TE_Cards!AN26</x:f>
        <x:v>22</x:v>
      </x:c>
    </x:row>
    <x:row r="27">
      <x:c r="A27" s="16" t="str">
        <x:f>TE_Cards!A27</x:f>
        <x:v>TE-0023</x:v>
      </x:c>
      <x:c r="B27" s="16" t="str">
        <x:f>TE_Cards!B27</x:f>
        <x:v>Decker DeGraaf</x:v>
      </x:c>
      <x:c r="C27" s="16" t="n">
        <x:f>TE_Cards!C27</x:f>
        <x:v>83</x:v>
      </x:c>
      <x:c r="D27" s="16" t="str">
        <x:f>TE_Cards!E27</x:f>
        <x:v>Physical Route Runner</x:v>
      </x:c>
      <x:c r="E27" s="48" t="n">
        <x:f>TE_Cards!G27+TE_Cards!N27+TE_Cards!P27+TE_Cards!Q27+TE_Cards!AC27</x:f>
        <x:v>401</x:v>
      </x:c>
      <x:c r="F27" s="49" t="n">
        <x:f>(3*TE_Cards!G27+4*TE_Cards!H27+3*TE_Cards!I27+4*TE_Cards!K27+9*TE_Cards!J27+1*TE_Cards!V27+2*TE_Cards!AB27+1*TE_Cards!Y27+2*TE_Cards!Z27+10*TE_Cards!N27+14*TE_Cards!O27+1*TE_Cards!S27+2*TE_Cards!T27+12*TE_Cards!P27+6*TE_Cards!Q27+4*TE_Cards!AJ27+2*TE_Cards!AI27+3*TE_Cards!AF27+2*TE_Cards!AG27+2*TE_Cards!AH27+5*TE_Cards!AC27+4*TE_Cards!AD27+4*TE_Cards!AE27)/100</x:f>
        <x:v>77.94</x:v>
      </x:c>
      <x:c r="G27" s="49" t="n">
        <x:f>(7*TE_Cards!G27+7*TE_Cards!H27+4*TE_Cards!I27+3*TE_Cards!L27+9*TE_Cards!J27+2*TE_Cards!V27+3*TE_Cards!AB27+1*TE_Cards!Y27+2*TE_Cards!Z27+11*TE_Cards!N27+8*TE_Cards!O27+4*TE_Cards!S27+3*TE_Cards!T27+7*TE_Cards!P27+9*TE_Cards!Q27+5*TE_Cards!R27+2*TE_Cards!AF27+1*TE_Cards!AG27+1*TE_Cards!AH27+3*TE_Cards!AC27+3*TE_Cards!AD27+3*TE_Cards!AE27)/98</x:f>
        <x:v>79.91836734693878</x:v>
      </x:c>
      <x:c r="H27" s="49" t="n">
        <x:f>(6*TE_Cards!K27+9*TE_Cards!J27+2*TE_Cards!AB27+1*TE_Cards!Y27+2*TE_Cards!Z27+3*TE_Cards!N27+3*TE_Cards!O27+5*TE_Cards!P27+4*TE_Cards!Q27+9*TE_Cards!AJ27+8*TE_Cards!AI27+8*TE_Cards!AF27+6*TE_Cards!AG27+6*TE_Cards!AH27+10*TE_Cards!AC27+9*TE_Cards!AD27+9*TE_Cards!AE27)/100</x:f>
        <x:v>72.27</x:v>
      </x:c>
      <x:c r="I27" s="49" t="n">
        <x:f>0.71*G27+0.29*F27</x:f>
        <x:v>79.34464081632653</x:v>
      </x:c>
      <x:c r="J27" s="49" t="n">
        <x:f>IF(D27="Gritty Possession",F27,IF(D27="Vertical Threat",G27,IF(D27="Physical Route Runner",I27,IF(D27="Pure Blocker",H27,""))))</x:f>
        <x:v>79.34464081632653</x:v>
      </x:c>
      <x:c r="K27" s="16" t="str">
        <x:f>IF(D27="Gritty Possession","M19 Possession",IF(D27="Vertical Threat","M19 Vertical",IF(D27="Physical Route Runner","71% VT + 29% Possession",IF(D27="Pure Blocker","M19 Blocking",""))))</x:f>
        <x:v>71% VT + 29% Possession</x:v>
      </x:c>
      <x:c r="L27" s="16" t="str">
        <x:v>See threshold validation below</x:v>
      </x:c>
      <x:c r="M27" s="16" t="str">
        <x:f>TE_Cards!AM27</x:f>
        <x:v>SRC-TE-001</x:v>
      </x:c>
      <x:c r="N27" s="16" t="n">
        <x:f>TE_Cards!AN27</x:f>
        <x:v>23</x:v>
      </x:c>
    </x:row>
    <x:row r="28">
      <x:c r="A28" s="16" t="str">
        <x:f>TE_Cards!A28</x:f>
        <x:v>TE-0024</x:v>
      </x:c>
      <x:c r="B28" s="16" t="str">
        <x:f>TE_Cards!B28</x:f>
        <x:v>Brody Foley</x:v>
      </x:c>
      <x:c r="C28" s="16" t="n">
        <x:f>TE_Cards!C28</x:f>
        <x:v>83</x:v>
      </x:c>
      <x:c r="D28" s="16" t="str">
        <x:f>TE_Cards!E28</x:f>
        <x:v>Physical Route Runner</x:v>
      </x:c>
      <x:c r="E28" s="48" t="n">
        <x:f>TE_Cards!G28+TE_Cards!N28+TE_Cards!P28+TE_Cards!Q28+TE_Cards!AC28</x:f>
        <x:v>408</x:v>
      </x:c>
      <x:c r="F28" s="49" t="n">
        <x:f>(3*TE_Cards!G28+4*TE_Cards!H28+3*TE_Cards!I28+4*TE_Cards!K28+9*TE_Cards!J28+1*TE_Cards!V28+2*TE_Cards!AB28+1*TE_Cards!Y28+2*TE_Cards!Z28+10*TE_Cards!N28+14*TE_Cards!O28+1*TE_Cards!S28+2*TE_Cards!T28+12*TE_Cards!P28+6*TE_Cards!Q28+4*TE_Cards!AJ28+2*TE_Cards!AI28+3*TE_Cards!AF28+2*TE_Cards!AG28+2*TE_Cards!AH28+5*TE_Cards!AC28+4*TE_Cards!AD28+4*TE_Cards!AE28)/100</x:f>
        <x:v>80</x:v>
      </x:c>
      <x:c r="G28" s="49" t="n">
        <x:f>(7*TE_Cards!G28+7*TE_Cards!H28+4*TE_Cards!I28+3*TE_Cards!L28+9*TE_Cards!J28+2*TE_Cards!V28+3*TE_Cards!AB28+1*TE_Cards!Y28+2*TE_Cards!Z28+11*TE_Cards!N28+8*TE_Cards!O28+4*TE_Cards!S28+3*TE_Cards!T28+7*TE_Cards!P28+9*TE_Cards!Q28+5*TE_Cards!R28+2*TE_Cards!AF28+1*TE_Cards!AG28+1*TE_Cards!AH28+3*TE_Cards!AC28+3*TE_Cards!AD28+3*TE_Cards!AE28)/98</x:f>
        <x:v>79.07142857142857</x:v>
      </x:c>
      <x:c r="H28" s="49" t="n">
        <x:f>(6*TE_Cards!K28+9*TE_Cards!J28+2*TE_Cards!AB28+1*TE_Cards!Y28+2*TE_Cards!Z28+3*TE_Cards!N28+3*TE_Cards!O28+5*TE_Cards!P28+4*TE_Cards!Q28+9*TE_Cards!AJ28+8*TE_Cards!AI28+8*TE_Cards!AF28+6*TE_Cards!AG28+6*TE_Cards!AH28+10*TE_Cards!AC28+9*TE_Cards!AD28+9*TE_Cards!AE28)/100</x:f>
        <x:v>80.81</x:v>
      </x:c>
      <x:c r="I28" s="49" t="n">
        <x:f>0.71*G28+0.29*F28</x:f>
        <x:v>79.34071428571428</x:v>
      </x:c>
      <x:c r="J28" s="49" t="n">
        <x:f>IF(D28="Gritty Possession",F28,IF(D28="Vertical Threat",G28,IF(D28="Physical Route Runner",I28,IF(D28="Pure Blocker",H28,""))))</x:f>
        <x:v>79.34071428571428</x:v>
      </x:c>
      <x:c r="K28" s="16" t="str">
        <x:f>IF(D28="Gritty Possession","M19 Possession",IF(D28="Vertical Threat","M19 Vertical",IF(D28="Physical Route Runner","71% VT + 29% Possession",IF(D28="Pure Blocker","M19 Blocking",""))))</x:f>
        <x:v>71% VT + 29% Possession</x:v>
      </x:c>
      <x:c r="L28" s="16" t="str">
        <x:v>See threshold validation below</x:v>
      </x:c>
      <x:c r="M28" s="16" t="str">
        <x:f>TE_Cards!AM28</x:f>
        <x:v>SRC-TE-001</x:v>
      </x:c>
      <x:c r="N28" s="16" t="n">
        <x:f>TE_Cards!AN28</x:f>
        <x:v>24</x:v>
      </x:c>
    </x:row>
    <x:row r="31">
      <x:c r="A31" s="51" t="str">
        <x:v>Candidate Model Validation — observed OVR 83–85</x:v>
      </x:c>
      <x:c r="B31" s="51"/>
      <x:c r="C31" s="51"/>
      <x:c r="D31" s="51"/>
      <x:c r="E31" s="51"/>
      <x:c r="F31" s="51"/>
      <x:c r="G31" s="51"/>
      <x:c r="H31" s="51"/>
      <x:c r="I31" s="51"/>
      <x:c r="J31" s="51"/>
      <x:c r="K31" s="51"/>
      <x:c r="L31" s="51"/>
      <x:c r="M31" s="51"/>
      <x:c r="N31" s="51"/>
    </x:row>
    <x:row r="32">
      <x:c r="A32" s="54" t="str">
        <x:v>Archetype</x:v>
      </x:c>
      <x:c r="B32" s="54" t="str">
        <x:v>Candidate Model</x:v>
      </x:c>
      <x:c r="C32" s="54" t="str">
        <x:v>Cross-OVR Pair Accuracy</x:v>
      </x:c>
      <x:c r="D32" s="54" t="str">
        <x:v>Correct / Total</x:v>
      </x:c>
      <x:c r="E32" s="54" t="str">
        <x:v>83→84 Score Gap</x:v>
      </x:c>
      <x:c r="F32" s="54" t="str">
        <x:v>84→85 Score Gap</x:v>
      </x:c>
      <x:c r="G32" s="54" t="str">
        <x:v>Linear Fit RMSE (OVR)</x:v>
      </x:c>
      <x:c r="H32" s="54" t="str">
        <x:v>Confidence</x:v>
      </x:c>
      <x:c r="I32" s="54" t="str">
        <x:v>Interpretation</x:v>
      </x:c>
    </x:row>
    <x:row r="33">
      <x:c r="A33" s="16" t="str">
        <x:v>Gritty Possession</x:v>
      </x:c>
      <x:c r="B33" s="16" t="str">
        <x:v>Madden 19 Possession weights</x:v>
      </x:c>
      <x:c r="C33" s="16" t="str">
        <x:v>100.0%</x:v>
      </x:c>
      <x:c r="D33" s="16" t="str">
        <x:v>15 / 15</x:v>
      </x:c>
      <x:c r="E33" s="16" t="str">
        <x:v>80.010 → 80.180</x:v>
      </x:c>
      <x:c r="F33" s="16" t="str">
        <x:v>80.960 → 81.630</x:v>
      </x:c>
      <x:c r="G33" s="49" t="n">
        <x:v>0.286</x:v>
      </x:c>
      <x:c r="H33" s="16" t="str">
        <x:v>HIGH (83–85 only)</x:v>
      </x:c>
      <x:c r="I33" s="16" t="str">
        <x:v>Perfect rank separation across all different-OVR pairs. Same-player Eli Finley moves 80.010 at 83 OVR to 80.960 at 84 OVR.</x:v>
      </x:c>
    </x:row>
    <x:row r="34">
      <x:c r="A34" s="16" t="str">
        <x:v>Vertical Threat</x:v>
      </x:c>
      <x:c r="B34" s="16" t="str">
        <x:v>Madden 19 Vertical Threat weights; ELU omitted and remaining 98 weight renormalized</x:v>
      </x:c>
      <x:c r="C34" s="16" t="str">
        <x:v>100.0%</x:v>
      </x:c>
      <x:c r="D34" s="16" t="str">
        <x:v>7 / 7</x:v>
      </x:c>
      <x:c r="E34" s="16" t="str">
        <x:v>78.837 → 79.582</x:v>
      </x:c>
      <x:c r="F34" s="16" t="str">
        <x:v>79.918 → 80.643</x:v>
      </x:c>
      <x:c r="G34" s="49" t="n">
        <x:v>0.131</x:v>
      </x:c>
      <x:c r="H34" s="16" t="str">
        <x:v>HIGH (83–85 only)</x:v>
      </x:c>
      <x:c r="I34" s="16" t="str">
        <x:v>Perfect rank separation. Kaelan Chudzinski moves 78.837 at 83 OVR to 80.643 at 85 OVR.</x:v>
      </x:c>
    </x:row>
    <x:row r="35">
      <x:c r="A35" s="16" t="str">
        <x:v>Physical Route Runner</x:v>
      </x:c>
      <x:c r="B35" s="16" t="str">
        <x:v>71% Madden 19 Vertical + 29% Madden 19 Possession</x:v>
      </x:c>
      <x:c r="C35" s="16" t="str">
        <x:v>100.0%</x:v>
      </x:c>
      <x:c r="D35" s="16" t="str">
        <x:v>39 / 39</x:v>
      </x:c>
      <x:c r="E35" s="16" t="str">
        <x:v>79.345 → 80.028</x:v>
      </x:c>
      <x:c r="F35" s="16" t="str">
        <x:v>80.609 → 80.852</x:v>
      </x:c>
      <x:c r="G35" s="49" t="n">
        <x:v>0.209</x:v>
      </x:c>
      <x:c r="H35" s="16" t="str">
        <x:v>MEDIUM</x:v>
      </x:c>
      <x:c r="I35" s="16" t="str">
        <x:v>A fitted blend perfectly orders this sample. Raw M19 Vertical alone was already 38/39; blend is a hypothesis and may be overfit.</x:v>
      </x:c>
    </x:row>
    <x:row r="36">
      <x:c r="A36" s="16" t="str">
        <x:v>Pure Blocker</x:v>
      </x:c>
      <x:c r="B36" s="16" t="str">
        <x:v>Madden 19 Blocking weights</x:v>
      </x:c>
      <x:c r="C36" s="16" t="str">
        <x:v>N/A</x:v>
      </x:c>
      <x:c r="D36" s="16" t="str">
        <x:v>0 / 0</x:v>
      </x:c>
      <x:c r="E36" s="16" t="str">
        <x:v>N/A</x:v>
      </x:c>
      <x:c r="F36" s="16" t="str">
        <x:v>N/A</x:v>
      </x:c>
      <x:c r="G36" s="16" t="str">
        <x:v>N/A</x:v>
      </x:c>
      <x:c r="H36" s="16" t="str">
        <x:v>LOW</x:v>
      </x:c>
      <x:c r="I36" s="16" t="str">
        <x:v>Only one structured Pure Blocker (Ethan Malafa, 84 OVR). No threshold or ordering claim is justified yet.</x:v>
      </x:c>
    </x:row>
    <x:row r="39">
      <x:c r="A39" s="56" t="str">
        <x:v>Comparison Against Simpler Front-Five Sum (SPD + CTH + SRR + MRR + RBK)</x:v>
      </x:c>
      <x:c r="B39" s="56"/>
      <x:c r="C39" s="56"/>
      <x:c r="D39" s="56"/>
      <x:c r="E39" s="56"/>
      <x:c r="F39" s="56"/>
      <x:c r="G39" s="56"/>
      <x:c r="H39" s="56"/>
      <x:c r="I39" s="56"/>
      <x:c r="J39" s="56"/>
      <x:c r="K39" s="56"/>
      <x:c r="L39" s="56"/>
      <x:c r="M39" s="56"/>
      <x:c r="N39" s="56"/>
    </x:row>
    <x:row r="40">
      <x:c r="A40" s="59" t="str">
        <x:v>Archetype</x:v>
      </x:c>
      <x:c r="B40" s="59" t="str">
        <x:v>Madden-derived candidate ordering</x:v>
      </x:c>
      <x:c r="C40" s="59" t="str">
        <x:v>Front-five ordering</x:v>
      </x:c>
      <x:c r="D40" s="59" t="str">
        <x:v>Finding</x:v>
      </x:c>
    </x:row>
    <x:row r="41">
      <x:c r="A41" s="16" t="str">
        <x:v>Gritty Possession</x:v>
      </x:c>
      <x:c r="B41" s="16" t="str">
        <x:v>15 / 15 (100%)</x:v>
      </x:c>
      <x:c r="C41" s="16" t="str">
        <x:v>14 / 15 (93.3%)</x:v>
      </x:c>
      <x:c r="D41" s="16" t="str">
        <x:v>Front-five misses Ozzie Newsome 84 vs Eli Finley 83; weighted model resolves it.</x:v>
      </x:c>
    </x:row>
    <x:row r="42">
      <x:c r="A42" s="16" t="str">
        <x:v>Vertical Threat</x:v>
      </x:c>
      <x:c r="B42" s="16" t="str">
        <x:v>7 / 7 (100%)</x:v>
      </x:c>
      <x:c r="C42" s="16" t="str">
        <x:v>5 / 7 (71.4%)</x:v>
      </x:c>
      <x:c r="D42" s="16" t="str">
        <x:v>Front-five fails two 84-vs-83 comparisons; Madden-style weighting materially improves ordering.</x:v>
      </x:c>
    </x:row>
    <x:row r="43">
      <x:c r="A43" s="16" t="str">
        <x:v>Physical Route Runner</x:v>
      </x:c>
      <x:c r="B43" s="16" t="str">
        <x:v>39 / 39 (100%) with fitted blend; 38/39 raw VT</x:v>
      </x:c>
      <x:c r="C43" s="16" t="str">
        <x:v>28 / 39 (71.8%)</x:v>
      </x:c>
      <x:c r="D43" s="16" t="str">
        <x:v>Simple card-front totals are not sufficient to explain displayed OVR in this sample.</x:v>
      </x:c>
    </x:row>
    <x:row r="46">
      <x:c r="A46" s="60" t="str">
        <x:v>Current TE Conclusions</x:v>
      </x:c>
      <x:c r="B46" s="60"/>
      <x:c r="C46" s="60"/>
      <x:c r="D46" s="60"/>
      <x:c r="E46" s="60"/>
      <x:c r="F46" s="60"/>
      <x:c r="G46" s="60"/>
      <x:c r="H46" s="60"/>
      <x:c r="I46" s="60"/>
      <x:c r="J46" s="60"/>
      <x:c r="K46" s="60"/>
      <x:c r="L46" s="60"/>
      <x:c r="M46" s="60"/>
      <x:c r="N46" s="60"/>
    </x:row>
    <x:row r="47">
      <x:c r="A47" s="44" t="str">
        <x:v>Conclusion_ID</x:v>
      </x:c>
      <x:c r="B47" s="44" t="str">
        <x:v>Conclusion</x:v>
      </x:c>
      <x:c r="C47" s="44" t="str">
        <x:v>Confidence</x:v>
      </x:c>
      <x:c r="D47" s="44" t="str">
        <x:v>Scope / Limitation</x:v>
      </x:c>
    </x:row>
    <x:row r="48">
      <x:c r="A48" s="16" t="str">
        <x:v>TE-C-001</x:v>
      </x:c>
      <x:c r="B48" s="16" t="str">
        <x:v>CFB27 TE displayed OVR is strongly consistent with a weighted-attribute architecture rather than a simple front-card-stat sum.</x:v>
      </x:c>
      <x:c r="C48" s="16" t="str">
        <x:v>HIGH</x:v>
      </x:c>
      <x:c r="D48" s="16" t="str">
        <x:v>Supported by 24 structured cards, especially Gritty and Vertical Threat ordering.</x:v>
      </x:c>
    </x:row>
    <x:row r="49">
      <x:c r="A49" s="16" t="str">
        <x:v>TE-C-002</x:v>
      </x:c>
      <x:c r="B49" s="16" t="str">
        <x:v>Madden 19 Possession weights are an excellent candidate starting architecture for CFB27 Gritty Possession TEs.</x:v>
      </x:c>
      <x:c r="C49" s="16" t="str">
        <x:v>HIGH</x:v>
      </x:c>
      <x:c r="D49" s="16" t="str">
        <x:v>Perfect cross-OVR ordering in the observed 83–85 sample; not yet proven outside this range.</x:v>
      </x:c>
    </x:row>
    <x:row r="50">
      <x:c r="A50" s="16" t="str">
        <x:v>TE-C-003</x:v>
      </x:c>
      <x:c r="B50" s="16" t="str">
        <x:v>Madden 19 Vertical Threat weights are an excellent candidate starting architecture for CFB27 Vertical Threat TEs.</x:v>
      </x:c>
      <x:c r="C50" s="16" t="str">
        <x:v>HIGH</x:v>
      </x:c>
      <x:c r="D50" s="16" t="str">
        <x:v>Perfect cross-OVR ordering in the observed 83–85 sample. Madden 19 Elusiveness weight (2) has no directly observed CFB27 field here, so the other 98 points were renormalized.</x:v>
      </x:c>
    </x:row>
    <x:row r="51">
      <x:c r="A51" s="16" t="str">
        <x:v>TE-C-004</x:v>
      </x:c>
      <x:c r="B51" s="16" t="str">
        <x:v>Physical Route Runner appears closer to Vertical Threat than Possession, but is not identical to Madden 19 Vertical Threat.</x:v>
      </x:c>
      <x:c r="C51" s="16" t="str">
        <x:v>MEDIUM</x:v>
      </x:c>
      <x:c r="D51" s="16" t="str">
        <x:v>Raw VT gives 38/39 cross-OVR pairs; a 71% VT / 29% Possession blend gives 39/39. The blend is fitted and requires holdout validation.</x:v>
      </x:c>
    </x:row>
    <x:row r="52">
      <x:c r="A52" s="16" t="str">
        <x:v>TE-C-005</x:v>
      </x:c>
      <x:c r="B52" s="16" t="str">
        <x:v>The previously observed ~403–405 raw/front-stat region is not a universal TE OVR threshold.</x:v>
      </x:c>
      <x:c r="C52" s="16" t="str">
        <x:v>HIGH</x:v>
      </x:c>
      <x:c r="D52" s="16" t="str">
        <x:v>Front-five sums overlap across OVR/archetypes; e.g. Gritty Ozzie 84 = 404 while Eli 83 = 405, yet weighted candidate score orders them correctly.</x:v>
      </x:c>
    </x:row>
    <x:row r="53">
      <x:c r="A53" s="16" t="str">
        <x:v>TE-C-006</x:v>
      </x:c>
      <x:c r="B53" s="16" t="str">
        <x:v>Pure Blocker remains underdetermined.</x:v>
      </x:c>
      <x:c r="C53" s="16" t="str">
        <x:v>CONFIRMED LIMITATION</x:v>
      </x:c>
      <x:c r="D53" s="16" t="str">
        <x:v>Only one structured Pure Blocker card currently exists in the verified analysis set.</x:v>
      </x:c>
    </x:row>
    <x:row r="54">
      <x:c r="A54" s="16" t="str">
        <x:v>TE-C-007</x:v>
      </x:c>
      <x:c r="B54" s="16" t="str">
        <x:v>No exact universal CFB27 TE formula is yet proven.</x:v>
      </x:c>
      <x:c r="C54" s="16" t="str">
        <x:v>CONFIRMED LIMITATION</x:v>
      </x:c>
      <x:c r="D54" s="16" t="str">
        <x:v>We have strong candidate archetype weighting models and score bands, but no direct CFB27 XML weights or sufficient holdout data across the full OVR range.</x:v>
      </x:c>
    </x:row>
  </x:sheetData>
  <x:mergeCells>
    <x:mergeCell ref="A1:N1"/>
    <x:mergeCell ref="A2:N2"/>
    <x:mergeCell ref="A31:N31"/>
    <x:mergeCell ref="A39:N39"/>
    <x:mergeCell ref="A46:N46"/>
  </x:mergeCells>
  <x:pageMargins left="0.7" right="0.7" top="0.75" bottom="0.75" header="0.3" footer="0.3"/>
  <x:tableParts count="1">
    <x:tablePart xmlns:r="http://schemas.openxmlformats.org/officeDocument/2006/relationships" r:id="Red50e4c71dcf40e8"/>
  </x:tableParts>
</x:worksheet>
</file>

<file path=xl/worksheets/sheet13.xml><?xml version="1.0" encoding="utf-8"?>
<x:worksheet xmlns:x="http://schemas.openxmlformats.org/spreadsheetml/2006/main">
  <x:sheetFormatPr defaultRowHeight="15"/>
  <x:cols>
    <x:col min="1" max="1" width="24" hidden="0" customWidth="1"/>
    <x:col min="2" max="2" width="26" hidden="0" customWidth="1"/>
    <x:col min="3" max="3" width="12" hidden="0" customWidth="1"/>
    <x:col min="4" max="4" width="14" hidden="0" customWidth="1"/>
    <x:col min="5" max="5" width="26" hidden="0" customWidth="1"/>
    <x:col min="6" max="6" width="12" hidden="0" customWidth="1"/>
    <x:col min="7" max="7" width="14" hidden="0" customWidth="1"/>
    <x:col min="8" max="8" width="14" hidden="0" customWidth="1"/>
    <x:col min="9" max="9" width="85" hidden="0" customWidth="1"/>
    <x:col min="10" max="10" width="16" hidden="0" customWidth="1"/>
    <x:col min="11" max="11" width="16" hidden="0" customWidth="1"/>
    <x:col min="12" max="12" width="16" hidden="0" customWidth="1"/>
    <x:col min="13" max="13" width="20" hidden="0" customWidth="1"/>
    <x:col min="14" max="14" width="18" hidden="0" customWidth="1"/>
    <x:col min="15" max="15" width="14" hidden="0" customWidth="1"/>
    <x:col min="16" max="16" width="14" hidden="0" customWidth="1"/>
  </x:cols>
  <x:sheetData>
    <x:row r="1" ht="28" customHeight="1">
      <x:c r="A1" s="88" t="str">
        <x:v>Operation Pancake — TE Model v1.1 Frozen Blind Test</x:v>
      </x:c>
      <x:c r="B1" s="88"/>
      <x:c r="C1" s="88"/>
      <x:c r="D1" s="88"/>
      <x:c r="E1" s="88"/>
      <x:c r="F1" s="88"/>
      <x:c r="G1" s="88"/>
      <x:c r="H1" s="88"/>
      <x:c r="I1" s="88"/>
      <x:c r="J1" s="88"/>
      <x:c r="K1" s="88"/>
      <x:c r="L1" s="88"/>
      <x:c r="M1" s="88"/>
      <x:c r="N1" s="88"/>
      <x:c r="O1" s="88"/>
      <x:c r="P1" s="88"/>
      <x:c r="Q1" s="27"/>
      <x:c r="R1" s="27"/>
      <x:c r="S1" s="27"/>
      <x:c r="T1" s="27"/>
      <x:c r="U1" s="27"/>
      <x:c r="V1" s="27"/>
      <x:c r="W1" s="27"/>
      <x:c r="X1" s="27"/>
      <x:c r="Y1" s="27"/>
      <x:c r="Z1" s="27"/>
      <x:c r="AA1" s="27"/>
      <x:c r="AB1" s="27"/>
      <x:c r="AC1" s="27"/>
      <x:c r="AD1" s="27"/>
      <x:c r="AE1" s="27"/>
      <x:c r="AF1" s="27"/>
      <x:c r="AG1" s="27"/>
      <x:c r="AH1" s="27"/>
      <x:c r="AI1" s="27"/>
      <x:c r="AJ1" s="27"/>
      <x:c r="AK1" s="27"/>
      <x:c r="AL1" s="27"/>
      <x:c r="AM1" s="27"/>
      <x:c r="AN1" s="27"/>
      <x:c r="AO1" s="27"/>
      <x:c r="AP1" s="27"/>
      <x:c r="AQ1" s="27"/>
      <x:c r="AR1" s="27"/>
      <x:c r="AS1" s="27"/>
      <x:c r="AT1" s="27"/>
      <x:c r="AU1" s="27"/>
      <x:c r="AV1" s="27"/>
      <x:c r="AW1" s="27"/>
      <x:c r="AX1" s="27"/>
      <x:c r="AY1" s="27"/>
      <x:c r="AZ1" s="27"/>
    </x:row>
    <x:row r="2" ht="42" customHeight="1">
      <x:c r="A2" s="89" t="str">
        <x:v>Holdout source: TE PDF pages 25–69. Model weights were frozen before extraction. No v1.1 weight or blend was changed during this test. Statistical accuracy below uses unique rating profiles so duplicate program versions do not inflate results.</x:v>
      </x:c>
      <x:c r="B2" s="89"/>
      <x:c r="C2" s="89"/>
      <x:c r="D2" s="89"/>
      <x:c r="E2" s="89"/>
      <x:c r="F2" s="89"/>
      <x:c r="G2" s="89"/>
      <x:c r="H2" s="89"/>
      <x:c r="I2" s="89"/>
      <x:c r="J2" s="89"/>
      <x:c r="K2" s="89"/>
      <x:c r="L2" s="89"/>
      <x:c r="M2" s="89"/>
      <x:c r="N2" s="89"/>
      <x:c r="O2" s="89"/>
      <x:c r="P2" s="89"/>
      <x:c r="Q2" s="27"/>
      <x:c r="R2" s="27"/>
      <x:c r="S2" s="27"/>
      <x:c r="T2" s="27"/>
      <x:c r="U2" s="27"/>
      <x:c r="V2" s="27"/>
      <x:c r="W2" s="27"/>
      <x:c r="X2" s="27"/>
      <x:c r="Y2" s="27"/>
      <x:c r="Z2" s="27"/>
      <x:c r="AA2" s="27"/>
      <x:c r="AB2" s="27"/>
      <x:c r="AC2" s="27"/>
      <x:c r="AD2" s="27"/>
      <x:c r="AE2" s="27"/>
      <x:c r="AF2" s="27"/>
      <x:c r="AG2" s="27"/>
      <x:c r="AH2" s="27"/>
      <x:c r="AI2" s="27"/>
      <x:c r="AJ2" s="27"/>
      <x:c r="AK2" s="27"/>
      <x:c r="AL2" s="27"/>
      <x:c r="AM2" s="27"/>
      <x:c r="AN2" s="27"/>
      <x:c r="AO2" s="27"/>
      <x:c r="AP2" s="27"/>
      <x:c r="AQ2" s="27"/>
      <x:c r="AR2" s="27"/>
      <x:c r="AS2" s="27"/>
      <x:c r="AT2" s="27"/>
      <x:c r="AU2" s="27"/>
      <x:c r="AV2" s="27"/>
      <x:c r="AW2" s="27"/>
      <x:c r="AX2" s="27"/>
      <x:c r="AY2" s="27"/>
      <x:c r="AZ2" s="27"/>
    </x:row>
    <x:row r="3">
      <x:c r="A3" s="27"/>
      <x:c r="B3" s="27"/>
      <x:c r="C3" s="27"/>
      <x:c r="D3" s="27"/>
      <x:c r="E3" s="27"/>
      <x:c r="F3" s="27"/>
      <x:c r="G3" s="27"/>
      <x:c r="H3" s="27"/>
      <x:c r="I3" s="27"/>
      <x:c r="J3" s="27"/>
      <x:c r="K3" s="27"/>
      <x:c r="L3" s="27"/>
      <x:c r="M3" s="27"/>
      <x:c r="N3" s="27"/>
      <x:c r="O3" s="27"/>
      <x:c r="P3" s="27"/>
      <x:c r="Q3" s="27"/>
      <x:c r="R3" s="27"/>
      <x:c r="S3" s="27"/>
      <x:c r="T3" s="27"/>
      <x:c r="U3" s="27"/>
      <x:c r="V3" s="27"/>
      <x:c r="W3" s="27"/>
      <x:c r="X3" s="27"/>
      <x:c r="Y3" s="27"/>
      <x:c r="Z3" s="27"/>
      <x:c r="AA3" s="27"/>
      <x:c r="AB3" s="27"/>
      <x:c r="AC3" s="27"/>
      <x:c r="AD3" s="27"/>
      <x:c r="AE3" s="27"/>
      <x:c r="AF3" s="27"/>
      <x:c r="AG3" s="27"/>
      <x:c r="AH3" s="27"/>
      <x:c r="AI3" s="27"/>
      <x:c r="AJ3" s="27"/>
      <x:c r="AK3" s="27"/>
      <x:c r="AL3" s="27"/>
      <x:c r="AM3" s="27"/>
      <x:c r="AN3" s="27"/>
      <x:c r="AO3" s="27"/>
      <x:c r="AP3" s="27"/>
      <x:c r="AQ3" s="27"/>
      <x:c r="AR3" s="27"/>
      <x:c r="AS3" s="27"/>
      <x:c r="AT3" s="27"/>
      <x:c r="AU3" s="27"/>
      <x:c r="AV3" s="27"/>
      <x:c r="AW3" s="27"/>
      <x:c r="AX3" s="27"/>
      <x:c r="AY3" s="27"/>
      <x:c r="AZ3" s="27"/>
    </x:row>
    <x:row r="4">
      <x:c r="A4" s="90" t="str">
        <x:v>Archetype</x:v>
      </x:c>
      <x:c r="B4" s="90" t="str">
        <x:v>New Cards</x:v>
      </x:c>
      <x:c r="C4" s="90" t="str">
        <x:v>Unique New Profiles</x:v>
      </x:c>
      <x:c r="D4" s="90" t="str">
        <x:v>Frozen Model</x:v>
      </x:c>
      <x:c r="E4" s="90" t="str">
        <x:v>Correct Blind Pairs</x:v>
      </x:c>
      <x:c r="F4" s="90" t="str">
        <x:v>Total Blind Pairs</x:v>
      </x:c>
      <x:c r="G4" s="90" t="str">
        <x:v>Accuracy</x:v>
      </x:c>
      <x:c r="H4" s="90" t="str">
        <x:v>Failure Pairs</x:v>
      </x:c>
      <x:c r="I4" s="90" t="str">
        <x:v>Blind Verdict</x:v>
      </x:c>
      <x:c r="J4" s="90" t="str">
        <x:v>Confidence After Test</x:v>
      </x:c>
      <x:c r="K4" s="27"/>
      <x:c r="L4" s="27"/>
      <x:c r="M4" s="27"/>
      <x:c r="N4" s="27"/>
      <x:c r="O4" s="27"/>
      <x:c r="P4" s="27"/>
      <x:c r="Q4" s="27"/>
      <x:c r="R4" s="27"/>
      <x:c r="S4" s="27"/>
      <x:c r="T4" s="27"/>
      <x:c r="U4" s="27"/>
      <x:c r="V4" s="27"/>
      <x:c r="W4" s="27"/>
      <x:c r="X4" s="27"/>
      <x:c r="Y4" s="27"/>
      <x:c r="Z4" s="27"/>
      <x:c r="AA4" s="27"/>
      <x:c r="AB4" s="27"/>
      <x:c r="AC4" s="27"/>
      <x:c r="AD4" s="27"/>
      <x:c r="AE4" s="27"/>
      <x:c r="AF4" s="27"/>
      <x:c r="AG4" s="27"/>
      <x:c r="AH4" s="27"/>
      <x:c r="AI4" s="27"/>
      <x:c r="AJ4" s="27"/>
      <x:c r="AK4" s="27"/>
      <x:c r="AL4" s="27"/>
      <x:c r="AM4" s="27"/>
      <x:c r="AN4" s="27"/>
      <x:c r="AO4" s="27"/>
      <x:c r="AP4" s="27"/>
      <x:c r="AQ4" s="27"/>
      <x:c r="AR4" s="27"/>
      <x:c r="AS4" s="27"/>
      <x:c r="AT4" s="27"/>
      <x:c r="AU4" s="27"/>
      <x:c r="AV4" s="27"/>
      <x:c r="AW4" s="27"/>
      <x:c r="AX4" s="27"/>
      <x:c r="AY4" s="27"/>
      <x:c r="AZ4" s="27"/>
    </x:row>
    <x:row r="5">
      <x:c r="A5" s="30" t="str">
        <x:v>Gritty Possession</x:v>
      </x:c>
      <x:c r="B5" s="30" t="n">
        <x:v>9</x:v>
      </x:c>
      <x:c r="C5" s="30" t="n">
        <x:v>9</x:v>
      </x:c>
      <x:c r="D5" s="30" t="str">
        <x:v>M19 Possession</x:v>
      </x:c>
      <x:c r="E5" s="30" t="n">
        <x:v>82</x:v>
      </x:c>
      <x:c r="F5" s="30" t="n">
        <x:v>83</x:v>
      </x:c>
      <x:c r="G5" s="91" t="n">
        <x:v>0.9879518072289156</x:v>
      </x:c>
      <x:c r="H5" s="30" t="n">
        <x:v>1</x:v>
      </x:c>
      <x:c r="I5" s="30" t="str">
        <x:v>PASS with 1 narrow inversion</x:v>
      </x:c>
      <x:c r="J5" s="30" t="str">
        <x:v>HIGH</x:v>
      </x:c>
      <x:c r="K5" s="27"/>
      <x:c r="L5" s="27"/>
      <x:c r="M5" s="27"/>
      <x:c r="N5" s="27"/>
      <x:c r="O5" s="27"/>
      <x:c r="P5" s="27"/>
      <x:c r="Q5" s="27"/>
      <x:c r="R5" s="27"/>
      <x:c r="S5" s="27"/>
      <x:c r="T5" s="27"/>
      <x:c r="U5" s="27"/>
      <x:c r="V5" s="27"/>
      <x:c r="W5" s="27"/>
      <x:c r="X5" s="27"/>
      <x:c r="Y5" s="27"/>
      <x:c r="Z5" s="27"/>
      <x:c r="AA5" s="27"/>
      <x:c r="AB5" s="27"/>
      <x:c r="AC5" s="27"/>
      <x:c r="AD5" s="27"/>
      <x:c r="AE5" s="27"/>
      <x:c r="AF5" s="27"/>
      <x:c r="AG5" s="27"/>
      <x:c r="AH5" s="27"/>
      <x:c r="AI5" s="27"/>
      <x:c r="AJ5" s="27"/>
      <x:c r="AK5" s="27"/>
      <x:c r="AL5" s="27"/>
      <x:c r="AM5" s="27"/>
      <x:c r="AN5" s="27"/>
      <x:c r="AO5" s="27"/>
      <x:c r="AP5" s="27"/>
      <x:c r="AQ5" s="27"/>
      <x:c r="AR5" s="27"/>
      <x:c r="AS5" s="27"/>
      <x:c r="AT5" s="27"/>
      <x:c r="AU5" s="27"/>
      <x:c r="AV5" s="27"/>
      <x:c r="AW5" s="27"/>
      <x:c r="AX5" s="27"/>
      <x:c r="AY5" s="27"/>
      <x:c r="AZ5" s="27"/>
    </x:row>
    <x:row r="6">
      <x:c r="A6" s="30" t="str">
        <x:v>Vertical Threat</x:v>
      </x:c>
      <x:c r="B6" s="30" t="n">
        <x:v>14</x:v>
      </x:c>
      <x:c r="C6" s="30" t="n">
        <x:v>14</x:v>
      </x:c>
      <x:c r="D6" s="30" t="str">
        <x:v>M19 Vertical (ELU omitted)</x:v>
      </x:c>
      <x:c r="E6" s="30" t="n">
        <x:v>124</x:v>
      </x:c>
      <x:c r="F6" s="30" t="n">
        <x:v>133</x:v>
      </x:c>
      <x:c r="G6" s="91" t="n">
        <x:v>0.9323308270676691</x:v>
      </x:c>
      <x:c r="H6" s="30" t="n">
        <x:v>9</x:v>
      </x:c>
      <x:c r="I6" s="30" t="str">
        <x:v>PARTIAL FAIL — predictive, not exact</x:v>
      </x:c>
      <x:c r="J6" s="30" t="str">
        <x:v>MEDIUM-HIGH candidate; exact formula unresolved</x:v>
      </x:c>
      <x:c r="K6" s="27"/>
      <x:c r="L6" s="27"/>
      <x:c r="M6" s="27"/>
      <x:c r="N6" s="27"/>
      <x:c r="O6" s="27"/>
      <x:c r="P6" s="27"/>
      <x:c r="Q6" s="27"/>
      <x:c r="R6" s="27"/>
      <x:c r="S6" s="27"/>
      <x:c r="T6" s="27"/>
      <x:c r="U6" s="27"/>
      <x:c r="V6" s="27"/>
      <x:c r="W6" s="27"/>
      <x:c r="X6" s="27"/>
      <x:c r="Y6" s="27"/>
      <x:c r="Z6" s="27"/>
      <x:c r="AA6" s="27"/>
      <x:c r="AB6" s="27"/>
      <x:c r="AC6" s="27"/>
      <x:c r="AD6" s="27"/>
      <x:c r="AE6" s="27"/>
      <x:c r="AF6" s="27"/>
      <x:c r="AG6" s="27"/>
      <x:c r="AH6" s="27"/>
      <x:c r="AI6" s="27"/>
      <x:c r="AJ6" s="27"/>
      <x:c r="AK6" s="27"/>
      <x:c r="AL6" s="27"/>
      <x:c r="AM6" s="27"/>
      <x:c r="AN6" s="27"/>
      <x:c r="AO6" s="27"/>
      <x:c r="AP6" s="27"/>
      <x:c r="AQ6" s="27"/>
      <x:c r="AR6" s="27"/>
      <x:c r="AS6" s="27"/>
      <x:c r="AT6" s="27"/>
      <x:c r="AU6" s="27"/>
      <x:c r="AV6" s="27"/>
      <x:c r="AW6" s="27"/>
      <x:c r="AX6" s="27"/>
      <x:c r="AY6" s="27"/>
      <x:c r="AZ6" s="27"/>
    </x:row>
    <x:row r="7">
      <x:c r="A7" s="30" t="str">
        <x:v>Physical Route Runner</x:v>
      </x:c>
      <x:c r="B7" s="30" t="n">
        <x:v>21</x:v>
      </x:c>
      <x:c r="C7" s="30" t="n">
        <x:v>19</x:v>
      </x:c>
      <x:c r="D7" s="30" t="str">
        <x:v>71% VT + 29% Possession</x:v>
      </x:c>
      <x:c r="E7" s="30" t="n">
        <x:v>304</x:v>
      </x:c>
      <x:c r="F7" s="30" t="n">
        <x:v>304</x:v>
      </x:c>
      <x:c r="G7" s="91" t="n">
        <x:v>1</x:v>
      </x:c>
      <x:c r="H7" s="30" t="n">
        <x:v>0</x:v>
      </x:c>
      <x:c r="I7" s="30" t="str">
        <x:v>PASS — perfect holdout ordering</x:v>
      </x:c>
      <x:c r="J7" s="30" t="str">
        <x:v>HIGH candidate</x:v>
      </x:c>
      <x:c r="K7" s="27"/>
      <x:c r="L7" s="27"/>
      <x:c r="M7" s="27"/>
      <x:c r="N7" s="27"/>
      <x:c r="O7" s="27"/>
      <x:c r="P7" s="27"/>
      <x:c r="Q7" s="27"/>
      <x:c r="R7" s="27"/>
      <x:c r="S7" s="27"/>
      <x:c r="T7" s="27"/>
      <x:c r="U7" s="27"/>
      <x:c r="V7" s="27"/>
      <x:c r="W7" s="27"/>
      <x:c r="X7" s="27"/>
      <x:c r="Y7" s="27"/>
      <x:c r="Z7" s="27"/>
      <x:c r="AA7" s="27"/>
      <x:c r="AB7" s="27"/>
      <x:c r="AC7" s="27"/>
      <x:c r="AD7" s="27"/>
      <x:c r="AE7" s="27"/>
      <x:c r="AF7" s="27"/>
      <x:c r="AG7" s="27"/>
      <x:c r="AH7" s="27"/>
      <x:c r="AI7" s="27"/>
      <x:c r="AJ7" s="27"/>
      <x:c r="AK7" s="27"/>
      <x:c r="AL7" s="27"/>
      <x:c r="AM7" s="27"/>
      <x:c r="AN7" s="27"/>
      <x:c r="AO7" s="27"/>
      <x:c r="AP7" s="27"/>
      <x:c r="AQ7" s="27"/>
      <x:c r="AR7" s="27"/>
      <x:c r="AS7" s="27"/>
      <x:c r="AT7" s="27"/>
      <x:c r="AU7" s="27"/>
      <x:c r="AV7" s="27"/>
      <x:c r="AW7" s="27"/>
      <x:c r="AX7" s="27"/>
      <x:c r="AY7" s="27"/>
      <x:c r="AZ7" s="27"/>
    </x:row>
    <x:row r="8">
      <x:c r="A8" s="30" t="str">
        <x:v>Pure Blocker</x:v>
      </x:c>
      <x:c r="B8" s="30" t="n">
        <x:v>0</x:v>
      </x:c>
      <x:c r="C8" s="30" t="n">
        <x:v>0</x:v>
      </x:c>
      <x:c r="D8" s="30" t="str">
        <x:v>M19 Blocking prior</x:v>
      </x:c>
      <x:c r="E8" s="30" t="n">
        <x:v>0</x:v>
      </x:c>
      <x:c r="F8" s="30" t="n">
        <x:v>0</x:v>
      </x:c>
      <x:c r="G8" s="91"/>
      <x:c r="H8" s="30" t="n">
        <x:v>0</x:v>
      </x:c>
      <x:c r="I8" s="30" t="str">
        <x:v>NOT TESTED — no new Pure Blocker</x:v>
      </x:c>
      <x:c r="J8" s="30" t="str">
        <x:v>LOW</x:v>
      </x:c>
      <x:c r="K8" s="27"/>
      <x:c r="L8" s="27"/>
      <x:c r="M8" s="27"/>
      <x:c r="N8" s="27"/>
      <x:c r="O8" s="27"/>
      <x:c r="P8" s="27"/>
      <x:c r="Q8" s="27"/>
      <x:c r="R8" s="27"/>
      <x:c r="S8" s="27"/>
      <x:c r="T8" s="27"/>
      <x:c r="U8" s="27"/>
      <x:c r="V8" s="27"/>
      <x:c r="W8" s="27"/>
      <x:c r="X8" s="27"/>
      <x:c r="Y8" s="27"/>
      <x:c r="Z8" s="27"/>
      <x:c r="AA8" s="27"/>
      <x:c r="AB8" s="27"/>
      <x:c r="AC8" s="27"/>
      <x:c r="AD8" s="27"/>
      <x:c r="AE8" s="27"/>
      <x:c r="AF8" s="27"/>
      <x:c r="AG8" s="27"/>
      <x:c r="AH8" s="27"/>
      <x:c r="AI8" s="27"/>
      <x:c r="AJ8" s="27"/>
      <x:c r="AK8" s="27"/>
      <x:c r="AL8" s="27"/>
      <x:c r="AM8" s="27"/>
      <x:c r="AN8" s="27"/>
      <x:c r="AO8" s="27"/>
      <x:c r="AP8" s="27"/>
      <x:c r="AQ8" s="27"/>
      <x:c r="AR8" s="27"/>
      <x:c r="AS8" s="27"/>
      <x:c r="AT8" s="27"/>
      <x:c r="AU8" s="27"/>
      <x:c r="AV8" s="27"/>
      <x:c r="AW8" s="27"/>
      <x:c r="AX8" s="27"/>
      <x:c r="AY8" s="27"/>
      <x:c r="AZ8" s="27"/>
    </x:row>
    <x:row r="9">
      <x:c r="A9" s="27"/>
      <x:c r="B9" s="27"/>
      <x:c r="C9" s="27"/>
      <x:c r="D9" s="27"/>
      <x:c r="E9" s="27"/>
      <x:c r="F9" s="27"/>
      <x:c r="G9" s="27"/>
      <x:c r="H9" s="27"/>
      <x:c r="I9" s="27"/>
      <x:c r="J9" s="27"/>
      <x:c r="K9" s="27"/>
      <x:c r="L9" s="27"/>
      <x:c r="M9" s="27"/>
      <x:c r="N9" s="27"/>
      <x:c r="O9" s="27"/>
      <x:c r="P9" s="27"/>
      <x:c r="Q9" s="27"/>
      <x:c r="R9" s="27"/>
      <x:c r="S9" s="27"/>
      <x:c r="T9" s="27"/>
      <x:c r="U9" s="27"/>
      <x:c r="V9" s="27"/>
      <x:c r="W9" s="27"/>
      <x:c r="X9" s="27"/>
      <x:c r="Y9" s="27"/>
      <x:c r="Z9" s="27"/>
      <x:c r="AA9" s="27"/>
      <x:c r="AB9" s="27"/>
      <x:c r="AC9" s="27"/>
      <x:c r="AD9" s="27"/>
      <x:c r="AE9" s="27"/>
      <x:c r="AF9" s="27"/>
      <x:c r="AG9" s="27"/>
      <x:c r="AH9" s="27"/>
      <x:c r="AI9" s="27"/>
      <x:c r="AJ9" s="27"/>
      <x:c r="AK9" s="27"/>
      <x:c r="AL9" s="27"/>
      <x:c r="AM9" s="27"/>
      <x:c r="AN9" s="27"/>
      <x:c r="AO9" s="27"/>
      <x:c r="AP9" s="27"/>
      <x:c r="AQ9" s="27"/>
      <x:c r="AR9" s="27"/>
      <x:c r="AS9" s="27"/>
      <x:c r="AT9" s="27"/>
      <x:c r="AU9" s="27"/>
      <x:c r="AV9" s="27"/>
      <x:c r="AW9" s="27"/>
      <x:c r="AX9" s="27"/>
      <x:c r="AY9" s="27"/>
      <x:c r="AZ9" s="27"/>
    </x:row>
    <x:row r="10">
      <x:c r="A10" s="27"/>
      <x:c r="B10" s="27"/>
      <x:c r="C10" s="27"/>
      <x:c r="D10" s="27"/>
      <x:c r="E10" s="27"/>
      <x:c r="F10" s="27"/>
      <x:c r="G10" s="27"/>
      <x:c r="H10" s="27"/>
      <x:c r="I10" s="27"/>
      <x:c r="J10" s="27"/>
      <x:c r="K10" s="27"/>
      <x:c r="L10" s="27"/>
      <x:c r="M10" s="27"/>
      <x:c r="N10" s="27"/>
      <x:c r="O10" s="27"/>
      <x:c r="P10" s="27"/>
      <x:c r="Q10" s="27"/>
      <x:c r="R10" s="27"/>
      <x:c r="S10" s="27"/>
      <x:c r="T10" s="27"/>
      <x:c r="U10" s="27"/>
      <x:c r="V10" s="27"/>
      <x:c r="W10" s="27"/>
      <x:c r="X10" s="27"/>
      <x:c r="Y10" s="27"/>
      <x:c r="Z10" s="27"/>
      <x:c r="AA10" s="27"/>
      <x:c r="AB10" s="27"/>
      <x:c r="AC10" s="27"/>
      <x:c r="AD10" s="27"/>
      <x:c r="AE10" s="27"/>
      <x:c r="AF10" s="27"/>
      <x:c r="AG10" s="27"/>
      <x:c r="AH10" s="27"/>
      <x:c r="AI10" s="27"/>
      <x:c r="AJ10" s="27"/>
      <x:c r="AK10" s="27"/>
      <x:c r="AL10" s="27"/>
      <x:c r="AM10" s="27"/>
      <x:c r="AN10" s="27"/>
      <x:c r="AO10" s="27"/>
      <x:c r="AP10" s="27"/>
      <x:c r="AQ10" s="27"/>
      <x:c r="AR10" s="27"/>
      <x:c r="AS10" s="27"/>
      <x:c r="AT10" s="27"/>
      <x:c r="AU10" s="27"/>
      <x:c r="AV10" s="27"/>
      <x:c r="AW10" s="27"/>
      <x:c r="AX10" s="27"/>
      <x:c r="AY10" s="27"/>
      <x:c r="AZ10" s="27"/>
    </x:row>
    <x:row r="11">
      <x:c r="A11" s="92" t="str">
        <x:v>Frozen v1.1 Candidate-Score Ranges After Holdout Ingestion</x:v>
      </x:c>
      <x:c r="B11" s="92"/>
      <x:c r="C11" s="92"/>
      <x:c r="D11" s="92"/>
      <x:c r="E11" s="92"/>
      <x:c r="F11" s="92"/>
      <x:c r="G11" s="92"/>
      <x:c r="H11" s="92"/>
      <x:c r="I11" s="92"/>
      <x:c r="J11" s="92"/>
      <x:c r="K11" s="92"/>
      <x:c r="L11" s="92"/>
      <x:c r="M11" s="92"/>
      <x:c r="N11" s="92"/>
      <x:c r="O11" s="92"/>
      <x:c r="P11" s="92"/>
      <x:c r="Q11" s="27"/>
      <x:c r="R11" s="27"/>
      <x:c r="S11" s="27"/>
      <x:c r="T11" s="27"/>
      <x:c r="U11" s="27"/>
      <x:c r="V11" s="27"/>
      <x:c r="W11" s="27"/>
      <x:c r="X11" s="27"/>
      <x:c r="Y11" s="27"/>
      <x:c r="Z11" s="27"/>
      <x:c r="AA11" s="27"/>
      <x:c r="AB11" s="27"/>
      <x:c r="AC11" s="27"/>
      <x:c r="AD11" s="27"/>
      <x:c r="AE11" s="27"/>
      <x:c r="AF11" s="27"/>
      <x:c r="AG11" s="27"/>
      <x:c r="AH11" s="27"/>
      <x:c r="AI11" s="27"/>
      <x:c r="AJ11" s="27"/>
      <x:c r="AK11" s="27"/>
      <x:c r="AL11" s="27"/>
      <x:c r="AM11" s="27"/>
      <x:c r="AN11" s="27"/>
      <x:c r="AO11" s="27"/>
      <x:c r="AP11" s="27"/>
      <x:c r="AQ11" s="27"/>
      <x:c r="AR11" s="27"/>
      <x:c r="AS11" s="27"/>
      <x:c r="AT11" s="27"/>
      <x:c r="AU11" s="27"/>
      <x:c r="AV11" s="27"/>
      <x:c r="AW11" s="27"/>
      <x:c r="AX11" s="27"/>
      <x:c r="AY11" s="27"/>
      <x:c r="AZ11" s="27"/>
    </x:row>
    <x:row r="12">
      <x:c r="A12" s="93" t="str">
        <x:v>Archetype</x:v>
      </x:c>
      <x:c r="B12" s="93" t="str">
        <x:v>OVR</x:v>
      </x:c>
      <x:c r="C12" s="93" t="str">
        <x:v>Cards / Unique Profiles</x:v>
      </x:c>
      <x:c r="D12" s="93" t="str">
        <x:v>Minimum Score</x:v>
      </x:c>
      <x:c r="E12" s="93" t="str">
        <x:v>Maximum Score</x:v>
      </x:c>
      <x:c r="F12" s="93" t="str">
        <x:v>Adjacent-Band Status</x:v>
      </x:c>
      <x:c r="G12" s="93" t="str">
        <x:v>Interpretation</x:v>
      </x:c>
      <x:c r="H12" s="27"/>
      <x:c r="I12" s="27"/>
      <x:c r="J12" s="27"/>
      <x:c r="K12" s="27"/>
      <x:c r="L12" s="27"/>
      <x:c r="M12" s="27"/>
      <x:c r="N12" s="27"/>
      <x:c r="O12" s="27"/>
      <x:c r="P12" s="27"/>
      <x:c r="Q12" s="27"/>
      <x:c r="R12" s="27"/>
      <x:c r="S12" s="27"/>
      <x:c r="T12" s="27"/>
      <x:c r="U12" s="27"/>
      <x:c r="V12" s="27"/>
      <x:c r="W12" s="27"/>
      <x:c r="X12" s="27"/>
      <x:c r="Y12" s="27"/>
      <x:c r="Z12" s="27"/>
      <x:c r="AA12" s="27"/>
      <x:c r="AB12" s="27"/>
      <x:c r="AC12" s="27"/>
      <x:c r="AD12" s="27"/>
      <x:c r="AE12" s="27"/>
      <x:c r="AF12" s="27"/>
      <x:c r="AG12" s="27"/>
      <x:c r="AH12" s="27"/>
      <x:c r="AI12" s="27"/>
      <x:c r="AJ12" s="27"/>
      <x:c r="AK12" s="27"/>
      <x:c r="AL12" s="27"/>
      <x:c r="AM12" s="27"/>
      <x:c r="AN12" s="27"/>
      <x:c r="AO12" s="27"/>
      <x:c r="AP12" s="27"/>
      <x:c r="AQ12" s="27"/>
      <x:c r="AR12" s="27"/>
      <x:c r="AS12" s="27"/>
      <x:c r="AT12" s="27"/>
      <x:c r="AU12" s="27"/>
      <x:c r="AV12" s="27"/>
      <x:c r="AW12" s="27"/>
      <x:c r="AX12" s="27"/>
      <x:c r="AY12" s="27"/>
      <x:c r="AZ12" s="27"/>
    </x:row>
    <x:row r="13">
      <x:c r="A13" s="30" t="str">
        <x:v>Gritty Possession</x:v>
      </x:c>
      <x:c r="B13" s="30" t="n">
        <x:v>80</x:v>
      </x:c>
      <x:c r="C13" s="30" t="n">
        <x:v>5</x:v>
      </x:c>
      <x:c r="D13" s="94" t="n">
        <x:v>75.72</x:v>
      </x:c>
      <x:c r="E13" s="94" t="n">
        <x:v>76.94</x:v>
      </x:c>
      <x:c r="F13" s="30" t="str"/>
      <x:c r="G13" s="30" t="str"/>
      <x:c r="H13" s="27"/>
      <x:c r="I13" s="27"/>
      <x:c r="J13" s="27"/>
      <x:c r="K13" s="27"/>
      <x:c r="L13" s="27"/>
      <x:c r="M13" s="27"/>
      <x:c r="N13" s="27"/>
      <x:c r="O13" s="27"/>
      <x:c r="P13" s="27"/>
      <x:c r="Q13" s="27"/>
      <x:c r="R13" s="27"/>
      <x:c r="S13" s="27"/>
      <x:c r="T13" s="27"/>
      <x:c r="U13" s="27"/>
      <x:c r="V13" s="27"/>
      <x:c r="W13" s="27"/>
      <x:c r="X13" s="27"/>
      <x:c r="Y13" s="27"/>
      <x:c r="Z13" s="27"/>
      <x:c r="AA13" s="27"/>
      <x:c r="AB13" s="27"/>
      <x:c r="AC13" s="27"/>
      <x:c r="AD13" s="27"/>
      <x:c r="AE13" s="27"/>
      <x:c r="AF13" s="27"/>
      <x:c r="AG13" s="27"/>
      <x:c r="AH13" s="27"/>
      <x:c r="AI13" s="27"/>
      <x:c r="AJ13" s="27"/>
      <x:c r="AK13" s="27"/>
      <x:c r="AL13" s="27"/>
      <x:c r="AM13" s="27"/>
      <x:c r="AN13" s="27"/>
      <x:c r="AO13" s="27"/>
      <x:c r="AP13" s="27"/>
      <x:c r="AQ13" s="27"/>
      <x:c r="AR13" s="27"/>
      <x:c r="AS13" s="27"/>
      <x:c r="AT13" s="27"/>
      <x:c r="AU13" s="27"/>
      <x:c r="AV13" s="27"/>
      <x:c r="AW13" s="27"/>
      <x:c r="AX13" s="27"/>
      <x:c r="AY13" s="27"/>
      <x:c r="AZ13" s="27"/>
    </x:row>
    <x:row r="14">
      <x:c r="A14" s="30" t="str">
        <x:v>Gritty Possession</x:v>
      </x:c>
      <x:c r="B14" s="30" t="n">
        <x:v>81</x:v>
      </x:c>
      <x:c r="C14" s="30" t="n">
        <x:v>4</x:v>
      </x:c>
      <x:c r="D14" s="94" t="n">
        <x:v>76.91</x:v>
      </x:c>
      <x:c r="E14" s="94" t="n">
        <x:v>78.24</x:v>
      </x:c>
      <x:c r="F14" s="30" t="str">
        <x:v>OVERLAP / INVERSION</x:v>
      </x:c>
      <x:c r="G14" s="30" t="str">
        <x:v>80 max 76.940 overlaps 81 min 76.910</x:v>
      </x:c>
      <x:c r="H14" s="27"/>
      <x:c r="I14" s="27"/>
      <x:c r="J14" s="27"/>
      <x:c r="K14" s="27"/>
      <x:c r="L14" s="27"/>
      <x:c r="M14" s="27"/>
      <x:c r="N14" s="27"/>
      <x:c r="O14" s="27"/>
      <x:c r="P14" s="27"/>
      <x:c r="Q14" s="27"/>
      <x:c r="R14" s="27"/>
      <x:c r="S14" s="27"/>
      <x:c r="T14" s="27"/>
      <x:c r="U14" s="27"/>
      <x:c r="V14" s="27"/>
      <x:c r="W14" s="27"/>
      <x:c r="X14" s="27"/>
      <x:c r="Y14" s="27"/>
      <x:c r="Z14" s="27"/>
      <x:c r="AA14" s="27"/>
      <x:c r="AB14" s="27"/>
      <x:c r="AC14" s="27"/>
      <x:c r="AD14" s="27"/>
      <x:c r="AE14" s="27"/>
      <x:c r="AF14" s="27"/>
      <x:c r="AG14" s="27"/>
      <x:c r="AH14" s="27"/>
      <x:c r="AI14" s="27"/>
      <x:c r="AJ14" s="27"/>
      <x:c r="AK14" s="27"/>
      <x:c r="AL14" s="27"/>
      <x:c r="AM14" s="27"/>
      <x:c r="AN14" s="27"/>
      <x:c r="AO14" s="27"/>
      <x:c r="AP14" s="27"/>
      <x:c r="AQ14" s="27"/>
      <x:c r="AR14" s="27"/>
      <x:c r="AS14" s="27"/>
      <x:c r="AT14" s="27"/>
      <x:c r="AU14" s="27"/>
      <x:c r="AV14" s="27"/>
      <x:c r="AW14" s="27"/>
      <x:c r="AX14" s="27"/>
      <x:c r="AY14" s="27"/>
      <x:c r="AZ14" s="27"/>
    </x:row>
    <x:row r="15">
      <x:c r="A15" s="30" t="str">
        <x:v>Gritty Possession</x:v>
      </x:c>
      <x:c r="B15" s="30" t="n">
        <x:v>83</x:v>
      </x:c>
      <x:c r="C15" s="30" t="n">
        <x:v>1</x:v>
      </x:c>
      <x:c r="D15" s="94" t="n">
        <x:v>80.01</x:v>
      </x:c>
      <x:c r="E15" s="94" t="n">
        <x:v>80.01</x:v>
      </x:c>
      <x:c r="F15" s="30" t="str">
        <x:v>CLEAN SEPARATION</x:v>
      </x:c>
      <x:c r="G15" s="30" t="str">
        <x:v>81→83 boundary lies between 78.240 and 80.010</x:v>
      </x:c>
      <x:c r="H15" s="27"/>
      <x:c r="I15" s="27"/>
      <x:c r="J15" s="27"/>
      <x:c r="K15" s="27"/>
      <x:c r="L15" s="27"/>
      <x:c r="M15" s="27"/>
      <x:c r="N15" s="27"/>
      <x:c r="O15" s="27"/>
      <x:c r="P15" s="27"/>
      <x:c r="Q15" s="27"/>
      <x:c r="R15" s="27"/>
      <x:c r="S15" s="27"/>
      <x:c r="T15" s="27"/>
      <x:c r="U15" s="27"/>
      <x:c r="V15" s="27"/>
      <x:c r="W15" s="27"/>
      <x:c r="X15" s="27"/>
      <x:c r="Y15" s="27"/>
      <x:c r="Z15" s="27"/>
      <x:c r="AA15" s="27"/>
      <x:c r="AB15" s="27"/>
      <x:c r="AC15" s="27"/>
      <x:c r="AD15" s="27"/>
      <x:c r="AE15" s="27"/>
      <x:c r="AF15" s="27"/>
      <x:c r="AG15" s="27"/>
      <x:c r="AH15" s="27"/>
      <x:c r="AI15" s="27"/>
      <x:c r="AJ15" s="27"/>
      <x:c r="AK15" s="27"/>
      <x:c r="AL15" s="27"/>
      <x:c r="AM15" s="27"/>
      <x:c r="AN15" s="27"/>
      <x:c r="AO15" s="27"/>
      <x:c r="AP15" s="27"/>
      <x:c r="AQ15" s="27"/>
      <x:c r="AR15" s="27"/>
      <x:c r="AS15" s="27"/>
      <x:c r="AT15" s="27"/>
      <x:c r="AU15" s="27"/>
      <x:c r="AV15" s="27"/>
      <x:c r="AW15" s="27"/>
      <x:c r="AX15" s="27"/>
      <x:c r="AY15" s="27"/>
      <x:c r="AZ15" s="27"/>
    </x:row>
    <x:row r="16">
      <x:c r="A16" s="30" t="str">
        <x:v>Gritty Possession</x:v>
      </x:c>
      <x:c r="B16" s="30" t="n">
        <x:v>84</x:v>
      </x:c>
      <x:c r="C16" s="30" t="n">
        <x:v>3</x:v>
      </x:c>
      <x:c r="D16" s="94" t="n">
        <x:v>80.18</x:v>
      </x:c>
      <x:c r="E16" s="94" t="n">
        <x:v>80.96</x:v>
      </x:c>
      <x:c r="F16" s="30" t="str">
        <x:v>CLEAN SEPARATION</x:v>
      </x:c>
      <x:c r="G16" s="30" t="str">
        <x:v>83→84 boundary lies between 80.010 and 80.180</x:v>
      </x:c>
      <x:c r="H16" s="27"/>
      <x:c r="I16" s="27"/>
      <x:c r="J16" s="27"/>
      <x:c r="K16" s="27"/>
      <x:c r="L16" s="27"/>
      <x:c r="M16" s="27"/>
      <x:c r="N16" s="27"/>
      <x:c r="O16" s="27"/>
      <x:c r="P16" s="27"/>
      <x:c r="Q16" s="27"/>
      <x:c r="R16" s="27"/>
      <x:c r="S16" s="27"/>
      <x:c r="T16" s="27"/>
      <x:c r="U16" s="27"/>
      <x:c r="V16" s="27"/>
      <x:c r="W16" s="27"/>
      <x:c r="X16" s="27"/>
      <x:c r="Y16" s="27"/>
      <x:c r="Z16" s="27"/>
      <x:c r="AA16" s="27"/>
      <x:c r="AB16" s="27"/>
      <x:c r="AC16" s="27"/>
      <x:c r="AD16" s="27"/>
      <x:c r="AE16" s="27"/>
      <x:c r="AF16" s="27"/>
      <x:c r="AG16" s="27"/>
      <x:c r="AH16" s="27"/>
      <x:c r="AI16" s="27"/>
      <x:c r="AJ16" s="27"/>
      <x:c r="AK16" s="27"/>
      <x:c r="AL16" s="27"/>
      <x:c r="AM16" s="27"/>
      <x:c r="AN16" s="27"/>
      <x:c r="AO16" s="27"/>
      <x:c r="AP16" s="27"/>
      <x:c r="AQ16" s="27"/>
      <x:c r="AR16" s="27"/>
      <x:c r="AS16" s="27"/>
      <x:c r="AT16" s="27"/>
      <x:c r="AU16" s="27"/>
      <x:c r="AV16" s="27"/>
      <x:c r="AW16" s="27"/>
      <x:c r="AX16" s="27"/>
      <x:c r="AY16" s="27"/>
      <x:c r="AZ16" s="27"/>
    </x:row>
    <x:row r="17">
      <x:c r="A17" s="30" t="str">
        <x:v>Gritty Possession</x:v>
      </x:c>
      <x:c r="B17" s="30" t="n">
        <x:v>85</x:v>
      </x:c>
      <x:c r="C17" s="30" t="n">
        <x:v>3</x:v>
      </x:c>
      <x:c r="D17" s="94" t="n">
        <x:v>81.63</x:v>
      </x:c>
      <x:c r="E17" s="94" t="n">
        <x:v>82.06</x:v>
      </x:c>
      <x:c r="F17" s="30" t="str">
        <x:v>CLEAN SEPARATION</x:v>
      </x:c>
      <x:c r="G17" s="30" t="str">
        <x:v>84→85 boundary lies between 80.960 and 81.630</x:v>
      </x:c>
      <x:c r="H17" s="27"/>
      <x:c r="I17" s="27"/>
      <x:c r="J17" s="27"/>
      <x:c r="K17" s="27"/>
      <x:c r="L17" s="27"/>
      <x:c r="M17" s="27"/>
      <x:c r="N17" s="27"/>
      <x:c r="O17" s="27"/>
      <x:c r="P17" s="27"/>
      <x:c r="Q17" s="27"/>
      <x:c r="R17" s="27"/>
      <x:c r="S17" s="27"/>
      <x:c r="T17" s="27"/>
      <x:c r="U17" s="27"/>
      <x:c r="V17" s="27"/>
      <x:c r="W17" s="27"/>
      <x:c r="X17" s="27"/>
      <x:c r="Y17" s="27"/>
      <x:c r="Z17" s="27"/>
      <x:c r="AA17" s="27"/>
      <x:c r="AB17" s="27"/>
      <x:c r="AC17" s="27"/>
      <x:c r="AD17" s="27"/>
      <x:c r="AE17" s="27"/>
      <x:c r="AF17" s="27"/>
      <x:c r="AG17" s="27"/>
      <x:c r="AH17" s="27"/>
      <x:c r="AI17" s="27"/>
      <x:c r="AJ17" s="27"/>
      <x:c r="AK17" s="27"/>
      <x:c r="AL17" s="27"/>
      <x:c r="AM17" s="27"/>
      <x:c r="AN17" s="27"/>
      <x:c r="AO17" s="27"/>
      <x:c r="AP17" s="27"/>
      <x:c r="AQ17" s="27"/>
      <x:c r="AR17" s="27"/>
      <x:c r="AS17" s="27"/>
      <x:c r="AT17" s="27"/>
      <x:c r="AU17" s="27"/>
      <x:c r="AV17" s="27"/>
      <x:c r="AW17" s="27"/>
      <x:c r="AX17" s="27"/>
      <x:c r="AY17" s="27"/>
      <x:c r="AZ17" s="27"/>
    </x:row>
    <x:row r="18">
      <x:c r="A18" s="30" t="str">
        <x:v>Vertical Threat</x:v>
      </x:c>
      <x:c r="B18" s="30" t="n">
        <x:v>80</x:v>
      </x:c>
      <x:c r="C18" s="30" t="n">
        <x:v>7</x:v>
      </x:c>
      <x:c r="D18" s="94" t="n">
        <x:v>75.41836734693878</x:v>
      </x:c>
      <x:c r="E18" s="94" t="n">
        <x:v>76.56122448979592</x:v>
      </x:c>
      <x:c r="F18" s="30" t="str"/>
      <x:c r="G18" s="30" t="str"/>
      <x:c r="H18" s="27"/>
      <x:c r="I18" s="27"/>
      <x:c r="J18" s="27"/>
      <x:c r="K18" s="27"/>
      <x:c r="L18" s="27"/>
      <x:c r="M18" s="27"/>
      <x:c r="N18" s="27"/>
      <x:c r="O18" s="27"/>
      <x:c r="P18" s="27"/>
      <x:c r="Q18" s="27"/>
      <x:c r="R18" s="27"/>
      <x:c r="S18" s="27"/>
      <x:c r="T18" s="27"/>
      <x:c r="U18" s="27"/>
      <x:c r="V18" s="27"/>
      <x:c r="W18" s="27"/>
      <x:c r="X18" s="27"/>
      <x:c r="Y18" s="27"/>
      <x:c r="Z18" s="27"/>
      <x:c r="AA18" s="27"/>
      <x:c r="AB18" s="27"/>
      <x:c r="AC18" s="27"/>
      <x:c r="AD18" s="27"/>
      <x:c r="AE18" s="27"/>
      <x:c r="AF18" s="27"/>
      <x:c r="AG18" s="27"/>
      <x:c r="AH18" s="27"/>
      <x:c r="AI18" s="27"/>
      <x:c r="AJ18" s="27"/>
      <x:c r="AK18" s="27"/>
      <x:c r="AL18" s="27"/>
      <x:c r="AM18" s="27"/>
      <x:c r="AN18" s="27"/>
      <x:c r="AO18" s="27"/>
      <x:c r="AP18" s="27"/>
      <x:c r="AQ18" s="27"/>
      <x:c r="AR18" s="27"/>
      <x:c r="AS18" s="27"/>
      <x:c r="AT18" s="27"/>
      <x:c r="AU18" s="27"/>
      <x:c r="AV18" s="27"/>
      <x:c r="AW18" s="27"/>
      <x:c r="AX18" s="27"/>
      <x:c r="AY18" s="27"/>
      <x:c r="AZ18" s="27"/>
    </x:row>
    <x:row r="19">
      <x:c r="A19" s="30" t="str">
        <x:v>Vertical Threat</x:v>
      </x:c>
      <x:c r="B19" s="30" t="n">
        <x:v>81</x:v>
      </x:c>
      <x:c r="C19" s="30" t="n">
        <x:v>3</x:v>
      </x:c>
      <x:c r="D19" s="94" t="n">
        <x:v>75.58163265306122</x:v>
      </x:c>
      <x:c r="E19" s="94" t="n">
        <x:v>77.55102040816327</x:v>
      </x:c>
      <x:c r="F19" s="30" t="str">
        <x:v>OVERLAP / INVERSION</x:v>
      </x:c>
      <x:c r="G19" s="30" t="str">
        <x:v>80 max 76.561 overlaps 81 min 75.582</x:v>
      </x:c>
      <x:c r="H19" s="27"/>
      <x:c r="I19" s="27"/>
      <x:c r="J19" s="27"/>
      <x:c r="K19" s="27"/>
      <x:c r="L19" s="27"/>
      <x:c r="M19" s="27"/>
      <x:c r="N19" s="27"/>
      <x:c r="O19" s="27"/>
      <x:c r="P19" s="27"/>
      <x:c r="Q19" s="27"/>
      <x:c r="R19" s="27"/>
      <x:c r="S19" s="27"/>
      <x:c r="T19" s="27"/>
      <x:c r="U19" s="27"/>
      <x:c r="V19" s="27"/>
      <x:c r="W19" s="27"/>
      <x:c r="X19" s="27"/>
      <x:c r="Y19" s="27"/>
      <x:c r="Z19" s="27"/>
      <x:c r="AA19" s="27"/>
      <x:c r="AB19" s="27"/>
      <x:c r="AC19" s="27"/>
      <x:c r="AD19" s="27"/>
      <x:c r="AE19" s="27"/>
      <x:c r="AF19" s="27"/>
      <x:c r="AG19" s="27"/>
      <x:c r="AH19" s="27"/>
      <x:c r="AI19" s="27"/>
      <x:c r="AJ19" s="27"/>
      <x:c r="AK19" s="27"/>
      <x:c r="AL19" s="27"/>
      <x:c r="AM19" s="27"/>
      <x:c r="AN19" s="27"/>
      <x:c r="AO19" s="27"/>
      <x:c r="AP19" s="27"/>
      <x:c r="AQ19" s="27"/>
      <x:c r="AR19" s="27"/>
      <x:c r="AS19" s="27"/>
      <x:c r="AT19" s="27"/>
      <x:c r="AU19" s="27"/>
      <x:c r="AV19" s="27"/>
      <x:c r="AW19" s="27"/>
      <x:c r="AX19" s="27"/>
      <x:c r="AY19" s="27"/>
      <x:c r="AZ19" s="27"/>
    </x:row>
    <x:row r="20">
      <x:c r="A20" s="30" t="str">
        <x:v>Vertical Threat</x:v>
      </x:c>
      <x:c r="B20" s="30" t="n">
        <x:v>82</x:v>
      </x:c>
      <x:c r="C20" s="30" t="n">
        <x:v>3</x:v>
      </x:c>
      <x:c r="D20" s="94" t="n">
        <x:v>76.61224489795919</x:v>
      </x:c>
      <x:c r="E20" s="94" t="n">
        <x:v>78.51020408163265</x:v>
      </x:c>
      <x:c r="F20" s="30" t="str">
        <x:v>OVERLAP / INVERSION</x:v>
      </x:c>
      <x:c r="G20" s="30" t="str">
        <x:v>81 max 77.551 overlaps 82 min 76.612</x:v>
      </x:c>
      <x:c r="H20" s="27"/>
      <x:c r="I20" s="27"/>
      <x:c r="J20" s="27"/>
      <x:c r="K20" s="27"/>
      <x:c r="L20" s="27"/>
      <x:c r="M20" s="27"/>
      <x:c r="N20" s="27"/>
      <x:c r="O20" s="27"/>
      <x:c r="P20" s="27"/>
      <x:c r="Q20" s="27"/>
      <x:c r="R20" s="27"/>
      <x:c r="S20" s="27"/>
      <x:c r="T20" s="27"/>
      <x:c r="U20" s="27"/>
      <x:c r="V20" s="27"/>
      <x:c r="W20" s="27"/>
      <x:c r="X20" s="27"/>
      <x:c r="Y20" s="27"/>
      <x:c r="Z20" s="27"/>
      <x:c r="AA20" s="27"/>
      <x:c r="AB20" s="27"/>
      <x:c r="AC20" s="27"/>
      <x:c r="AD20" s="27"/>
      <x:c r="AE20" s="27"/>
      <x:c r="AF20" s="27"/>
      <x:c r="AG20" s="27"/>
      <x:c r="AH20" s="27"/>
      <x:c r="AI20" s="27"/>
      <x:c r="AJ20" s="27"/>
      <x:c r="AK20" s="27"/>
      <x:c r="AL20" s="27"/>
      <x:c r="AM20" s="27"/>
      <x:c r="AN20" s="27"/>
      <x:c r="AO20" s="27"/>
      <x:c r="AP20" s="27"/>
      <x:c r="AQ20" s="27"/>
      <x:c r="AR20" s="27"/>
      <x:c r="AS20" s="27"/>
      <x:c r="AT20" s="27"/>
      <x:c r="AU20" s="27"/>
      <x:c r="AV20" s="27"/>
      <x:c r="AW20" s="27"/>
      <x:c r="AX20" s="27"/>
      <x:c r="AY20" s="27"/>
      <x:c r="AZ20" s="27"/>
    </x:row>
    <x:row r="21">
      <x:c r="A21" s="30" t="str">
        <x:v>Vertical Threat</x:v>
      </x:c>
      <x:c r="B21" s="30" t="n">
        <x:v>83</x:v>
      </x:c>
      <x:c r="C21" s="30" t="n">
        <x:v>2</x:v>
      </x:c>
      <x:c r="D21" s="94" t="n">
        <x:v>78.83673469387755</x:v>
      </x:c>
      <x:c r="E21" s="94" t="n">
        <x:v>79.15306122448979</x:v>
      </x:c>
      <x:c r="F21" s="30" t="str">
        <x:v>CLEAN SEPARATION</x:v>
      </x:c>
      <x:c r="G21" s="30" t="str">
        <x:v>82→83 boundary lies between 78.510 and 78.837</x:v>
      </x:c>
      <x:c r="H21" s="27"/>
      <x:c r="I21" s="27"/>
      <x:c r="J21" s="27"/>
      <x:c r="K21" s="27"/>
      <x:c r="L21" s="27"/>
      <x:c r="M21" s="27"/>
      <x:c r="N21" s="27"/>
      <x:c r="O21" s="27"/>
      <x:c r="P21" s="27"/>
      <x:c r="Q21" s="27"/>
      <x:c r="R21" s="27"/>
      <x:c r="S21" s="27"/>
      <x:c r="T21" s="27"/>
      <x:c r="U21" s="27"/>
      <x:c r="V21" s="27"/>
      <x:c r="W21" s="27"/>
      <x:c r="X21" s="27"/>
      <x:c r="Y21" s="27"/>
      <x:c r="Z21" s="27"/>
      <x:c r="AA21" s="27"/>
      <x:c r="AB21" s="27"/>
      <x:c r="AC21" s="27"/>
      <x:c r="AD21" s="27"/>
      <x:c r="AE21" s="27"/>
      <x:c r="AF21" s="27"/>
      <x:c r="AG21" s="27"/>
      <x:c r="AH21" s="27"/>
      <x:c r="AI21" s="27"/>
      <x:c r="AJ21" s="27"/>
      <x:c r="AK21" s="27"/>
      <x:c r="AL21" s="27"/>
      <x:c r="AM21" s="27"/>
      <x:c r="AN21" s="27"/>
      <x:c r="AO21" s="27"/>
      <x:c r="AP21" s="27"/>
      <x:c r="AQ21" s="27"/>
      <x:c r="AR21" s="27"/>
      <x:c r="AS21" s="27"/>
      <x:c r="AT21" s="27"/>
      <x:c r="AU21" s="27"/>
      <x:c r="AV21" s="27"/>
      <x:c r="AW21" s="27"/>
      <x:c r="AX21" s="27"/>
      <x:c r="AY21" s="27"/>
      <x:c r="AZ21" s="27"/>
    </x:row>
    <x:row r="22">
      <x:c r="A22" s="30" t="str">
        <x:v>Vertical Threat</x:v>
      </x:c>
      <x:c r="B22" s="30" t="n">
        <x:v>84</x:v>
      </x:c>
      <x:c r="C22" s="30" t="n">
        <x:v>3</x:v>
      </x:c>
      <x:c r="D22" s="94" t="n">
        <x:v>79.58163265306122</x:v>
      </x:c>
      <x:c r="E22" s="94" t="n">
        <x:v>79.91836734693878</x:v>
      </x:c>
      <x:c r="F22" s="30" t="str">
        <x:v>CLEAN SEPARATION</x:v>
      </x:c>
      <x:c r="G22" s="30" t="str">
        <x:v>83→84 boundary lies between 79.153 and 79.582</x:v>
      </x:c>
      <x:c r="H22" s="27"/>
      <x:c r="I22" s="27"/>
      <x:c r="J22" s="27"/>
      <x:c r="K22" s="27"/>
      <x:c r="L22" s="27"/>
      <x:c r="M22" s="27"/>
      <x:c r="N22" s="27"/>
      <x:c r="O22" s="27"/>
      <x:c r="P22" s="27"/>
      <x:c r="Q22" s="27"/>
      <x:c r="R22" s="27"/>
      <x:c r="S22" s="27"/>
      <x:c r="T22" s="27"/>
      <x:c r="U22" s="27"/>
      <x:c r="V22" s="27"/>
      <x:c r="W22" s="27"/>
      <x:c r="X22" s="27"/>
      <x:c r="Y22" s="27"/>
      <x:c r="Z22" s="27"/>
      <x:c r="AA22" s="27"/>
      <x:c r="AB22" s="27"/>
      <x:c r="AC22" s="27"/>
      <x:c r="AD22" s="27"/>
      <x:c r="AE22" s="27"/>
      <x:c r="AF22" s="27"/>
      <x:c r="AG22" s="27"/>
      <x:c r="AH22" s="27"/>
      <x:c r="AI22" s="27"/>
      <x:c r="AJ22" s="27"/>
      <x:c r="AK22" s="27"/>
      <x:c r="AL22" s="27"/>
      <x:c r="AM22" s="27"/>
      <x:c r="AN22" s="27"/>
      <x:c r="AO22" s="27"/>
      <x:c r="AP22" s="27"/>
      <x:c r="AQ22" s="27"/>
      <x:c r="AR22" s="27"/>
      <x:c r="AS22" s="27"/>
      <x:c r="AT22" s="27"/>
      <x:c r="AU22" s="27"/>
      <x:c r="AV22" s="27"/>
      <x:c r="AW22" s="27"/>
      <x:c r="AX22" s="27"/>
      <x:c r="AY22" s="27"/>
      <x:c r="AZ22" s="27"/>
    </x:row>
    <x:row r="23">
      <x:c r="A23" s="30" t="str">
        <x:v>Vertical Threat</x:v>
      </x:c>
      <x:c r="B23" s="30" t="n">
        <x:v>85</x:v>
      </x:c>
      <x:c r="C23" s="30" t="n">
        <x:v>1</x:v>
      </x:c>
      <x:c r="D23" s="94" t="n">
        <x:v>80.64285714285714</x:v>
      </x:c>
      <x:c r="E23" s="94" t="n">
        <x:v>80.64285714285714</x:v>
      </x:c>
      <x:c r="F23" s="30" t="str">
        <x:v>CLEAN SEPARATION</x:v>
      </x:c>
      <x:c r="G23" s="30" t="str">
        <x:v>84→85 boundary lies between 79.918 and 80.643</x:v>
      </x:c>
      <x:c r="H23" s="27"/>
      <x:c r="I23" s="27"/>
      <x:c r="J23" s="27"/>
      <x:c r="K23" s="27"/>
      <x:c r="L23" s="27"/>
      <x:c r="M23" s="27"/>
      <x:c r="N23" s="27"/>
      <x:c r="O23" s="27"/>
      <x:c r="P23" s="27"/>
      <x:c r="Q23" s="27"/>
      <x:c r="R23" s="27"/>
      <x:c r="S23" s="27"/>
      <x:c r="T23" s="27"/>
      <x:c r="U23" s="27"/>
      <x:c r="V23" s="27"/>
      <x:c r="W23" s="27"/>
      <x:c r="X23" s="27"/>
      <x:c r="Y23" s="27"/>
      <x:c r="Z23" s="27"/>
      <x:c r="AA23" s="27"/>
      <x:c r="AB23" s="27"/>
      <x:c r="AC23" s="27"/>
      <x:c r="AD23" s="27"/>
      <x:c r="AE23" s="27"/>
      <x:c r="AF23" s="27"/>
      <x:c r="AG23" s="27"/>
      <x:c r="AH23" s="27"/>
      <x:c r="AI23" s="27"/>
      <x:c r="AJ23" s="27"/>
      <x:c r="AK23" s="27"/>
      <x:c r="AL23" s="27"/>
      <x:c r="AM23" s="27"/>
      <x:c r="AN23" s="27"/>
      <x:c r="AO23" s="27"/>
      <x:c r="AP23" s="27"/>
      <x:c r="AQ23" s="27"/>
      <x:c r="AR23" s="27"/>
      <x:c r="AS23" s="27"/>
      <x:c r="AT23" s="27"/>
      <x:c r="AU23" s="27"/>
      <x:c r="AV23" s="27"/>
      <x:c r="AW23" s="27"/>
      <x:c r="AX23" s="27"/>
      <x:c r="AY23" s="27"/>
      <x:c r="AZ23" s="27"/>
    </x:row>
    <x:row r="24">
      <x:c r="A24" s="30" t="str">
        <x:v>Physical Route Runner</x:v>
      </x:c>
      <x:c r="B24" s="30" t="n">
        <x:v>80</x:v>
      </x:c>
      <x:c r="C24" s="30" t="n">
        <x:v>9</x:v>
      </x:c>
      <x:c r="D24" s="94" t="n">
        <x:v>75.28262244897958</x:v>
      </x:c>
      <x:c r="E24" s="94" t="n">
        <x:v>76.84636122448978</x:v>
      </x:c>
      <x:c r="F24" s="30" t="str"/>
      <x:c r="G24" s="30" t="str"/>
      <x:c r="H24" s="27"/>
      <x:c r="I24" s="27"/>
      <x:c r="J24" s="27"/>
      <x:c r="K24" s="27"/>
      <x:c r="L24" s="27"/>
      <x:c r="M24" s="27"/>
      <x:c r="N24" s="27"/>
      <x:c r="O24" s="27"/>
      <x:c r="P24" s="27"/>
      <x:c r="Q24" s="27"/>
      <x:c r="R24" s="27"/>
      <x:c r="S24" s="27"/>
      <x:c r="T24" s="27"/>
      <x:c r="U24" s="27"/>
      <x:c r="V24" s="27"/>
      <x:c r="W24" s="27"/>
      <x:c r="X24" s="27"/>
      <x:c r="Y24" s="27"/>
      <x:c r="Z24" s="27"/>
      <x:c r="AA24" s="27"/>
      <x:c r="AB24" s="27"/>
      <x:c r="AC24" s="27"/>
      <x:c r="AD24" s="27"/>
      <x:c r="AE24" s="27"/>
      <x:c r="AF24" s="27"/>
      <x:c r="AG24" s="27"/>
      <x:c r="AH24" s="27"/>
      <x:c r="AI24" s="27"/>
      <x:c r="AJ24" s="27"/>
      <x:c r="AK24" s="27"/>
      <x:c r="AL24" s="27"/>
      <x:c r="AM24" s="27"/>
      <x:c r="AN24" s="27"/>
      <x:c r="AO24" s="27"/>
      <x:c r="AP24" s="27"/>
      <x:c r="AQ24" s="27"/>
      <x:c r="AR24" s="27"/>
      <x:c r="AS24" s="27"/>
      <x:c r="AT24" s="27"/>
      <x:c r="AU24" s="27"/>
      <x:c r="AV24" s="27"/>
      <x:c r="AW24" s="27"/>
      <x:c r="AX24" s="27"/>
      <x:c r="AY24" s="27"/>
      <x:c r="AZ24" s="27"/>
    </x:row>
    <x:row r="25">
      <x:c r="A25" s="30" t="str">
        <x:v>Physical Route Runner</x:v>
      </x:c>
      <x:c r="B25" s="30" t="n">
        <x:v>81</x:v>
      </x:c>
      <x:c r="C25" s="30" t="n">
        <x:v>3</x:v>
      </x:c>
      <x:c r="D25" s="94" t="n">
        <x:v>77.3577469387755</x:v>
      </x:c>
      <x:c r="E25" s="94" t="n">
        <x:v>77.47130612244896</x:v>
      </x:c>
      <x:c r="F25" s="30" t="str">
        <x:v>CLEAN SEPARATION</x:v>
      </x:c>
      <x:c r="G25" s="30" t="str">
        <x:v>80→81 boundary lies between 76.846 and 77.358</x:v>
      </x:c>
      <x:c r="H25" s="27"/>
      <x:c r="I25" s="27"/>
      <x:c r="J25" s="27"/>
      <x:c r="K25" s="27"/>
      <x:c r="L25" s="27"/>
      <x:c r="M25" s="27"/>
      <x:c r="N25" s="27"/>
      <x:c r="O25" s="27"/>
      <x:c r="P25" s="27"/>
      <x:c r="Q25" s="27"/>
      <x:c r="R25" s="27"/>
      <x:c r="S25" s="27"/>
      <x:c r="T25" s="27"/>
      <x:c r="U25" s="27"/>
      <x:c r="V25" s="27"/>
      <x:c r="W25" s="27"/>
      <x:c r="X25" s="27"/>
      <x:c r="Y25" s="27"/>
      <x:c r="Z25" s="27"/>
      <x:c r="AA25" s="27"/>
      <x:c r="AB25" s="27"/>
      <x:c r="AC25" s="27"/>
      <x:c r="AD25" s="27"/>
      <x:c r="AE25" s="27"/>
      <x:c r="AF25" s="27"/>
      <x:c r="AG25" s="27"/>
      <x:c r="AH25" s="27"/>
      <x:c r="AI25" s="27"/>
      <x:c r="AJ25" s="27"/>
      <x:c r="AK25" s="27"/>
      <x:c r="AL25" s="27"/>
      <x:c r="AM25" s="27"/>
      <x:c r="AN25" s="27"/>
      <x:c r="AO25" s="27"/>
      <x:c r="AP25" s="27"/>
      <x:c r="AQ25" s="27"/>
      <x:c r="AR25" s="27"/>
      <x:c r="AS25" s="27"/>
      <x:c r="AT25" s="27"/>
      <x:c r="AU25" s="27"/>
      <x:c r="AV25" s="27"/>
      <x:c r="AW25" s="27"/>
      <x:c r="AX25" s="27"/>
      <x:c r="AY25" s="27"/>
      <x:c r="AZ25" s="27"/>
    </x:row>
    <x:row r="26">
      <x:c r="A26" s="30" t="str">
        <x:v>Physical Route Runner</x:v>
      </x:c>
      <x:c r="B26" s="30" t="n">
        <x:v>82</x:v>
      </x:c>
      <x:c r="C26" s="30" t="n">
        <x:v>4</x:v>
      </x:c>
      <x:c r="D26" s="94" t="n">
        <x:v>77.48427959183672</x:v>
      </x:c>
      <x:c r="E26" s="94" t="n">
        <x:v>78.1751081632653</x:v>
      </x:c>
      <x:c r="F26" s="30" t="str">
        <x:v>CLEAN SEPARATION</x:v>
      </x:c>
      <x:c r="G26" s="30" t="str">
        <x:v>81→82 boundary lies between 77.471 and 77.484</x:v>
      </x:c>
      <x:c r="H26" s="27"/>
      <x:c r="I26" s="27"/>
      <x:c r="J26" s="27"/>
      <x:c r="K26" s="27"/>
      <x:c r="L26" s="27"/>
      <x:c r="M26" s="27"/>
      <x:c r="N26" s="27"/>
      <x:c r="O26" s="27"/>
      <x:c r="P26" s="27"/>
      <x:c r="Q26" s="27"/>
      <x:c r="R26" s="27"/>
      <x:c r="S26" s="27"/>
      <x:c r="T26" s="27"/>
      <x:c r="U26" s="27"/>
      <x:c r="V26" s="27"/>
      <x:c r="W26" s="27"/>
      <x:c r="X26" s="27"/>
      <x:c r="Y26" s="27"/>
      <x:c r="Z26" s="27"/>
      <x:c r="AA26" s="27"/>
      <x:c r="AB26" s="27"/>
      <x:c r="AC26" s="27"/>
      <x:c r="AD26" s="27"/>
      <x:c r="AE26" s="27"/>
      <x:c r="AF26" s="27"/>
      <x:c r="AG26" s="27"/>
      <x:c r="AH26" s="27"/>
      <x:c r="AI26" s="27"/>
      <x:c r="AJ26" s="27"/>
      <x:c r="AK26" s="27"/>
      <x:c r="AL26" s="27"/>
      <x:c r="AM26" s="27"/>
      <x:c r="AN26" s="27"/>
      <x:c r="AO26" s="27"/>
      <x:c r="AP26" s="27"/>
      <x:c r="AQ26" s="27"/>
      <x:c r="AR26" s="27"/>
      <x:c r="AS26" s="27"/>
      <x:c r="AT26" s="27"/>
      <x:c r="AU26" s="27"/>
      <x:c r="AV26" s="27"/>
      <x:c r="AW26" s="27"/>
      <x:c r="AX26" s="27"/>
      <x:c r="AY26" s="27"/>
      <x:c r="AZ26" s="27"/>
    </x:row>
    <x:row r="27">
      <x:c r="A27" s="30" t="str">
        <x:v>Physical Route Runner</x:v>
      </x:c>
      <x:c r="B27" s="30" t="n">
        <x:v>83</x:v>
      </x:c>
      <x:c r="C27" s="30" t="n">
        <x:v>6</x:v>
      </x:c>
      <x:c r="D27" s="94" t="n">
        <x:v>78.61425918367345</x:v>
      </x:c>
      <x:c r="E27" s="94" t="n">
        <x:v>79.67222857142856</x:v>
      </x:c>
      <x:c r="F27" s="30" t="str">
        <x:v>CLEAN SEPARATION</x:v>
      </x:c>
      <x:c r="G27" s="30" t="str">
        <x:v>82→83 boundary lies between 78.175 and 78.614</x:v>
      </x:c>
      <x:c r="H27" s="27"/>
      <x:c r="I27" s="27"/>
      <x:c r="J27" s="27"/>
      <x:c r="K27" s="27"/>
      <x:c r="L27" s="27"/>
      <x:c r="M27" s="27"/>
      <x:c r="N27" s="27"/>
      <x:c r="O27" s="27"/>
      <x:c r="P27" s="27"/>
      <x:c r="Q27" s="27"/>
      <x:c r="R27" s="27"/>
      <x:c r="S27" s="27"/>
      <x:c r="T27" s="27"/>
      <x:c r="U27" s="27"/>
      <x:c r="V27" s="27"/>
      <x:c r="W27" s="27"/>
      <x:c r="X27" s="27"/>
      <x:c r="Y27" s="27"/>
      <x:c r="Z27" s="27"/>
      <x:c r="AA27" s="27"/>
      <x:c r="AB27" s="27"/>
      <x:c r="AC27" s="27"/>
      <x:c r="AD27" s="27"/>
      <x:c r="AE27" s="27"/>
      <x:c r="AF27" s="27"/>
      <x:c r="AG27" s="27"/>
      <x:c r="AH27" s="27"/>
      <x:c r="AI27" s="27"/>
      <x:c r="AJ27" s="27"/>
      <x:c r="AK27" s="27"/>
      <x:c r="AL27" s="27"/>
      <x:c r="AM27" s="27"/>
      <x:c r="AN27" s="27"/>
      <x:c r="AO27" s="27"/>
      <x:c r="AP27" s="27"/>
      <x:c r="AQ27" s="27"/>
      <x:c r="AR27" s="27"/>
      <x:c r="AS27" s="27"/>
      <x:c r="AT27" s="27"/>
      <x:c r="AU27" s="27"/>
      <x:c r="AV27" s="27"/>
      <x:c r="AW27" s="27"/>
      <x:c r="AX27" s="27"/>
      <x:c r="AY27" s="27"/>
      <x:c r="AZ27" s="27"/>
    </x:row>
    <x:row r="28">
      <x:c r="A28" s="30" t="str">
        <x:v>Physical Route Runner</x:v>
      </x:c>
      <x:c r="B28" s="30" t="n">
        <x:v>84</x:v>
      </x:c>
      <x:c r="C28" s="30" t="n">
        <x:v>3</x:v>
      </x:c>
      <x:c r="D28" s="94" t="n">
        <x:v>80.03456530612246</x:v>
      </x:c>
      <x:c r="E28" s="94" t="n">
        <x:v>80.61150204081632</x:v>
      </x:c>
      <x:c r="F28" s="30" t="str">
        <x:v>CLEAN SEPARATION</x:v>
      </x:c>
      <x:c r="G28" s="30" t="str">
        <x:v>83→84 boundary lies between 79.672 and 80.035</x:v>
      </x:c>
      <x:c r="H28" s="27"/>
      <x:c r="I28" s="27"/>
      <x:c r="J28" s="27"/>
      <x:c r="K28" s="27"/>
      <x:c r="L28" s="27"/>
      <x:c r="M28" s="27"/>
      <x:c r="N28" s="27"/>
      <x:c r="O28" s="27"/>
      <x:c r="P28" s="27"/>
      <x:c r="Q28" s="27"/>
      <x:c r="R28" s="27"/>
      <x:c r="S28" s="27"/>
      <x:c r="T28" s="27"/>
      <x:c r="U28" s="27"/>
      <x:c r="V28" s="27"/>
      <x:c r="W28" s="27"/>
      <x:c r="X28" s="27"/>
      <x:c r="Y28" s="27"/>
      <x:c r="Z28" s="27"/>
      <x:c r="AA28" s="27"/>
      <x:c r="AB28" s="27"/>
      <x:c r="AC28" s="27"/>
      <x:c r="AD28" s="27"/>
      <x:c r="AE28" s="27"/>
      <x:c r="AF28" s="27"/>
      <x:c r="AG28" s="27"/>
      <x:c r="AH28" s="27"/>
      <x:c r="AI28" s="27"/>
      <x:c r="AJ28" s="27"/>
      <x:c r="AK28" s="27"/>
      <x:c r="AL28" s="27"/>
      <x:c r="AM28" s="27"/>
      <x:c r="AN28" s="27"/>
      <x:c r="AO28" s="27"/>
      <x:c r="AP28" s="27"/>
      <x:c r="AQ28" s="27"/>
      <x:c r="AR28" s="27"/>
      <x:c r="AS28" s="27"/>
      <x:c r="AT28" s="27"/>
      <x:c r="AU28" s="27"/>
      <x:c r="AV28" s="27"/>
      <x:c r="AW28" s="27"/>
      <x:c r="AX28" s="27"/>
      <x:c r="AY28" s="27"/>
      <x:c r="AZ28" s="27"/>
    </x:row>
    <x:row r="29">
      <x:c r="A29" s="30" t="str">
        <x:v>Physical Route Runner</x:v>
      </x:c>
      <x:c r="B29" s="30" t="n">
        <x:v>85</x:v>
      </x:c>
      <x:c r="C29" s="30" t="n">
        <x:v>4</x:v>
      </x:c>
      <x:c r="D29" s="94" t="n">
        <x:v>80.85776734693877</x:v>
      </x:c>
      <x:c r="E29" s="94" t="n">
        <x:v>81.06923265306122</x:v>
      </x:c>
      <x:c r="F29" s="30" t="str">
        <x:v>CLEAN SEPARATION</x:v>
      </x:c>
      <x:c r="G29" s="30" t="str">
        <x:v>84→85 boundary lies between 80.612 and 80.858</x:v>
      </x:c>
      <x:c r="H29" s="27"/>
      <x:c r="I29" s="27"/>
      <x:c r="J29" s="27"/>
      <x:c r="K29" s="27"/>
      <x:c r="L29" s="27"/>
      <x:c r="M29" s="27"/>
      <x:c r="N29" s="27"/>
      <x:c r="O29" s="27"/>
      <x:c r="P29" s="27"/>
      <x:c r="Q29" s="27"/>
      <x:c r="R29" s="27"/>
      <x:c r="S29" s="27"/>
      <x:c r="T29" s="27"/>
      <x:c r="U29" s="27"/>
      <x:c r="V29" s="27"/>
      <x:c r="W29" s="27"/>
      <x:c r="X29" s="27"/>
      <x:c r="Y29" s="27"/>
      <x:c r="Z29" s="27"/>
      <x:c r="AA29" s="27"/>
      <x:c r="AB29" s="27"/>
      <x:c r="AC29" s="27"/>
      <x:c r="AD29" s="27"/>
      <x:c r="AE29" s="27"/>
      <x:c r="AF29" s="27"/>
      <x:c r="AG29" s="27"/>
      <x:c r="AH29" s="27"/>
      <x:c r="AI29" s="27"/>
      <x:c r="AJ29" s="27"/>
      <x:c r="AK29" s="27"/>
      <x:c r="AL29" s="27"/>
      <x:c r="AM29" s="27"/>
      <x:c r="AN29" s="27"/>
      <x:c r="AO29" s="27"/>
      <x:c r="AP29" s="27"/>
      <x:c r="AQ29" s="27"/>
      <x:c r="AR29" s="27"/>
      <x:c r="AS29" s="27"/>
      <x:c r="AT29" s="27"/>
      <x:c r="AU29" s="27"/>
      <x:c r="AV29" s="27"/>
      <x:c r="AW29" s="27"/>
      <x:c r="AX29" s="27"/>
      <x:c r="AY29" s="27"/>
      <x:c r="AZ29" s="27"/>
    </x:row>
    <x:row r="30">
      <x:c r="A30" s="27"/>
      <x:c r="B30" s="27"/>
      <x:c r="C30" s="27"/>
      <x:c r="D30" s="27"/>
      <x:c r="E30" s="27"/>
      <x:c r="F30" s="27"/>
      <x:c r="G30" s="27"/>
      <x:c r="H30" s="27"/>
      <x:c r="I30" s="27"/>
      <x:c r="J30" s="27"/>
      <x:c r="K30" s="27"/>
      <x:c r="L30" s="27"/>
      <x:c r="M30" s="27"/>
      <x:c r="N30" s="27"/>
      <x:c r="O30" s="27"/>
      <x:c r="P30" s="27"/>
      <x:c r="Q30" s="27"/>
      <x:c r="R30" s="27"/>
      <x:c r="S30" s="27"/>
      <x:c r="T30" s="27"/>
      <x:c r="U30" s="27"/>
      <x:c r="V30" s="27"/>
      <x:c r="W30" s="27"/>
      <x:c r="X30" s="27"/>
      <x:c r="Y30" s="27"/>
      <x:c r="Z30" s="27"/>
      <x:c r="AA30" s="27"/>
      <x:c r="AB30" s="27"/>
      <x:c r="AC30" s="27"/>
      <x:c r="AD30" s="27"/>
      <x:c r="AE30" s="27"/>
      <x:c r="AF30" s="27"/>
      <x:c r="AG30" s="27"/>
      <x:c r="AH30" s="27"/>
      <x:c r="AI30" s="27"/>
      <x:c r="AJ30" s="27"/>
      <x:c r="AK30" s="27"/>
      <x:c r="AL30" s="27"/>
      <x:c r="AM30" s="27"/>
      <x:c r="AN30" s="27"/>
      <x:c r="AO30" s="27"/>
      <x:c r="AP30" s="27"/>
      <x:c r="AQ30" s="27"/>
      <x:c r="AR30" s="27"/>
      <x:c r="AS30" s="27"/>
      <x:c r="AT30" s="27"/>
      <x:c r="AU30" s="27"/>
      <x:c r="AV30" s="27"/>
      <x:c r="AW30" s="27"/>
      <x:c r="AX30" s="27"/>
      <x:c r="AY30" s="27"/>
      <x:c r="AZ30" s="27"/>
    </x:row>
    <x:row r="31">
      <x:c r="A31" s="27"/>
      <x:c r="B31" s="27"/>
      <x:c r="C31" s="27"/>
      <x:c r="D31" s="27"/>
      <x:c r="E31" s="27"/>
      <x:c r="F31" s="27"/>
      <x:c r="G31" s="27"/>
      <x:c r="H31" s="27"/>
      <x:c r="I31" s="27"/>
      <x:c r="J31" s="27"/>
      <x:c r="K31" s="27"/>
      <x:c r="L31" s="27"/>
      <x:c r="M31" s="27"/>
      <x:c r="N31" s="27"/>
      <x:c r="O31" s="27"/>
      <x:c r="P31" s="27"/>
      <x:c r="Q31" s="27"/>
      <x:c r="R31" s="27"/>
      <x:c r="S31" s="27"/>
      <x:c r="T31" s="27"/>
      <x:c r="U31" s="27"/>
      <x:c r="V31" s="27"/>
      <x:c r="W31" s="27"/>
      <x:c r="X31" s="27"/>
      <x:c r="Y31" s="27"/>
      <x:c r="Z31" s="27"/>
      <x:c r="AA31" s="27"/>
      <x:c r="AB31" s="27"/>
      <x:c r="AC31" s="27"/>
      <x:c r="AD31" s="27"/>
      <x:c r="AE31" s="27"/>
      <x:c r="AF31" s="27"/>
      <x:c r="AG31" s="27"/>
      <x:c r="AH31" s="27"/>
      <x:c r="AI31" s="27"/>
      <x:c r="AJ31" s="27"/>
      <x:c r="AK31" s="27"/>
      <x:c r="AL31" s="27"/>
      <x:c r="AM31" s="27"/>
      <x:c r="AN31" s="27"/>
      <x:c r="AO31" s="27"/>
      <x:c r="AP31" s="27"/>
      <x:c r="AQ31" s="27"/>
      <x:c r="AR31" s="27"/>
      <x:c r="AS31" s="27"/>
      <x:c r="AT31" s="27"/>
      <x:c r="AU31" s="27"/>
      <x:c r="AV31" s="27"/>
      <x:c r="AW31" s="27"/>
      <x:c r="AX31" s="27"/>
      <x:c r="AY31" s="27"/>
      <x:c r="AZ31" s="27"/>
    </x:row>
    <x:row r="32">
      <x:c r="A32" s="95" t="str">
        <x:v>New Holdout Cards — Individual Frozen-Model Results</x:v>
      </x:c>
      <x:c r="B32" s="95"/>
      <x:c r="C32" s="95"/>
      <x:c r="D32" s="95"/>
      <x:c r="E32" s="95"/>
      <x:c r="F32" s="95"/>
      <x:c r="G32" s="95"/>
      <x:c r="H32" s="95"/>
      <x:c r="I32" s="95"/>
      <x:c r="J32" s="95"/>
      <x:c r="K32" s="95"/>
      <x:c r="L32" s="95"/>
      <x:c r="M32" s="95"/>
      <x:c r="N32" s="95"/>
      <x:c r="O32" s="95"/>
      <x:c r="P32" s="95"/>
      <x:c r="Q32" s="27"/>
      <x:c r="R32" s="27"/>
      <x:c r="S32" s="27"/>
      <x:c r="T32" s="27"/>
      <x:c r="U32" s="27"/>
      <x:c r="V32" s="27"/>
      <x:c r="W32" s="27"/>
      <x:c r="X32" s="27"/>
      <x:c r="Y32" s="27"/>
      <x:c r="Z32" s="27"/>
      <x:c r="AA32" s="27"/>
      <x:c r="AB32" s="27"/>
      <x:c r="AC32" s="27"/>
      <x:c r="AD32" s="27"/>
      <x:c r="AE32" s="27"/>
      <x:c r="AF32" s="27"/>
      <x:c r="AG32" s="27"/>
      <x:c r="AH32" s="27"/>
      <x:c r="AI32" s="27"/>
      <x:c r="AJ32" s="27"/>
      <x:c r="AK32" s="27"/>
      <x:c r="AL32" s="27"/>
      <x:c r="AM32" s="27"/>
      <x:c r="AN32" s="27"/>
      <x:c r="AO32" s="27"/>
      <x:c r="AP32" s="27"/>
      <x:c r="AQ32" s="27"/>
      <x:c r="AR32" s="27"/>
      <x:c r="AS32" s="27"/>
      <x:c r="AT32" s="27"/>
      <x:c r="AU32" s="27"/>
      <x:c r="AV32" s="27"/>
      <x:c r="AW32" s="27"/>
      <x:c r="AX32" s="27"/>
      <x:c r="AY32" s="27"/>
      <x:c r="AZ32" s="27"/>
    </x:row>
    <x:row r="33">
      <x:c r="A33" s="90" t="str">
        <x:v>Card_ID</x:v>
      </x:c>
      <x:c r="B33" s="90" t="str">
        <x:v>Page</x:v>
      </x:c>
      <x:c r="C33" s="90" t="str">
        <x:v>Player</x:v>
      </x:c>
      <x:c r="D33" s="90" t="str">
        <x:v>OVR</x:v>
      </x:c>
      <x:c r="E33" s="90" t="str">
        <x:v>Program</x:v>
      </x:c>
      <x:c r="F33" s="90" t="str">
        <x:v>Archetype</x:v>
      </x:c>
      <x:c r="G33" s="90" t="str">
        <x:v>Frozen Model</x:v>
      </x:c>
      <x:c r="H33" s="90" t="str">
        <x:v>Possession Score</x:v>
      </x:c>
      <x:c r="I33" s="90" t="str">
        <x:v>Vertical Score</x:v>
      </x:c>
      <x:c r="J33" s="90" t="str">
        <x:v>Blocking Score</x:v>
      </x:c>
      <x:c r="K33" s="90" t="str">
        <x:v>PRR Blend Score</x:v>
      </x:c>
      <x:c r="L33" s="90" t="str">
        <x:v>Candidate Score</x:v>
      </x:c>
      <x:c r="M33" s="90" t="str">
        <x:v>Correct Comparisons</x:v>
      </x:c>
      <x:c r="N33" s="90" t="str">
        <x:v>Total Comparisons</x:v>
      </x:c>
      <x:c r="O33" s="90" t="str">
        <x:v>Card Accuracy</x:v>
      </x:c>
      <x:c r="P33" s="90" t="str">
        <x:v>Failure Count</x:v>
      </x:c>
      <x:c r="Q33" s="27"/>
      <x:c r="R33" s="27"/>
      <x:c r="S33" s="27"/>
      <x:c r="T33" s="27"/>
      <x:c r="U33" s="27"/>
      <x:c r="V33" s="27"/>
      <x:c r="W33" s="27"/>
      <x:c r="X33" s="27"/>
      <x:c r="Y33" s="27"/>
      <x:c r="Z33" s="27"/>
      <x:c r="AA33" s="27"/>
      <x:c r="AB33" s="27"/>
      <x:c r="AC33" s="27"/>
      <x:c r="AD33" s="27"/>
      <x:c r="AE33" s="27"/>
      <x:c r="AF33" s="27"/>
      <x:c r="AG33" s="27"/>
      <x:c r="AH33" s="27"/>
      <x:c r="AI33" s="27"/>
      <x:c r="AJ33" s="27"/>
      <x:c r="AK33" s="27"/>
      <x:c r="AL33" s="27"/>
      <x:c r="AM33" s="27"/>
      <x:c r="AN33" s="27"/>
      <x:c r="AO33" s="27"/>
      <x:c r="AP33" s="27"/>
      <x:c r="AQ33" s="27"/>
      <x:c r="AR33" s="27"/>
      <x:c r="AS33" s="27"/>
      <x:c r="AT33" s="27"/>
      <x:c r="AU33" s="27"/>
      <x:c r="AV33" s="27"/>
      <x:c r="AW33" s="27"/>
      <x:c r="AX33" s="27"/>
      <x:c r="AY33" s="27"/>
      <x:c r="AZ33" s="27"/>
    </x:row>
    <x:row r="34">
      <x:c r="A34" s="30" t="str">
        <x:v>TE-0025</x:v>
      </x:c>
      <x:c r="B34" s="30" t="n">
        <x:v>25</x:v>
      </x:c>
      <x:c r="C34" s="30" t="str">
        <x:v>Jeremiah Hasley</x:v>
      </x:c>
      <x:c r="D34" s="30" t="n">
        <x:v>83</x:v>
      </x:c>
      <x:c r="E34" s="30" t="str">
        <x:v>Platinum Rare</x:v>
      </x:c>
      <x:c r="F34" s="30" t="str">
        <x:v>Vertical Threat</x:v>
      </x:c>
      <x:c r="G34" s="30" t="str">
        <x:v>M19 Vertical (ELU omitted; remaining 98 renormalized)</x:v>
      </x:c>
      <x:c r="H34" s="94" t="n">
        <x:v>77.99</x:v>
      </x:c>
      <x:c r="I34" s="94" t="n">
        <x:v>79.15306122448979</x:v>
      </x:c>
      <x:c r="J34" s="94" t="n">
        <x:v>72.5</x:v>
      </x:c>
      <x:c r="K34" s="94" t="n">
        <x:v>78.81577346938775</x:v>
      </x:c>
      <x:c r="L34" s="94" t="n">
        <x:v>79.15306122448979</x:v>
      </x:c>
      <x:c r="M34" s="30" t="n">
        <x:v>17</x:v>
      </x:c>
      <x:c r="N34" s="30" t="n">
        <x:v>17</x:v>
      </x:c>
      <x:c r="O34" s="91" t="n">
        <x:v>1</x:v>
      </x:c>
      <x:c r="P34" s="30" t="n">
        <x:v>0</x:v>
      </x:c>
      <x:c r="Q34" s="27"/>
      <x:c r="R34" s="27"/>
      <x:c r="S34" s="27"/>
      <x:c r="T34" s="27"/>
      <x:c r="U34" s="27"/>
      <x:c r="V34" s="27"/>
      <x:c r="W34" s="27"/>
      <x:c r="X34" s="27"/>
      <x:c r="Y34" s="27"/>
      <x:c r="Z34" s="27"/>
      <x:c r="AA34" s="27"/>
      <x:c r="AB34" s="27"/>
      <x:c r="AC34" s="27"/>
      <x:c r="AD34" s="27"/>
      <x:c r="AE34" s="27"/>
      <x:c r="AF34" s="27"/>
      <x:c r="AG34" s="27"/>
      <x:c r="AH34" s="27"/>
      <x:c r="AI34" s="27"/>
      <x:c r="AJ34" s="27"/>
      <x:c r="AK34" s="27"/>
      <x:c r="AL34" s="27"/>
      <x:c r="AM34" s="27"/>
      <x:c r="AN34" s="27"/>
      <x:c r="AO34" s="27"/>
      <x:c r="AP34" s="27"/>
      <x:c r="AQ34" s="27"/>
      <x:c r="AR34" s="27"/>
      <x:c r="AS34" s="27"/>
      <x:c r="AT34" s="27"/>
      <x:c r="AU34" s="27"/>
      <x:c r="AV34" s="27"/>
      <x:c r="AW34" s="27"/>
      <x:c r="AX34" s="27"/>
      <x:c r="AY34" s="27"/>
      <x:c r="AZ34" s="27"/>
    </x:row>
    <x:row r="35">
      <x:c r="A35" s="30" t="str">
        <x:v>TE-0026</x:v>
      </x:c>
      <x:c r="B35" s="30" t="n">
        <x:v>26</x:v>
      </x:c>
      <x:c r="C35" s="30" t="str">
        <x:v>Brett Norfleet</x:v>
      </x:c>
      <x:c r="D35" s="30" t="n">
        <x:v>83</x:v>
      </x:c>
      <x:c r="E35" s="30" t="str">
        <x:v>Platinum Rare</x:v>
      </x:c>
      <x:c r="F35" s="30" t="str">
        <x:v>Physical Route Runner</x:v>
      </x:c>
      <x:c r="G35" s="30" t="str">
        <x:v>71% VT + 29% Possession</x:v>
      </x:c>
      <x:c r="H35" s="94" t="n">
        <x:v>78.52</x:v>
      </x:c>
      <x:c r="I35" s="94" t="n">
        <x:v>80.14285714285714</x:v>
      </x:c>
      <x:c r="J35" s="94" t="n">
        <x:v>72.16</x:v>
      </x:c>
      <x:c r="K35" s="94" t="n">
        <x:v>79.67222857142856</x:v>
      </x:c>
      <x:c r="L35" s="94" t="n">
        <x:v>79.67222857142856</x:v>
      </x:c>
      <x:c r="M35" s="30" t="n">
        <x:v>23</x:v>
      </x:c>
      <x:c r="N35" s="30" t="n">
        <x:v>23</x:v>
      </x:c>
      <x:c r="O35" s="91" t="n">
        <x:v>1</x:v>
      </x:c>
      <x:c r="P35" s="30" t="n">
        <x:v>0</x:v>
      </x:c>
      <x:c r="Q35" s="27"/>
      <x:c r="R35" s="27"/>
      <x:c r="S35" s="27"/>
      <x:c r="T35" s="27"/>
      <x:c r="U35" s="27"/>
      <x:c r="V35" s="27"/>
      <x:c r="W35" s="27"/>
      <x:c r="X35" s="27"/>
      <x:c r="Y35" s="27"/>
      <x:c r="Z35" s="27"/>
      <x:c r="AA35" s="27"/>
      <x:c r="AB35" s="27"/>
      <x:c r="AC35" s="27"/>
      <x:c r="AD35" s="27"/>
      <x:c r="AE35" s="27"/>
      <x:c r="AF35" s="27"/>
      <x:c r="AG35" s="27"/>
      <x:c r="AH35" s="27"/>
      <x:c r="AI35" s="27"/>
      <x:c r="AJ35" s="27"/>
      <x:c r="AK35" s="27"/>
      <x:c r="AL35" s="27"/>
      <x:c r="AM35" s="27"/>
      <x:c r="AN35" s="27"/>
      <x:c r="AO35" s="27"/>
      <x:c r="AP35" s="27"/>
      <x:c r="AQ35" s="27"/>
      <x:c r="AR35" s="27"/>
      <x:c r="AS35" s="27"/>
      <x:c r="AT35" s="27"/>
      <x:c r="AU35" s="27"/>
      <x:c r="AV35" s="27"/>
      <x:c r="AW35" s="27"/>
      <x:c r="AX35" s="27"/>
      <x:c r="AY35" s="27"/>
      <x:c r="AZ35" s="27"/>
    </x:row>
    <x:row r="36">
      <x:c r="A36" s="30" t="str">
        <x:v>TE-0027</x:v>
      </x:c>
      <x:c r="B36" s="30" t="n">
        <x:v>27</x:v>
      </x:c>
      <x:c r="C36" s="30" t="str">
        <x:v>Toby Payne</x:v>
      </x:c>
      <x:c r="D36" s="30" t="n">
        <x:v>83</x:v>
      </x:c>
      <x:c r="E36" s="30" t="str">
        <x:v>Core Rare</x:v>
      </x:c>
      <x:c r="F36" s="30" t="str">
        <x:v>Physical Route Runner</x:v>
      </x:c>
      <x:c r="G36" s="30" t="str">
        <x:v>71% VT + 29% Possession</x:v>
      </x:c>
      <x:c r="H36" s="94" t="n">
        <x:v>78.48</x:v>
      </x:c>
      <x:c r="I36" s="94" t="n">
        <x:v>79.84693877551021</x:v>
      </x:c>
      <x:c r="J36" s="94" t="n">
        <x:v>72.07</x:v>
      </x:c>
      <x:c r="K36" s="94" t="n">
        <x:v>79.45052653061225</x:v>
      </x:c>
      <x:c r="L36" s="94" t="n">
        <x:v>79.45052653061225</x:v>
      </x:c>
      <x:c r="M36" s="30" t="n">
        <x:v>23</x:v>
      </x:c>
      <x:c r="N36" s="30" t="n">
        <x:v>23</x:v>
      </x:c>
      <x:c r="O36" s="91" t="n">
        <x:v>1</x:v>
      </x:c>
      <x:c r="P36" s="30" t="n">
        <x:v>0</x:v>
      </x:c>
      <x:c r="Q36" s="27"/>
      <x:c r="R36" s="27"/>
      <x:c r="S36" s="27"/>
      <x:c r="T36" s="27"/>
      <x:c r="U36" s="27"/>
      <x:c r="V36" s="27"/>
      <x:c r="W36" s="27"/>
      <x:c r="X36" s="27"/>
      <x:c r="Y36" s="27"/>
      <x:c r="Z36" s="27"/>
      <x:c r="AA36" s="27"/>
      <x:c r="AB36" s="27"/>
      <x:c r="AC36" s="27"/>
      <x:c r="AD36" s="27"/>
      <x:c r="AE36" s="27"/>
      <x:c r="AF36" s="27"/>
      <x:c r="AG36" s="27"/>
      <x:c r="AH36" s="27"/>
      <x:c r="AI36" s="27"/>
      <x:c r="AJ36" s="27"/>
      <x:c r="AK36" s="27"/>
      <x:c r="AL36" s="27"/>
      <x:c r="AM36" s="27"/>
      <x:c r="AN36" s="27"/>
      <x:c r="AO36" s="27"/>
      <x:c r="AP36" s="27"/>
      <x:c r="AQ36" s="27"/>
      <x:c r="AR36" s="27"/>
      <x:c r="AS36" s="27"/>
      <x:c r="AT36" s="27"/>
      <x:c r="AU36" s="27"/>
      <x:c r="AV36" s="27"/>
      <x:c r="AW36" s="27"/>
      <x:c r="AX36" s="27"/>
      <x:c r="AY36" s="27"/>
      <x:c r="AZ36" s="27"/>
    </x:row>
    <x:row r="37">
      <x:c r="A37" s="30" t="str">
        <x:v>TE-0028</x:v>
      </x:c>
      <x:c r="B37" s="30" t="n">
        <x:v>28</x:v>
      </x:c>
      <x:c r="C37" s="30" t="str">
        <x:v>Jeremy Shockey</x:v>
      </x:c>
      <x:c r="D37" s="30" t="n">
        <x:v>83</x:v>
      </x:c>
      <x:c r="E37" s="30" t="str">
        <x:v>Bonus Content</x:v>
      </x:c>
      <x:c r="F37" s="30" t="str">
        <x:v>Physical Route Runner</x:v>
      </x:c>
      <x:c r="G37" s="30" t="str">
        <x:v>71% VT + 29% Possession</x:v>
      </x:c>
      <x:c r="H37" s="94" t="n">
        <x:v>77.47</x:v>
      </x:c>
      <x:c r="I37" s="94" t="n">
        <x:v>79.08163265306122</x:v>
      </x:c>
      <x:c r="J37" s="94" t="n">
        <x:v>71.16</x:v>
      </x:c>
      <x:c r="K37" s="94" t="n">
        <x:v>78.61425918367345</x:v>
      </x:c>
      <x:c r="L37" s="94" t="n">
        <x:v>78.61425918367345</x:v>
      </x:c>
      <x:c r="M37" s="30" t="n">
        <x:v>23</x:v>
      </x:c>
      <x:c r="N37" s="30" t="n">
        <x:v>23</x:v>
      </x:c>
      <x:c r="O37" s="91" t="n">
        <x:v>1</x:v>
      </x:c>
      <x:c r="P37" s="30" t="n">
        <x:v>0</x:v>
      </x:c>
      <x:c r="Q37" s="27"/>
      <x:c r="R37" s="27"/>
      <x:c r="S37" s="27"/>
      <x:c r="T37" s="27"/>
      <x:c r="U37" s="27"/>
      <x:c r="V37" s="27"/>
      <x:c r="W37" s="27"/>
      <x:c r="X37" s="27"/>
      <x:c r="Y37" s="27"/>
      <x:c r="Z37" s="27"/>
      <x:c r="AA37" s="27"/>
      <x:c r="AB37" s="27"/>
      <x:c r="AC37" s="27"/>
      <x:c r="AD37" s="27"/>
      <x:c r="AE37" s="27"/>
      <x:c r="AF37" s="27"/>
      <x:c r="AG37" s="27"/>
      <x:c r="AH37" s="27"/>
      <x:c r="AI37" s="27"/>
      <x:c r="AJ37" s="27"/>
      <x:c r="AK37" s="27"/>
      <x:c r="AL37" s="27"/>
      <x:c r="AM37" s="27"/>
      <x:c r="AN37" s="27"/>
      <x:c r="AO37" s="27"/>
      <x:c r="AP37" s="27"/>
      <x:c r="AQ37" s="27"/>
      <x:c r="AR37" s="27"/>
      <x:c r="AS37" s="27"/>
      <x:c r="AT37" s="27"/>
      <x:c r="AU37" s="27"/>
      <x:c r="AV37" s="27"/>
      <x:c r="AW37" s="27"/>
      <x:c r="AX37" s="27"/>
      <x:c r="AY37" s="27"/>
      <x:c r="AZ37" s="27"/>
    </x:row>
    <x:row r="38">
      <x:c r="A38" s="30" t="str">
        <x:v>TE-0029</x:v>
      </x:c>
      <x:c r="B38" s="30" t="n">
        <x:v>29</x:v>
      </x:c>
      <x:c r="C38" s="30" t="str">
        <x:v>Keyan Burnett</x:v>
      </x:c>
      <x:c r="D38" s="30" t="n">
        <x:v>82</x:v>
      </x:c>
      <x:c r="E38" s="30" t="str">
        <x:v>Phenoms</x:v>
      </x:c>
      <x:c r="F38" s="30" t="str">
        <x:v>Vertical Threat</x:v>
      </x:c>
      <x:c r="G38" s="30" t="str">
        <x:v>M19 Vertical (ELU omitted; remaining 98 renormalized)</x:v>
      </x:c>
      <x:c r="H38" s="94" t="n">
        <x:v>76.48</x:v>
      </x:c>
      <x:c r="I38" s="94" t="n">
        <x:v>77.44897959183673</x:v>
      </x:c>
      <x:c r="J38" s="94" t="n">
        <x:v>72.22</x:v>
      </x:c>
      <x:c r="K38" s="94" t="n">
        <x:v>77.16797551020407</x:v>
      </x:c>
      <x:c r="L38" s="94" t="n">
        <x:v>77.44897959183673</x:v>
      </x:c>
      <x:c r="M38" s="30" t="n">
        <x:v>15</x:v>
      </x:c>
      <x:c r="N38" s="30" t="n">
        <x:v>16</x:v>
      </x:c>
      <x:c r="O38" s="91" t="n">
        <x:v>0.9375</x:v>
      </x:c>
      <x:c r="P38" s="30" t="n">
        <x:v>1</x:v>
      </x:c>
      <x:c r="Q38" s="27"/>
      <x:c r="R38" s="27"/>
      <x:c r="S38" s="27"/>
      <x:c r="T38" s="27"/>
      <x:c r="U38" s="27"/>
      <x:c r="V38" s="27"/>
      <x:c r="W38" s="27"/>
      <x:c r="X38" s="27"/>
      <x:c r="Y38" s="27"/>
      <x:c r="Z38" s="27"/>
      <x:c r="AA38" s="27"/>
      <x:c r="AB38" s="27"/>
      <x:c r="AC38" s="27"/>
      <x:c r="AD38" s="27"/>
      <x:c r="AE38" s="27"/>
      <x:c r="AF38" s="27"/>
      <x:c r="AG38" s="27"/>
      <x:c r="AH38" s="27"/>
      <x:c r="AI38" s="27"/>
      <x:c r="AJ38" s="27"/>
      <x:c r="AK38" s="27"/>
      <x:c r="AL38" s="27"/>
      <x:c r="AM38" s="27"/>
      <x:c r="AN38" s="27"/>
      <x:c r="AO38" s="27"/>
      <x:c r="AP38" s="27"/>
      <x:c r="AQ38" s="27"/>
      <x:c r="AR38" s="27"/>
      <x:c r="AS38" s="27"/>
      <x:c r="AT38" s="27"/>
      <x:c r="AU38" s="27"/>
      <x:c r="AV38" s="27"/>
      <x:c r="AW38" s="27"/>
      <x:c r="AX38" s="27"/>
      <x:c r="AY38" s="27"/>
      <x:c r="AZ38" s="27"/>
    </x:row>
    <x:row r="39">
      <x:c r="A39" s="30" t="str">
        <x:v>TE-0030</x:v>
      </x:c>
      <x:c r="B39" s="30" t="n">
        <x:v>30</x:v>
      </x:c>
      <x:c r="C39" s="30" t="str">
        <x:v>Eli Finley</x:v>
      </x:c>
      <x:c r="D39" s="30" t="n">
        <x:v>82</x:v>
      </x:c>
      <x:c r="E39" s="30" t="str">
        <x:v>Core Rare</x:v>
      </x:c>
      <x:c r="F39" s="30" t="str">
        <x:v>Physical Route Runner</x:v>
      </x:c>
      <x:c r="G39" s="30" t="str">
        <x:v>71% VT + 29% Possession</x:v>
      </x:c>
      <x:c r="H39" s="94" t="n">
        <x:v>77.19</x:v>
      </x:c>
      <x:c r="I39" s="94" t="n">
        <x:v>78.5</x:v>
      </x:c>
      <x:c r="J39" s="94" t="n">
        <x:v>72.4</x:v>
      </x:c>
      <x:c r="K39" s="94" t="n">
        <x:v>78.1201</x:v>
      </x:c>
      <x:c r="L39" s="94" t="n">
        <x:v>78.1201</x:v>
      </x:c>
      <x:c r="M39" s="30" t="n">
        <x:v>25</x:v>
      </x:c>
      <x:c r="N39" s="30" t="n">
        <x:v>25</x:v>
      </x:c>
      <x:c r="O39" s="91" t="n">
        <x:v>1</x:v>
      </x:c>
      <x:c r="P39" s="30" t="n">
        <x:v>0</x:v>
      </x:c>
      <x:c r="Q39" s="27"/>
      <x:c r="R39" s="27"/>
      <x:c r="S39" s="27"/>
      <x:c r="T39" s="27"/>
      <x:c r="U39" s="27"/>
      <x:c r="V39" s="27"/>
      <x:c r="W39" s="27"/>
      <x:c r="X39" s="27"/>
      <x:c r="Y39" s="27"/>
      <x:c r="Z39" s="27"/>
      <x:c r="AA39" s="27"/>
      <x:c r="AB39" s="27"/>
      <x:c r="AC39" s="27"/>
      <x:c r="AD39" s="27"/>
      <x:c r="AE39" s="27"/>
      <x:c r="AF39" s="27"/>
      <x:c r="AG39" s="27"/>
      <x:c r="AH39" s="27"/>
      <x:c r="AI39" s="27"/>
      <x:c r="AJ39" s="27"/>
      <x:c r="AK39" s="27"/>
      <x:c r="AL39" s="27"/>
      <x:c r="AM39" s="27"/>
      <x:c r="AN39" s="27"/>
      <x:c r="AO39" s="27"/>
      <x:c r="AP39" s="27"/>
      <x:c r="AQ39" s="27"/>
      <x:c r="AR39" s="27"/>
      <x:c r="AS39" s="27"/>
      <x:c r="AT39" s="27"/>
      <x:c r="AU39" s="27"/>
      <x:c r="AV39" s="27"/>
      <x:c r="AW39" s="27"/>
      <x:c r="AX39" s="27"/>
      <x:c r="AY39" s="27"/>
      <x:c r="AZ39" s="27"/>
    </x:row>
    <x:row r="40">
      <x:c r="A40" s="30" t="str">
        <x:v>TE-0031</x:v>
      </x:c>
      <x:c r="B40" s="30" t="n">
        <x:v>31</x:v>
      </x:c>
      <x:c r="C40" s="30" t="str">
        <x:v>River Helms</x:v>
      </x:c>
      <x:c r="D40" s="30" t="n">
        <x:v>82</x:v>
      </x:c>
      <x:c r="E40" s="30" t="str">
        <x:v>Core Rare</x:v>
      </x:c>
      <x:c r="F40" s="30" t="str">
        <x:v>Physical Route Runner</x:v>
      </x:c>
      <x:c r="G40" s="30" t="str">
        <x:v>71% VT + 29% Possession</x:v>
      </x:c>
      <x:c r="H40" s="94" t="n">
        <x:v>76.93</x:v>
      </x:c>
      <x:c r="I40" s="94" t="n">
        <x:v>78.68367346938776</x:v>
      </x:c>
      <x:c r="J40" s="94" t="n">
        <x:v>71.66</x:v>
      </x:c>
      <x:c r="K40" s="94" t="n">
        <x:v>78.1751081632653</x:v>
      </x:c>
      <x:c r="L40" s="94" t="n">
        <x:v>78.1751081632653</x:v>
      </x:c>
      <x:c r="M40" s="30" t="n">
        <x:v>25</x:v>
      </x:c>
      <x:c r="N40" s="30" t="n">
        <x:v>25</x:v>
      </x:c>
      <x:c r="O40" s="91" t="n">
        <x:v>1</x:v>
      </x:c>
      <x:c r="P40" s="30" t="n">
        <x:v>0</x:v>
      </x:c>
      <x:c r="Q40" s="27"/>
      <x:c r="R40" s="27"/>
      <x:c r="S40" s="27"/>
      <x:c r="T40" s="27"/>
      <x:c r="U40" s="27"/>
      <x:c r="V40" s="27"/>
      <x:c r="W40" s="27"/>
      <x:c r="X40" s="27"/>
      <x:c r="Y40" s="27"/>
      <x:c r="Z40" s="27"/>
      <x:c r="AA40" s="27"/>
      <x:c r="AB40" s="27"/>
      <x:c r="AC40" s="27"/>
      <x:c r="AD40" s="27"/>
      <x:c r="AE40" s="27"/>
      <x:c r="AF40" s="27"/>
      <x:c r="AG40" s="27"/>
      <x:c r="AH40" s="27"/>
      <x:c r="AI40" s="27"/>
      <x:c r="AJ40" s="27"/>
      <x:c r="AK40" s="27"/>
      <x:c r="AL40" s="27"/>
      <x:c r="AM40" s="27"/>
      <x:c r="AN40" s="27"/>
      <x:c r="AO40" s="27"/>
      <x:c r="AP40" s="27"/>
      <x:c r="AQ40" s="27"/>
      <x:c r="AR40" s="27"/>
      <x:c r="AS40" s="27"/>
      <x:c r="AT40" s="27"/>
      <x:c r="AU40" s="27"/>
      <x:c r="AV40" s="27"/>
      <x:c r="AW40" s="27"/>
      <x:c r="AX40" s="27"/>
      <x:c r="AY40" s="27"/>
      <x:c r="AZ40" s="27"/>
    </x:row>
    <x:row r="41">
      <x:c r="A41" s="30" t="str">
        <x:v>TE-0032</x:v>
      </x:c>
      <x:c r="B41" s="30" t="n">
        <x:v>32</x:v>
      </x:c>
      <x:c r="C41" s="30" t="str">
        <x:v>Jake Johnson</x:v>
      </x:c>
      <x:c r="D41" s="30" t="n">
        <x:v>82</x:v>
      </x:c>
      <x:c r="E41" s="30" t="str">
        <x:v>Core Rare</x:v>
      </x:c>
      <x:c r="F41" s="30" t="str">
        <x:v>Physical Route Runner</x:v>
      </x:c>
      <x:c r="G41" s="30" t="str">
        <x:v>71% VT + 29% Possession</x:v>
      </x:c>
      <x:c r="H41" s="94" t="n">
        <x:v>76.01</x:v>
      </x:c>
      <x:c r="I41" s="94" t="n">
        <x:v>78.74489795918367</x:v>
      </x:c>
      <x:c r="J41" s="94" t="n">
        <x:v>73.01</x:v>
      </x:c>
      <x:c r="K41" s="94" t="n">
        <x:v>77.9517775510204</x:v>
      </x:c>
      <x:c r="L41" s="94" t="n">
        <x:v>77.9517775510204</x:v>
      </x:c>
      <x:c r="M41" s="30" t="n">
        <x:v>25</x:v>
      </x:c>
      <x:c r="N41" s="30" t="n">
        <x:v>25</x:v>
      </x:c>
      <x:c r="O41" s="91" t="n">
        <x:v>1</x:v>
      </x:c>
      <x:c r="P41" s="30" t="n">
        <x:v>0</x:v>
      </x:c>
      <x:c r="Q41" s="27"/>
      <x:c r="R41" s="27"/>
      <x:c r="S41" s="27"/>
      <x:c r="T41" s="27"/>
      <x:c r="U41" s="27"/>
      <x:c r="V41" s="27"/>
      <x:c r="W41" s="27"/>
      <x:c r="X41" s="27"/>
      <x:c r="Y41" s="27"/>
      <x:c r="Z41" s="27"/>
      <x:c r="AA41" s="27"/>
      <x:c r="AB41" s="27"/>
      <x:c r="AC41" s="27"/>
      <x:c r="AD41" s="27"/>
      <x:c r="AE41" s="27"/>
      <x:c r="AF41" s="27"/>
      <x:c r="AG41" s="27"/>
      <x:c r="AH41" s="27"/>
      <x:c r="AI41" s="27"/>
      <x:c r="AJ41" s="27"/>
      <x:c r="AK41" s="27"/>
      <x:c r="AL41" s="27"/>
      <x:c r="AM41" s="27"/>
      <x:c r="AN41" s="27"/>
      <x:c r="AO41" s="27"/>
      <x:c r="AP41" s="27"/>
      <x:c r="AQ41" s="27"/>
      <x:c r="AR41" s="27"/>
      <x:c r="AS41" s="27"/>
      <x:c r="AT41" s="27"/>
      <x:c r="AU41" s="27"/>
      <x:c r="AV41" s="27"/>
      <x:c r="AW41" s="27"/>
      <x:c r="AX41" s="27"/>
      <x:c r="AY41" s="27"/>
      <x:c r="AZ41" s="27"/>
    </x:row>
    <x:row r="42">
      <x:c r="A42" s="30" t="str">
        <x:v>TE-0033</x:v>
      </x:c>
      <x:c r="B42" s="30" t="n">
        <x:v>33</x:v>
      </x:c>
      <x:c r="C42" s="30" t="str">
        <x:v>Luke Lindenmeyer</x:v>
      </x:c>
      <x:c r="D42" s="30" t="n">
        <x:v>82</x:v>
      </x:c>
      <x:c r="E42" s="30" t="str">
        <x:v>Core Rare</x:v>
      </x:c>
      <x:c r="F42" s="30" t="str">
        <x:v>Physical Route Runner</x:v>
      </x:c>
      <x:c r="G42" s="30" t="str">
        <x:v>71% VT + 29% Possession</x:v>
      </x:c>
      <x:c r="H42" s="94" t="n">
        <x:v>78.57</x:v>
      </x:c>
      <x:c r="I42" s="94" t="n">
        <x:v>77.04081632653062</x:v>
      </x:c>
      <x:c r="J42" s="94" t="n">
        <x:v>81.46</x:v>
      </x:c>
      <x:c r="K42" s="94" t="n">
        <x:v>77.48427959183672</x:v>
      </x:c>
      <x:c r="L42" s="94" t="n">
        <x:v>77.48427959183672</x:v>
      </x:c>
      <x:c r="M42" s="30" t="n">
        <x:v>25</x:v>
      </x:c>
      <x:c r="N42" s="30" t="n">
        <x:v>25</x:v>
      </x:c>
      <x:c r="O42" s="91" t="n">
        <x:v>1</x:v>
      </x:c>
      <x:c r="P42" s="30" t="n">
        <x:v>0</x:v>
      </x:c>
      <x:c r="Q42" s="27"/>
      <x:c r="R42" s="27"/>
      <x:c r="S42" s="27"/>
      <x:c r="T42" s="27"/>
      <x:c r="U42" s="27"/>
      <x:c r="V42" s="27"/>
      <x:c r="W42" s="27"/>
      <x:c r="X42" s="27"/>
      <x:c r="Y42" s="27"/>
      <x:c r="Z42" s="27"/>
      <x:c r="AA42" s="27"/>
      <x:c r="AB42" s="27"/>
      <x:c r="AC42" s="27"/>
      <x:c r="AD42" s="27"/>
      <x:c r="AE42" s="27"/>
      <x:c r="AF42" s="27"/>
      <x:c r="AG42" s="27"/>
      <x:c r="AH42" s="27"/>
      <x:c r="AI42" s="27"/>
      <x:c r="AJ42" s="27"/>
      <x:c r="AK42" s="27"/>
      <x:c r="AL42" s="27"/>
      <x:c r="AM42" s="27"/>
      <x:c r="AN42" s="27"/>
      <x:c r="AO42" s="27"/>
      <x:c r="AP42" s="27"/>
      <x:c r="AQ42" s="27"/>
      <x:c r="AR42" s="27"/>
      <x:c r="AS42" s="27"/>
      <x:c r="AT42" s="27"/>
      <x:c r="AU42" s="27"/>
      <x:c r="AV42" s="27"/>
      <x:c r="AW42" s="27"/>
      <x:c r="AX42" s="27"/>
      <x:c r="AY42" s="27"/>
      <x:c r="AZ42" s="27"/>
    </x:row>
    <x:row r="43">
      <x:c r="A43" s="30" t="str">
        <x:v>TE-0034</x:v>
      </x:c>
      <x:c r="B43" s="30" t="n">
        <x:v>34</x:v>
      </x:c>
      <x:c r="C43" s="30" t="str">
        <x:v>Elija Lofton</x:v>
      </x:c>
      <x:c r="D43" s="30" t="n">
        <x:v>82</x:v>
      </x:c>
      <x:c r="E43" s="30" t="str">
        <x:v>Platinum Rare</x:v>
      </x:c>
      <x:c r="F43" s="30" t="str">
        <x:v>Vertical Threat</x:v>
      </x:c>
      <x:c r="G43" s="30" t="str">
        <x:v>M19 Vertical (ELU omitted; remaining 98 renormalized)</x:v>
      </x:c>
      <x:c r="H43" s="94" t="n">
        <x:v>74.57</x:v>
      </x:c>
      <x:c r="I43" s="94" t="n">
        <x:v>78.51020408163265</x:v>
      </x:c>
      <x:c r="J43" s="94" t="n">
        <x:v>67.06</x:v>
      </x:c>
      <x:c r="K43" s="94" t="n">
        <x:v>77.36754489795918</x:v>
      </x:c>
      <x:c r="L43" s="94" t="n">
        <x:v>78.51020408163265</x:v>
      </x:c>
      <x:c r="M43" s="30" t="n">
        <x:v>16</x:v>
      </x:c>
      <x:c r="N43" s="30" t="n">
        <x:v>16</x:v>
      </x:c>
      <x:c r="O43" s="91" t="n">
        <x:v>1</x:v>
      </x:c>
      <x:c r="P43" s="30" t="n">
        <x:v>0</x:v>
      </x:c>
      <x:c r="Q43" s="27"/>
      <x:c r="R43" s="27"/>
      <x:c r="S43" s="27"/>
      <x:c r="T43" s="27"/>
      <x:c r="U43" s="27"/>
      <x:c r="V43" s="27"/>
      <x:c r="W43" s="27"/>
      <x:c r="X43" s="27"/>
      <x:c r="Y43" s="27"/>
      <x:c r="Z43" s="27"/>
      <x:c r="AA43" s="27"/>
      <x:c r="AB43" s="27"/>
      <x:c r="AC43" s="27"/>
      <x:c r="AD43" s="27"/>
      <x:c r="AE43" s="27"/>
      <x:c r="AF43" s="27"/>
      <x:c r="AG43" s="27"/>
      <x:c r="AH43" s="27"/>
      <x:c r="AI43" s="27"/>
      <x:c r="AJ43" s="27"/>
      <x:c r="AK43" s="27"/>
      <x:c r="AL43" s="27"/>
      <x:c r="AM43" s="27"/>
      <x:c r="AN43" s="27"/>
      <x:c r="AO43" s="27"/>
      <x:c r="AP43" s="27"/>
      <x:c r="AQ43" s="27"/>
      <x:c r="AR43" s="27"/>
      <x:c r="AS43" s="27"/>
      <x:c r="AT43" s="27"/>
      <x:c r="AU43" s="27"/>
      <x:c r="AV43" s="27"/>
      <x:c r="AW43" s="27"/>
      <x:c r="AX43" s="27"/>
      <x:c r="AY43" s="27"/>
      <x:c r="AZ43" s="27"/>
    </x:row>
    <x:row r="44">
      <x:c r="A44" s="30" t="str">
        <x:v>TE-0035</x:v>
      </x:c>
      <x:c r="B44" s="30" t="n">
        <x:v>35</x:v>
      </x:c>
      <x:c r="C44" s="30" t="str">
        <x:v>Luke Reynolds</x:v>
      </x:c>
      <x:c r="D44" s="30" t="n">
        <x:v>82</x:v>
      </x:c>
      <x:c r="E44" s="30" t="str">
        <x:v>Core Rare</x:v>
      </x:c>
      <x:c r="F44" s="30" t="str">
        <x:v>Vertical Threat</x:v>
      </x:c>
      <x:c r="G44" s="30" t="str">
        <x:v>M19 Vertical (ELU omitted; remaining 98 renormalized)</x:v>
      </x:c>
      <x:c r="H44" s="94" t="n">
        <x:v>74.97</x:v>
      </x:c>
      <x:c r="I44" s="94" t="n">
        <x:v>76.61224489795919</x:v>
      </x:c>
      <x:c r="J44" s="94" t="n">
        <x:v>70.02</x:v>
      </x:c>
      <x:c r="K44" s="94" t="n">
        <x:v>76.13599387755102</x:v>
      </x:c>
      <x:c r="L44" s="94" t="n">
        <x:v>76.61224489795919</x:v>
      </x:c>
      <x:c r="M44" s="30" t="n">
        <x:v>14</x:v>
      </x:c>
      <x:c r="N44" s="30" t="n">
        <x:v>16</x:v>
      </x:c>
      <x:c r="O44" s="91" t="n">
        <x:v>0.875</x:v>
      </x:c>
      <x:c r="P44" s="30" t="n">
        <x:v>2</x:v>
      </x:c>
      <x:c r="Q44" s="27"/>
      <x:c r="R44" s="27"/>
      <x:c r="S44" s="27"/>
      <x:c r="T44" s="27"/>
      <x:c r="U44" s="27"/>
      <x:c r="V44" s="27"/>
      <x:c r="W44" s="27"/>
      <x:c r="X44" s="27"/>
      <x:c r="Y44" s="27"/>
      <x:c r="Z44" s="27"/>
      <x:c r="AA44" s="27"/>
      <x:c r="AB44" s="27"/>
      <x:c r="AC44" s="27"/>
      <x:c r="AD44" s="27"/>
      <x:c r="AE44" s="27"/>
      <x:c r="AF44" s="27"/>
      <x:c r="AG44" s="27"/>
      <x:c r="AH44" s="27"/>
      <x:c r="AI44" s="27"/>
      <x:c r="AJ44" s="27"/>
      <x:c r="AK44" s="27"/>
      <x:c r="AL44" s="27"/>
      <x:c r="AM44" s="27"/>
      <x:c r="AN44" s="27"/>
      <x:c r="AO44" s="27"/>
      <x:c r="AP44" s="27"/>
      <x:c r="AQ44" s="27"/>
      <x:c r="AR44" s="27"/>
      <x:c r="AS44" s="27"/>
      <x:c r="AT44" s="27"/>
      <x:c r="AU44" s="27"/>
      <x:c r="AV44" s="27"/>
      <x:c r="AW44" s="27"/>
      <x:c r="AX44" s="27"/>
      <x:c r="AY44" s="27"/>
      <x:c r="AZ44" s="27"/>
    </x:row>
    <x:row r="45">
      <x:c r="A45" s="30" t="str">
        <x:v>TE-0036</x:v>
      </x:c>
      <x:c r="B45" s="30" t="n">
        <x:v>36</x:v>
      </x:c>
      <x:c r="C45" s="30" t="str">
        <x:v>Jayvontay Conner</x:v>
      </x:c>
      <x:c r="D45" s="30" t="n">
        <x:v>81</x:v>
      </x:c>
      <x:c r="E45" s="30" t="str">
        <x:v>Prime Prospects</x:v>
      </x:c>
      <x:c r="F45" s="30" t="str">
        <x:v>Gritty Possession</x:v>
      </x:c>
      <x:c r="G45" s="30" t="str">
        <x:v>M19 Possession</x:v>
      </x:c>
      <x:c r="H45" s="94" t="n">
        <x:v>77.47</x:v>
      </x:c>
      <x:c r="I45" s="94" t="n">
        <x:v>79.6938775510204</x:v>
      </x:c>
      <x:c r="J45" s="94" t="n">
        <x:v>75.43</x:v>
      </x:c>
      <x:c r="K45" s="94" t="n">
        <x:v>79.04895306122448</x:v>
      </x:c>
      <x:c r="L45" s="94" t="n">
        <x:v>77.47</x:v>
      </x:c>
      <x:c r="M45" s="30" t="n">
        <x:v>12</x:v>
      </x:c>
      <x:c r="N45" s="30" t="n">
        <x:v>12</x:v>
      </x:c>
      <x:c r="O45" s="91" t="n">
        <x:v>1</x:v>
      </x:c>
      <x:c r="P45" s="30" t="n">
        <x:v>0</x:v>
      </x:c>
      <x:c r="Q45" s="27"/>
      <x:c r="R45" s="27"/>
      <x:c r="S45" s="27"/>
      <x:c r="T45" s="27"/>
      <x:c r="U45" s="27"/>
      <x:c r="V45" s="27"/>
      <x:c r="W45" s="27"/>
      <x:c r="X45" s="27"/>
      <x:c r="Y45" s="27"/>
      <x:c r="Z45" s="27"/>
      <x:c r="AA45" s="27"/>
      <x:c r="AB45" s="27"/>
      <x:c r="AC45" s="27"/>
      <x:c r="AD45" s="27"/>
      <x:c r="AE45" s="27"/>
      <x:c r="AF45" s="27"/>
      <x:c r="AG45" s="27"/>
      <x:c r="AH45" s="27"/>
      <x:c r="AI45" s="27"/>
      <x:c r="AJ45" s="27"/>
      <x:c r="AK45" s="27"/>
      <x:c r="AL45" s="27"/>
      <x:c r="AM45" s="27"/>
      <x:c r="AN45" s="27"/>
      <x:c r="AO45" s="27"/>
      <x:c r="AP45" s="27"/>
      <x:c r="AQ45" s="27"/>
      <x:c r="AR45" s="27"/>
      <x:c r="AS45" s="27"/>
      <x:c r="AT45" s="27"/>
      <x:c r="AU45" s="27"/>
      <x:c r="AV45" s="27"/>
      <x:c r="AW45" s="27"/>
      <x:c r="AX45" s="27"/>
      <x:c r="AY45" s="27"/>
      <x:c r="AZ45" s="27"/>
    </x:row>
    <x:row r="46">
      <x:c r="A46" s="30" t="str">
        <x:v>TE-0037</x:v>
      </x:c>
      <x:c r="B46" s="30" t="n">
        <x:v>37</x:v>
      </x:c>
      <x:c r="C46" s="30" t="str">
        <x:v>Ozzie Newsome</x:v>
      </x:c>
      <x:c r="D46" s="30" t="n">
        <x:v>81</x:v>
      </x:c>
      <x:c r="E46" s="30" t="str">
        <x:v>S1 Legends - Classic</x:v>
      </x:c>
      <x:c r="F46" s="30" t="str">
        <x:v>Gritty Possession</x:v>
      </x:c>
      <x:c r="G46" s="30" t="str">
        <x:v>M19 Possession</x:v>
      </x:c>
      <x:c r="H46" s="94" t="n">
        <x:v>77.59</x:v>
      </x:c>
      <x:c r="I46" s="94" t="n">
        <x:v>77.34693877551021</x:v>
      </x:c>
      <x:c r="J46" s="94" t="n">
        <x:v>76.12</x:v>
      </x:c>
      <x:c r="K46" s="94" t="n">
        <x:v>77.41742653061225</x:v>
      </x:c>
      <x:c r="L46" s="94" t="n">
        <x:v>77.59</x:v>
      </x:c>
      <x:c r="M46" s="30" t="n">
        <x:v>12</x:v>
      </x:c>
      <x:c r="N46" s="30" t="n">
        <x:v>12</x:v>
      </x:c>
      <x:c r="O46" s="91" t="n">
        <x:v>1</x:v>
      </x:c>
      <x:c r="P46" s="30" t="n">
        <x:v>0</x:v>
      </x:c>
      <x:c r="Q46" s="27"/>
      <x:c r="R46" s="27"/>
      <x:c r="S46" s="27"/>
      <x:c r="T46" s="27"/>
      <x:c r="U46" s="27"/>
      <x:c r="V46" s="27"/>
      <x:c r="W46" s="27"/>
      <x:c r="X46" s="27"/>
      <x:c r="Y46" s="27"/>
      <x:c r="Z46" s="27"/>
      <x:c r="AA46" s="27"/>
      <x:c r="AB46" s="27"/>
      <x:c r="AC46" s="27"/>
      <x:c r="AD46" s="27"/>
      <x:c r="AE46" s="27"/>
      <x:c r="AF46" s="27"/>
      <x:c r="AG46" s="27"/>
      <x:c r="AH46" s="27"/>
      <x:c r="AI46" s="27"/>
      <x:c r="AJ46" s="27"/>
      <x:c r="AK46" s="27"/>
      <x:c r="AL46" s="27"/>
      <x:c r="AM46" s="27"/>
      <x:c r="AN46" s="27"/>
      <x:c r="AO46" s="27"/>
      <x:c r="AP46" s="27"/>
      <x:c r="AQ46" s="27"/>
      <x:c r="AR46" s="27"/>
      <x:c r="AS46" s="27"/>
      <x:c r="AT46" s="27"/>
      <x:c r="AU46" s="27"/>
      <x:c r="AV46" s="27"/>
      <x:c r="AW46" s="27"/>
      <x:c r="AX46" s="27"/>
      <x:c r="AY46" s="27"/>
      <x:c r="AZ46" s="27"/>
    </x:row>
    <x:row r="47">
      <x:c r="A47" s="30" t="str">
        <x:v>TE-0038</x:v>
      </x:c>
      <x:c r="B47" s="30" t="n">
        <x:v>38</x:v>
      </x:c>
      <x:c r="C47" s="30" t="str">
        <x:v>Jalen Hoffman</x:v>
      </x:c>
      <x:c r="D47" s="30" t="n">
        <x:v>81</x:v>
      </x:c>
      <x:c r="E47" s="30" t="str">
        <x:v>Standouts</x:v>
      </x:c>
      <x:c r="F47" s="30" t="str">
        <x:v>Gritty Possession</x:v>
      </x:c>
      <x:c r="G47" s="30" t="str">
        <x:v>M19 Possession</x:v>
      </x:c>
      <x:c r="H47" s="94" t="n">
        <x:v>76.91</x:v>
      </x:c>
      <x:c r="I47" s="94" t="n">
        <x:v>76.23469387755102</x:v>
      </x:c>
      <x:c r="J47" s="94" t="n">
        <x:v>75.57</x:v>
      </x:c>
      <x:c r="K47" s="94" t="n">
        <x:v>76.43053265306122</x:v>
      </x:c>
      <x:c r="L47" s="94" t="n">
        <x:v>76.91</x:v>
      </x:c>
      <x:c r="M47" s="30" t="n">
        <x:v>11</x:v>
      </x:c>
      <x:c r="N47" s="30" t="n">
        <x:v>12</x:v>
      </x:c>
      <x:c r="O47" s="91" t="n">
        <x:v>0.9166666666666666</x:v>
      </x:c>
      <x:c r="P47" s="30" t="n">
        <x:v>1</x:v>
      </x:c>
      <x:c r="Q47" s="27"/>
      <x:c r="R47" s="27"/>
      <x:c r="S47" s="27"/>
      <x:c r="T47" s="27"/>
      <x:c r="U47" s="27"/>
      <x:c r="V47" s="27"/>
      <x:c r="W47" s="27"/>
      <x:c r="X47" s="27"/>
      <x:c r="Y47" s="27"/>
      <x:c r="Z47" s="27"/>
      <x:c r="AA47" s="27"/>
      <x:c r="AB47" s="27"/>
      <x:c r="AC47" s="27"/>
      <x:c r="AD47" s="27"/>
      <x:c r="AE47" s="27"/>
      <x:c r="AF47" s="27"/>
      <x:c r="AG47" s="27"/>
      <x:c r="AH47" s="27"/>
      <x:c r="AI47" s="27"/>
      <x:c r="AJ47" s="27"/>
      <x:c r="AK47" s="27"/>
      <x:c r="AL47" s="27"/>
      <x:c r="AM47" s="27"/>
      <x:c r="AN47" s="27"/>
      <x:c r="AO47" s="27"/>
      <x:c r="AP47" s="27"/>
      <x:c r="AQ47" s="27"/>
      <x:c r="AR47" s="27"/>
      <x:c r="AS47" s="27"/>
      <x:c r="AT47" s="27"/>
      <x:c r="AU47" s="27"/>
      <x:c r="AV47" s="27"/>
      <x:c r="AW47" s="27"/>
      <x:c r="AX47" s="27"/>
      <x:c r="AY47" s="27"/>
      <x:c r="AZ47" s="27"/>
    </x:row>
    <x:row r="48">
      <x:c r="A48" s="30" t="str">
        <x:v>TE-0039</x:v>
      </x:c>
      <x:c r="B48" s="30" t="n">
        <x:v>39</x:v>
      </x:c>
      <x:c r="C48" s="30" t="str">
        <x:v>Conner Cravaack</x:v>
      </x:c>
      <x:c r="D48" s="30" t="n">
        <x:v>81</x:v>
      </x:c>
      <x:c r="E48" s="30" t="str">
        <x:v>Countdown</x:v>
      </x:c>
      <x:c r="F48" s="30" t="str">
        <x:v>Gritty Possession</x:v>
      </x:c>
      <x:c r="G48" s="30" t="str">
        <x:v>M19 Possession</x:v>
      </x:c>
      <x:c r="H48" s="94" t="n">
        <x:v>78.24</x:v>
      </x:c>
      <x:c r="I48" s="94" t="n">
        <x:v>78.8265306122449</x:v>
      </x:c>
      <x:c r="J48" s="94" t="n">
        <x:v>74.28</x:v>
      </x:c>
      <x:c r="K48" s="94" t="n">
        <x:v>78.65643673469387</x:v>
      </x:c>
      <x:c r="L48" s="94" t="n">
        <x:v>78.24</x:v>
      </x:c>
      <x:c r="M48" s="30" t="n">
        <x:v>12</x:v>
      </x:c>
      <x:c r="N48" s="30" t="n">
        <x:v>12</x:v>
      </x:c>
      <x:c r="O48" s="91" t="n">
        <x:v>1</x:v>
      </x:c>
      <x:c r="P48" s="30" t="n">
        <x:v>0</x:v>
      </x:c>
      <x:c r="Q48" s="27"/>
      <x:c r="R48" s="27"/>
      <x:c r="S48" s="27"/>
      <x:c r="T48" s="27"/>
      <x:c r="U48" s="27"/>
      <x:c r="V48" s="27"/>
      <x:c r="W48" s="27"/>
      <x:c r="X48" s="27"/>
      <x:c r="Y48" s="27"/>
      <x:c r="Z48" s="27"/>
      <x:c r="AA48" s="27"/>
      <x:c r="AB48" s="27"/>
      <x:c r="AC48" s="27"/>
      <x:c r="AD48" s="27"/>
      <x:c r="AE48" s="27"/>
      <x:c r="AF48" s="27"/>
      <x:c r="AG48" s="27"/>
      <x:c r="AH48" s="27"/>
      <x:c r="AI48" s="27"/>
      <x:c r="AJ48" s="27"/>
      <x:c r="AK48" s="27"/>
      <x:c r="AL48" s="27"/>
      <x:c r="AM48" s="27"/>
      <x:c r="AN48" s="27"/>
      <x:c r="AO48" s="27"/>
      <x:c r="AP48" s="27"/>
      <x:c r="AQ48" s="27"/>
      <x:c r="AR48" s="27"/>
      <x:c r="AS48" s="27"/>
      <x:c r="AT48" s="27"/>
      <x:c r="AU48" s="27"/>
      <x:c r="AV48" s="27"/>
      <x:c r="AW48" s="27"/>
      <x:c r="AX48" s="27"/>
      <x:c r="AY48" s="27"/>
      <x:c r="AZ48" s="27"/>
    </x:row>
    <x:row r="49">
      <x:c r="A49" s="30" t="str">
        <x:v>TE-0040</x:v>
      </x:c>
      <x:c r="B49" s="30" t="n">
        <x:v>40</x:v>
      </x:c>
      <x:c r="C49" s="30" t="str">
        <x:v>Hayden Hansen</x:v>
      </x:c>
      <x:c r="D49" s="30" t="n">
        <x:v>81</x:v>
      </x:c>
      <x:c r="E49" s="30" t="str">
        <x:v>Core Rare</x:v>
      </x:c>
      <x:c r="F49" s="30" t="str">
        <x:v>Physical Route Runner</x:v>
      </x:c>
      <x:c r="G49" s="30" t="str">
        <x:v>71% VT + 29% Possession</x:v>
      </x:c>
      <x:c r="H49" s="94" t="n">
        <x:v>78.9</x:v>
      </x:c>
      <x:c r="I49" s="94" t="n">
        <x:v>76.88775510204081</x:v>
      </x:c>
      <x:c r="J49" s="94" t="n">
        <x:v>80.71</x:v>
      </x:c>
      <x:c r="K49" s="94" t="n">
        <x:v>77.47130612244896</x:v>
      </x:c>
      <x:c r="L49" s="94" t="n">
        <x:v>77.47130612244896</x:v>
      </x:c>
      <x:c r="M49" s="30" t="n">
        <x:v>26</x:v>
      </x:c>
      <x:c r="N49" s="30" t="n">
        <x:v>26</x:v>
      </x:c>
      <x:c r="O49" s="91" t="n">
        <x:v>1</x:v>
      </x:c>
      <x:c r="P49" s="30" t="n">
        <x:v>0</x:v>
      </x:c>
      <x:c r="Q49" s="27"/>
      <x:c r="R49" s="27"/>
      <x:c r="S49" s="27"/>
      <x:c r="T49" s="27"/>
      <x:c r="U49" s="27"/>
      <x:c r="V49" s="27"/>
      <x:c r="W49" s="27"/>
      <x:c r="X49" s="27"/>
      <x:c r="Y49" s="27"/>
      <x:c r="Z49" s="27"/>
      <x:c r="AA49" s="27"/>
      <x:c r="AB49" s="27"/>
      <x:c r="AC49" s="27"/>
      <x:c r="AD49" s="27"/>
      <x:c r="AE49" s="27"/>
      <x:c r="AF49" s="27"/>
      <x:c r="AG49" s="27"/>
      <x:c r="AH49" s="27"/>
      <x:c r="AI49" s="27"/>
      <x:c r="AJ49" s="27"/>
      <x:c r="AK49" s="27"/>
      <x:c r="AL49" s="27"/>
      <x:c r="AM49" s="27"/>
      <x:c r="AN49" s="27"/>
      <x:c r="AO49" s="27"/>
      <x:c r="AP49" s="27"/>
      <x:c r="AQ49" s="27"/>
      <x:c r="AR49" s="27"/>
      <x:c r="AS49" s="27"/>
      <x:c r="AT49" s="27"/>
      <x:c r="AU49" s="27"/>
      <x:c r="AV49" s="27"/>
      <x:c r="AW49" s="27"/>
      <x:c r="AX49" s="27"/>
      <x:c r="AY49" s="27"/>
      <x:c r="AZ49" s="27"/>
    </x:row>
    <x:row r="50">
      <x:c r="A50" s="30" t="str">
        <x:v>TE-0041</x:v>
      </x:c>
      <x:c r="B50" s="30" t="n">
        <x:v>41</x:v>
      </x:c>
      <x:c r="C50" s="30" t="str">
        <x:v>Lawson Luckie</x:v>
      </x:c>
      <x:c r="D50" s="30" t="n">
        <x:v>81</x:v>
      </x:c>
      <x:c r="E50" s="30" t="str">
        <x:v>Core Rare</x:v>
      </x:c>
      <x:c r="F50" s="30" t="str">
        <x:v>Physical Route Runner</x:v>
      </x:c>
      <x:c r="G50" s="30" t="str">
        <x:v>71% VT + 29% Possession</x:v>
      </x:c>
      <x:c r="H50" s="94" t="n">
        <x:v>76.17</x:v>
      </x:c>
      <x:c r="I50" s="94" t="n">
        <x:v>77.87755102040816</x:v>
      </x:c>
      <x:c r="J50" s="94" t="n">
        <x:v>71.79</x:v>
      </x:c>
      <x:c r="K50" s="94" t="n">
        <x:v>77.38236122448978</x:v>
      </x:c>
      <x:c r="L50" s="94" t="n">
        <x:v>77.38236122448978</x:v>
      </x:c>
      <x:c r="M50" s="30" t="n">
        <x:v>26</x:v>
      </x:c>
      <x:c r="N50" s="30" t="n">
        <x:v>26</x:v>
      </x:c>
      <x:c r="O50" s="91" t="n">
        <x:v>1</x:v>
      </x:c>
      <x:c r="P50" s="30" t="n">
        <x:v>0</x:v>
      </x:c>
      <x:c r="Q50" s="27"/>
      <x:c r="R50" s="27"/>
      <x:c r="S50" s="27"/>
      <x:c r="T50" s="27"/>
      <x:c r="U50" s="27"/>
      <x:c r="V50" s="27"/>
      <x:c r="W50" s="27"/>
      <x:c r="X50" s="27"/>
      <x:c r="Y50" s="27"/>
      <x:c r="Z50" s="27"/>
      <x:c r="AA50" s="27"/>
      <x:c r="AB50" s="27"/>
      <x:c r="AC50" s="27"/>
      <x:c r="AD50" s="27"/>
      <x:c r="AE50" s="27"/>
      <x:c r="AF50" s="27"/>
      <x:c r="AG50" s="27"/>
      <x:c r="AH50" s="27"/>
      <x:c r="AI50" s="27"/>
      <x:c r="AJ50" s="27"/>
      <x:c r="AK50" s="27"/>
      <x:c r="AL50" s="27"/>
      <x:c r="AM50" s="27"/>
      <x:c r="AN50" s="27"/>
      <x:c r="AO50" s="27"/>
      <x:c r="AP50" s="27"/>
      <x:c r="AQ50" s="27"/>
      <x:c r="AR50" s="27"/>
      <x:c r="AS50" s="27"/>
      <x:c r="AT50" s="27"/>
      <x:c r="AU50" s="27"/>
      <x:c r="AV50" s="27"/>
      <x:c r="AW50" s="27"/>
      <x:c r="AX50" s="27"/>
      <x:c r="AY50" s="27"/>
      <x:c r="AZ50" s="27"/>
    </x:row>
    <x:row r="51">
      <x:c r="A51" s="30" t="str">
        <x:v>TE-0042</x:v>
      </x:c>
      <x:c r="B51" s="30" t="n">
        <x:v>42</x:v>
      </x:c>
      <x:c r="C51" s="30" t="str">
        <x:v>Mason Mini</x:v>
      </x:c>
      <x:c r="D51" s="30" t="n">
        <x:v>81</x:v>
      </x:c>
      <x:c r="E51" s="30" t="str">
        <x:v>Platinum Rare</x:v>
      </x:c>
      <x:c r="F51" s="30" t="str">
        <x:v>Vertical Threat</x:v>
      </x:c>
      <x:c r="G51" s="30" t="str">
        <x:v>M19 Vertical (ELU omitted; remaining 98 renormalized)</x:v>
      </x:c>
      <x:c r="H51" s="94" t="n">
        <x:v>75.09</x:v>
      </x:c>
      <x:c r="I51" s="94" t="n">
        <x:v>77.55102040816327</x:v>
      </x:c>
      <x:c r="J51" s="94" t="n">
        <x:v>71.06</x:v>
      </x:c>
      <x:c r="K51" s="94" t="n">
        <x:v>76.83732448979592</x:v>
      </x:c>
      <x:c r="L51" s="94" t="n">
        <x:v>77.55102040816327</x:v>
      </x:c>
      <x:c r="M51" s="30" t="n">
        <x:v>14</x:v>
      </x:c>
      <x:c r="N51" s="30" t="n">
        <x:v>16</x:v>
      </x:c>
      <x:c r="O51" s="91" t="n">
        <x:v>0.875</x:v>
      </x:c>
      <x:c r="P51" s="30" t="n">
        <x:v>2</x:v>
      </x:c>
      <x:c r="Q51" s="27"/>
      <x:c r="R51" s="27"/>
      <x:c r="S51" s="27"/>
      <x:c r="T51" s="27"/>
      <x:c r="U51" s="27"/>
      <x:c r="V51" s="27"/>
      <x:c r="W51" s="27"/>
      <x:c r="X51" s="27"/>
      <x:c r="Y51" s="27"/>
      <x:c r="Z51" s="27"/>
      <x:c r="AA51" s="27"/>
      <x:c r="AB51" s="27"/>
      <x:c r="AC51" s="27"/>
      <x:c r="AD51" s="27"/>
      <x:c r="AE51" s="27"/>
      <x:c r="AF51" s="27"/>
      <x:c r="AG51" s="27"/>
      <x:c r="AH51" s="27"/>
      <x:c r="AI51" s="27"/>
      <x:c r="AJ51" s="27"/>
      <x:c r="AK51" s="27"/>
      <x:c r="AL51" s="27"/>
      <x:c r="AM51" s="27"/>
      <x:c r="AN51" s="27"/>
      <x:c r="AO51" s="27"/>
      <x:c r="AP51" s="27"/>
      <x:c r="AQ51" s="27"/>
      <x:c r="AR51" s="27"/>
      <x:c r="AS51" s="27"/>
      <x:c r="AT51" s="27"/>
      <x:c r="AU51" s="27"/>
      <x:c r="AV51" s="27"/>
      <x:c r="AW51" s="27"/>
      <x:c r="AX51" s="27"/>
      <x:c r="AY51" s="27"/>
      <x:c r="AZ51" s="27"/>
    </x:row>
    <x:row r="52">
      <x:c r="A52" s="30" t="str">
        <x:v>TE-0043</x:v>
      </x:c>
      <x:c r="B52" s="30" t="n">
        <x:v>43</x:v>
      </x:c>
      <x:c r="C52" s="30" t="str">
        <x:v>Jaleel Skinner</x:v>
      </x:c>
      <x:c r="D52" s="30" t="n">
        <x:v>81</x:v>
      </x:c>
      <x:c r="E52" s="30" t="str">
        <x:v>Platinum Rare</x:v>
      </x:c>
      <x:c r="F52" s="30" t="str">
        <x:v>Vertical Threat</x:v>
      </x:c>
      <x:c r="G52" s="30" t="str">
        <x:v>M19 Vertical (ELU omitted; remaining 98 renormalized)</x:v>
      </x:c>
      <x:c r="H52" s="94" t="n">
        <x:v>72.5</x:v>
      </x:c>
      <x:c r="I52" s="94" t="n">
        <x:v>76.83673469387755</x:v>
      </x:c>
      <x:c r="J52" s="94" t="n">
        <x:v>70.06</x:v>
      </x:c>
      <x:c r="K52" s="94" t="n">
        <x:v>75.57908163265304</x:v>
      </x:c>
      <x:c r="L52" s="94" t="n">
        <x:v>76.83673469387755</x:v>
      </x:c>
      <x:c r="M52" s="30" t="n">
        <x:v>15</x:v>
      </x:c>
      <x:c r="N52" s="30" t="n">
        <x:v>16</x:v>
      </x:c>
      <x:c r="O52" s="91" t="n">
        <x:v>0.9375</x:v>
      </x:c>
      <x:c r="P52" s="30" t="n">
        <x:v>1</x:v>
      </x:c>
      <x:c r="Q52" s="27"/>
      <x:c r="R52" s="27"/>
      <x:c r="S52" s="27"/>
      <x:c r="T52" s="27"/>
      <x:c r="U52" s="27"/>
      <x:c r="V52" s="27"/>
      <x:c r="W52" s="27"/>
      <x:c r="X52" s="27"/>
      <x:c r="Y52" s="27"/>
      <x:c r="Z52" s="27"/>
      <x:c r="AA52" s="27"/>
      <x:c r="AB52" s="27"/>
      <x:c r="AC52" s="27"/>
      <x:c r="AD52" s="27"/>
      <x:c r="AE52" s="27"/>
      <x:c r="AF52" s="27"/>
      <x:c r="AG52" s="27"/>
      <x:c r="AH52" s="27"/>
      <x:c r="AI52" s="27"/>
      <x:c r="AJ52" s="27"/>
      <x:c r="AK52" s="27"/>
      <x:c r="AL52" s="27"/>
      <x:c r="AM52" s="27"/>
      <x:c r="AN52" s="27"/>
      <x:c r="AO52" s="27"/>
      <x:c r="AP52" s="27"/>
      <x:c r="AQ52" s="27"/>
      <x:c r="AR52" s="27"/>
      <x:c r="AS52" s="27"/>
      <x:c r="AT52" s="27"/>
      <x:c r="AU52" s="27"/>
      <x:c r="AV52" s="27"/>
      <x:c r="AW52" s="27"/>
      <x:c r="AX52" s="27"/>
      <x:c r="AY52" s="27"/>
      <x:c r="AZ52" s="27"/>
    </x:row>
    <x:row r="53">
      <x:c r="A53" s="30" t="str">
        <x:v>TE-0044</x:v>
      </x:c>
      <x:c r="B53" s="30" t="n">
        <x:v>44</x:v>
      </x:c>
      <x:c r="C53" s="30" t="str">
        <x:v>Jelani Thurman</x:v>
      </x:c>
      <x:c r="D53" s="30" t="n">
        <x:v>81</x:v>
      </x:c>
      <x:c r="E53" s="30" t="str">
        <x:v>Core Rare</x:v>
      </x:c>
      <x:c r="F53" s="30" t="str">
        <x:v>Vertical Threat</x:v>
      </x:c>
      <x:c r="G53" s="30" t="str">
        <x:v>M19 Vertical (ELU omitted; remaining 98 renormalized)</x:v>
      </x:c>
      <x:c r="H53" s="94" t="n">
        <x:v>76.63</x:v>
      </x:c>
      <x:c r="I53" s="94" t="n">
        <x:v>75.58163265306122</x:v>
      </x:c>
      <x:c r="J53" s="94" t="n">
        <x:v>78.57</x:v>
      </x:c>
      <x:c r="K53" s="94" t="n">
        <x:v>75.88565918367345</x:v>
      </x:c>
      <x:c r="L53" s="94" t="n">
        <x:v>75.58163265306122</x:v>
      </x:c>
      <x:c r="M53" s="30" t="n">
        <x:v>10</x:v>
      </x:c>
      <x:c r="N53" s="30" t="n">
        <x:v>16</x:v>
      </x:c>
      <x:c r="O53" s="91" t="n">
        <x:v>0.625</x:v>
      </x:c>
      <x:c r="P53" s="30" t="n">
        <x:v>6</x:v>
      </x:c>
      <x:c r="Q53" s="27"/>
      <x:c r="R53" s="27"/>
      <x:c r="S53" s="27"/>
      <x:c r="T53" s="27"/>
      <x:c r="U53" s="27"/>
      <x:c r="V53" s="27"/>
      <x:c r="W53" s="27"/>
      <x:c r="X53" s="27"/>
      <x:c r="Y53" s="27"/>
      <x:c r="Z53" s="27"/>
      <x:c r="AA53" s="27"/>
      <x:c r="AB53" s="27"/>
      <x:c r="AC53" s="27"/>
      <x:c r="AD53" s="27"/>
      <x:c r="AE53" s="27"/>
      <x:c r="AF53" s="27"/>
      <x:c r="AG53" s="27"/>
      <x:c r="AH53" s="27"/>
      <x:c r="AI53" s="27"/>
      <x:c r="AJ53" s="27"/>
      <x:c r="AK53" s="27"/>
      <x:c r="AL53" s="27"/>
      <x:c r="AM53" s="27"/>
      <x:c r="AN53" s="27"/>
      <x:c r="AO53" s="27"/>
      <x:c r="AP53" s="27"/>
      <x:c r="AQ53" s="27"/>
      <x:c r="AR53" s="27"/>
      <x:c r="AS53" s="27"/>
      <x:c r="AT53" s="27"/>
      <x:c r="AU53" s="27"/>
      <x:c r="AV53" s="27"/>
      <x:c r="AW53" s="27"/>
      <x:c r="AX53" s="27"/>
      <x:c r="AY53" s="27"/>
      <x:c r="AZ53" s="27"/>
    </x:row>
    <x:row r="54">
      <x:c r="A54" s="30" t="str">
        <x:v>TE-0045</x:v>
      </x:c>
      <x:c r="B54" s="30" t="n">
        <x:v>45</x:v>
      </x:c>
      <x:c r="C54" s="30" t="str">
        <x:v>Hunter Welcing</x:v>
      </x:c>
      <x:c r="D54" s="30" t="n">
        <x:v>81</x:v>
      </x:c>
      <x:c r="E54" s="30" t="str">
        <x:v>Platinum Rare</x:v>
      </x:c>
      <x:c r="F54" s="30" t="str">
        <x:v>Physical Route Runner</x:v>
      </x:c>
      <x:c r="G54" s="30" t="str">
        <x:v>71% VT + 29% Possession</x:v>
      </x:c>
      <x:c r="H54" s="94" t="n">
        <x:v>76.26</x:v>
      </x:c>
      <x:c r="I54" s="94" t="n">
        <x:v>77.8061224489796</x:v>
      </x:c>
      <x:c r="J54" s="94" t="n">
        <x:v>70.1</x:v>
      </x:c>
      <x:c r="K54" s="94" t="n">
        <x:v>77.3577469387755</x:v>
      </x:c>
      <x:c r="L54" s="94" t="n">
        <x:v>77.3577469387755</x:v>
      </x:c>
      <x:c r="M54" s="30" t="n">
        <x:v>26</x:v>
      </x:c>
      <x:c r="N54" s="30" t="n">
        <x:v>26</x:v>
      </x:c>
      <x:c r="O54" s="91" t="n">
        <x:v>1</x:v>
      </x:c>
      <x:c r="P54" s="30" t="n">
        <x:v>0</x:v>
      </x:c>
      <x:c r="Q54" s="27"/>
      <x:c r="R54" s="27"/>
      <x:c r="S54" s="27"/>
      <x:c r="T54" s="27"/>
      <x:c r="U54" s="27"/>
      <x:c r="V54" s="27"/>
      <x:c r="W54" s="27"/>
      <x:c r="X54" s="27"/>
      <x:c r="Y54" s="27"/>
      <x:c r="Z54" s="27"/>
      <x:c r="AA54" s="27"/>
      <x:c r="AB54" s="27"/>
      <x:c r="AC54" s="27"/>
      <x:c r="AD54" s="27"/>
      <x:c r="AE54" s="27"/>
      <x:c r="AF54" s="27"/>
      <x:c r="AG54" s="27"/>
      <x:c r="AH54" s="27"/>
      <x:c r="AI54" s="27"/>
      <x:c r="AJ54" s="27"/>
      <x:c r="AK54" s="27"/>
      <x:c r="AL54" s="27"/>
      <x:c r="AM54" s="27"/>
      <x:c r="AN54" s="27"/>
      <x:c r="AO54" s="27"/>
      <x:c r="AP54" s="27"/>
      <x:c r="AQ54" s="27"/>
      <x:c r="AR54" s="27"/>
      <x:c r="AS54" s="27"/>
      <x:c r="AT54" s="27"/>
      <x:c r="AU54" s="27"/>
      <x:c r="AV54" s="27"/>
      <x:c r="AW54" s="27"/>
      <x:c r="AX54" s="27"/>
      <x:c r="AY54" s="27"/>
      <x:c r="AZ54" s="27"/>
    </x:row>
    <x:row r="55">
      <x:c r="A55" s="30" t="str">
        <x:v>TE-0046</x:v>
      </x:c>
      <x:c r="B55" s="30" t="n">
        <x:v>46</x:v>
      </x:c>
      <x:c r="C55" s="30" t="str">
        <x:v>Hunter Tipton</x:v>
      </x:c>
      <x:c r="D55" s="30" t="n">
        <x:v>80</x:v>
      </x:c>
      <x:c r="E55" s="30" t="str">
        <x:v>Cornerstones</x:v>
      </x:c>
      <x:c r="F55" s="30" t="str">
        <x:v>Vertical Threat</x:v>
      </x:c>
      <x:c r="G55" s="30" t="str">
        <x:v>M19 Vertical (ELU omitted; remaining 98 renormalized)</x:v>
      </x:c>
      <x:c r="H55" s="94" t="n">
        <x:v>74.32</x:v>
      </x:c>
      <x:c r="I55" s="94" t="n">
        <x:v>75.41836734693878</x:v>
      </x:c>
      <x:c r="J55" s="94" t="n">
        <x:v>71.9</x:v>
      </x:c>
      <x:c r="K55" s="94" t="n">
        <x:v>75.09984081632652</x:v>
      </x:c>
      <x:c r="L55" s="94" t="n">
        <x:v>75.41836734693878</x:v>
      </x:c>
      <x:c r="M55" s="30" t="n">
        <x:v>12</x:v>
      </x:c>
      <x:c r="N55" s="30" t="n">
        <x:v>12</x:v>
      </x:c>
      <x:c r="O55" s="91" t="n">
        <x:v>1</x:v>
      </x:c>
      <x:c r="P55" s="30" t="n">
        <x:v>0</x:v>
      </x:c>
      <x:c r="Q55" s="27"/>
      <x:c r="R55" s="27"/>
      <x:c r="S55" s="27"/>
      <x:c r="T55" s="27"/>
      <x:c r="U55" s="27"/>
      <x:c r="V55" s="27"/>
      <x:c r="W55" s="27"/>
      <x:c r="X55" s="27"/>
      <x:c r="Y55" s="27"/>
      <x:c r="Z55" s="27"/>
      <x:c r="AA55" s="27"/>
      <x:c r="AB55" s="27"/>
      <x:c r="AC55" s="27"/>
      <x:c r="AD55" s="27"/>
      <x:c r="AE55" s="27"/>
      <x:c r="AF55" s="27"/>
      <x:c r="AG55" s="27"/>
      <x:c r="AH55" s="27"/>
      <x:c r="AI55" s="27"/>
      <x:c r="AJ55" s="27"/>
      <x:c r="AK55" s="27"/>
      <x:c r="AL55" s="27"/>
      <x:c r="AM55" s="27"/>
      <x:c r="AN55" s="27"/>
      <x:c r="AO55" s="27"/>
      <x:c r="AP55" s="27"/>
      <x:c r="AQ55" s="27"/>
      <x:c r="AR55" s="27"/>
      <x:c r="AS55" s="27"/>
      <x:c r="AT55" s="27"/>
      <x:c r="AU55" s="27"/>
      <x:c r="AV55" s="27"/>
      <x:c r="AW55" s="27"/>
      <x:c r="AX55" s="27"/>
      <x:c r="AY55" s="27"/>
      <x:c r="AZ55" s="27"/>
    </x:row>
    <x:row r="56">
      <x:c r="A56" s="30" t="str">
        <x:v>TE-0047</x:v>
      </x:c>
      <x:c r="B56" s="30" t="n">
        <x:v>47</x:v>
      </x:c>
      <x:c r="C56" s="30" t="str">
        <x:v>Christian Bentancur</x:v>
      </x:c>
      <x:c r="D56" s="30" t="n">
        <x:v>80</x:v>
      </x:c>
      <x:c r="E56" s="30" t="str">
        <x:v>Cornerstones</x:v>
      </x:c>
      <x:c r="F56" s="30" t="str">
        <x:v>Gritty Possession</x:v>
      </x:c>
      <x:c r="G56" s="30" t="str">
        <x:v>M19 Possession</x:v>
      </x:c>
      <x:c r="H56" s="94" t="n">
        <x:v>76.94</x:v>
      </x:c>
      <x:c r="I56" s="94" t="n">
        <x:v>76.40816326530613</x:v>
      </x:c>
      <x:c r="J56" s="94" t="n">
        <x:v>74.72</x:v>
      </x:c>
      <x:c r="K56" s="94" t="n">
        <x:v>76.56239591836734</x:v>
      </x:c>
      <x:c r="L56" s="94" t="n">
        <x:v>76.94</x:v>
      </x:c>
      <x:c r="M56" s="30" t="n">
        <x:v>10</x:v>
      </x:c>
      <x:c r="N56" s="30" t="n">
        <x:v>11</x:v>
      </x:c>
      <x:c r="O56" s="91" t="n">
        <x:v>0.9090909090909091</x:v>
      </x:c>
      <x:c r="P56" s="30" t="n">
        <x:v>1</x:v>
      </x:c>
      <x:c r="Q56" s="27"/>
      <x:c r="R56" s="27"/>
      <x:c r="S56" s="27"/>
      <x:c r="T56" s="27"/>
      <x:c r="U56" s="27"/>
      <x:c r="V56" s="27"/>
      <x:c r="W56" s="27"/>
      <x:c r="X56" s="27"/>
      <x:c r="Y56" s="27"/>
      <x:c r="Z56" s="27"/>
      <x:c r="AA56" s="27"/>
      <x:c r="AB56" s="27"/>
      <x:c r="AC56" s="27"/>
      <x:c r="AD56" s="27"/>
      <x:c r="AE56" s="27"/>
      <x:c r="AF56" s="27"/>
      <x:c r="AG56" s="27"/>
      <x:c r="AH56" s="27"/>
      <x:c r="AI56" s="27"/>
      <x:c r="AJ56" s="27"/>
      <x:c r="AK56" s="27"/>
      <x:c r="AL56" s="27"/>
      <x:c r="AM56" s="27"/>
      <x:c r="AN56" s="27"/>
      <x:c r="AO56" s="27"/>
      <x:c r="AP56" s="27"/>
      <x:c r="AQ56" s="27"/>
      <x:c r="AR56" s="27"/>
      <x:c r="AS56" s="27"/>
      <x:c r="AT56" s="27"/>
      <x:c r="AU56" s="27"/>
      <x:c r="AV56" s="27"/>
      <x:c r="AW56" s="27"/>
      <x:c r="AX56" s="27"/>
      <x:c r="AY56" s="27"/>
      <x:c r="AZ56" s="27"/>
    </x:row>
    <x:row r="57">
      <x:c r="A57" s="30" t="str">
        <x:v>TE-0048</x:v>
      </x:c>
      <x:c r="B57" s="30" t="n">
        <x:v>48</x:v>
      </x:c>
      <x:c r="C57" s="30" t="str">
        <x:v>Jalen Hoffman</x:v>
      </x:c>
      <x:c r="D57" s="30" t="n">
        <x:v>80</x:v>
      </x:c>
      <x:c r="E57" s="30" t="str">
        <x:v>Standouts</x:v>
      </x:c>
      <x:c r="F57" s="30" t="str">
        <x:v>Gritty Possession</x:v>
      </x:c>
      <x:c r="G57" s="30" t="str">
        <x:v>M19 Possession</x:v>
      </x:c>
      <x:c r="H57" s="94" t="n">
        <x:v>76.19</x:v>
      </x:c>
      <x:c r="I57" s="94" t="n">
        <x:v>75.57142857142857</x:v>
      </x:c>
      <x:c r="J57" s="94" t="n">
        <x:v>75.07</x:v>
      </x:c>
      <x:c r="K57" s="94" t="n">
        <x:v>75.75081428571428</x:v>
      </x:c>
      <x:c r="L57" s="94" t="n">
        <x:v>76.19</x:v>
      </x:c>
      <x:c r="M57" s="30" t="n">
        <x:v>11</x:v>
      </x:c>
      <x:c r="N57" s="30" t="n">
        <x:v>11</x:v>
      </x:c>
      <x:c r="O57" s="91" t="n">
        <x:v>1</x:v>
      </x:c>
      <x:c r="P57" s="30" t="n">
        <x:v>0</x:v>
      </x:c>
      <x:c r="Q57" s="27"/>
      <x:c r="R57" s="27"/>
      <x:c r="S57" s="27"/>
      <x:c r="T57" s="27"/>
      <x:c r="U57" s="27"/>
      <x:c r="V57" s="27"/>
      <x:c r="W57" s="27"/>
      <x:c r="X57" s="27"/>
      <x:c r="Y57" s="27"/>
      <x:c r="Z57" s="27"/>
      <x:c r="AA57" s="27"/>
      <x:c r="AB57" s="27"/>
      <x:c r="AC57" s="27"/>
      <x:c r="AD57" s="27"/>
      <x:c r="AE57" s="27"/>
      <x:c r="AF57" s="27"/>
      <x:c r="AG57" s="27"/>
      <x:c r="AH57" s="27"/>
      <x:c r="AI57" s="27"/>
      <x:c r="AJ57" s="27"/>
      <x:c r="AK57" s="27"/>
      <x:c r="AL57" s="27"/>
      <x:c r="AM57" s="27"/>
      <x:c r="AN57" s="27"/>
      <x:c r="AO57" s="27"/>
      <x:c r="AP57" s="27"/>
      <x:c r="AQ57" s="27"/>
      <x:c r="AR57" s="27"/>
      <x:c r="AS57" s="27"/>
      <x:c r="AT57" s="27"/>
      <x:c r="AU57" s="27"/>
      <x:c r="AV57" s="27"/>
      <x:c r="AW57" s="27"/>
      <x:c r="AX57" s="27"/>
      <x:c r="AY57" s="27"/>
      <x:c r="AZ57" s="27"/>
    </x:row>
    <x:row r="58">
      <x:c r="A58" s="30" t="str">
        <x:v>TE-0049</x:v>
      </x:c>
      <x:c r="B58" s="30" t="n">
        <x:v>49</x:v>
      </x:c>
      <x:c r="C58" s="30" t="str">
        <x:v>Peter Clarke</x:v>
      </x:c>
      <x:c r="D58" s="30" t="n">
        <x:v>80</x:v>
      </x:c>
      <x:c r="E58" s="30" t="str">
        <x:v>Sunday Spotlight: Retro</x:v>
      </x:c>
      <x:c r="F58" s="30" t="str">
        <x:v>Vertical Threat</x:v>
      </x:c>
      <x:c r="G58" s="30" t="str">
        <x:v>M19 Vertical (ELU omitted; remaining 98 renormalized)</x:v>
      </x:c>
      <x:c r="H58" s="94" t="n">
        <x:v>74.53</x:v>
      </x:c>
      <x:c r="I58" s="94" t="n">
        <x:v>75.94897959183673</x:v>
      </x:c>
      <x:c r="J58" s="94" t="n">
        <x:v>69.75</x:v>
      </x:c>
      <x:c r="K58" s="94" t="n">
        <x:v>75.53747551020408</x:v>
      </x:c>
      <x:c r="L58" s="94" t="n">
        <x:v>75.94897959183673</x:v>
      </x:c>
      <x:c r="M58" s="30" t="n">
        <x:v>11</x:v>
      </x:c>
      <x:c r="N58" s="30" t="n">
        <x:v>12</x:v>
      </x:c>
      <x:c r="O58" s="91" t="n">
        <x:v>0.9166666666666666</x:v>
      </x:c>
      <x:c r="P58" s="30" t="n">
        <x:v>1</x:v>
      </x:c>
      <x:c r="Q58" s="27"/>
      <x:c r="R58" s="27"/>
      <x:c r="S58" s="27"/>
      <x:c r="T58" s="27"/>
      <x:c r="U58" s="27"/>
      <x:c r="V58" s="27"/>
      <x:c r="W58" s="27"/>
      <x:c r="X58" s="27"/>
      <x:c r="Y58" s="27"/>
      <x:c r="Z58" s="27"/>
      <x:c r="AA58" s="27"/>
      <x:c r="AB58" s="27"/>
      <x:c r="AC58" s="27"/>
      <x:c r="AD58" s="27"/>
      <x:c r="AE58" s="27"/>
      <x:c r="AF58" s="27"/>
      <x:c r="AG58" s="27"/>
      <x:c r="AH58" s="27"/>
      <x:c r="AI58" s="27"/>
      <x:c r="AJ58" s="27"/>
      <x:c r="AK58" s="27"/>
      <x:c r="AL58" s="27"/>
      <x:c r="AM58" s="27"/>
      <x:c r="AN58" s="27"/>
      <x:c r="AO58" s="27"/>
      <x:c r="AP58" s="27"/>
      <x:c r="AQ58" s="27"/>
      <x:c r="AR58" s="27"/>
      <x:c r="AS58" s="27"/>
      <x:c r="AT58" s="27"/>
      <x:c r="AU58" s="27"/>
      <x:c r="AV58" s="27"/>
      <x:c r="AW58" s="27"/>
      <x:c r="AX58" s="27"/>
      <x:c r="AY58" s="27"/>
      <x:c r="AZ58" s="27"/>
    </x:row>
    <x:row r="59">
      <x:c r="A59" s="30" t="str">
        <x:v>TE-0050</x:v>
      </x:c>
      <x:c r="B59" s="30" t="n">
        <x:v>50</x:v>
      </x:c>
      <x:c r="C59" s="30" t="str">
        <x:v>Matt Wagner</x:v>
      </x:c>
      <x:c r="D59" s="30" t="n">
        <x:v>80</x:v>
      </x:c>
      <x:c r="E59" s="30" t="str">
        <x:v>Sunday Spotlight: Retro</x:v>
      </x:c>
      <x:c r="F59" s="30" t="str">
        <x:v>Vertical Threat</x:v>
      </x:c>
      <x:c r="G59" s="30" t="str">
        <x:v>M19 Vertical (ELU omitted; remaining 98 renormalized)</x:v>
      </x:c>
      <x:c r="H59" s="94" t="n">
        <x:v>75.09</x:v>
      </x:c>
      <x:c r="I59" s="94" t="n">
        <x:v>76.33673469387755</x:v>
      </x:c>
      <x:c r="J59" s="94" t="n">
        <x:v>68.41</x:v>
      </x:c>
      <x:c r="K59" s="94" t="n">
        <x:v>75.97518163265306</x:v>
      </x:c>
      <x:c r="L59" s="94" t="n">
        <x:v>76.33673469387755</x:v>
      </x:c>
      <x:c r="M59" s="30" t="n">
        <x:v>11</x:v>
      </x:c>
      <x:c r="N59" s="30" t="n">
        <x:v>12</x:v>
      </x:c>
      <x:c r="O59" s="91" t="n">
        <x:v>0.9166666666666666</x:v>
      </x:c>
      <x:c r="P59" s="30" t="n">
        <x:v>1</x:v>
      </x:c>
      <x:c r="Q59" s="27"/>
      <x:c r="R59" s="27"/>
      <x:c r="S59" s="27"/>
      <x:c r="T59" s="27"/>
      <x:c r="U59" s="27"/>
      <x:c r="V59" s="27"/>
      <x:c r="W59" s="27"/>
      <x:c r="X59" s="27"/>
      <x:c r="Y59" s="27"/>
      <x:c r="Z59" s="27"/>
      <x:c r="AA59" s="27"/>
      <x:c r="AB59" s="27"/>
      <x:c r="AC59" s="27"/>
      <x:c r="AD59" s="27"/>
      <x:c r="AE59" s="27"/>
      <x:c r="AF59" s="27"/>
      <x:c r="AG59" s="27"/>
      <x:c r="AH59" s="27"/>
      <x:c r="AI59" s="27"/>
      <x:c r="AJ59" s="27"/>
      <x:c r="AK59" s="27"/>
      <x:c r="AL59" s="27"/>
      <x:c r="AM59" s="27"/>
      <x:c r="AN59" s="27"/>
      <x:c r="AO59" s="27"/>
      <x:c r="AP59" s="27"/>
      <x:c r="AQ59" s="27"/>
      <x:c r="AR59" s="27"/>
      <x:c r="AS59" s="27"/>
      <x:c r="AT59" s="27"/>
      <x:c r="AU59" s="27"/>
      <x:c r="AV59" s="27"/>
      <x:c r="AW59" s="27"/>
      <x:c r="AX59" s="27"/>
      <x:c r="AY59" s="27"/>
      <x:c r="AZ59" s="27"/>
    </x:row>
    <x:row r="60">
      <x:c r="A60" s="30" t="str">
        <x:v>TE-0051</x:v>
      </x:c>
      <x:c r="B60" s="30" t="n">
        <x:v>51</x:v>
      </x:c>
      <x:c r="C60" s="30" t="str">
        <x:v>Martellus Bennett</x:v>
      </x:c>
      <x:c r="D60" s="30" t="n">
        <x:v>80</x:v>
      </x:c>
      <x:c r="E60" s="30" t="str">
        <x:v>Core Legends Modern</x:v>
      </x:c>
      <x:c r="F60" s="30" t="str">
        <x:v>Gritty Possession</x:v>
      </x:c>
      <x:c r="G60" s="30" t="str">
        <x:v>M19 Possession</x:v>
      </x:c>
      <x:c r="H60" s="94" t="n">
        <x:v>76.34</x:v>
      </x:c>
      <x:c r="I60" s="94" t="n">
        <x:v>77.06122448979592</x:v>
      </x:c>
      <x:c r="J60" s="94" t="n">
        <x:v>75.09</x:v>
      </x:c>
      <x:c r="K60" s="94" t="n">
        <x:v>76.8520693877551</x:v>
      </x:c>
      <x:c r="L60" s="94" t="n">
        <x:v>76.34</x:v>
      </x:c>
      <x:c r="M60" s="30" t="n">
        <x:v>11</x:v>
      </x:c>
      <x:c r="N60" s="30" t="n">
        <x:v>11</x:v>
      </x:c>
      <x:c r="O60" s="91" t="n">
        <x:v>1</x:v>
      </x:c>
      <x:c r="P60" s="30" t="n">
        <x:v>0</x:v>
      </x:c>
      <x:c r="Q60" s="27"/>
      <x:c r="R60" s="27"/>
      <x:c r="S60" s="27"/>
      <x:c r="T60" s="27"/>
      <x:c r="U60" s="27"/>
      <x:c r="V60" s="27"/>
      <x:c r="W60" s="27"/>
      <x:c r="X60" s="27"/>
      <x:c r="Y60" s="27"/>
      <x:c r="Z60" s="27"/>
      <x:c r="AA60" s="27"/>
      <x:c r="AB60" s="27"/>
      <x:c r="AC60" s="27"/>
      <x:c r="AD60" s="27"/>
      <x:c r="AE60" s="27"/>
      <x:c r="AF60" s="27"/>
      <x:c r="AG60" s="27"/>
      <x:c r="AH60" s="27"/>
      <x:c r="AI60" s="27"/>
      <x:c r="AJ60" s="27"/>
      <x:c r="AK60" s="27"/>
      <x:c r="AL60" s="27"/>
      <x:c r="AM60" s="27"/>
      <x:c r="AN60" s="27"/>
      <x:c r="AO60" s="27"/>
      <x:c r="AP60" s="27"/>
      <x:c r="AQ60" s="27"/>
      <x:c r="AR60" s="27"/>
      <x:c r="AS60" s="27"/>
      <x:c r="AT60" s="27"/>
      <x:c r="AU60" s="27"/>
      <x:c r="AV60" s="27"/>
      <x:c r="AW60" s="27"/>
      <x:c r="AX60" s="27"/>
      <x:c r="AY60" s="27"/>
      <x:c r="AZ60" s="27"/>
    </x:row>
    <x:row r="61">
      <x:c r="A61" s="30" t="str">
        <x:v>TE-0052</x:v>
      </x:c>
      <x:c r="B61" s="30" t="n">
        <x:v>52</x:v>
      </x:c>
      <x:c r="C61" s="30" t="str">
        <x:v>Ethan Davis</x:v>
      </x:c>
      <x:c r="D61" s="30" t="n">
        <x:v>80</x:v>
      </x:c>
      <x:c r="E61" s="30" t="str">
        <x:v>Platinum Rare</x:v>
      </x:c>
      <x:c r="F61" s="30" t="str">
        <x:v>Physical Route Runner</x:v>
      </x:c>
      <x:c r="G61" s="30" t="str">
        <x:v>71% VT + 29% Possession</x:v>
      </x:c>
      <x:c r="H61" s="94" t="n">
        <x:v>74.36</x:v>
      </x:c>
      <x:c r="I61" s="94" t="n">
        <x:v>76.93877551020408</x:v>
      </x:c>
      <x:c r="J61" s="94" t="n">
        <x:v>70.59</x:v>
      </x:c>
      <x:c r="K61" s="94" t="n">
        <x:v>76.1909306122449</x:v>
      </x:c>
      <x:c r="L61" s="94" t="n">
        <x:v>76.1909306122449</x:v>
      </x:c>
      <x:c r="M61" s="30" t="n">
        <x:v>20</x:v>
      </x:c>
      <x:c r="N61" s="30" t="n">
        <x:v>20</x:v>
      </x:c>
      <x:c r="O61" s="91" t="n">
        <x:v>1</x:v>
      </x:c>
      <x:c r="P61" s="30" t="n">
        <x:v>0</x:v>
      </x:c>
      <x:c r="Q61" s="27"/>
      <x:c r="R61" s="27"/>
      <x:c r="S61" s="27"/>
      <x:c r="T61" s="27"/>
      <x:c r="U61" s="27"/>
      <x:c r="V61" s="27"/>
      <x:c r="W61" s="27"/>
      <x:c r="X61" s="27"/>
      <x:c r="Y61" s="27"/>
      <x:c r="Z61" s="27"/>
      <x:c r="AA61" s="27"/>
      <x:c r="AB61" s="27"/>
      <x:c r="AC61" s="27"/>
      <x:c r="AD61" s="27"/>
      <x:c r="AE61" s="27"/>
      <x:c r="AF61" s="27"/>
      <x:c r="AG61" s="27"/>
      <x:c r="AH61" s="27"/>
      <x:c r="AI61" s="27"/>
      <x:c r="AJ61" s="27"/>
      <x:c r="AK61" s="27"/>
      <x:c r="AL61" s="27"/>
      <x:c r="AM61" s="27"/>
      <x:c r="AN61" s="27"/>
      <x:c r="AO61" s="27"/>
      <x:c r="AP61" s="27"/>
      <x:c r="AQ61" s="27"/>
      <x:c r="AR61" s="27"/>
      <x:c r="AS61" s="27"/>
      <x:c r="AT61" s="27"/>
      <x:c r="AU61" s="27"/>
      <x:c r="AV61" s="27"/>
      <x:c r="AW61" s="27"/>
      <x:c r="AX61" s="27"/>
      <x:c r="AY61" s="27"/>
      <x:c r="AZ61" s="27"/>
    </x:row>
    <x:row r="62">
      <x:c r="A62" s="30" t="str">
        <x:v>TE-0053</x:v>
      </x:c>
      <x:c r="B62" s="30" t="n">
        <x:v>53</x:v>
      </x:c>
      <x:c r="C62" s="30" t="str">
        <x:v>Vernon Davis</x:v>
      </x:c>
      <x:c r="D62" s="30" t="n">
        <x:v>80</x:v>
      </x:c>
      <x:c r="E62" s="30" t="str">
        <x:v>Core Legends Millennium</x:v>
      </x:c>
      <x:c r="F62" s="30" t="str">
        <x:v>Vertical Threat</x:v>
      </x:c>
      <x:c r="G62" s="30" t="str">
        <x:v>M19 Vertical (ELU omitted; remaining 98 renormalized)</x:v>
      </x:c>
      <x:c r="H62" s="94" t="n">
        <x:v>74.07</x:v>
      </x:c>
      <x:c r="I62" s="94" t="n">
        <x:v>75.6938775510204</x:v>
      </x:c>
      <x:c r="J62" s="94" t="n">
        <x:v>68.97</x:v>
      </x:c>
      <x:c r="K62" s="94" t="n">
        <x:v>75.22295306122449</x:v>
      </x:c>
      <x:c r="L62" s="94" t="n">
        <x:v>75.6938775510204</x:v>
      </x:c>
      <x:c r="M62" s="30" t="n">
        <x:v>11</x:v>
      </x:c>
      <x:c r="N62" s="30" t="n">
        <x:v>12</x:v>
      </x:c>
      <x:c r="O62" s="91" t="n">
        <x:v>0.9166666666666666</x:v>
      </x:c>
      <x:c r="P62" s="30" t="n">
        <x:v>1</x:v>
      </x:c>
      <x:c r="Q62" s="27"/>
      <x:c r="R62" s="27"/>
      <x:c r="S62" s="27"/>
      <x:c r="T62" s="27"/>
      <x:c r="U62" s="27"/>
      <x:c r="V62" s="27"/>
      <x:c r="W62" s="27"/>
      <x:c r="X62" s="27"/>
      <x:c r="Y62" s="27"/>
      <x:c r="Z62" s="27"/>
      <x:c r="AA62" s="27"/>
      <x:c r="AB62" s="27"/>
      <x:c r="AC62" s="27"/>
      <x:c r="AD62" s="27"/>
      <x:c r="AE62" s="27"/>
      <x:c r="AF62" s="27"/>
      <x:c r="AG62" s="27"/>
      <x:c r="AH62" s="27"/>
      <x:c r="AI62" s="27"/>
      <x:c r="AJ62" s="27"/>
      <x:c r="AK62" s="27"/>
      <x:c r="AL62" s="27"/>
      <x:c r="AM62" s="27"/>
      <x:c r="AN62" s="27"/>
      <x:c r="AO62" s="27"/>
      <x:c r="AP62" s="27"/>
      <x:c r="AQ62" s="27"/>
      <x:c r="AR62" s="27"/>
      <x:c r="AS62" s="27"/>
      <x:c r="AT62" s="27"/>
      <x:c r="AU62" s="27"/>
      <x:c r="AV62" s="27"/>
      <x:c r="AW62" s="27"/>
      <x:c r="AX62" s="27"/>
      <x:c r="AY62" s="27"/>
      <x:c r="AZ62" s="27"/>
    </x:row>
    <x:row r="63">
      <x:c r="A63" s="30" t="str">
        <x:v>TE-0054</x:v>
      </x:c>
      <x:c r="B63" s="30" t="n">
        <x:v>54</x:v>
      </x:c>
      <x:c r="C63" s="30" t="str">
        <x:v>Donovan Green</x:v>
      </x:c>
      <x:c r="D63" s="30" t="n">
        <x:v>80</x:v>
      </x:c>
      <x:c r="E63" s="30" t="str">
        <x:v>Core Rare</x:v>
      </x:c>
      <x:c r="F63" s="30" t="str">
        <x:v>Physical Route Runner</x:v>
      </x:c>
      <x:c r="G63" s="30" t="str">
        <x:v>71% VT + 29% Possession</x:v>
      </x:c>
      <x:c r="H63" s="94" t="n">
        <x:v>75.31</x:v>
      </x:c>
      <x:c r="I63" s="94" t="n">
        <x:v>76.29591836734694</x:v>
      </x:c>
      <x:c r="J63" s="94" t="n">
        <x:v>73.16</x:v>
      </x:c>
      <x:c r="K63" s="94" t="n">
        <x:v>76.01000204081632</x:v>
      </x:c>
      <x:c r="L63" s="94" t="n">
        <x:v>76.01000204081632</x:v>
      </x:c>
      <x:c r="M63" s="30" t="n">
        <x:v>20</x:v>
      </x:c>
      <x:c r="N63" s="30" t="n">
        <x:v>20</x:v>
      </x:c>
      <x:c r="O63" s="91" t="n">
        <x:v>1</x:v>
      </x:c>
      <x:c r="P63" s="30" t="n">
        <x:v>0</x:v>
      </x:c>
      <x:c r="Q63" s="27"/>
      <x:c r="R63" s="27"/>
      <x:c r="S63" s="27"/>
      <x:c r="T63" s="27"/>
      <x:c r="U63" s="27"/>
      <x:c r="V63" s="27"/>
      <x:c r="W63" s="27"/>
      <x:c r="X63" s="27"/>
      <x:c r="Y63" s="27"/>
      <x:c r="Z63" s="27"/>
      <x:c r="AA63" s="27"/>
      <x:c r="AB63" s="27"/>
      <x:c r="AC63" s="27"/>
      <x:c r="AD63" s="27"/>
      <x:c r="AE63" s="27"/>
      <x:c r="AF63" s="27"/>
      <x:c r="AG63" s="27"/>
      <x:c r="AH63" s="27"/>
      <x:c r="AI63" s="27"/>
      <x:c r="AJ63" s="27"/>
      <x:c r="AK63" s="27"/>
      <x:c r="AL63" s="27"/>
      <x:c r="AM63" s="27"/>
      <x:c r="AN63" s="27"/>
      <x:c r="AO63" s="27"/>
      <x:c r="AP63" s="27"/>
      <x:c r="AQ63" s="27"/>
      <x:c r="AR63" s="27"/>
      <x:c r="AS63" s="27"/>
      <x:c r="AT63" s="27"/>
      <x:c r="AU63" s="27"/>
      <x:c r="AV63" s="27"/>
      <x:c r="AW63" s="27"/>
      <x:c r="AX63" s="27"/>
      <x:c r="AY63" s="27"/>
      <x:c r="AZ63" s="27"/>
    </x:row>
    <x:row r="64">
      <x:c r="A64" s="30" t="str">
        <x:v>TE-0055</x:v>
      </x:c>
      <x:c r="B64" s="30" t="n">
        <x:v>55</x:v>
      </x:c>
      <x:c r="C64" s="30" t="str">
        <x:v>Todd Heap</x:v>
      </x:c>
      <x:c r="D64" s="30" t="n">
        <x:v>80</x:v>
      </x:c>
      <x:c r="E64" s="30" t="str">
        <x:v>Core Legends Millennium</x:v>
      </x:c>
      <x:c r="F64" s="30" t="str">
        <x:v>Gritty Possession</x:v>
      </x:c>
      <x:c r="G64" s="30" t="str">
        <x:v>M19 Possession</x:v>
      </x:c>
      <x:c r="H64" s="94" t="n">
        <x:v>76.38</x:v>
      </x:c>
      <x:c r="I64" s="94" t="n">
        <x:v>76.72448979591837</x:v>
      </x:c>
      <x:c r="J64" s="94" t="n">
        <x:v>74.64</x:v>
      </x:c>
      <x:c r="K64" s="94" t="n">
        <x:v>76.62458775510204</x:v>
      </x:c>
      <x:c r="L64" s="94" t="n">
        <x:v>76.38</x:v>
      </x:c>
      <x:c r="M64" s="30" t="n">
        <x:v>11</x:v>
      </x:c>
      <x:c r="N64" s="30" t="n">
        <x:v>11</x:v>
      </x:c>
      <x:c r="O64" s="91" t="n">
        <x:v>1</x:v>
      </x:c>
      <x:c r="P64" s="30" t="n">
        <x:v>0</x:v>
      </x:c>
      <x:c r="Q64" s="27"/>
      <x:c r="R64" s="27"/>
      <x:c r="S64" s="27"/>
      <x:c r="T64" s="27"/>
      <x:c r="U64" s="27"/>
      <x:c r="V64" s="27"/>
      <x:c r="W64" s="27"/>
      <x:c r="X64" s="27"/>
      <x:c r="Y64" s="27"/>
      <x:c r="Z64" s="27"/>
      <x:c r="AA64" s="27"/>
      <x:c r="AB64" s="27"/>
      <x:c r="AC64" s="27"/>
      <x:c r="AD64" s="27"/>
      <x:c r="AE64" s="27"/>
      <x:c r="AF64" s="27"/>
      <x:c r="AG64" s="27"/>
      <x:c r="AH64" s="27"/>
      <x:c r="AI64" s="27"/>
      <x:c r="AJ64" s="27"/>
      <x:c r="AK64" s="27"/>
      <x:c r="AL64" s="27"/>
      <x:c r="AM64" s="27"/>
      <x:c r="AN64" s="27"/>
      <x:c r="AO64" s="27"/>
      <x:c r="AP64" s="27"/>
      <x:c r="AQ64" s="27"/>
      <x:c r="AR64" s="27"/>
      <x:c r="AS64" s="27"/>
      <x:c r="AT64" s="27"/>
      <x:c r="AU64" s="27"/>
      <x:c r="AV64" s="27"/>
      <x:c r="AW64" s="27"/>
      <x:c r="AX64" s="27"/>
      <x:c r="AY64" s="27"/>
      <x:c r="AZ64" s="27"/>
    </x:row>
    <x:row r="65">
      <x:c r="A65" s="30" t="str">
        <x:v>TE-0056</x:v>
      </x:c>
      <x:c r="B65" s="30" t="n">
        <x:v>56</x:v>
      </x:c>
      <x:c r="C65" s="30" t="str">
        <x:v>Preston Howard</x:v>
      </x:c>
      <x:c r="D65" s="30" t="n">
        <x:v>80</x:v>
      </x:c>
      <x:c r="E65" s="30" t="str">
        <x:v>Core Rare</x:v>
      </x:c>
      <x:c r="F65" s="30" t="str">
        <x:v>Vertical Threat</x:v>
      </x:c>
      <x:c r="G65" s="30" t="str">
        <x:v>M19 Vertical (ELU omitted; remaining 98 renormalized)</x:v>
      </x:c>
      <x:c r="H65" s="94" t="n">
        <x:v>74.89</x:v>
      </x:c>
      <x:c r="I65" s="94" t="n">
        <x:v>76.56122448979592</x:v>
      </x:c>
      <x:c r="J65" s="94" t="n">
        <x:v>72.98</x:v>
      </x:c>
      <x:c r="K65" s="94" t="n">
        <x:v>76.0765693877551</x:v>
      </x:c>
      <x:c r="L65" s="94" t="n">
        <x:v>76.56122448979592</x:v>
      </x:c>
      <x:c r="M65" s="30" t="n">
        <x:v>11</x:v>
      </x:c>
      <x:c r="N65" s="30" t="n">
        <x:v>12</x:v>
      </x:c>
      <x:c r="O65" s="91" t="n">
        <x:v>0.9166666666666666</x:v>
      </x:c>
      <x:c r="P65" s="30" t="n">
        <x:v>1</x:v>
      </x:c>
      <x:c r="Q65" s="27"/>
      <x:c r="R65" s="27"/>
      <x:c r="S65" s="27"/>
      <x:c r="T65" s="27"/>
      <x:c r="U65" s="27"/>
      <x:c r="V65" s="27"/>
      <x:c r="W65" s="27"/>
      <x:c r="X65" s="27"/>
      <x:c r="Y65" s="27"/>
      <x:c r="Z65" s="27"/>
      <x:c r="AA65" s="27"/>
      <x:c r="AB65" s="27"/>
      <x:c r="AC65" s="27"/>
      <x:c r="AD65" s="27"/>
      <x:c r="AE65" s="27"/>
      <x:c r="AF65" s="27"/>
      <x:c r="AG65" s="27"/>
      <x:c r="AH65" s="27"/>
      <x:c r="AI65" s="27"/>
      <x:c r="AJ65" s="27"/>
      <x:c r="AK65" s="27"/>
      <x:c r="AL65" s="27"/>
      <x:c r="AM65" s="27"/>
      <x:c r="AN65" s="27"/>
      <x:c r="AO65" s="27"/>
      <x:c r="AP65" s="27"/>
      <x:c r="AQ65" s="27"/>
      <x:c r="AR65" s="27"/>
      <x:c r="AS65" s="27"/>
      <x:c r="AT65" s="27"/>
      <x:c r="AU65" s="27"/>
      <x:c r="AV65" s="27"/>
      <x:c r="AW65" s="27"/>
      <x:c r="AX65" s="27"/>
      <x:c r="AY65" s="27"/>
      <x:c r="AZ65" s="27"/>
    </x:row>
    <x:row r="66">
      <x:c r="A66" s="30" t="str">
        <x:v>TE-0057</x:v>
      </x:c>
      <x:c r="B66" s="30" t="n">
        <x:v>57</x:v>
      </x:c>
      <x:c r="C66" s="30" t="str">
        <x:v>Nate Kurisky</x:v>
      </x:c>
      <x:c r="D66" s="30" t="n">
        <x:v>80</x:v>
      </x:c>
      <x:c r="E66" s="30" t="str">
        <x:v>Platinum Rare</x:v>
      </x:c>
      <x:c r="F66" s="30" t="str">
        <x:v>Physical Route Runner</x:v>
      </x:c>
      <x:c r="G66" s="30" t="str">
        <x:v>71% VT + 29% Possession</x:v>
      </x:c>
      <x:c r="H66" s="94" t="n">
        <x:v>76.77</x:v>
      </x:c>
      <x:c r="I66" s="94" t="n">
        <x:v>76.87755102040816</x:v>
      </x:c>
      <x:c r="J66" s="94" t="n">
        <x:v>75.6</x:v>
      </x:c>
      <x:c r="K66" s="94" t="n">
        <x:v>76.84636122448978</x:v>
      </x:c>
      <x:c r="L66" s="94" t="n">
        <x:v>76.84636122448978</x:v>
      </x:c>
      <x:c r="M66" s="30" t="n">
        <x:v>20</x:v>
      </x:c>
      <x:c r="N66" s="30" t="n">
        <x:v>20</x:v>
      </x:c>
      <x:c r="O66" s="91" t="n">
        <x:v>1</x:v>
      </x:c>
      <x:c r="P66" s="30" t="n">
        <x:v>0</x:v>
      </x:c>
      <x:c r="Q66" s="27"/>
      <x:c r="R66" s="27"/>
      <x:c r="S66" s="27"/>
      <x:c r="T66" s="27"/>
      <x:c r="U66" s="27"/>
      <x:c r="V66" s="27"/>
      <x:c r="W66" s="27"/>
      <x:c r="X66" s="27"/>
      <x:c r="Y66" s="27"/>
      <x:c r="Z66" s="27"/>
      <x:c r="AA66" s="27"/>
      <x:c r="AB66" s="27"/>
      <x:c r="AC66" s="27"/>
      <x:c r="AD66" s="27"/>
      <x:c r="AE66" s="27"/>
      <x:c r="AF66" s="27"/>
      <x:c r="AG66" s="27"/>
      <x:c r="AH66" s="27"/>
      <x:c r="AI66" s="27"/>
      <x:c r="AJ66" s="27"/>
      <x:c r="AK66" s="27"/>
      <x:c r="AL66" s="27"/>
      <x:c r="AM66" s="27"/>
      <x:c r="AN66" s="27"/>
      <x:c r="AO66" s="27"/>
      <x:c r="AP66" s="27"/>
      <x:c r="AQ66" s="27"/>
      <x:c r="AR66" s="27"/>
      <x:c r="AS66" s="27"/>
      <x:c r="AT66" s="27"/>
      <x:c r="AU66" s="27"/>
      <x:c r="AV66" s="27"/>
      <x:c r="AW66" s="27"/>
      <x:c r="AX66" s="27"/>
      <x:c r="AY66" s="27"/>
      <x:c r="AZ66" s="27"/>
    </x:row>
    <x:row r="67">
      <x:c r="A67" s="30" t="str">
        <x:v>TE-0058</x:v>
      </x:c>
      <x:c r="B67" s="30" t="n">
        <x:v>58</x:v>
      </x:c>
      <x:c r="C67" s="30" t="str">
        <x:v>Walker Lyons</x:v>
      </x:c>
      <x:c r="D67" s="30" t="n">
        <x:v>80</x:v>
      </x:c>
      <x:c r="E67" s="30" t="str">
        <x:v>Platinum Rare</x:v>
      </x:c>
      <x:c r="F67" s="30" t="str">
        <x:v>Physical Route Runner</x:v>
      </x:c>
      <x:c r="G67" s="30" t="str">
        <x:v>71% VT + 29% Possession</x:v>
      </x:c>
      <x:c r="H67" s="94" t="n">
        <x:v>74.88</x:v>
      </x:c>
      <x:c r="I67" s="94" t="n">
        <x:v>76.93877551020408</x:v>
      </x:c>
      <x:c r="J67" s="94" t="n">
        <x:v>68.39</x:v>
      </x:c>
      <x:c r="K67" s="94" t="n">
        <x:v>76.34173061224489</x:v>
      </x:c>
      <x:c r="L67" s="94" t="n">
        <x:v>76.34173061224489</x:v>
      </x:c>
      <x:c r="M67" s="30" t="n">
        <x:v>20</x:v>
      </x:c>
      <x:c r="N67" s="30" t="n">
        <x:v>20</x:v>
      </x:c>
      <x:c r="O67" s="91" t="n">
        <x:v>1</x:v>
      </x:c>
      <x:c r="P67" s="30" t="n">
        <x:v>0</x:v>
      </x:c>
      <x:c r="Q67" s="27"/>
      <x:c r="R67" s="27"/>
      <x:c r="S67" s="27"/>
      <x:c r="T67" s="27"/>
      <x:c r="U67" s="27"/>
      <x:c r="V67" s="27"/>
      <x:c r="W67" s="27"/>
      <x:c r="X67" s="27"/>
      <x:c r="Y67" s="27"/>
      <x:c r="Z67" s="27"/>
      <x:c r="AA67" s="27"/>
      <x:c r="AB67" s="27"/>
      <x:c r="AC67" s="27"/>
      <x:c r="AD67" s="27"/>
      <x:c r="AE67" s="27"/>
      <x:c r="AF67" s="27"/>
      <x:c r="AG67" s="27"/>
      <x:c r="AH67" s="27"/>
      <x:c r="AI67" s="27"/>
      <x:c r="AJ67" s="27"/>
      <x:c r="AK67" s="27"/>
      <x:c r="AL67" s="27"/>
      <x:c r="AM67" s="27"/>
      <x:c r="AN67" s="27"/>
      <x:c r="AO67" s="27"/>
      <x:c r="AP67" s="27"/>
      <x:c r="AQ67" s="27"/>
      <x:c r="AR67" s="27"/>
      <x:c r="AS67" s="27"/>
      <x:c r="AT67" s="27"/>
      <x:c r="AU67" s="27"/>
      <x:c r="AV67" s="27"/>
      <x:c r="AW67" s="27"/>
      <x:c r="AX67" s="27"/>
      <x:c r="AY67" s="27"/>
      <x:c r="AZ67" s="27"/>
    </x:row>
    <x:row r="68">
      <x:c r="A68" s="30" t="str">
        <x:v>TE-0059</x:v>
      </x:c>
      <x:c r="B68" s="30" t="n">
        <x:v>59</x:v>
      </x:c>
      <x:c r="C68" s="30" t="str">
        <x:v>Walker Lyons</x:v>
      </x:c>
      <x:c r="D68" s="30" t="n">
        <x:v>80</x:v>
      </x:c>
      <x:c r="E68" s="30" t="str">
        <x:v>Core Rare</x:v>
      </x:c>
      <x:c r="F68" s="30" t="str">
        <x:v>Physical Route Runner</x:v>
      </x:c>
      <x:c r="G68" s="30" t="str">
        <x:v>71% VT + 29% Possession</x:v>
      </x:c>
      <x:c r="H68" s="94" t="n">
        <x:v>74.88</x:v>
      </x:c>
      <x:c r="I68" s="94" t="n">
        <x:v>76.93877551020408</x:v>
      </x:c>
      <x:c r="J68" s="94" t="n">
        <x:v>68.39</x:v>
      </x:c>
      <x:c r="K68" s="94" t="n">
        <x:v>76.34173061224489</x:v>
      </x:c>
      <x:c r="L68" s="94" t="n">
        <x:v>76.34173061224489</x:v>
      </x:c>
      <x:c r="M68" s="30" t="n">
        <x:v>20</x:v>
      </x:c>
      <x:c r="N68" s="30" t="n">
        <x:v>20</x:v>
      </x:c>
      <x:c r="O68" s="91" t="n">
        <x:v>1</x:v>
      </x:c>
      <x:c r="P68" s="30" t="n">
        <x:v>0</x:v>
      </x:c>
      <x:c r="Q68" s="27"/>
      <x:c r="R68" s="27"/>
      <x:c r="S68" s="27"/>
      <x:c r="T68" s="27"/>
      <x:c r="U68" s="27"/>
      <x:c r="V68" s="27"/>
      <x:c r="W68" s="27"/>
      <x:c r="X68" s="27"/>
      <x:c r="Y68" s="27"/>
      <x:c r="Z68" s="27"/>
      <x:c r="AA68" s="27"/>
      <x:c r="AB68" s="27"/>
      <x:c r="AC68" s="27"/>
      <x:c r="AD68" s="27"/>
      <x:c r="AE68" s="27"/>
      <x:c r="AF68" s="27"/>
      <x:c r="AG68" s="27"/>
      <x:c r="AH68" s="27"/>
      <x:c r="AI68" s="27"/>
      <x:c r="AJ68" s="27"/>
      <x:c r="AK68" s="27"/>
      <x:c r="AL68" s="27"/>
      <x:c r="AM68" s="27"/>
      <x:c r="AN68" s="27"/>
      <x:c r="AO68" s="27"/>
      <x:c r="AP68" s="27"/>
      <x:c r="AQ68" s="27"/>
      <x:c r="AR68" s="27"/>
      <x:c r="AS68" s="27"/>
      <x:c r="AT68" s="27"/>
      <x:c r="AU68" s="27"/>
      <x:c r="AV68" s="27"/>
      <x:c r="AW68" s="27"/>
      <x:c r="AX68" s="27"/>
      <x:c r="AY68" s="27"/>
      <x:c r="AZ68" s="27"/>
    </x:row>
    <x:row r="69">
      <x:c r="A69" s="30" t="str">
        <x:v>TE-0060</x:v>
      </x:c>
      <x:c r="B69" s="30" t="n">
        <x:v>60</x:v>
      </x:c>
      <x:c r="C69" s="30" t="str">
        <x:v>Randy Pittman Jr.</x:v>
      </x:c>
      <x:c r="D69" s="30" t="n">
        <x:v>80</x:v>
      </x:c>
      <x:c r="E69" s="30" t="str">
        <x:v>Platinum Rare</x:v>
      </x:c>
      <x:c r="F69" s="30" t="str">
        <x:v>Vertical Threat</x:v>
      </x:c>
      <x:c r="G69" s="30" t="str">
        <x:v>M19 Vertical (ELU omitted; remaining 98 renormalized)</x:v>
      </x:c>
      <x:c r="H69" s="94" t="n">
        <x:v>73.13</x:v>
      </x:c>
      <x:c r="I69" s="94" t="n">
        <x:v>75.66326530612245</x:v>
      </x:c>
      <x:c r="J69" s="94" t="n">
        <x:v>68.28</x:v>
      </x:c>
      <x:c r="K69" s="94" t="n">
        <x:v>74.92861836734693</x:v>
      </x:c>
      <x:c r="L69" s="94" t="n">
        <x:v>75.66326530612245</x:v>
      </x:c>
      <x:c r="M69" s="30" t="n">
        <x:v>11</x:v>
      </x:c>
      <x:c r="N69" s="30" t="n">
        <x:v>12</x:v>
      </x:c>
      <x:c r="O69" s="91" t="n">
        <x:v>0.9166666666666666</x:v>
      </x:c>
      <x:c r="P69" s="30" t="n">
        <x:v>1</x:v>
      </x:c>
      <x:c r="Q69" s="27"/>
      <x:c r="R69" s="27"/>
      <x:c r="S69" s="27"/>
      <x:c r="T69" s="27"/>
      <x:c r="U69" s="27"/>
      <x:c r="V69" s="27"/>
      <x:c r="W69" s="27"/>
      <x:c r="X69" s="27"/>
      <x:c r="Y69" s="27"/>
      <x:c r="Z69" s="27"/>
      <x:c r="AA69" s="27"/>
      <x:c r="AB69" s="27"/>
      <x:c r="AC69" s="27"/>
      <x:c r="AD69" s="27"/>
      <x:c r="AE69" s="27"/>
      <x:c r="AF69" s="27"/>
      <x:c r="AG69" s="27"/>
      <x:c r="AH69" s="27"/>
      <x:c r="AI69" s="27"/>
      <x:c r="AJ69" s="27"/>
      <x:c r="AK69" s="27"/>
      <x:c r="AL69" s="27"/>
      <x:c r="AM69" s="27"/>
      <x:c r="AN69" s="27"/>
      <x:c r="AO69" s="27"/>
      <x:c r="AP69" s="27"/>
      <x:c r="AQ69" s="27"/>
      <x:c r="AR69" s="27"/>
      <x:c r="AS69" s="27"/>
      <x:c r="AT69" s="27"/>
      <x:c r="AU69" s="27"/>
      <x:c r="AV69" s="27"/>
      <x:c r="AW69" s="27"/>
      <x:c r="AX69" s="27"/>
      <x:c r="AY69" s="27"/>
      <x:c r="AZ69" s="27"/>
    </x:row>
    <x:row r="70">
      <x:c r="A70" s="30" t="str">
        <x:v>TE-0061</x:v>
      </x:c>
      <x:c r="B70" s="30" t="n">
        <x:v>61</x:v>
      </x:c>
      <x:c r="C70" s="30" t="str">
        <x:v>Jaden Platt</x:v>
      </x:c>
      <x:c r="D70" s="30" t="n">
        <x:v>80</x:v>
      </x:c>
      <x:c r="E70" s="30" t="str">
        <x:v>Platinum Rare</x:v>
      </x:c>
      <x:c r="F70" s="30" t="str">
        <x:v>Physical Route Runner</x:v>
      </x:c>
      <x:c r="G70" s="30" t="str">
        <x:v>71% VT + 29% Possession</x:v>
      </x:c>
      <x:c r="H70" s="94" t="n">
        <x:v>76.67</x:v>
      </x:c>
      <x:c r="I70" s="94" t="n">
        <x:v>76.61224489795919</x:v>
      </x:c>
      <x:c r="J70" s="94" t="n">
        <x:v>75.05</x:v>
      </x:c>
      <x:c r="K70" s="94" t="n">
        <x:v>76.62899387755101</x:v>
      </x:c>
      <x:c r="L70" s="94" t="n">
        <x:v>76.62899387755101</x:v>
      </x:c>
      <x:c r="M70" s="30" t="n">
        <x:v>20</x:v>
      </x:c>
      <x:c r="N70" s="30" t="n">
        <x:v>20</x:v>
      </x:c>
      <x:c r="O70" s="91" t="n">
        <x:v>1</x:v>
      </x:c>
      <x:c r="P70" s="30" t="n">
        <x:v>0</x:v>
      </x:c>
      <x:c r="Q70" s="27"/>
      <x:c r="R70" s="27"/>
      <x:c r="S70" s="27"/>
      <x:c r="T70" s="27"/>
      <x:c r="U70" s="27"/>
      <x:c r="V70" s="27"/>
      <x:c r="W70" s="27"/>
      <x:c r="X70" s="27"/>
      <x:c r="Y70" s="27"/>
      <x:c r="Z70" s="27"/>
      <x:c r="AA70" s="27"/>
      <x:c r="AB70" s="27"/>
      <x:c r="AC70" s="27"/>
      <x:c r="AD70" s="27"/>
      <x:c r="AE70" s="27"/>
      <x:c r="AF70" s="27"/>
      <x:c r="AG70" s="27"/>
      <x:c r="AH70" s="27"/>
      <x:c r="AI70" s="27"/>
      <x:c r="AJ70" s="27"/>
      <x:c r="AK70" s="27"/>
      <x:c r="AL70" s="27"/>
      <x:c r="AM70" s="27"/>
      <x:c r="AN70" s="27"/>
      <x:c r="AO70" s="27"/>
      <x:c r="AP70" s="27"/>
      <x:c r="AQ70" s="27"/>
      <x:c r="AR70" s="27"/>
      <x:c r="AS70" s="27"/>
      <x:c r="AT70" s="27"/>
      <x:c r="AU70" s="27"/>
      <x:c r="AV70" s="27"/>
      <x:c r="AW70" s="27"/>
      <x:c r="AX70" s="27"/>
      <x:c r="AY70" s="27"/>
      <x:c r="AZ70" s="27"/>
    </x:row>
    <x:row r="71">
      <x:c r="A71" s="30" t="str">
        <x:v>TE-0062</x:v>
      </x:c>
      <x:c r="B71" s="30" t="n">
        <x:v>63</x:v>
      </x:c>
      <x:c r="C71" s="30" t="str">
        <x:v>Max Reese</x:v>
      </x:c>
      <x:c r="D71" s="30" t="n">
        <x:v>80</x:v>
      </x:c>
      <x:c r="E71" s="30" t="str">
        <x:v>Core Rare</x:v>
      </x:c>
      <x:c r="F71" s="30" t="str">
        <x:v>Physical Route Runner</x:v>
      </x:c>
      <x:c r="G71" s="30" t="str">
        <x:v>71% VT + 29% Possession</x:v>
      </x:c>
      <x:c r="H71" s="94" t="n">
        <x:v>75.64</x:v>
      </x:c>
      <x:c r="I71" s="94" t="n">
        <x:v>76.09183673469387</x:v>
      </x:c>
      <x:c r="J71" s="94" t="n">
        <x:v>72.4</x:v>
      </x:c>
      <x:c r="K71" s="94" t="n">
        <x:v>75.96080408163265</x:v>
      </x:c>
      <x:c r="L71" s="94" t="n">
        <x:v>75.96080408163265</x:v>
      </x:c>
      <x:c r="M71" s="30" t="n">
        <x:v>20</x:v>
      </x:c>
      <x:c r="N71" s="30" t="n">
        <x:v>20</x:v>
      </x:c>
      <x:c r="O71" s="91" t="n">
        <x:v>1</x:v>
      </x:c>
      <x:c r="P71" s="30" t="n">
        <x:v>0</x:v>
      </x:c>
      <x:c r="Q71" s="27"/>
      <x:c r="R71" s="27"/>
      <x:c r="S71" s="27"/>
      <x:c r="T71" s="27"/>
      <x:c r="U71" s="27"/>
      <x:c r="V71" s="27"/>
      <x:c r="W71" s="27"/>
      <x:c r="X71" s="27"/>
      <x:c r="Y71" s="27"/>
      <x:c r="Z71" s="27"/>
      <x:c r="AA71" s="27"/>
      <x:c r="AB71" s="27"/>
      <x:c r="AC71" s="27"/>
      <x:c r="AD71" s="27"/>
      <x:c r="AE71" s="27"/>
      <x:c r="AF71" s="27"/>
      <x:c r="AG71" s="27"/>
      <x:c r="AH71" s="27"/>
      <x:c r="AI71" s="27"/>
      <x:c r="AJ71" s="27"/>
      <x:c r="AK71" s="27"/>
      <x:c r="AL71" s="27"/>
      <x:c r="AM71" s="27"/>
      <x:c r="AN71" s="27"/>
      <x:c r="AO71" s="27"/>
      <x:c r="AP71" s="27"/>
      <x:c r="AQ71" s="27"/>
      <x:c r="AR71" s="27"/>
      <x:c r="AS71" s="27"/>
      <x:c r="AT71" s="27"/>
      <x:c r="AU71" s="27"/>
      <x:c r="AV71" s="27"/>
      <x:c r="AW71" s="27"/>
      <x:c r="AX71" s="27"/>
      <x:c r="AY71" s="27"/>
      <x:c r="AZ71" s="27"/>
    </x:row>
    <x:row r="72">
      <x:c r="A72" s="30" t="str">
        <x:v>TE-0063</x:v>
      </x:c>
      <x:c r="B72" s="30" t="n">
        <x:v>64</x:v>
      </x:c>
      <x:c r="C72" s="30" t="str">
        <x:v>Desirrio Riles</x:v>
      </x:c>
      <x:c r="D72" s="30" t="n">
        <x:v>80</x:v>
      </x:c>
      <x:c r="E72" s="30" t="str">
        <x:v>Core Rare</x:v>
      </x:c>
      <x:c r="F72" s="30" t="str">
        <x:v>Physical Route Runner</x:v>
      </x:c>
      <x:c r="G72" s="30" t="str">
        <x:v>71% VT + 29% Possession</x:v>
      </x:c>
      <x:c r="H72" s="94" t="n">
        <x:v>76.19</x:v>
      </x:c>
      <x:c r="I72" s="94" t="n">
        <x:v>76.26530612244898</x:v>
      </x:c>
      <x:c r="J72" s="94" t="n">
        <x:v>77.34</x:v>
      </x:c>
      <x:c r="K72" s="94" t="n">
        <x:v>76.24346734693877</x:v>
      </x:c>
      <x:c r="L72" s="94" t="n">
        <x:v>76.24346734693877</x:v>
      </x:c>
      <x:c r="M72" s="30" t="n">
        <x:v>20</x:v>
      </x:c>
      <x:c r="N72" s="30" t="n">
        <x:v>20</x:v>
      </x:c>
      <x:c r="O72" s="91" t="n">
        <x:v>1</x:v>
      </x:c>
      <x:c r="P72" s="30" t="n">
        <x:v>0</x:v>
      </x:c>
      <x:c r="Q72" s="27"/>
      <x:c r="R72" s="27"/>
      <x:c r="S72" s="27"/>
      <x:c r="T72" s="27"/>
      <x:c r="U72" s="27"/>
      <x:c r="V72" s="27"/>
      <x:c r="W72" s="27"/>
      <x:c r="X72" s="27"/>
      <x:c r="Y72" s="27"/>
      <x:c r="Z72" s="27"/>
      <x:c r="AA72" s="27"/>
      <x:c r="AB72" s="27"/>
      <x:c r="AC72" s="27"/>
      <x:c r="AD72" s="27"/>
      <x:c r="AE72" s="27"/>
      <x:c r="AF72" s="27"/>
      <x:c r="AG72" s="27"/>
      <x:c r="AH72" s="27"/>
      <x:c r="AI72" s="27"/>
      <x:c r="AJ72" s="27"/>
      <x:c r="AK72" s="27"/>
      <x:c r="AL72" s="27"/>
      <x:c r="AM72" s="27"/>
      <x:c r="AN72" s="27"/>
      <x:c r="AO72" s="27"/>
      <x:c r="AP72" s="27"/>
      <x:c r="AQ72" s="27"/>
      <x:c r="AR72" s="27"/>
      <x:c r="AS72" s="27"/>
      <x:c r="AT72" s="27"/>
      <x:c r="AU72" s="27"/>
      <x:c r="AV72" s="27"/>
      <x:c r="AW72" s="27"/>
      <x:c r="AX72" s="27"/>
      <x:c r="AY72" s="27"/>
      <x:c r="AZ72" s="27"/>
    </x:row>
    <x:row r="73">
      <x:c r="A73" s="30" t="str">
        <x:v>TE-0064</x:v>
      </x:c>
      <x:c r="B73" s="30" t="n">
        <x:v>65</x:v>
      </x:c>
      <x:c r="C73" s="30" t="str">
        <x:v>Jeremy Shockey</x:v>
      </x:c>
      <x:c r="D73" s="30" t="n">
        <x:v>80</x:v>
      </x:c>
      <x:c r="E73" s="30" t="str">
        <x:v>Core Legends Millennium</x:v>
      </x:c>
      <x:c r="F73" s="30" t="str">
        <x:v>Gritty Possession</x:v>
      </x:c>
      <x:c r="G73" s="30" t="str">
        <x:v>M19 Possession</x:v>
      </x:c>
      <x:c r="H73" s="94" t="n">
        <x:v>75.72</x:v>
      </x:c>
      <x:c r="I73" s="94" t="n">
        <x:v>76.22448979591837</x:v>
      </x:c>
      <x:c r="J73" s="94" t="n">
        <x:v>73.9</x:v>
      </x:c>
      <x:c r="K73" s="94" t="n">
        <x:v>76.07818775510204</x:v>
      </x:c>
      <x:c r="L73" s="94" t="n">
        <x:v>75.72</x:v>
      </x:c>
      <x:c r="M73" s="30" t="n">
        <x:v>11</x:v>
      </x:c>
      <x:c r="N73" s="30" t="n">
        <x:v>11</x:v>
      </x:c>
      <x:c r="O73" s="91" t="n">
        <x:v>1</x:v>
      </x:c>
      <x:c r="P73" s="30" t="n">
        <x:v>0</x:v>
      </x:c>
      <x:c r="Q73" s="27"/>
      <x:c r="R73" s="27"/>
      <x:c r="S73" s="27"/>
      <x:c r="T73" s="27"/>
      <x:c r="U73" s="27"/>
      <x:c r="V73" s="27"/>
      <x:c r="W73" s="27"/>
      <x:c r="X73" s="27"/>
      <x:c r="Y73" s="27"/>
      <x:c r="Z73" s="27"/>
      <x:c r="AA73" s="27"/>
      <x:c r="AB73" s="27"/>
      <x:c r="AC73" s="27"/>
      <x:c r="AD73" s="27"/>
      <x:c r="AE73" s="27"/>
      <x:c r="AF73" s="27"/>
      <x:c r="AG73" s="27"/>
      <x:c r="AH73" s="27"/>
      <x:c r="AI73" s="27"/>
      <x:c r="AJ73" s="27"/>
      <x:c r="AK73" s="27"/>
      <x:c r="AL73" s="27"/>
      <x:c r="AM73" s="27"/>
      <x:c r="AN73" s="27"/>
      <x:c r="AO73" s="27"/>
      <x:c r="AP73" s="27"/>
      <x:c r="AQ73" s="27"/>
      <x:c r="AR73" s="27"/>
      <x:c r="AS73" s="27"/>
      <x:c r="AT73" s="27"/>
      <x:c r="AU73" s="27"/>
      <x:c r="AV73" s="27"/>
      <x:c r="AW73" s="27"/>
      <x:c r="AX73" s="27"/>
      <x:c r="AY73" s="27"/>
      <x:c r="AZ73" s="27"/>
    </x:row>
    <x:row r="74">
      <x:c r="A74" s="30" t="str">
        <x:v>TE-0065</x:v>
      </x:c>
      <x:c r="B74" s="30" t="n">
        <x:v>66</x:v>
      </x:c>
      <x:c r="C74" s="30" t="str">
        <x:v>Cole Spence</x:v>
      </x:c>
      <x:c r="D74" s="30" t="n">
        <x:v>80</x:v>
      </x:c>
      <x:c r="E74" s="30" t="str">
        <x:v>Core Rare</x:v>
      </x:c>
      <x:c r="F74" s="30" t="str">
        <x:v>Physical Route Runner</x:v>
      </x:c>
      <x:c r="G74" s="30" t="str">
        <x:v>71% VT + 29% Possession</x:v>
      </x:c>
      <x:c r="H74" s="94" t="n">
        <x:v>76.9</x:v>
      </x:c>
      <x:c r="I74" s="94" t="n">
        <x:v>76.21428571428571</x:v>
      </x:c>
      <x:c r="J74" s="94" t="n">
        <x:v>77.14</x:v>
      </x:c>
      <x:c r="K74" s="94" t="n">
        <x:v>76.41314285714284</x:v>
      </x:c>
      <x:c r="L74" s="94" t="n">
        <x:v>76.41314285714284</x:v>
      </x:c>
      <x:c r="M74" s="30" t="n">
        <x:v>20</x:v>
      </x:c>
      <x:c r="N74" s="30" t="n">
        <x:v>20</x:v>
      </x:c>
      <x:c r="O74" s="91" t="n">
        <x:v>1</x:v>
      </x:c>
      <x:c r="P74" s="30" t="n">
        <x:v>0</x:v>
      </x:c>
      <x:c r="Q74" s="27"/>
      <x:c r="R74" s="27"/>
      <x:c r="S74" s="27"/>
      <x:c r="T74" s="27"/>
      <x:c r="U74" s="27"/>
      <x:c r="V74" s="27"/>
      <x:c r="W74" s="27"/>
      <x:c r="X74" s="27"/>
      <x:c r="Y74" s="27"/>
      <x:c r="Z74" s="27"/>
      <x:c r="AA74" s="27"/>
      <x:c r="AB74" s="27"/>
      <x:c r="AC74" s="27"/>
      <x:c r="AD74" s="27"/>
      <x:c r="AE74" s="27"/>
      <x:c r="AF74" s="27"/>
      <x:c r="AG74" s="27"/>
      <x:c r="AH74" s="27"/>
      <x:c r="AI74" s="27"/>
      <x:c r="AJ74" s="27"/>
      <x:c r="AK74" s="27"/>
      <x:c r="AL74" s="27"/>
      <x:c r="AM74" s="27"/>
      <x:c r="AN74" s="27"/>
      <x:c r="AO74" s="27"/>
      <x:c r="AP74" s="27"/>
      <x:c r="AQ74" s="27"/>
      <x:c r="AR74" s="27"/>
      <x:c r="AS74" s="27"/>
      <x:c r="AT74" s="27"/>
      <x:c r="AU74" s="27"/>
      <x:c r="AV74" s="27"/>
      <x:c r="AW74" s="27"/>
      <x:c r="AX74" s="27"/>
      <x:c r="AY74" s="27"/>
      <x:c r="AZ74" s="27"/>
    </x:row>
    <x:row r="75">
      <x:c r="A75" s="30" t="str">
        <x:v>TE-0066</x:v>
      </x:c>
      <x:c r="B75" s="30" t="n">
        <x:v>67</x:v>
      </x:c>
      <x:c r="C75" s="30" t="str">
        <x:v>Hunter Tipton</x:v>
      </x:c>
      <x:c r="D75" s="30" t="n">
        <x:v>80</x:v>
      </x:c>
      <x:c r="E75" s="30" t="str">
        <x:v>Core Rare</x:v>
      </x:c>
      <x:c r="F75" s="30" t="str">
        <x:v>Vertical Threat</x:v>
      </x:c>
      <x:c r="G75" s="30" t="str">
        <x:v>M19 Vertical (ELU omitted; remaining 98 renormalized)</x:v>
      </x:c>
      <x:c r="H75" s="94" t="n">
        <x:v>76.41</x:v>
      </x:c>
      <x:c r="I75" s="94" t="n">
        <x:v>76.36734693877551</x:v>
      </x:c>
      <x:c r="J75" s="94" t="n">
        <x:v>75.85</x:v>
      </x:c>
      <x:c r="K75" s="94" t="n">
        <x:v>76.37971632653061</x:v>
      </x:c>
      <x:c r="L75" s="94" t="n">
        <x:v>76.36734693877551</x:v>
      </x:c>
      <x:c r="M75" s="30" t="n">
        <x:v>11</x:v>
      </x:c>
      <x:c r="N75" s="30" t="n">
        <x:v>12</x:v>
      </x:c>
      <x:c r="O75" s="91" t="n">
        <x:v>0.9166666666666666</x:v>
      </x:c>
      <x:c r="P75" s="30" t="n">
        <x:v>1</x:v>
      </x:c>
      <x:c r="Q75" s="27"/>
      <x:c r="R75" s="27"/>
      <x:c r="S75" s="27"/>
      <x:c r="T75" s="27"/>
      <x:c r="U75" s="27"/>
      <x:c r="V75" s="27"/>
      <x:c r="W75" s="27"/>
      <x:c r="X75" s="27"/>
      <x:c r="Y75" s="27"/>
      <x:c r="Z75" s="27"/>
      <x:c r="AA75" s="27"/>
      <x:c r="AB75" s="27"/>
      <x:c r="AC75" s="27"/>
      <x:c r="AD75" s="27"/>
      <x:c r="AE75" s="27"/>
      <x:c r="AF75" s="27"/>
      <x:c r="AG75" s="27"/>
      <x:c r="AH75" s="27"/>
      <x:c r="AI75" s="27"/>
      <x:c r="AJ75" s="27"/>
      <x:c r="AK75" s="27"/>
      <x:c r="AL75" s="27"/>
      <x:c r="AM75" s="27"/>
      <x:c r="AN75" s="27"/>
      <x:c r="AO75" s="27"/>
      <x:c r="AP75" s="27"/>
      <x:c r="AQ75" s="27"/>
      <x:c r="AR75" s="27"/>
      <x:c r="AS75" s="27"/>
      <x:c r="AT75" s="27"/>
      <x:c r="AU75" s="27"/>
      <x:c r="AV75" s="27"/>
      <x:c r="AW75" s="27"/>
      <x:c r="AX75" s="27"/>
      <x:c r="AY75" s="27"/>
      <x:c r="AZ75" s="27"/>
    </x:row>
    <x:row r="76">
      <x:c r="A76" s="30" t="str">
        <x:v>TE-0067</x:v>
      </x:c>
      <x:c r="B76" s="30" t="n">
        <x:v>68</x:v>
      </x:c>
      <x:c r="C76" s="30" t="str">
        <x:v>Ty Washington</x:v>
      </x:c>
      <x:c r="D76" s="30" t="n">
        <x:v>80</x:v>
      </x:c>
      <x:c r="E76" s="30" t="str">
        <x:v>Core Rare</x:v>
      </x:c>
      <x:c r="F76" s="30" t="str">
        <x:v>Physical Route Runner</x:v>
      </x:c>
      <x:c r="G76" s="30" t="str">
        <x:v>71% VT + 29% Possession</x:v>
      </x:c>
      <x:c r="H76" s="94" t="n">
        <x:v>75.35</x:v>
      </x:c>
      <x:c r="I76" s="94" t="n">
        <x:v>75.25510204081633</x:v>
      </x:c>
      <x:c r="J76" s="94" t="n">
        <x:v>72.74</x:v>
      </x:c>
      <x:c r="K76" s="94" t="n">
        <x:v>75.28262244897958</x:v>
      </x:c>
      <x:c r="L76" s="94" t="n">
        <x:v>75.28262244897958</x:v>
      </x:c>
      <x:c r="M76" s="30" t="n">
        <x:v>20</x:v>
      </x:c>
      <x:c r="N76" s="30" t="n">
        <x:v>20</x:v>
      </x:c>
      <x:c r="O76" s="91" t="n">
        <x:v>1</x:v>
      </x:c>
      <x:c r="P76" s="30" t="n">
        <x:v>0</x:v>
      </x:c>
      <x:c r="Q76" s="27"/>
      <x:c r="R76" s="27"/>
      <x:c r="S76" s="27"/>
      <x:c r="T76" s="27"/>
      <x:c r="U76" s="27"/>
      <x:c r="V76" s="27"/>
      <x:c r="W76" s="27"/>
      <x:c r="X76" s="27"/>
      <x:c r="Y76" s="27"/>
      <x:c r="Z76" s="27"/>
      <x:c r="AA76" s="27"/>
      <x:c r="AB76" s="27"/>
      <x:c r="AC76" s="27"/>
      <x:c r="AD76" s="27"/>
      <x:c r="AE76" s="27"/>
      <x:c r="AF76" s="27"/>
      <x:c r="AG76" s="27"/>
      <x:c r="AH76" s="27"/>
      <x:c r="AI76" s="27"/>
      <x:c r="AJ76" s="27"/>
      <x:c r="AK76" s="27"/>
      <x:c r="AL76" s="27"/>
      <x:c r="AM76" s="27"/>
      <x:c r="AN76" s="27"/>
      <x:c r="AO76" s="27"/>
      <x:c r="AP76" s="27"/>
      <x:c r="AQ76" s="27"/>
      <x:c r="AR76" s="27"/>
      <x:c r="AS76" s="27"/>
      <x:c r="AT76" s="27"/>
      <x:c r="AU76" s="27"/>
      <x:c r="AV76" s="27"/>
      <x:c r="AW76" s="27"/>
      <x:c r="AX76" s="27"/>
      <x:c r="AY76" s="27"/>
      <x:c r="AZ76" s="27"/>
    </x:row>
    <x:row r="77">
      <x:c r="A77" s="30" t="str">
        <x:v>TE-0068</x:v>
      </x:c>
      <x:c r="B77" s="30" t="n">
        <x:v>69</x:v>
      </x:c>
      <x:c r="C77" s="30" t="str">
        <x:v>Ty Washington</x:v>
      </x:c>
      <x:c r="D77" s="30" t="n">
        <x:v>80</x:v>
      </x:c>
      <x:c r="E77" s="30" t="str">
        <x:v>Platinum Rare</x:v>
      </x:c>
      <x:c r="F77" s="30" t="str">
        <x:v>Physical Route Runner</x:v>
      </x:c>
      <x:c r="G77" s="30" t="str">
        <x:v>71% VT + 29% Possession</x:v>
      </x:c>
      <x:c r="H77" s="94" t="n">
        <x:v>75.35</x:v>
      </x:c>
      <x:c r="I77" s="94" t="n">
        <x:v>75.25510204081633</x:v>
      </x:c>
      <x:c r="J77" s="94" t="n">
        <x:v>72.74</x:v>
      </x:c>
      <x:c r="K77" s="94" t="n">
        <x:v>75.28262244897958</x:v>
      </x:c>
      <x:c r="L77" s="94" t="n">
        <x:v>75.28262244897958</x:v>
      </x:c>
      <x:c r="M77" s="30" t="n">
        <x:v>20</x:v>
      </x:c>
      <x:c r="N77" s="30" t="n">
        <x:v>20</x:v>
      </x:c>
      <x:c r="O77" s="91" t="n">
        <x:v>1</x:v>
      </x:c>
      <x:c r="P77" s="30" t="n">
        <x:v>0</x:v>
      </x:c>
      <x:c r="Q77" s="27"/>
      <x:c r="R77" s="27"/>
      <x:c r="S77" s="27"/>
      <x:c r="T77" s="27"/>
      <x:c r="U77" s="27"/>
      <x:c r="V77" s="27"/>
      <x:c r="W77" s="27"/>
      <x:c r="X77" s="27"/>
      <x:c r="Y77" s="27"/>
      <x:c r="Z77" s="27"/>
      <x:c r="AA77" s="27"/>
      <x:c r="AB77" s="27"/>
      <x:c r="AC77" s="27"/>
      <x:c r="AD77" s="27"/>
      <x:c r="AE77" s="27"/>
      <x:c r="AF77" s="27"/>
      <x:c r="AG77" s="27"/>
      <x:c r="AH77" s="27"/>
      <x:c r="AI77" s="27"/>
      <x:c r="AJ77" s="27"/>
      <x:c r="AK77" s="27"/>
      <x:c r="AL77" s="27"/>
      <x:c r="AM77" s="27"/>
      <x:c r="AN77" s="27"/>
      <x:c r="AO77" s="27"/>
      <x:c r="AP77" s="27"/>
      <x:c r="AQ77" s="27"/>
      <x:c r="AR77" s="27"/>
      <x:c r="AS77" s="27"/>
      <x:c r="AT77" s="27"/>
      <x:c r="AU77" s="27"/>
      <x:c r="AV77" s="27"/>
      <x:c r="AW77" s="27"/>
      <x:c r="AX77" s="27"/>
      <x:c r="AY77" s="27"/>
      <x:c r="AZ77" s="27"/>
    </x:row>
    <x:row r="78">
      <x:c r="A78" s="27"/>
      <x:c r="B78" s="27"/>
      <x:c r="C78" s="27"/>
      <x:c r="D78" s="27"/>
      <x:c r="E78" s="27"/>
      <x:c r="F78" s="27"/>
      <x:c r="G78" s="27"/>
      <x:c r="H78" s="27"/>
      <x:c r="I78" s="27"/>
      <x:c r="J78" s="27"/>
      <x:c r="K78" s="27"/>
      <x:c r="L78" s="27"/>
      <x:c r="M78" s="27"/>
      <x:c r="N78" s="27"/>
      <x:c r="O78" s="27"/>
      <x:c r="P78" s="27"/>
      <x:c r="Q78" s="27"/>
      <x:c r="R78" s="27"/>
      <x:c r="S78" s="27"/>
      <x:c r="T78" s="27"/>
      <x:c r="U78" s="27"/>
      <x:c r="V78" s="27"/>
      <x:c r="W78" s="27"/>
      <x:c r="X78" s="27"/>
      <x:c r="Y78" s="27"/>
      <x:c r="Z78" s="27"/>
      <x:c r="AA78" s="27"/>
      <x:c r="AB78" s="27"/>
      <x:c r="AC78" s="27"/>
      <x:c r="AD78" s="27"/>
      <x:c r="AE78" s="27"/>
      <x:c r="AF78" s="27"/>
      <x:c r="AG78" s="27"/>
      <x:c r="AH78" s="27"/>
      <x:c r="AI78" s="27"/>
      <x:c r="AJ78" s="27"/>
      <x:c r="AK78" s="27"/>
      <x:c r="AL78" s="27"/>
      <x:c r="AM78" s="27"/>
      <x:c r="AN78" s="27"/>
      <x:c r="AO78" s="27"/>
      <x:c r="AP78" s="27"/>
      <x:c r="AQ78" s="27"/>
      <x:c r="AR78" s="27"/>
      <x:c r="AS78" s="27"/>
      <x:c r="AT78" s="27"/>
      <x:c r="AU78" s="27"/>
      <x:c r="AV78" s="27"/>
      <x:c r="AW78" s="27"/>
      <x:c r="AX78" s="27"/>
      <x:c r="AY78" s="27"/>
      <x:c r="AZ78" s="27"/>
    </x:row>
    <x:row r="79">
      <x:c r="A79" s="27"/>
      <x:c r="B79" s="27"/>
      <x:c r="C79" s="27"/>
      <x:c r="D79" s="27"/>
      <x:c r="E79" s="27"/>
      <x:c r="F79" s="27"/>
      <x:c r="G79" s="27"/>
      <x:c r="H79" s="27"/>
      <x:c r="I79" s="27"/>
      <x:c r="J79" s="27"/>
      <x:c r="K79" s="27"/>
      <x:c r="L79" s="27"/>
      <x:c r="M79" s="27"/>
      <x:c r="N79" s="27"/>
      <x:c r="O79" s="27"/>
      <x:c r="P79" s="27"/>
      <x:c r="Q79" s="27"/>
      <x:c r="R79" s="27"/>
      <x:c r="S79" s="27"/>
      <x:c r="T79" s="27"/>
      <x:c r="U79" s="27"/>
      <x:c r="V79" s="27"/>
      <x:c r="W79" s="27"/>
      <x:c r="X79" s="27"/>
      <x:c r="Y79" s="27"/>
      <x:c r="Z79" s="27"/>
      <x:c r="AA79" s="27"/>
      <x:c r="AB79" s="27"/>
      <x:c r="AC79" s="27"/>
      <x:c r="AD79" s="27"/>
      <x:c r="AE79" s="27"/>
      <x:c r="AF79" s="27"/>
      <x:c r="AG79" s="27"/>
      <x:c r="AH79" s="27"/>
      <x:c r="AI79" s="27"/>
      <x:c r="AJ79" s="27"/>
      <x:c r="AK79" s="27"/>
      <x:c r="AL79" s="27"/>
      <x:c r="AM79" s="27"/>
      <x:c r="AN79" s="27"/>
      <x:c r="AO79" s="27"/>
      <x:c r="AP79" s="27"/>
      <x:c r="AQ79" s="27"/>
      <x:c r="AR79" s="27"/>
      <x:c r="AS79" s="27"/>
      <x:c r="AT79" s="27"/>
      <x:c r="AU79" s="27"/>
      <x:c r="AV79" s="27"/>
      <x:c r="AW79" s="27"/>
      <x:c r="AX79" s="27"/>
      <x:c r="AY79" s="27"/>
      <x:c r="AZ79" s="27"/>
    </x:row>
    <x:row r="80">
      <x:c r="A80" s="96" t="str">
        <x:v>Blind-Test Failure Pairs (Frozen Model — No Refitting)</x:v>
      </x:c>
      <x:c r="B80" s="96"/>
      <x:c r="C80" s="96"/>
      <x:c r="D80" s="96"/>
      <x:c r="E80" s="96"/>
      <x:c r="F80" s="96"/>
      <x:c r="G80" s="96"/>
      <x:c r="H80" s="96"/>
      <x:c r="I80" s="96"/>
      <x:c r="J80" s="96"/>
      <x:c r="K80" s="96"/>
      <x:c r="L80" s="96"/>
      <x:c r="M80" s="96"/>
      <x:c r="N80" s="96"/>
      <x:c r="O80" s="96"/>
      <x:c r="P80" s="96"/>
      <x:c r="Q80" s="27"/>
      <x:c r="R80" s="27"/>
      <x:c r="S80" s="27"/>
      <x:c r="T80" s="27"/>
      <x:c r="U80" s="27"/>
      <x:c r="V80" s="27"/>
      <x:c r="W80" s="27"/>
      <x:c r="X80" s="27"/>
      <x:c r="Y80" s="27"/>
      <x:c r="Z80" s="27"/>
      <x:c r="AA80" s="27"/>
      <x:c r="AB80" s="27"/>
      <x:c r="AC80" s="27"/>
      <x:c r="AD80" s="27"/>
      <x:c r="AE80" s="27"/>
      <x:c r="AF80" s="27"/>
      <x:c r="AG80" s="27"/>
      <x:c r="AH80" s="27"/>
      <x:c r="AI80" s="27"/>
      <x:c r="AJ80" s="27"/>
      <x:c r="AK80" s="27"/>
      <x:c r="AL80" s="27"/>
      <x:c r="AM80" s="27"/>
      <x:c r="AN80" s="27"/>
      <x:c r="AO80" s="27"/>
      <x:c r="AP80" s="27"/>
      <x:c r="AQ80" s="27"/>
      <x:c r="AR80" s="27"/>
      <x:c r="AS80" s="27"/>
      <x:c r="AT80" s="27"/>
      <x:c r="AU80" s="27"/>
      <x:c r="AV80" s="27"/>
      <x:c r="AW80" s="27"/>
      <x:c r="AX80" s="27"/>
      <x:c r="AY80" s="27"/>
      <x:c r="AZ80" s="27"/>
    </x:row>
    <x:row r="81">
      <x:c r="A81" s="97" t="str">
        <x:v>Archetype</x:v>
      </x:c>
      <x:c r="B81" s="97" t="str">
        <x:v>Higher OVR Card</x:v>
      </x:c>
      <x:c r="C81" s="97" t="str">
        <x:v>Higher OVR</x:v>
      </x:c>
      <x:c r="D81" s="97" t="str">
        <x:v>Higher Score</x:v>
      </x:c>
      <x:c r="E81" s="97" t="str">
        <x:v>Lower OVR Card</x:v>
      </x:c>
      <x:c r="F81" s="97" t="str">
        <x:v>Lower OVR</x:v>
      </x:c>
      <x:c r="G81" s="97" t="str">
        <x:v>Lower Score</x:v>
      </x:c>
      <x:c r="H81" s="97" t="str">
        <x:v>Score Inversion</x:v>
      </x:c>
      <x:c r="I81" s="97" t="str">
        <x:v>Primary Diagnostic</x:v>
      </x:c>
      <x:c r="J81" s="27"/>
      <x:c r="K81" s="27"/>
      <x:c r="L81" s="27"/>
      <x:c r="M81" s="27"/>
      <x:c r="N81" s="27"/>
      <x:c r="O81" s="27"/>
      <x:c r="P81" s="27"/>
      <x:c r="Q81" s="27"/>
      <x:c r="R81" s="27"/>
      <x:c r="S81" s="27"/>
      <x:c r="T81" s="27"/>
      <x:c r="U81" s="27"/>
      <x:c r="V81" s="27"/>
      <x:c r="W81" s="27"/>
      <x:c r="X81" s="27"/>
      <x:c r="Y81" s="27"/>
      <x:c r="Z81" s="27"/>
      <x:c r="AA81" s="27"/>
      <x:c r="AB81" s="27"/>
      <x:c r="AC81" s="27"/>
      <x:c r="AD81" s="27"/>
      <x:c r="AE81" s="27"/>
      <x:c r="AF81" s="27"/>
      <x:c r="AG81" s="27"/>
      <x:c r="AH81" s="27"/>
      <x:c r="AI81" s="27"/>
      <x:c r="AJ81" s="27"/>
      <x:c r="AK81" s="27"/>
      <x:c r="AL81" s="27"/>
      <x:c r="AM81" s="27"/>
      <x:c r="AN81" s="27"/>
      <x:c r="AO81" s="27"/>
      <x:c r="AP81" s="27"/>
      <x:c r="AQ81" s="27"/>
      <x:c r="AR81" s="27"/>
      <x:c r="AS81" s="27"/>
      <x:c r="AT81" s="27"/>
      <x:c r="AU81" s="27"/>
      <x:c r="AV81" s="27"/>
      <x:c r="AW81" s="27"/>
      <x:c r="AX81" s="27"/>
      <x:c r="AY81" s="27"/>
      <x:c r="AZ81" s="27"/>
    </x:row>
    <x:row r="82">
      <x:c r="A82" s="30" t="str">
        <x:v>Gritty Possession</x:v>
      </x:c>
      <x:c r="B82" s="30" t="str">
        <x:v>Jalen Hoffman</x:v>
      </x:c>
      <x:c r="C82" s="30" t="n">
        <x:v>81</x:v>
      </x:c>
      <x:c r="D82" s="94" t="n">
        <x:v>76.91</x:v>
      </x:c>
      <x:c r="E82" s="94" t="str">
        <x:v>Christian Bentancur</x:v>
      </x:c>
      <x:c r="F82" s="94" t="n">
        <x:v>80</x:v>
      </x:c>
      <x:c r="G82" s="94" t="n">
        <x:v>76.94</x:v>
      </x:c>
      <x:c r="H82" s="94" t="n">
        <x:v>0.030000000000001137</x:v>
      </x:c>
      <x:c r="I82" s="30" t="str">
        <x:v>Very narrow 0.030 inversion; likely small CFB27 weight/rounding difference.</x:v>
      </x:c>
      <x:c r="J82" s="27"/>
      <x:c r="K82" s="27"/>
      <x:c r="L82" s="27"/>
      <x:c r="M82" s="27"/>
      <x:c r="N82" s="27"/>
      <x:c r="O82" s="27"/>
      <x:c r="P82" s="27"/>
      <x:c r="Q82" s="27"/>
      <x:c r="R82" s="27"/>
      <x:c r="S82" s="27"/>
      <x:c r="T82" s="27"/>
      <x:c r="U82" s="27"/>
      <x:c r="V82" s="27"/>
      <x:c r="W82" s="27"/>
      <x:c r="X82" s="27"/>
      <x:c r="Y82" s="27"/>
      <x:c r="Z82" s="27"/>
      <x:c r="AA82" s="27"/>
      <x:c r="AB82" s="27"/>
      <x:c r="AC82" s="27"/>
      <x:c r="AD82" s="27"/>
      <x:c r="AE82" s="27"/>
      <x:c r="AF82" s="27"/>
      <x:c r="AG82" s="27"/>
      <x:c r="AH82" s="27"/>
      <x:c r="AI82" s="27"/>
      <x:c r="AJ82" s="27"/>
      <x:c r="AK82" s="27"/>
      <x:c r="AL82" s="27"/>
      <x:c r="AM82" s="27"/>
      <x:c r="AN82" s="27"/>
      <x:c r="AO82" s="27"/>
      <x:c r="AP82" s="27"/>
      <x:c r="AQ82" s="27"/>
      <x:c r="AR82" s="27"/>
      <x:c r="AS82" s="27"/>
      <x:c r="AT82" s="27"/>
      <x:c r="AU82" s="27"/>
      <x:c r="AV82" s="27"/>
      <x:c r="AW82" s="27"/>
      <x:c r="AX82" s="27"/>
      <x:c r="AY82" s="27"/>
      <x:c r="AZ82" s="27"/>
    </x:row>
    <x:row r="83">
      <x:c r="A83" s="30" t="str">
        <x:v>Vertical Threat</x:v>
      </x:c>
      <x:c r="B83" s="30" t="str">
        <x:v>Keyan Burnett</x:v>
      </x:c>
      <x:c r="C83" s="30" t="n">
        <x:v>82</x:v>
      </x:c>
      <x:c r="D83" s="94" t="n">
        <x:v>77.44897959183673</x:v>
      </x:c>
      <x:c r="E83" s="94" t="str">
        <x:v>Mason Mini</x:v>
      </x:c>
      <x:c r="F83" s="94" t="n">
        <x:v>81</x:v>
      </x:c>
      <x:c r="G83" s="94" t="n">
        <x:v>77.55102040816327</x:v>
      </x:c>
      <x:c r="H83" s="94" t="n">
        <x:v>0.10204081632653583</x:v>
      </x:c>
      <x:c r="I83" s="30" t="str">
        <x:v>Mason's strong speed/receiving profile scores like an 82 under Madden VT despite displayed 81; indicates weight mismatch at low OVR.</x:v>
      </x:c>
      <x:c r="J83" s="27"/>
      <x:c r="K83" s="27"/>
      <x:c r="L83" s="27"/>
      <x:c r="M83" s="27"/>
      <x:c r="N83" s="27"/>
      <x:c r="O83" s="27"/>
      <x:c r="P83" s="27"/>
      <x:c r="Q83" s="27"/>
      <x:c r="R83" s="27"/>
      <x:c r="S83" s="27"/>
      <x:c r="T83" s="27"/>
      <x:c r="U83" s="27"/>
      <x:c r="V83" s="27"/>
      <x:c r="W83" s="27"/>
      <x:c r="X83" s="27"/>
      <x:c r="Y83" s="27"/>
      <x:c r="Z83" s="27"/>
      <x:c r="AA83" s="27"/>
      <x:c r="AB83" s="27"/>
      <x:c r="AC83" s="27"/>
      <x:c r="AD83" s="27"/>
      <x:c r="AE83" s="27"/>
      <x:c r="AF83" s="27"/>
      <x:c r="AG83" s="27"/>
      <x:c r="AH83" s="27"/>
      <x:c r="AI83" s="27"/>
      <x:c r="AJ83" s="27"/>
      <x:c r="AK83" s="27"/>
      <x:c r="AL83" s="27"/>
      <x:c r="AM83" s="27"/>
      <x:c r="AN83" s="27"/>
      <x:c r="AO83" s="27"/>
      <x:c r="AP83" s="27"/>
      <x:c r="AQ83" s="27"/>
      <x:c r="AR83" s="27"/>
      <x:c r="AS83" s="27"/>
      <x:c r="AT83" s="27"/>
      <x:c r="AU83" s="27"/>
      <x:c r="AV83" s="27"/>
      <x:c r="AW83" s="27"/>
      <x:c r="AX83" s="27"/>
      <x:c r="AY83" s="27"/>
      <x:c r="AZ83" s="27"/>
    </x:row>
    <x:row r="84">
      <x:c r="A84" s="30" t="str">
        <x:v>Vertical Threat</x:v>
      </x:c>
      <x:c r="B84" s="30" t="str">
        <x:v>Luke Reynolds</x:v>
      </x:c>
      <x:c r="C84" s="30" t="n">
        <x:v>82</x:v>
      </x:c>
      <x:c r="D84" s="94" t="n">
        <x:v>76.61224489795919</x:v>
      </x:c>
      <x:c r="E84" s="94" t="str">
        <x:v>Mason Mini</x:v>
      </x:c>
      <x:c r="F84" s="94" t="n">
        <x:v>81</x:v>
      </x:c>
      <x:c r="G84" s="94" t="n">
        <x:v>77.55102040816327</x:v>
      </x:c>
      <x:c r="H84" s="94" t="n">
        <x:v>0.9387755102040813</x:v>
      </x:c>
      <x:c r="I84" s="30" t="str">
        <x:v>Mason's strong speed/receiving profile scores like an 82 under Madden VT despite displayed 81; indicates weight mismatch at low OVR.</x:v>
      </x:c>
      <x:c r="J84" s="27"/>
      <x:c r="K84" s="27"/>
      <x:c r="L84" s="27"/>
      <x:c r="M84" s="27"/>
      <x:c r="N84" s="27"/>
      <x:c r="O84" s="27"/>
      <x:c r="P84" s="27"/>
      <x:c r="Q84" s="27"/>
      <x:c r="R84" s="27"/>
      <x:c r="S84" s="27"/>
      <x:c r="T84" s="27"/>
      <x:c r="U84" s="27"/>
      <x:c r="V84" s="27"/>
      <x:c r="W84" s="27"/>
      <x:c r="X84" s="27"/>
      <x:c r="Y84" s="27"/>
      <x:c r="Z84" s="27"/>
      <x:c r="AA84" s="27"/>
      <x:c r="AB84" s="27"/>
      <x:c r="AC84" s="27"/>
      <x:c r="AD84" s="27"/>
      <x:c r="AE84" s="27"/>
      <x:c r="AF84" s="27"/>
      <x:c r="AG84" s="27"/>
      <x:c r="AH84" s="27"/>
      <x:c r="AI84" s="27"/>
      <x:c r="AJ84" s="27"/>
      <x:c r="AK84" s="27"/>
      <x:c r="AL84" s="27"/>
      <x:c r="AM84" s="27"/>
      <x:c r="AN84" s="27"/>
      <x:c r="AO84" s="27"/>
      <x:c r="AP84" s="27"/>
      <x:c r="AQ84" s="27"/>
      <x:c r="AR84" s="27"/>
      <x:c r="AS84" s="27"/>
      <x:c r="AT84" s="27"/>
      <x:c r="AU84" s="27"/>
      <x:c r="AV84" s="27"/>
      <x:c r="AW84" s="27"/>
      <x:c r="AX84" s="27"/>
      <x:c r="AY84" s="27"/>
      <x:c r="AZ84" s="27"/>
    </x:row>
    <x:row r="85">
      <x:c r="A85" s="30" t="str">
        <x:v>Vertical Threat</x:v>
      </x:c>
      <x:c r="B85" s="30" t="str">
        <x:v>Luke Reynolds</x:v>
      </x:c>
      <x:c r="C85" s="30" t="n">
        <x:v>82</x:v>
      </x:c>
      <x:c r="D85" s="94" t="n">
        <x:v>76.61224489795919</x:v>
      </x:c>
      <x:c r="E85" s="94" t="str">
        <x:v>Jaleel Skinner</x:v>
      </x:c>
      <x:c r="F85" s="94" t="n">
        <x:v>81</x:v>
      </x:c>
      <x:c r="G85" s="94" t="n">
        <x:v>76.83673469387755</x:v>
      </x:c>
      <x:c r="H85" s="94" t="n">
        <x:v>0.22448979591835894</x:v>
      </x:c>
      <x:c r="I85" s="30" t="str">
        <x:v>Cross-tier inversion indicates v1.1 VT weights are not the exact CFB27 formula.</x:v>
      </x:c>
      <x:c r="J85" s="27"/>
      <x:c r="K85" s="27"/>
      <x:c r="L85" s="27"/>
      <x:c r="M85" s="27"/>
      <x:c r="N85" s="27"/>
      <x:c r="O85" s="27"/>
      <x:c r="P85" s="27"/>
      <x:c r="Q85" s="27"/>
      <x:c r="R85" s="27"/>
      <x:c r="S85" s="27"/>
      <x:c r="T85" s="27"/>
      <x:c r="U85" s="27"/>
      <x:c r="V85" s="27"/>
      <x:c r="W85" s="27"/>
      <x:c r="X85" s="27"/>
      <x:c r="Y85" s="27"/>
      <x:c r="Z85" s="27"/>
      <x:c r="AA85" s="27"/>
      <x:c r="AB85" s="27"/>
      <x:c r="AC85" s="27"/>
      <x:c r="AD85" s="27"/>
      <x:c r="AE85" s="27"/>
      <x:c r="AF85" s="27"/>
      <x:c r="AG85" s="27"/>
      <x:c r="AH85" s="27"/>
      <x:c r="AI85" s="27"/>
      <x:c r="AJ85" s="27"/>
      <x:c r="AK85" s="27"/>
      <x:c r="AL85" s="27"/>
      <x:c r="AM85" s="27"/>
      <x:c r="AN85" s="27"/>
      <x:c r="AO85" s="27"/>
      <x:c r="AP85" s="27"/>
      <x:c r="AQ85" s="27"/>
      <x:c r="AR85" s="27"/>
      <x:c r="AS85" s="27"/>
      <x:c r="AT85" s="27"/>
      <x:c r="AU85" s="27"/>
      <x:c r="AV85" s="27"/>
      <x:c r="AW85" s="27"/>
      <x:c r="AX85" s="27"/>
      <x:c r="AY85" s="27"/>
      <x:c r="AZ85" s="27"/>
    </x:row>
    <x:row r="86">
      <x:c r="A86" s="30" t="str">
        <x:v>Vertical Threat</x:v>
      </x:c>
      <x:c r="B86" s="30" t="str">
        <x:v>Jelani Thurman</x:v>
      </x:c>
      <x:c r="C86" s="30" t="n">
        <x:v>81</x:v>
      </x:c>
      <x:c r="D86" s="94" t="n">
        <x:v>75.58163265306122</x:v>
      </x:c>
      <x:c r="E86" s="94" t="str">
        <x:v>Peter Clarke</x:v>
      </x:c>
      <x:c r="F86" s="94" t="n">
        <x:v>80</x:v>
      </x:c>
      <x:c r="G86" s="94" t="n">
        <x:v>75.94897959183673</x:v>
      </x:c>
      <x:c r="H86" s="94" t="n">
        <x:v>0.36734693877551194</x:v>
      </x:c>
      <x:c r="I86" s="30" t="str">
        <x:v>Jelani has unusually strong all-around blocking (81/81/84 RBK/RBF/RBP; 81 PBK/PBF; 79 PBP; 80 LBK; 81 IBL), suggesting Madden VT under-credits non-receiving value.</x:v>
      </x:c>
      <x:c r="J86" s="27"/>
      <x:c r="K86" s="27"/>
      <x:c r="L86" s="27"/>
      <x:c r="M86" s="27"/>
      <x:c r="N86" s="27"/>
      <x:c r="O86" s="27"/>
      <x:c r="P86" s="27"/>
      <x:c r="Q86" s="27"/>
      <x:c r="R86" s="27"/>
      <x:c r="S86" s="27"/>
      <x:c r="T86" s="27"/>
      <x:c r="U86" s="27"/>
      <x:c r="V86" s="27"/>
      <x:c r="W86" s="27"/>
      <x:c r="X86" s="27"/>
      <x:c r="Y86" s="27"/>
      <x:c r="Z86" s="27"/>
      <x:c r="AA86" s="27"/>
      <x:c r="AB86" s="27"/>
      <x:c r="AC86" s="27"/>
      <x:c r="AD86" s="27"/>
      <x:c r="AE86" s="27"/>
      <x:c r="AF86" s="27"/>
      <x:c r="AG86" s="27"/>
      <x:c r="AH86" s="27"/>
      <x:c r="AI86" s="27"/>
      <x:c r="AJ86" s="27"/>
      <x:c r="AK86" s="27"/>
      <x:c r="AL86" s="27"/>
      <x:c r="AM86" s="27"/>
      <x:c r="AN86" s="27"/>
      <x:c r="AO86" s="27"/>
      <x:c r="AP86" s="27"/>
      <x:c r="AQ86" s="27"/>
      <x:c r="AR86" s="27"/>
      <x:c r="AS86" s="27"/>
      <x:c r="AT86" s="27"/>
      <x:c r="AU86" s="27"/>
      <x:c r="AV86" s="27"/>
      <x:c r="AW86" s="27"/>
      <x:c r="AX86" s="27"/>
      <x:c r="AY86" s="27"/>
      <x:c r="AZ86" s="27"/>
    </x:row>
    <x:row r="87">
      <x:c r="A87" s="30" t="str">
        <x:v>Vertical Threat</x:v>
      </x:c>
      <x:c r="B87" s="30" t="str">
        <x:v>Jelani Thurman</x:v>
      </x:c>
      <x:c r="C87" s="30" t="n">
        <x:v>81</x:v>
      </x:c>
      <x:c r="D87" s="94" t="n">
        <x:v>75.58163265306122</x:v>
      </x:c>
      <x:c r="E87" s="94" t="str">
        <x:v>Matt Wagner</x:v>
      </x:c>
      <x:c r="F87" s="94" t="n">
        <x:v>80</x:v>
      </x:c>
      <x:c r="G87" s="94" t="n">
        <x:v>76.33673469387755</x:v>
      </x:c>
      <x:c r="H87" s="94" t="n">
        <x:v>0.7551020408163254</x:v>
      </x:c>
      <x:c r="I87" s="30" t="str">
        <x:v>Jelani has unusually strong all-around blocking (81/81/84 RBK/RBF/RBP; 81 PBK/PBF; 79 PBP; 80 LBK; 81 IBL), suggesting Madden VT under-credits non-receiving value.</x:v>
      </x:c>
      <x:c r="J87" s="27"/>
      <x:c r="K87" s="27"/>
      <x:c r="L87" s="27"/>
      <x:c r="M87" s="27"/>
      <x:c r="N87" s="27"/>
      <x:c r="O87" s="27"/>
      <x:c r="P87" s="27"/>
      <x:c r="Q87" s="27"/>
      <x:c r="R87" s="27"/>
      <x:c r="S87" s="27"/>
      <x:c r="T87" s="27"/>
      <x:c r="U87" s="27"/>
      <x:c r="V87" s="27"/>
      <x:c r="W87" s="27"/>
      <x:c r="X87" s="27"/>
      <x:c r="Y87" s="27"/>
      <x:c r="Z87" s="27"/>
      <x:c r="AA87" s="27"/>
      <x:c r="AB87" s="27"/>
      <x:c r="AC87" s="27"/>
      <x:c r="AD87" s="27"/>
      <x:c r="AE87" s="27"/>
      <x:c r="AF87" s="27"/>
      <x:c r="AG87" s="27"/>
      <x:c r="AH87" s="27"/>
      <x:c r="AI87" s="27"/>
      <x:c r="AJ87" s="27"/>
      <x:c r="AK87" s="27"/>
      <x:c r="AL87" s="27"/>
      <x:c r="AM87" s="27"/>
      <x:c r="AN87" s="27"/>
      <x:c r="AO87" s="27"/>
      <x:c r="AP87" s="27"/>
      <x:c r="AQ87" s="27"/>
      <x:c r="AR87" s="27"/>
      <x:c r="AS87" s="27"/>
      <x:c r="AT87" s="27"/>
      <x:c r="AU87" s="27"/>
      <x:c r="AV87" s="27"/>
      <x:c r="AW87" s="27"/>
      <x:c r="AX87" s="27"/>
      <x:c r="AY87" s="27"/>
      <x:c r="AZ87" s="27"/>
    </x:row>
    <x:row r="88">
      <x:c r="A88" s="30" t="str">
        <x:v>Vertical Threat</x:v>
      </x:c>
      <x:c r="B88" s="30" t="str">
        <x:v>Jelani Thurman</x:v>
      </x:c>
      <x:c r="C88" s="30" t="n">
        <x:v>81</x:v>
      </x:c>
      <x:c r="D88" s="94" t="n">
        <x:v>75.58163265306122</x:v>
      </x:c>
      <x:c r="E88" s="94" t="str">
        <x:v>Vernon Davis</x:v>
      </x:c>
      <x:c r="F88" s="94" t="n">
        <x:v>80</x:v>
      </x:c>
      <x:c r="G88" s="94" t="n">
        <x:v>75.6938775510204</x:v>
      </x:c>
      <x:c r="H88" s="94" t="n">
        <x:v>0.11224489795918657</x:v>
      </x:c>
      <x:c r="I88" s="30" t="str">
        <x:v>Jelani has unusually strong all-around blocking (81/81/84 RBK/RBF/RBP; 81 PBK/PBF; 79 PBP; 80 LBK; 81 IBL), suggesting Madden VT under-credits non-receiving value.</x:v>
      </x:c>
      <x:c r="J88" s="27"/>
      <x:c r="K88" s="27"/>
      <x:c r="L88" s="27"/>
      <x:c r="M88" s="27"/>
      <x:c r="N88" s="27"/>
      <x:c r="O88" s="27"/>
      <x:c r="P88" s="27"/>
      <x:c r="Q88" s="27"/>
      <x:c r="R88" s="27"/>
      <x:c r="S88" s="27"/>
      <x:c r="T88" s="27"/>
      <x:c r="U88" s="27"/>
      <x:c r="V88" s="27"/>
      <x:c r="W88" s="27"/>
      <x:c r="X88" s="27"/>
      <x:c r="Y88" s="27"/>
      <x:c r="Z88" s="27"/>
      <x:c r="AA88" s="27"/>
      <x:c r="AB88" s="27"/>
      <x:c r="AC88" s="27"/>
      <x:c r="AD88" s="27"/>
      <x:c r="AE88" s="27"/>
      <x:c r="AF88" s="27"/>
      <x:c r="AG88" s="27"/>
      <x:c r="AH88" s="27"/>
      <x:c r="AI88" s="27"/>
      <x:c r="AJ88" s="27"/>
      <x:c r="AK88" s="27"/>
      <x:c r="AL88" s="27"/>
      <x:c r="AM88" s="27"/>
      <x:c r="AN88" s="27"/>
      <x:c r="AO88" s="27"/>
      <x:c r="AP88" s="27"/>
      <x:c r="AQ88" s="27"/>
      <x:c r="AR88" s="27"/>
      <x:c r="AS88" s="27"/>
      <x:c r="AT88" s="27"/>
      <x:c r="AU88" s="27"/>
      <x:c r="AV88" s="27"/>
      <x:c r="AW88" s="27"/>
      <x:c r="AX88" s="27"/>
      <x:c r="AY88" s="27"/>
      <x:c r="AZ88" s="27"/>
    </x:row>
    <x:row r="89">
      <x:c r="A89" s="30" t="str">
        <x:v>Vertical Threat</x:v>
      </x:c>
      <x:c r="B89" s="30" t="str">
        <x:v>Jelani Thurman</x:v>
      </x:c>
      <x:c r="C89" s="30" t="n">
        <x:v>81</x:v>
      </x:c>
      <x:c r="D89" s="94" t="n">
        <x:v>75.58163265306122</x:v>
      </x:c>
      <x:c r="E89" s="94" t="str">
        <x:v>Preston Howard</x:v>
      </x:c>
      <x:c r="F89" s="94" t="n">
        <x:v>80</x:v>
      </x:c>
      <x:c r="G89" s="94" t="n">
        <x:v>76.56122448979592</x:v>
      </x:c>
      <x:c r="H89" s="94" t="n">
        <x:v>0.9795918367346985</x:v>
      </x:c>
      <x:c r="I89" s="30" t="str">
        <x:v>Jelani has unusually strong all-around blocking (81/81/84 RBK/RBF/RBP; 81 PBK/PBF; 79 PBP; 80 LBK; 81 IBL), suggesting Madden VT under-credits non-receiving value.</x:v>
      </x:c>
      <x:c r="J89" s="27"/>
      <x:c r="K89" s="27"/>
      <x:c r="L89" s="27"/>
      <x:c r="M89" s="27"/>
      <x:c r="N89" s="27"/>
      <x:c r="O89" s="27"/>
      <x:c r="P89" s="27"/>
      <x:c r="Q89" s="27"/>
      <x:c r="R89" s="27"/>
      <x:c r="S89" s="27"/>
      <x:c r="T89" s="27"/>
      <x:c r="U89" s="27"/>
      <x:c r="V89" s="27"/>
      <x:c r="W89" s="27"/>
      <x:c r="X89" s="27"/>
      <x:c r="Y89" s="27"/>
      <x:c r="Z89" s="27"/>
      <x:c r="AA89" s="27"/>
      <x:c r="AB89" s="27"/>
      <x:c r="AC89" s="27"/>
      <x:c r="AD89" s="27"/>
      <x:c r="AE89" s="27"/>
      <x:c r="AF89" s="27"/>
      <x:c r="AG89" s="27"/>
      <x:c r="AH89" s="27"/>
      <x:c r="AI89" s="27"/>
      <x:c r="AJ89" s="27"/>
      <x:c r="AK89" s="27"/>
      <x:c r="AL89" s="27"/>
      <x:c r="AM89" s="27"/>
      <x:c r="AN89" s="27"/>
      <x:c r="AO89" s="27"/>
      <x:c r="AP89" s="27"/>
      <x:c r="AQ89" s="27"/>
      <x:c r="AR89" s="27"/>
      <x:c r="AS89" s="27"/>
      <x:c r="AT89" s="27"/>
      <x:c r="AU89" s="27"/>
      <x:c r="AV89" s="27"/>
      <x:c r="AW89" s="27"/>
      <x:c r="AX89" s="27"/>
      <x:c r="AY89" s="27"/>
      <x:c r="AZ89" s="27"/>
    </x:row>
    <x:row r="90">
      <x:c r="A90" s="30" t="str">
        <x:v>Vertical Threat</x:v>
      </x:c>
      <x:c r="B90" s="30" t="str">
        <x:v>Jelani Thurman</x:v>
      </x:c>
      <x:c r="C90" s="30" t="n">
        <x:v>81</x:v>
      </x:c>
      <x:c r="D90" s="94" t="n">
        <x:v>75.58163265306122</x:v>
      </x:c>
      <x:c r="E90" s="94" t="str">
        <x:v>Randy Pittman Jr.</x:v>
      </x:c>
      <x:c r="F90" s="94" t="n">
        <x:v>80</x:v>
      </x:c>
      <x:c r="G90" s="94" t="n">
        <x:v>75.66326530612245</x:v>
      </x:c>
      <x:c r="H90" s="94" t="n">
        <x:v>0.08163265306123435</x:v>
      </x:c>
      <x:c r="I90" s="30" t="str">
        <x:v>Jelani has unusually strong all-around blocking (81/81/84 RBK/RBF/RBP; 81 PBK/PBF; 79 PBP; 80 LBK; 81 IBL), suggesting Madden VT under-credits non-receiving value.</x:v>
      </x:c>
      <x:c r="J90" s="27"/>
      <x:c r="K90" s="27"/>
      <x:c r="L90" s="27"/>
      <x:c r="M90" s="27"/>
      <x:c r="N90" s="27"/>
      <x:c r="O90" s="27"/>
      <x:c r="P90" s="27"/>
      <x:c r="Q90" s="27"/>
      <x:c r="R90" s="27"/>
      <x:c r="S90" s="27"/>
      <x:c r="T90" s="27"/>
      <x:c r="U90" s="27"/>
      <x:c r="V90" s="27"/>
      <x:c r="W90" s="27"/>
      <x:c r="X90" s="27"/>
      <x:c r="Y90" s="27"/>
      <x:c r="Z90" s="27"/>
      <x:c r="AA90" s="27"/>
      <x:c r="AB90" s="27"/>
      <x:c r="AC90" s="27"/>
      <x:c r="AD90" s="27"/>
      <x:c r="AE90" s="27"/>
      <x:c r="AF90" s="27"/>
      <x:c r="AG90" s="27"/>
      <x:c r="AH90" s="27"/>
      <x:c r="AI90" s="27"/>
      <x:c r="AJ90" s="27"/>
      <x:c r="AK90" s="27"/>
      <x:c r="AL90" s="27"/>
      <x:c r="AM90" s="27"/>
      <x:c r="AN90" s="27"/>
      <x:c r="AO90" s="27"/>
      <x:c r="AP90" s="27"/>
      <x:c r="AQ90" s="27"/>
      <x:c r="AR90" s="27"/>
      <x:c r="AS90" s="27"/>
      <x:c r="AT90" s="27"/>
      <x:c r="AU90" s="27"/>
      <x:c r="AV90" s="27"/>
      <x:c r="AW90" s="27"/>
      <x:c r="AX90" s="27"/>
      <x:c r="AY90" s="27"/>
      <x:c r="AZ90" s="27"/>
    </x:row>
    <x:row r="91">
      <x:c r="A91" s="30" t="str">
        <x:v>Vertical Threat</x:v>
      </x:c>
      <x:c r="B91" s="30" t="str">
        <x:v>Jelani Thurman</x:v>
      </x:c>
      <x:c r="C91" s="30" t="n">
        <x:v>81</x:v>
      </x:c>
      <x:c r="D91" s="94" t="n">
        <x:v>75.58163265306122</x:v>
      </x:c>
      <x:c r="E91" s="94" t="str">
        <x:v>Hunter Tipton</x:v>
      </x:c>
      <x:c r="F91" s="94" t="n">
        <x:v>80</x:v>
      </x:c>
      <x:c r="G91" s="94" t="n">
        <x:v>76.36734693877551</x:v>
      </x:c>
      <x:c r="H91" s="94" t="n">
        <x:v>0.7857142857142918</x:v>
      </x:c>
      <x:c r="I91" s="30" t="str">
        <x:v>Jelani has unusually strong all-around blocking (81/81/84 RBK/RBF/RBP; 81 PBK/PBF; 79 PBP; 80 LBK; 81 IBL), suggesting Madden VT under-credits non-receiving value.</x:v>
      </x:c>
      <x:c r="J91" s="27"/>
      <x:c r="K91" s="27"/>
      <x:c r="L91" s="27"/>
      <x:c r="M91" s="27"/>
      <x:c r="N91" s="27"/>
      <x:c r="O91" s="27"/>
      <x:c r="P91" s="27"/>
      <x:c r="Q91" s="27"/>
      <x:c r="R91" s="27"/>
      <x:c r="S91" s="27"/>
      <x:c r="T91" s="27"/>
      <x:c r="U91" s="27"/>
      <x:c r="V91" s="27"/>
      <x:c r="W91" s="27"/>
      <x:c r="X91" s="27"/>
      <x:c r="Y91" s="27"/>
      <x:c r="Z91" s="27"/>
      <x:c r="AA91" s="27"/>
      <x:c r="AB91" s="27"/>
      <x:c r="AC91" s="27"/>
      <x:c r="AD91" s="27"/>
      <x:c r="AE91" s="27"/>
      <x:c r="AF91" s="27"/>
      <x:c r="AG91" s="27"/>
      <x:c r="AH91" s="27"/>
      <x:c r="AI91" s="27"/>
      <x:c r="AJ91" s="27"/>
      <x:c r="AK91" s="27"/>
      <x:c r="AL91" s="27"/>
      <x:c r="AM91" s="27"/>
      <x:c r="AN91" s="27"/>
      <x:c r="AO91" s="27"/>
      <x:c r="AP91" s="27"/>
      <x:c r="AQ91" s="27"/>
      <x:c r="AR91" s="27"/>
      <x:c r="AS91" s="27"/>
      <x:c r="AT91" s="27"/>
      <x:c r="AU91" s="27"/>
      <x:c r="AV91" s="27"/>
      <x:c r="AW91" s="27"/>
      <x:c r="AX91" s="27"/>
      <x:c r="AY91" s="27"/>
      <x:c r="AZ91" s="27"/>
    </x:row>
    <x:row r="92">
      <x:c r="A92" s="27"/>
      <x:c r="B92" s="27"/>
      <x:c r="C92" s="27"/>
      <x:c r="D92" s="27"/>
      <x:c r="E92" s="27"/>
      <x:c r="F92" s="27"/>
      <x:c r="G92" s="27"/>
      <x:c r="H92" s="27"/>
      <x:c r="I92" s="27"/>
      <x:c r="J92" s="27"/>
      <x:c r="K92" s="27"/>
      <x:c r="L92" s="27"/>
      <x:c r="M92" s="27"/>
      <x:c r="N92" s="27"/>
      <x:c r="O92" s="27"/>
      <x:c r="P92" s="27"/>
      <x:c r="Q92" s="27"/>
      <x:c r="R92" s="27"/>
      <x:c r="S92" s="27"/>
      <x:c r="T92" s="27"/>
      <x:c r="U92" s="27"/>
      <x:c r="V92" s="27"/>
      <x:c r="W92" s="27"/>
      <x:c r="X92" s="27"/>
      <x:c r="Y92" s="27"/>
      <x:c r="Z92" s="27"/>
      <x:c r="AA92" s="27"/>
      <x:c r="AB92" s="27"/>
      <x:c r="AC92" s="27"/>
      <x:c r="AD92" s="27"/>
      <x:c r="AE92" s="27"/>
      <x:c r="AF92" s="27"/>
      <x:c r="AG92" s="27"/>
      <x:c r="AH92" s="27"/>
      <x:c r="AI92" s="27"/>
      <x:c r="AJ92" s="27"/>
      <x:c r="AK92" s="27"/>
      <x:c r="AL92" s="27"/>
      <x:c r="AM92" s="27"/>
      <x:c r="AN92" s="27"/>
      <x:c r="AO92" s="27"/>
      <x:c r="AP92" s="27"/>
      <x:c r="AQ92" s="27"/>
      <x:c r="AR92" s="27"/>
      <x:c r="AS92" s="27"/>
      <x:c r="AT92" s="27"/>
      <x:c r="AU92" s="27"/>
      <x:c r="AV92" s="27"/>
      <x:c r="AW92" s="27"/>
      <x:c r="AX92" s="27"/>
      <x:c r="AY92" s="27"/>
      <x:c r="AZ92" s="27"/>
    </x:row>
    <x:row r="93">
      <x:c r="A93" s="27"/>
      <x:c r="B93" s="27"/>
      <x:c r="C93" s="27"/>
      <x:c r="D93" s="27"/>
      <x:c r="E93" s="27"/>
      <x:c r="F93" s="27"/>
      <x:c r="G93" s="27"/>
      <x:c r="H93" s="27"/>
      <x:c r="I93" s="27"/>
      <x:c r="J93" s="27"/>
      <x:c r="K93" s="27"/>
      <x:c r="L93" s="27"/>
      <x:c r="M93" s="27"/>
      <x:c r="N93" s="27"/>
      <x:c r="O93" s="27"/>
      <x:c r="P93" s="27"/>
      <x:c r="Q93" s="27"/>
      <x:c r="R93" s="27"/>
      <x:c r="S93" s="27"/>
      <x:c r="T93" s="27"/>
      <x:c r="U93" s="27"/>
      <x:c r="V93" s="27"/>
      <x:c r="W93" s="27"/>
      <x:c r="X93" s="27"/>
      <x:c r="Y93" s="27"/>
      <x:c r="Z93" s="27"/>
      <x:c r="AA93" s="27"/>
      <x:c r="AB93" s="27"/>
      <x:c r="AC93" s="27"/>
      <x:c r="AD93" s="27"/>
      <x:c r="AE93" s="27"/>
      <x:c r="AF93" s="27"/>
      <x:c r="AG93" s="27"/>
      <x:c r="AH93" s="27"/>
      <x:c r="AI93" s="27"/>
      <x:c r="AJ93" s="27"/>
      <x:c r="AK93" s="27"/>
      <x:c r="AL93" s="27"/>
      <x:c r="AM93" s="27"/>
      <x:c r="AN93" s="27"/>
      <x:c r="AO93" s="27"/>
      <x:c r="AP93" s="27"/>
      <x:c r="AQ93" s="27"/>
      <x:c r="AR93" s="27"/>
      <x:c r="AS93" s="27"/>
      <x:c r="AT93" s="27"/>
      <x:c r="AU93" s="27"/>
      <x:c r="AV93" s="27"/>
      <x:c r="AW93" s="27"/>
      <x:c r="AX93" s="27"/>
      <x:c r="AY93" s="27"/>
      <x:c r="AZ93" s="27"/>
    </x:row>
    <x:row r="94">
      <x:c r="A94" s="27"/>
      <x:c r="B94" s="27"/>
      <x:c r="C94" s="27"/>
      <x:c r="D94" s="27"/>
      <x:c r="E94" s="27"/>
      <x:c r="F94" s="27"/>
      <x:c r="G94" s="27"/>
      <x:c r="H94" s="27"/>
      <x:c r="I94" s="27"/>
      <x:c r="J94" s="27"/>
      <x:c r="K94" s="27"/>
      <x:c r="L94" s="27"/>
      <x:c r="M94" s="27"/>
      <x:c r="N94" s="27"/>
      <x:c r="O94" s="27"/>
      <x:c r="P94" s="27"/>
      <x:c r="Q94" s="27"/>
      <x:c r="R94" s="27"/>
      <x:c r="S94" s="27"/>
      <x:c r="T94" s="27"/>
      <x:c r="U94" s="27"/>
      <x:c r="V94" s="27"/>
      <x:c r="W94" s="27"/>
      <x:c r="X94" s="27"/>
      <x:c r="Y94" s="27"/>
      <x:c r="Z94" s="27"/>
      <x:c r="AA94" s="27"/>
      <x:c r="AB94" s="27"/>
      <x:c r="AC94" s="27"/>
      <x:c r="AD94" s="27"/>
      <x:c r="AE94" s="27"/>
      <x:c r="AF94" s="27"/>
      <x:c r="AG94" s="27"/>
      <x:c r="AH94" s="27"/>
      <x:c r="AI94" s="27"/>
      <x:c r="AJ94" s="27"/>
      <x:c r="AK94" s="27"/>
      <x:c r="AL94" s="27"/>
      <x:c r="AM94" s="27"/>
      <x:c r="AN94" s="27"/>
      <x:c r="AO94" s="27"/>
      <x:c r="AP94" s="27"/>
      <x:c r="AQ94" s="27"/>
      <x:c r="AR94" s="27"/>
      <x:c r="AS94" s="27"/>
      <x:c r="AT94" s="27"/>
      <x:c r="AU94" s="27"/>
      <x:c r="AV94" s="27"/>
      <x:c r="AW94" s="27"/>
      <x:c r="AX94" s="27"/>
      <x:c r="AY94" s="27"/>
      <x:c r="AZ94" s="27"/>
    </x:row>
    <x:row r="95">
      <x:c r="A95" s="27"/>
      <x:c r="B95" s="27"/>
      <x:c r="C95" s="27"/>
      <x:c r="D95" s="27"/>
      <x:c r="E95" s="27"/>
      <x:c r="F95" s="27"/>
      <x:c r="G95" s="27"/>
      <x:c r="H95" s="27"/>
      <x:c r="I95" s="27"/>
      <x:c r="J95" s="27"/>
      <x:c r="K95" s="27"/>
      <x:c r="L95" s="27"/>
      <x:c r="M95" s="27"/>
      <x:c r="N95" s="27"/>
      <x:c r="O95" s="27"/>
      <x:c r="P95" s="27"/>
      <x:c r="Q95" s="27"/>
      <x:c r="R95" s="27"/>
      <x:c r="S95" s="27"/>
      <x:c r="T95" s="27"/>
      <x:c r="U95" s="27"/>
      <x:c r="V95" s="27"/>
      <x:c r="W95" s="27"/>
      <x:c r="X95" s="27"/>
      <x:c r="Y95" s="27"/>
      <x:c r="Z95" s="27"/>
      <x:c r="AA95" s="27"/>
      <x:c r="AB95" s="27"/>
      <x:c r="AC95" s="27"/>
      <x:c r="AD95" s="27"/>
      <x:c r="AE95" s="27"/>
      <x:c r="AF95" s="27"/>
      <x:c r="AG95" s="27"/>
      <x:c r="AH95" s="27"/>
      <x:c r="AI95" s="27"/>
      <x:c r="AJ95" s="27"/>
      <x:c r="AK95" s="27"/>
      <x:c r="AL95" s="27"/>
      <x:c r="AM95" s="27"/>
      <x:c r="AN95" s="27"/>
      <x:c r="AO95" s="27"/>
      <x:c r="AP95" s="27"/>
      <x:c r="AQ95" s="27"/>
      <x:c r="AR95" s="27"/>
      <x:c r="AS95" s="27"/>
      <x:c r="AT95" s="27"/>
      <x:c r="AU95" s="27"/>
      <x:c r="AV95" s="27"/>
      <x:c r="AW95" s="27"/>
      <x:c r="AX95" s="27"/>
      <x:c r="AY95" s="27"/>
      <x:c r="AZ95" s="27"/>
    </x:row>
    <x:row r="96">
      <x:c r="A96" s="27"/>
      <x:c r="B96" s="27"/>
      <x:c r="C96" s="27"/>
      <x:c r="D96" s="27"/>
      <x:c r="E96" s="27"/>
      <x:c r="F96" s="27"/>
      <x:c r="G96" s="27"/>
      <x:c r="H96" s="27"/>
      <x:c r="I96" s="27"/>
      <x:c r="J96" s="27"/>
      <x:c r="K96" s="27"/>
      <x:c r="L96" s="27"/>
      <x:c r="M96" s="27"/>
      <x:c r="N96" s="27"/>
      <x:c r="O96" s="27"/>
      <x:c r="P96" s="27"/>
      <x:c r="Q96" s="27"/>
      <x:c r="R96" s="27"/>
      <x:c r="S96" s="27"/>
      <x:c r="T96" s="27"/>
      <x:c r="U96" s="27"/>
      <x:c r="V96" s="27"/>
      <x:c r="W96" s="27"/>
      <x:c r="X96" s="27"/>
      <x:c r="Y96" s="27"/>
      <x:c r="Z96" s="27"/>
      <x:c r="AA96" s="27"/>
      <x:c r="AB96" s="27"/>
      <x:c r="AC96" s="27"/>
      <x:c r="AD96" s="27"/>
      <x:c r="AE96" s="27"/>
      <x:c r="AF96" s="27"/>
      <x:c r="AG96" s="27"/>
      <x:c r="AH96" s="27"/>
      <x:c r="AI96" s="27"/>
      <x:c r="AJ96" s="27"/>
      <x:c r="AK96" s="27"/>
      <x:c r="AL96" s="27"/>
      <x:c r="AM96" s="27"/>
      <x:c r="AN96" s="27"/>
      <x:c r="AO96" s="27"/>
      <x:c r="AP96" s="27"/>
      <x:c r="AQ96" s="27"/>
      <x:c r="AR96" s="27"/>
      <x:c r="AS96" s="27"/>
      <x:c r="AT96" s="27"/>
      <x:c r="AU96" s="27"/>
      <x:c r="AV96" s="27"/>
      <x:c r="AW96" s="27"/>
      <x:c r="AX96" s="27"/>
      <x:c r="AY96" s="27"/>
      <x:c r="AZ96" s="27"/>
    </x:row>
    <x:row r="97">
      <x:c r="A97" s="27"/>
      <x:c r="B97" s="27"/>
      <x:c r="C97" s="27"/>
      <x:c r="D97" s="27"/>
      <x:c r="E97" s="27"/>
      <x:c r="F97" s="27"/>
      <x:c r="G97" s="27"/>
      <x:c r="H97" s="27"/>
      <x:c r="I97" s="27"/>
      <x:c r="J97" s="27"/>
      <x:c r="K97" s="27"/>
      <x:c r="L97" s="27"/>
      <x:c r="M97" s="27"/>
      <x:c r="N97" s="27"/>
      <x:c r="O97" s="27"/>
      <x:c r="P97" s="27"/>
      <x:c r="Q97" s="27"/>
      <x:c r="R97" s="27"/>
      <x:c r="S97" s="27"/>
      <x:c r="T97" s="27"/>
      <x:c r="U97" s="27"/>
      <x:c r="V97" s="27"/>
      <x:c r="W97" s="27"/>
      <x:c r="X97" s="27"/>
      <x:c r="Y97" s="27"/>
      <x:c r="Z97" s="27"/>
      <x:c r="AA97" s="27"/>
      <x:c r="AB97" s="27"/>
      <x:c r="AC97" s="27"/>
      <x:c r="AD97" s="27"/>
      <x:c r="AE97" s="27"/>
      <x:c r="AF97" s="27"/>
      <x:c r="AG97" s="27"/>
      <x:c r="AH97" s="27"/>
      <x:c r="AI97" s="27"/>
      <x:c r="AJ97" s="27"/>
      <x:c r="AK97" s="27"/>
      <x:c r="AL97" s="27"/>
      <x:c r="AM97" s="27"/>
      <x:c r="AN97" s="27"/>
      <x:c r="AO97" s="27"/>
      <x:c r="AP97" s="27"/>
      <x:c r="AQ97" s="27"/>
      <x:c r="AR97" s="27"/>
      <x:c r="AS97" s="27"/>
      <x:c r="AT97" s="27"/>
      <x:c r="AU97" s="27"/>
      <x:c r="AV97" s="27"/>
      <x:c r="AW97" s="27"/>
      <x:c r="AX97" s="27"/>
      <x:c r="AY97" s="27"/>
      <x:c r="AZ97" s="27"/>
    </x:row>
    <x:row r="98">
      <x:c r="A98" s="27"/>
      <x:c r="B98" s="27"/>
      <x:c r="C98" s="27"/>
      <x:c r="D98" s="27"/>
      <x:c r="E98" s="27"/>
      <x:c r="F98" s="27"/>
      <x:c r="G98" s="27"/>
      <x:c r="H98" s="27"/>
      <x:c r="I98" s="27"/>
      <x:c r="J98" s="27"/>
      <x:c r="K98" s="27"/>
      <x:c r="L98" s="27"/>
      <x:c r="M98" s="27"/>
      <x:c r="N98" s="27"/>
      <x:c r="O98" s="27"/>
      <x:c r="P98" s="27"/>
      <x:c r="Q98" s="27"/>
      <x:c r="R98" s="27"/>
      <x:c r="S98" s="27"/>
      <x:c r="T98" s="27"/>
      <x:c r="U98" s="27"/>
      <x:c r="V98" s="27"/>
      <x:c r="W98" s="27"/>
      <x:c r="X98" s="27"/>
      <x:c r="Y98" s="27"/>
      <x:c r="Z98" s="27"/>
      <x:c r="AA98" s="27"/>
      <x:c r="AB98" s="27"/>
      <x:c r="AC98" s="27"/>
      <x:c r="AD98" s="27"/>
      <x:c r="AE98" s="27"/>
      <x:c r="AF98" s="27"/>
      <x:c r="AG98" s="27"/>
      <x:c r="AH98" s="27"/>
      <x:c r="AI98" s="27"/>
      <x:c r="AJ98" s="27"/>
      <x:c r="AK98" s="27"/>
      <x:c r="AL98" s="27"/>
      <x:c r="AM98" s="27"/>
      <x:c r="AN98" s="27"/>
      <x:c r="AO98" s="27"/>
      <x:c r="AP98" s="27"/>
      <x:c r="AQ98" s="27"/>
      <x:c r="AR98" s="27"/>
      <x:c r="AS98" s="27"/>
      <x:c r="AT98" s="27"/>
      <x:c r="AU98" s="27"/>
      <x:c r="AV98" s="27"/>
      <x:c r="AW98" s="27"/>
      <x:c r="AX98" s="27"/>
      <x:c r="AY98" s="27"/>
      <x:c r="AZ98" s="27"/>
    </x:row>
    <x:row r="99">
      <x:c r="A99" s="27"/>
      <x:c r="B99" s="27"/>
      <x:c r="C99" s="27"/>
      <x:c r="D99" s="27"/>
      <x:c r="E99" s="27"/>
      <x:c r="F99" s="27"/>
      <x:c r="G99" s="27"/>
      <x:c r="H99" s="27"/>
      <x:c r="I99" s="27"/>
      <x:c r="J99" s="27"/>
      <x:c r="K99" s="27"/>
      <x:c r="L99" s="27"/>
      <x:c r="M99" s="27"/>
      <x:c r="N99" s="27"/>
      <x:c r="O99" s="27"/>
      <x:c r="P99" s="27"/>
      <x:c r="Q99" s="27"/>
      <x:c r="R99" s="27"/>
      <x:c r="S99" s="27"/>
      <x:c r="T99" s="27"/>
      <x:c r="U99" s="27"/>
      <x:c r="V99" s="27"/>
      <x:c r="W99" s="27"/>
      <x:c r="X99" s="27"/>
      <x:c r="Y99" s="27"/>
      <x:c r="Z99" s="27"/>
      <x:c r="AA99" s="27"/>
      <x:c r="AB99" s="27"/>
      <x:c r="AC99" s="27"/>
      <x:c r="AD99" s="27"/>
      <x:c r="AE99" s="27"/>
      <x:c r="AF99" s="27"/>
      <x:c r="AG99" s="27"/>
      <x:c r="AH99" s="27"/>
      <x:c r="AI99" s="27"/>
      <x:c r="AJ99" s="27"/>
      <x:c r="AK99" s="27"/>
      <x:c r="AL99" s="27"/>
      <x:c r="AM99" s="27"/>
      <x:c r="AN99" s="27"/>
      <x:c r="AO99" s="27"/>
      <x:c r="AP99" s="27"/>
      <x:c r="AQ99" s="27"/>
      <x:c r="AR99" s="27"/>
      <x:c r="AS99" s="27"/>
      <x:c r="AT99" s="27"/>
      <x:c r="AU99" s="27"/>
      <x:c r="AV99" s="27"/>
      <x:c r="AW99" s="27"/>
      <x:c r="AX99" s="27"/>
      <x:c r="AY99" s="27"/>
      <x:c r="AZ99" s="27"/>
    </x:row>
    <x:row r="100">
      <x:c r="A100" s="27"/>
      <x:c r="B100" s="27"/>
      <x:c r="C100" s="27"/>
      <x:c r="D100" s="27"/>
      <x:c r="E100" s="27"/>
      <x:c r="F100" s="27"/>
      <x:c r="G100" s="27"/>
      <x:c r="H100" s="27"/>
      <x:c r="I100" s="27"/>
      <x:c r="J100" s="27"/>
      <x:c r="K100" s="27"/>
      <x:c r="L100" s="27"/>
      <x:c r="M100" s="27"/>
      <x:c r="N100" s="27"/>
      <x:c r="O100" s="27"/>
      <x:c r="P100" s="27"/>
      <x:c r="Q100" s="27"/>
      <x:c r="R100" s="27"/>
      <x:c r="S100" s="27"/>
      <x:c r="T100" s="27"/>
      <x:c r="U100" s="27"/>
      <x:c r="V100" s="27"/>
      <x:c r="W100" s="27"/>
      <x:c r="X100" s="27"/>
      <x:c r="Y100" s="27"/>
      <x:c r="Z100" s="27"/>
      <x:c r="AA100" s="27"/>
      <x:c r="AB100" s="27"/>
      <x:c r="AC100" s="27"/>
      <x:c r="AD100" s="27"/>
      <x:c r="AE100" s="27"/>
      <x:c r="AF100" s="27"/>
      <x:c r="AG100" s="27"/>
      <x:c r="AH100" s="27"/>
      <x:c r="AI100" s="27"/>
      <x:c r="AJ100" s="27"/>
      <x:c r="AK100" s="27"/>
      <x:c r="AL100" s="27"/>
      <x:c r="AM100" s="27"/>
      <x:c r="AN100" s="27"/>
      <x:c r="AO100" s="27"/>
      <x:c r="AP100" s="27"/>
      <x:c r="AQ100" s="27"/>
      <x:c r="AR100" s="27"/>
      <x:c r="AS100" s="27"/>
      <x:c r="AT100" s="27"/>
      <x:c r="AU100" s="27"/>
      <x:c r="AV100" s="27"/>
      <x:c r="AW100" s="27"/>
      <x:c r="AX100" s="27"/>
      <x:c r="AY100" s="27"/>
      <x:c r="AZ100" s="27"/>
    </x:row>
    <x:row r="101">
      <x:c r="A101" s="27"/>
      <x:c r="B101" s="27"/>
      <x:c r="C101" s="27"/>
      <x:c r="D101" s="27"/>
      <x:c r="E101" s="27"/>
      <x:c r="F101" s="27"/>
      <x:c r="G101" s="27"/>
      <x:c r="H101" s="27"/>
      <x:c r="I101" s="27"/>
      <x:c r="J101" s="27"/>
      <x:c r="K101" s="27"/>
      <x:c r="L101" s="27"/>
      <x:c r="M101" s="27"/>
      <x:c r="N101" s="27"/>
      <x:c r="O101" s="27"/>
      <x:c r="P101" s="27"/>
      <x:c r="Q101" s="27"/>
      <x:c r="R101" s="27"/>
      <x:c r="S101" s="27"/>
      <x:c r="T101" s="27"/>
      <x:c r="U101" s="27"/>
      <x:c r="V101" s="27"/>
      <x:c r="W101" s="27"/>
      <x:c r="X101" s="27"/>
      <x:c r="Y101" s="27"/>
      <x:c r="Z101" s="27"/>
      <x:c r="AA101" s="27"/>
      <x:c r="AB101" s="27"/>
      <x:c r="AC101" s="27"/>
      <x:c r="AD101" s="27"/>
      <x:c r="AE101" s="27"/>
      <x:c r="AF101" s="27"/>
      <x:c r="AG101" s="27"/>
      <x:c r="AH101" s="27"/>
      <x:c r="AI101" s="27"/>
      <x:c r="AJ101" s="27"/>
      <x:c r="AK101" s="27"/>
      <x:c r="AL101" s="27"/>
      <x:c r="AM101" s="27"/>
      <x:c r="AN101" s="27"/>
      <x:c r="AO101" s="27"/>
      <x:c r="AP101" s="27"/>
      <x:c r="AQ101" s="27"/>
      <x:c r="AR101" s="27"/>
      <x:c r="AS101" s="27"/>
      <x:c r="AT101" s="27"/>
      <x:c r="AU101" s="27"/>
      <x:c r="AV101" s="27"/>
      <x:c r="AW101" s="27"/>
      <x:c r="AX101" s="27"/>
      <x:c r="AY101" s="27"/>
      <x:c r="AZ101" s="27"/>
    </x:row>
    <x:row r="102">
      <x:c r="A102" s="27"/>
      <x:c r="B102" s="27"/>
      <x:c r="C102" s="27"/>
      <x:c r="D102" s="27"/>
      <x:c r="E102" s="27"/>
      <x:c r="F102" s="27"/>
      <x:c r="G102" s="27"/>
      <x:c r="H102" s="27"/>
      <x:c r="I102" s="27"/>
      <x:c r="J102" s="27"/>
      <x:c r="K102" s="27"/>
      <x:c r="L102" s="27"/>
      <x:c r="M102" s="27"/>
      <x:c r="N102" s="27"/>
      <x:c r="O102" s="27"/>
      <x:c r="P102" s="27"/>
      <x:c r="Q102" s="27"/>
      <x:c r="R102" s="27"/>
      <x:c r="S102" s="27"/>
      <x:c r="T102" s="27"/>
      <x:c r="U102" s="27"/>
      <x:c r="V102" s="27"/>
      <x:c r="W102" s="27"/>
      <x:c r="X102" s="27"/>
      <x:c r="Y102" s="27"/>
      <x:c r="Z102" s="27"/>
      <x:c r="AA102" s="27"/>
      <x:c r="AB102" s="27"/>
      <x:c r="AC102" s="27"/>
      <x:c r="AD102" s="27"/>
      <x:c r="AE102" s="27"/>
      <x:c r="AF102" s="27"/>
      <x:c r="AG102" s="27"/>
      <x:c r="AH102" s="27"/>
      <x:c r="AI102" s="27"/>
      <x:c r="AJ102" s="27"/>
      <x:c r="AK102" s="27"/>
      <x:c r="AL102" s="27"/>
      <x:c r="AM102" s="27"/>
      <x:c r="AN102" s="27"/>
      <x:c r="AO102" s="27"/>
      <x:c r="AP102" s="27"/>
      <x:c r="AQ102" s="27"/>
      <x:c r="AR102" s="27"/>
      <x:c r="AS102" s="27"/>
      <x:c r="AT102" s="27"/>
      <x:c r="AU102" s="27"/>
      <x:c r="AV102" s="27"/>
      <x:c r="AW102" s="27"/>
      <x:c r="AX102" s="27"/>
      <x:c r="AY102" s="27"/>
      <x:c r="AZ102" s="27"/>
    </x:row>
    <x:row r="103">
      <x:c r="A103" s="27"/>
      <x:c r="B103" s="27"/>
      <x:c r="C103" s="27"/>
      <x:c r="D103" s="27"/>
      <x:c r="E103" s="27"/>
      <x:c r="F103" s="27"/>
      <x:c r="G103" s="27"/>
      <x:c r="H103" s="27"/>
      <x:c r="I103" s="27"/>
      <x:c r="J103" s="27"/>
      <x:c r="K103" s="27"/>
      <x:c r="L103" s="27"/>
      <x:c r="M103" s="27"/>
      <x:c r="N103" s="27"/>
      <x:c r="O103" s="27"/>
      <x:c r="P103" s="27"/>
      <x:c r="Q103" s="27"/>
      <x:c r="R103" s="27"/>
      <x:c r="S103" s="27"/>
      <x:c r="T103" s="27"/>
      <x:c r="U103" s="27"/>
      <x:c r="V103" s="27"/>
      <x:c r="W103" s="27"/>
      <x:c r="X103" s="27"/>
      <x:c r="Y103" s="27"/>
      <x:c r="Z103" s="27"/>
      <x:c r="AA103" s="27"/>
      <x:c r="AB103" s="27"/>
      <x:c r="AC103" s="27"/>
      <x:c r="AD103" s="27"/>
      <x:c r="AE103" s="27"/>
      <x:c r="AF103" s="27"/>
      <x:c r="AG103" s="27"/>
      <x:c r="AH103" s="27"/>
      <x:c r="AI103" s="27"/>
      <x:c r="AJ103" s="27"/>
      <x:c r="AK103" s="27"/>
      <x:c r="AL103" s="27"/>
      <x:c r="AM103" s="27"/>
      <x:c r="AN103" s="27"/>
      <x:c r="AO103" s="27"/>
      <x:c r="AP103" s="27"/>
      <x:c r="AQ103" s="27"/>
      <x:c r="AR103" s="27"/>
      <x:c r="AS103" s="27"/>
      <x:c r="AT103" s="27"/>
      <x:c r="AU103" s="27"/>
      <x:c r="AV103" s="27"/>
      <x:c r="AW103" s="27"/>
      <x:c r="AX103" s="27"/>
      <x:c r="AY103" s="27"/>
      <x:c r="AZ103" s="27"/>
    </x:row>
    <x:row r="104">
      <x:c r="A104" s="27"/>
      <x:c r="B104" s="27"/>
      <x:c r="C104" s="27"/>
      <x:c r="D104" s="27"/>
      <x:c r="E104" s="27"/>
      <x:c r="F104" s="27"/>
      <x:c r="G104" s="27"/>
      <x:c r="H104" s="27"/>
      <x:c r="I104" s="27"/>
      <x:c r="J104" s="27"/>
      <x:c r="K104" s="27"/>
      <x:c r="L104" s="27"/>
      <x:c r="M104" s="27"/>
      <x:c r="N104" s="27"/>
      <x:c r="O104" s="27"/>
      <x:c r="P104" s="27"/>
      <x:c r="Q104" s="27"/>
      <x:c r="R104" s="27"/>
      <x:c r="S104" s="27"/>
      <x:c r="T104" s="27"/>
      <x:c r="U104" s="27"/>
      <x:c r="V104" s="27"/>
      <x:c r="W104" s="27"/>
      <x:c r="X104" s="27"/>
      <x:c r="Y104" s="27"/>
      <x:c r="Z104" s="27"/>
      <x:c r="AA104" s="27"/>
      <x:c r="AB104" s="27"/>
      <x:c r="AC104" s="27"/>
      <x:c r="AD104" s="27"/>
      <x:c r="AE104" s="27"/>
      <x:c r="AF104" s="27"/>
      <x:c r="AG104" s="27"/>
      <x:c r="AH104" s="27"/>
      <x:c r="AI104" s="27"/>
      <x:c r="AJ104" s="27"/>
      <x:c r="AK104" s="27"/>
      <x:c r="AL104" s="27"/>
      <x:c r="AM104" s="27"/>
      <x:c r="AN104" s="27"/>
      <x:c r="AO104" s="27"/>
      <x:c r="AP104" s="27"/>
      <x:c r="AQ104" s="27"/>
      <x:c r="AR104" s="27"/>
      <x:c r="AS104" s="27"/>
      <x:c r="AT104" s="27"/>
      <x:c r="AU104" s="27"/>
      <x:c r="AV104" s="27"/>
      <x:c r="AW104" s="27"/>
      <x:c r="AX104" s="27"/>
      <x:c r="AY104" s="27"/>
      <x:c r="AZ104" s="27"/>
    </x:row>
    <x:row r="105">
      <x:c r="A105" s="27"/>
      <x:c r="B105" s="27"/>
      <x:c r="C105" s="27"/>
      <x:c r="D105" s="27"/>
      <x:c r="E105" s="27"/>
      <x:c r="F105" s="27"/>
      <x:c r="G105" s="27"/>
      <x:c r="H105" s="27"/>
      <x:c r="I105" s="27"/>
      <x:c r="J105" s="27"/>
      <x:c r="K105" s="27"/>
      <x:c r="L105" s="27"/>
      <x:c r="M105" s="27"/>
      <x:c r="N105" s="27"/>
      <x:c r="O105" s="27"/>
      <x:c r="P105" s="27"/>
      <x:c r="Q105" s="27"/>
      <x:c r="R105" s="27"/>
      <x:c r="S105" s="27"/>
      <x:c r="T105" s="27"/>
      <x:c r="U105" s="27"/>
      <x:c r="V105" s="27"/>
      <x:c r="W105" s="27"/>
      <x:c r="X105" s="27"/>
      <x:c r="Y105" s="27"/>
      <x:c r="Z105" s="27"/>
      <x:c r="AA105" s="27"/>
      <x:c r="AB105" s="27"/>
      <x:c r="AC105" s="27"/>
      <x:c r="AD105" s="27"/>
      <x:c r="AE105" s="27"/>
      <x:c r="AF105" s="27"/>
      <x:c r="AG105" s="27"/>
      <x:c r="AH105" s="27"/>
      <x:c r="AI105" s="27"/>
      <x:c r="AJ105" s="27"/>
      <x:c r="AK105" s="27"/>
      <x:c r="AL105" s="27"/>
      <x:c r="AM105" s="27"/>
      <x:c r="AN105" s="27"/>
      <x:c r="AO105" s="27"/>
      <x:c r="AP105" s="27"/>
      <x:c r="AQ105" s="27"/>
      <x:c r="AR105" s="27"/>
      <x:c r="AS105" s="27"/>
      <x:c r="AT105" s="27"/>
      <x:c r="AU105" s="27"/>
      <x:c r="AV105" s="27"/>
      <x:c r="AW105" s="27"/>
      <x:c r="AX105" s="27"/>
      <x:c r="AY105" s="27"/>
      <x:c r="AZ105" s="27"/>
    </x:row>
    <x:row r="106">
      <x:c r="A106" s="27"/>
      <x:c r="B106" s="27"/>
      <x:c r="C106" s="27"/>
      <x:c r="D106" s="27"/>
      <x:c r="E106" s="27"/>
      <x:c r="F106" s="27"/>
      <x:c r="G106" s="27"/>
      <x:c r="H106" s="27"/>
      <x:c r="I106" s="27"/>
      <x:c r="J106" s="27"/>
      <x:c r="K106" s="27"/>
      <x:c r="L106" s="27"/>
      <x:c r="M106" s="27"/>
      <x:c r="N106" s="27"/>
      <x:c r="O106" s="27"/>
      <x:c r="P106" s="27"/>
      <x:c r="Q106" s="27"/>
      <x:c r="R106" s="27"/>
      <x:c r="S106" s="27"/>
      <x:c r="T106" s="27"/>
      <x:c r="U106" s="27"/>
      <x:c r="V106" s="27"/>
      <x:c r="W106" s="27"/>
      <x:c r="X106" s="27"/>
      <x:c r="Y106" s="27"/>
      <x:c r="Z106" s="27"/>
      <x:c r="AA106" s="27"/>
      <x:c r="AB106" s="27"/>
      <x:c r="AC106" s="27"/>
      <x:c r="AD106" s="27"/>
      <x:c r="AE106" s="27"/>
      <x:c r="AF106" s="27"/>
      <x:c r="AG106" s="27"/>
      <x:c r="AH106" s="27"/>
      <x:c r="AI106" s="27"/>
      <x:c r="AJ106" s="27"/>
      <x:c r="AK106" s="27"/>
      <x:c r="AL106" s="27"/>
      <x:c r="AM106" s="27"/>
      <x:c r="AN106" s="27"/>
      <x:c r="AO106" s="27"/>
      <x:c r="AP106" s="27"/>
      <x:c r="AQ106" s="27"/>
      <x:c r="AR106" s="27"/>
      <x:c r="AS106" s="27"/>
      <x:c r="AT106" s="27"/>
      <x:c r="AU106" s="27"/>
      <x:c r="AV106" s="27"/>
      <x:c r="AW106" s="27"/>
      <x:c r="AX106" s="27"/>
      <x:c r="AY106" s="27"/>
      <x:c r="AZ106" s="27"/>
    </x:row>
    <x:row r="107">
      <x:c r="A107" s="27"/>
      <x:c r="B107" s="27"/>
      <x:c r="C107" s="27"/>
      <x:c r="D107" s="27"/>
      <x:c r="E107" s="27"/>
      <x:c r="F107" s="27"/>
      <x:c r="G107" s="27"/>
      <x:c r="H107" s="27"/>
      <x:c r="I107" s="27"/>
      <x:c r="J107" s="27"/>
      <x:c r="K107" s="27"/>
      <x:c r="L107" s="27"/>
      <x:c r="M107" s="27"/>
      <x:c r="N107" s="27"/>
      <x:c r="O107" s="27"/>
      <x:c r="P107" s="27"/>
      <x:c r="Q107" s="27"/>
      <x:c r="R107" s="27"/>
      <x:c r="S107" s="27"/>
      <x:c r="T107" s="27"/>
      <x:c r="U107" s="27"/>
      <x:c r="V107" s="27"/>
      <x:c r="W107" s="27"/>
      <x:c r="X107" s="27"/>
      <x:c r="Y107" s="27"/>
      <x:c r="Z107" s="27"/>
      <x:c r="AA107" s="27"/>
      <x:c r="AB107" s="27"/>
      <x:c r="AC107" s="27"/>
      <x:c r="AD107" s="27"/>
      <x:c r="AE107" s="27"/>
      <x:c r="AF107" s="27"/>
      <x:c r="AG107" s="27"/>
      <x:c r="AH107" s="27"/>
      <x:c r="AI107" s="27"/>
      <x:c r="AJ107" s="27"/>
      <x:c r="AK107" s="27"/>
      <x:c r="AL107" s="27"/>
      <x:c r="AM107" s="27"/>
      <x:c r="AN107" s="27"/>
      <x:c r="AO107" s="27"/>
      <x:c r="AP107" s="27"/>
      <x:c r="AQ107" s="27"/>
      <x:c r="AR107" s="27"/>
      <x:c r="AS107" s="27"/>
      <x:c r="AT107" s="27"/>
      <x:c r="AU107" s="27"/>
      <x:c r="AV107" s="27"/>
      <x:c r="AW107" s="27"/>
      <x:c r="AX107" s="27"/>
      <x:c r="AY107" s="27"/>
      <x:c r="AZ107" s="27"/>
    </x:row>
    <x:row r="108">
      <x:c r="A108" s="27"/>
      <x:c r="B108" s="27"/>
      <x:c r="C108" s="27"/>
      <x:c r="D108" s="27"/>
      <x:c r="E108" s="27"/>
      <x:c r="F108" s="27"/>
      <x:c r="G108" s="27"/>
      <x:c r="H108" s="27"/>
      <x:c r="I108" s="27"/>
      <x:c r="J108" s="27"/>
      <x:c r="K108" s="27"/>
      <x:c r="L108" s="27"/>
      <x:c r="M108" s="27"/>
      <x:c r="N108" s="27"/>
      <x:c r="O108" s="27"/>
      <x:c r="P108" s="27"/>
      <x:c r="Q108" s="27"/>
      <x:c r="R108" s="27"/>
      <x:c r="S108" s="27"/>
      <x:c r="T108" s="27"/>
      <x:c r="U108" s="27"/>
      <x:c r="V108" s="27"/>
      <x:c r="W108" s="27"/>
      <x:c r="X108" s="27"/>
      <x:c r="Y108" s="27"/>
      <x:c r="Z108" s="27"/>
      <x:c r="AA108" s="27"/>
      <x:c r="AB108" s="27"/>
      <x:c r="AC108" s="27"/>
      <x:c r="AD108" s="27"/>
      <x:c r="AE108" s="27"/>
      <x:c r="AF108" s="27"/>
      <x:c r="AG108" s="27"/>
      <x:c r="AH108" s="27"/>
      <x:c r="AI108" s="27"/>
      <x:c r="AJ108" s="27"/>
      <x:c r="AK108" s="27"/>
      <x:c r="AL108" s="27"/>
      <x:c r="AM108" s="27"/>
      <x:c r="AN108" s="27"/>
      <x:c r="AO108" s="27"/>
      <x:c r="AP108" s="27"/>
      <x:c r="AQ108" s="27"/>
      <x:c r="AR108" s="27"/>
      <x:c r="AS108" s="27"/>
      <x:c r="AT108" s="27"/>
      <x:c r="AU108" s="27"/>
      <x:c r="AV108" s="27"/>
      <x:c r="AW108" s="27"/>
      <x:c r="AX108" s="27"/>
      <x:c r="AY108" s="27"/>
      <x:c r="AZ108" s="27"/>
    </x:row>
    <x:row r="109">
      <x:c r="A109" s="27"/>
      <x:c r="B109" s="27"/>
      <x:c r="C109" s="27"/>
      <x:c r="D109" s="27"/>
      <x:c r="E109" s="27"/>
      <x:c r="F109" s="27"/>
      <x:c r="G109" s="27"/>
      <x:c r="H109" s="27"/>
      <x:c r="I109" s="27"/>
      <x:c r="J109" s="27"/>
      <x:c r="K109" s="27"/>
      <x:c r="L109" s="27"/>
      <x:c r="M109" s="27"/>
      <x:c r="N109" s="27"/>
      <x:c r="O109" s="27"/>
      <x:c r="P109" s="27"/>
      <x:c r="Q109" s="27"/>
      <x:c r="R109" s="27"/>
      <x:c r="S109" s="27"/>
      <x:c r="T109" s="27"/>
      <x:c r="U109" s="27"/>
      <x:c r="V109" s="27"/>
      <x:c r="W109" s="27"/>
      <x:c r="X109" s="27"/>
      <x:c r="Y109" s="27"/>
      <x:c r="Z109" s="27"/>
      <x:c r="AA109" s="27"/>
      <x:c r="AB109" s="27"/>
      <x:c r="AC109" s="27"/>
      <x:c r="AD109" s="27"/>
      <x:c r="AE109" s="27"/>
      <x:c r="AF109" s="27"/>
      <x:c r="AG109" s="27"/>
      <x:c r="AH109" s="27"/>
      <x:c r="AI109" s="27"/>
      <x:c r="AJ109" s="27"/>
      <x:c r="AK109" s="27"/>
      <x:c r="AL109" s="27"/>
      <x:c r="AM109" s="27"/>
      <x:c r="AN109" s="27"/>
      <x:c r="AO109" s="27"/>
      <x:c r="AP109" s="27"/>
      <x:c r="AQ109" s="27"/>
      <x:c r="AR109" s="27"/>
      <x:c r="AS109" s="27"/>
      <x:c r="AT109" s="27"/>
      <x:c r="AU109" s="27"/>
      <x:c r="AV109" s="27"/>
      <x:c r="AW109" s="27"/>
      <x:c r="AX109" s="27"/>
      <x:c r="AY109" s="27"/>
      <x:c r="AZ109" s="27"/>
    </x:row>
    <x:row r="110">
      <x:c r="A110" s="27"/>
      <x:c r="B110" s="27"/>
      <x:c r="C110" s="27"/>
      <x:c r="D110" s="27"/>
      <x:c r="E110" s="27"/>
      <x:c r="F110" s="27"/>
      <x:c r="G110" s="27"/>
      <x:c r="H110" s="27"/>
      <x:c r="I110" s="27"/>
      <x:c r="J110" s="27"/>
      <x:c r="K110" s="27"/>
      <x:c r="L110" s="27"/>
      <x:c r="M110" s="27"/>
      <x:c r="N110" s="27"/>
      <x:c r="O110" s="27"/>
      <x:c r="P110" s="27"/>
      <x:c r="Q110" s="27"/>
      <x:c r="R110" s="27"/>
      <x:c r="S110" s="27"/>
      <x:c r="T110" s="27"/>
      <x:c r="U110" s="27"/>
      <x:c r="V110" s="27"/>
      <x:c r="W110" s="27"/>
      <x:c r="X110" s="27"/>
      <x:c r="Y110" s="27"/>
      <x:c r="Z110" s="27"/>
      <x:c r="AA110" s="27"/>
      <x:c r="AB110" s="27"/>
      <x:c r="AC110" s="27"/>
      <x:c r="AD110" s="27"/>
      <x:c r="AE110" s="27"/>
      <x:c r="AF110" s="27"/>
      <x:c r="AG110" s="27"/>
      <x:c r="AH110" s="27"/>
      <x:c r="AI110" s="27"/>
      <x:c r="AJ110" s="27"/>
      <x:c r="AK110" s="27"/>
      <x:c r="AL110" s="27"/>
      <x:c r="AM110" s="27"/>
      <x:c r="AN110" s="27"/>
      <x:c r="AO110" s="27"/>
      <x:c r="AP110" s="27"/>
      <x:c r="AQ110" s="27"/>
      <x:c r="AR110" s="27"/>
      <x:c r="AS110" s="27"/>
      <x:c r="AT110" s="27"/>
      <x:c r="AU110" s="27"/>
      <x:c r="AV110" s="27"/>
      <x:c r="AW110" s="27"/>
      <x:c r="AX110" s="27"/>
      <x:c r="AY110" s="27"/>
      <x:c r="AZ110" s="27"/>
    </x:row>
    <x:row r="111">
      <x:c r="A111" s="27"/>
      <x:c r="B111" s="27"/>
      <x:c r="C111" s="27"/>
      <x:c r="D111" s="27"/>
      <x:c r="E111" s="27"/>
      <x:c r="F111" s="27"/>
      <x:c r="G111" s="27"/>
      <x:c r="H111" s="27"/>
      <x:c r="I111" s="27"/>
      <x:c r="J111" s="27"/>
      <x:c r="K111" s="27"/>
      <x:c r="L111" s="27"/>
      <x:c r="M111" s="27"/>
      <x:c r="N111" s="27"/>
      <x:c r="O111" s="27"/>
      <x:c r="P111" s="27"/>
      <x:c r="Q111" s="27"/>
      <x:c r="R111" s="27"/>
      <x:c r="S111" s="27"/>
      <x:c r="T111" s="27"/>
      <x:c r="U111" s="27"/>
      <x:c r="V111" s="27"/>
      <x:c r="W111" s="27"/>
      <x:c r="X111" s="27"/>
      <x:c r="Y111" s="27"/>
      <x:c r="Z111" s="27"/>
      <x:c r="AA111" s="27"/>
      <x:c r="AB111" s="27"/>
      <x:c r="AC111" s="27"/>
      <x:c r="AD111" s="27"/>
      <x:c r="AE111" s="27"/>
      <x:c r="AF111" s="27"/>
      <x:c r="AG111" s="27"/>
      <x:c r="AH111" s="27"/>
      <x:c r="AI111" s="27"/>
      <x:c r="AJ111" s="27"/>
      <x:c r="AK111" s="27"/>
      <x:c r="AL111" s="27"/>
      <x:c r="AM111" s="27"/>
      <x:c r="AN111" s="27"/>
      <x:c r="AO111" s="27"/>
      <x:c r="AP111" s="27"/>
      <x:c r="AQ111" s="27"/>
      <x:c r="AR111" s="27"/>
      <x:c r="AS111" s="27"/>
      <x:c r="AT111" s="27"/>
      <x:c r="AU111" s="27"/>
      <x:c r="AV111" s="27"/>
      <x:c r="AW111" s="27"/>
      <x:c r="AX111" s="27"/>
      <x:c r="AY111" s="27"/>
      <x:c r="AZ111" s="27"/>
    </x:row>
    <x:row r="112">
      <x:c r="A112" s="27"/>
      <x:c r="B112" s="27"/>
      <x:c r="C112" s="27"/>
      <x:c r="D112" s="27"/>
      <x:c r="E112" s="27"/>
      <x:c r="F112" s="27"/>
      <x:c r="G112" s="27"/>
      <x:c r="H112" s="27"/>
      <x:c r="I112" s="27"/>
      <x:c r="J112" s="27"/>
      <x:c r="K112" s="27"/>
      <x:c r="L112" s="27"/>
      <x:c r="M112" s="27"/>
      <x:c r="N112" s="27"/>
      <x:c r="O112" s="27"/>
      <x:c r="P112" s="27"/>
      <x:c r="Q112" s="27"/>
      <x:c r="R112" s="27"/>
      <x:c r="S112" s="27"/>
      <x:c r="T112" s="27"/>
      <x:c r="U112" s="27"/>
      <x:c r="V112" s="27"/>
      <x:c r="W112" s="27"/>
      <x:c r="X112" s="27"/>
      <x:c r="Y112" s="27"/>
      <x:c r="Z112" s="27"/>
      <x:c r="AA112" s="27"/>
      <x:c r="AB112" s="27"/>
      <x:c r="AC112" s="27"/>
      <x:c r="AD112" s="27"/>
      <x:c r="AE112" s="27"/>
      <x:c r="AF112" s="27"/>
      <x:c r="AG112" s="27"/>
      <x:c r="AH112" s="27"/>
      <x:c r="AI112" s="27"/>
      <x:c r="AJ112" s="27"/>
      <x:c r="AK112" s="27"/>
      <x:c r="AL112" s="27"/>
      <x:c r="AM112" s="27"/>
      <x:c r="AN112" s="27"/>
      <x:c r="AO112" s="27"/>
      <x:c r="AP112" s="27"/>
      <x:c r="AQ112" s="27"/>
      <x:c r="AR112" s="27"/>
      <x:c r="AS112" s="27"/>
      <x:c r="AT112" s="27"/>
      <x:c r="AU112" s="27"/>
      <x:c r="AV112" s="27"/>
      <x:c r="AW112" s="27"/>
      <x:c r="AX112" s="27"/>
      <x:c r="AY112" s="27"/>
      <x:c r="AZ112" s="27"/>
    </x:row>
    <x:row r="113">
      <x:c r="A113" s="27"/>
      <x:c r="B113" s="27"/>
      <x:c r="C113" s="27"/>
      <x:c r="D113" s="27"/>
      <x:c r="E113" s="27"/>
      <x:c r="F113" s="27"/>
      <x:c r="G113" s="27"/>
      <x:c r="H113" s="27"/>
      <x:c r="I113" s="27"/>
      <x:c r="J113" s="27"/>
      <x:c r="K113" s="27"/>
      <x:c r="L113" s="27"/>
      <x:c r="M113" s="27"/>
      <x:c r="N113" s="27"/>
      <x:c r="O113" s="27"/>
      <x:c r="P113" s="27"/>
      <x:c r="Q113" s="27"/>
      <x:c r="R113" s="27"/>
      <x:c r="S113" s="27"/>
      <x:c r="T113" s="27"/>
      <x:c r="U113" s="27"/>
      <x:c r="V113" s="27"/>
      <x:c r="W113" s="27"/>
      <x:c r="X113" s="27"/>
      <x:c r="Y113" s="27"/>
      <x:c r="Z113" s="27"/>
      <x:c r="AA113" s="27"/>
      <x:c r="AB113" s="27"/>
      <x:c r="AC113" s="27"/>
      <x:c r="AD113" s="27"/>
      <x:c r="AE113" s="27"/>
      <x:c r="AF113" s="27"/>
      <x:c r="AG113" s="27"/>
      <x:c r="AH113" s="27"/>
      <x:c r="AI113" s="27"/>
      <x:c r="AJ113" s="27"/>
      <x:c r="AK113" s="27"/>
      <x:c r="AL113" s="27"/>
      <x:c r="AM113" s="27"/>
      <x:c r="AN113" s="27"/>
      <x:c r="AO113" s="27"/>
      <x:c r="AP113" s="27"/>
      <x:c r="AQ113" s="27"/>
      <x:c r="AR113" s="27"/>
      <x:c r="AS113" s="27"/>
      <x:c r="AT113" s="27"/>
      <x:c r="AU113" s="27"/>
      <x:c r="AV113" s="27"/>
      <x:c r="AW113" s="27"/>
      <x:c r="AX113" s="27"/>
      <x:c r="AY113" s="27"/>
      <x:c r="AZ113" s="27"/>
    </x:row>
    <x:row r="114">
      <x:c r="A114" s="27"/>
      <x:c r="B114" s="27"/>
      <x:c r="C114" s="27"/>
      <x:c r="D114" s="27"/>
      <x:c r="E114" s="27"/>
      <x:c r="F114" s="27"/>
      <x:c r="G114" s="27"/>
      <x:c r="H114" s="27"/>
      <x:c r="I114" s="27"/>
      <x:c r="J114" s="27"/>
      <x:c r="K114" s="27"/>
      <x:c r="L114" s="27"/>
      <x:c r="M114" s="27"/>
      <x:c r="N114" s="27"/>
      <x:c r="O114" s="27"/>
      <x:c r="P114" s="27"/>
      <x:c r="Q114" s="27"/>
      <x:c r="R114" s="27"/>
      <x:c r="S114" s="27"/>
      <x:c r="T114" s="27"/>
      <x:c r="U114" s="27"/>
      <x:c r="V114" s="27"/>
      <x:c r="W114" s="27"/>
      <x:c r="X114" s="27"/>
      <x:c r="Y114" s="27"/>
      <x:c r="Z114" s="27"/>
      <x:c r="AA114" s="27"/>
      <x:c r="AB114" s="27"/>
      <x:c r="AC114" s="27"/>
      <x:c r="AD114" s="27"/>
      <x:c r="AE114" s="27"/>
      <x:c r="AF114" s="27"/>
      <x:c r="AG114" s="27"/>
      <x:c r="AH114" s="27"/>
      <x:c r="AI114" s="27"/>
      <x:c r="AJ114" s="27"/>
      <x:c r="AK114" s="27"/>
      <x:c r="AL114" s="27"/>
      <x:c r="AM114" s="27"/>
      <x:c r="AN114" s="27"/>
      <x:c r="AO114" s="27"/>
      <x:c r="AP114" s="27"/>
      <x:c r="AQ114" s="27"/>
      <x:c r="AR114" s="27"/>
      <x:c r="AS114" s="27"/>
      <x:c r="AT114" s="27"/>
      <x:c r="AU114" s="27"/>
      <x:c r="AV114" s="27"/>
      <x:c r="AW114" s="27"/>
      <x:c r="AX114" s="27"/>
      <x:c r="AY114" s="27"/>
      <x:c r="AZ114" s="27"/>
    </x:row>
    <x:row r="115">
      <x:c r="A115" s="27"/>
      <x:c r="B115" s="27"/>
      <x:c r="C115" s="27"/>
      <x:c r="D115" s="27"/>
      <x:c r="E115" s="27"/>
      <x:c r="F115" s="27"/>
      <x:c r="G115" s="27"/>
      <x:c r="H115" s="27"/>
      <x:c r="I115" s="27"/>
      <x:c r="J115" s="27"/>
      <x:c r="K115" s="27"/>
      <x:c r="L115" s="27"/>
      <x:c r="M115" s="27"/>
      <x:c r="N115" s="27"/>
      <x:c r="O115" s="27"/>
      <x:c r="P115" s="27"/>
      <x:c r="Q115" s="27"/>
      <x:c r="R115" s="27"/>
      <x:c r="S115" s="27"/>
      <x:c r="T115" s="27"/>
      <x:c r="U115" s="27"/>
      <x:c r="V115" s="27"/>
      <x:c r="W115" s="27"/>
      <x:c r="X115" s="27"/>
      <x:c r="Y115" s="27"/>
      <x:c r="Z115" s="27"/>
      <x:c r="AA115" s="27"/>
      <x:c r="AB115" s="27"/>
      <x:c r="AC115" s="27"/>
      <x:c r="AD115" s="27"/>
      <x:c r="AE115" s="27"/>
      <x:c r="AF115" s="27"/>
      <x:c r="AG115" s="27"/>
      <x:c r="AH115" s="27"/>
      <x:c r="AI115" s="27"/>
      <x:c r="AJ115" s="27"/>
      <x:c r="AK115" s="27"/>
      <x:c r="AL115" s="27"/>
      <x:c r="AM115" s="27"/>
      <x:c r="AN115" s="27"/>
      <x:c r="AO115" s="27"/>
      <x:c r="AP115" s="27"/>
      <x:c r="AQ115" s="27"/>
      <x:c r="AR115" s="27"/>
      <x:c r="AS115" s="27"/>
      <x:c r="AT115" s="27"/>
      <x:c r="AU115" s="27"/>
      <x:c r="AV115" s="27"/>
      <x:c r="AW115" s="27"/>
      <x:c r="AX115" s="27"/>
      <x:c r="AY115" s="27"/>
      <x:c r="AZ115" s="27"/>
    </x:row>
    <x:row r="116">
      <x:c r="A116" s="27"/>
      <x:c r="B116" s="27"/>
      <x:c r="C116" s="27"/>
      <x:c r="D116" s="27"/>
      <x:c r="E116" s="27"/>
      <x:c r="F116" s="27"/>
      <x:c r="G116" s="27"/>
      <x:c r="H116" s="27"/>
      <x:c r="I116" s="27"/>
      <x:c r="J116" s="27"/>
      <x:c r="K116" s="27"/>
      <x:c r="L116" s="27"/>
      <x:c r="M116" s="27"/>
      <x:c r="N116" s="27"/>
      <x:c r="O116" s="27"/>
      <x:c r="P116" s="27"/>
      <x:c r="Q116" s="27"/>
      <x:c r="R116" s="27"/>
      <x:c r="S116" s="27"/>
      <x:c r="T116" s="27"/>
      <x:c r="U116" s="27"/>
      <x:c r="V116" s="27"/>
      <x:c r="W116" s="27"/>
      <x:c r="X116" s="27"/>
      <x:c r="Y116" s="27"/>
      <x:c r="Z116" s="27"/>
      <x:c r="AA116" s="27"/>
      <x:c r="AB116" s="27"/>
      <x:c r="AC116" s="27"/>
      <x:c r="AD116" s="27"/>
      <x:c r="AE116" s="27"/>
      <x:c r="AF116" s="27"/>
      <x:c r="AG116" s="27"/>
      <x:c r="AH116" s="27"/>
      <x:c r="AI116" s="27"/>
      <x:c r="AJ116" s="27"/>
      <x:c r="AK116" s="27"/>
      <x:c r="AL116" s="27"/>
      <x:c r="AM116" s="27"/>
      <x:c r="AN116" s="27"/>
      <x:c r="AO116" s="27"/>
      <x:c r="AP116" s="27"/>
      <x:c r="AQ116" s="27"/>
      <x:c r="AR116" s="27"/>
      <x:c r="AS116" s="27"/>
      <x:c r="AT116" s="27"/>
      <x:c r="AU116" s="27"/>
      <x:c r="AV116" s="27"/>
      <x:c r="AW116" s="27"/>
      <x:c r="AX116" s="27"/>
      <x:c r="AY116" s="27"/>
      <x:c r="AZ116" s="27"/>
    </x:row>
    <x:row r="117">
      <x:c r="A117" s="27"/>
      <x:c r="B117" s="27"/>
      <x:c r="C117" s="27"/>
      <x:c r="D117" s="27"/>
      <x:c r="E117" s="27"/>
      <x:c r="F117" s="27"/>
      <x:c r="G117" s="27"/>
      <x:c r="H117" s="27"/>
      <x:c r="I117" s="27"/>
      <x:c r="J117" s="27"/>
      <x:c r="K117" s="27"/>
      <x:c r="L117" s="27"/>
      <x:c r="M117" s="27"/>
      <x:c r="N117" s="27"/>
      <x:c r="O117" s="27"/>
      <x:c r="P117" s="27"/>
      <x:c r="Q117" s="27"/>
      <x:c r="R117" s="27"/>
      <x:c r="S117" s="27"/>
      <x:c r="T117" s="27"/>
      <x:c r="U117" s="27"/>
      <x:c r="V117" s="27"/>
      <x:c r="W117" s="27"/>
      <x:c r="X117" s="27"/>
      <x:c r="Y117" s="27"/>
      <x:c r="Z117" s="27"/>
      <x:c r="AA117" s="27"/>
      <x:c r="AB117" s="27"/>
      <x:c r="AC117" s="27"/>
      <x:c r="AD117" s="27"/>
      <x:c r="AE117" s="27"/>
      <x:c r="AF117" s="27"/>
      <x:c r="AG117" s="27"/>
      <x:c r="AH117" s="27"/>
      <x:c r="AI117" s="27"/>
      <x:c r="AJ117" s="27"/>
      <x:c r="AK117" s="27"/>
      <x:c r="AL117" s="27"/>
      <x:c r="AM117" s="27"/>
      <x:c r="AN117" s="27"/>
      <x:c r="AO117" s="27"/>
      <x:c r="AP117" s="27"/>
      <x:c r="AQ117" s="27"/>
      <x:c r="AR117" s="27"/>
      <x:c r="AS117" s="27"/>
      <x:c r="AT117" s="27"/>
      <x:c r="AU117" s="27"/>
      <x:c r="AV117" s="27"/>
      <x:c r="AW117" s="27"/>
      <x:c r="AX117" s="27"/>
      <x:c r="AY117" s="27"/>
      <x:c r="AZ117" s="27"/>
    </x:row>
    <x:row r="118">
      <x:c r="A118" s="27"/>
      <x:c r="B118" s="27"/>
      <x:c r="C118" s="27"/>
      <x:c r="D118" s="27"/>
      <x:c r="E118" s="27"/>
      <x:c r="F118" s="27"/>
      <x:c r="G118" s="27"/>
      <x:c r="H118" s="27"/>
      <x:c r="I118" s="27"/>
      <x:c r="J118" s="27"/>
      <x:c r="K118" s="27"/>
      <x:c r="L118" s="27"/>
      <x:c r="M118" s="27"/>
      <x:c r="N118" s="27"/>
      <x:c r="O118" s="27"/>
      <x:c r="P118" s="27"/>
      <x:c r="Q118" s="27"/>
      <x:c r="R118" s="27"/>
      <x:c r="S118" s="27"/>
      <x:c r="T118" s="27"/>
      <x:c r="U118" s="27"/>
      <x:c r="V118" s="27"/>
      <x:c r="W118" s="27"/>
      <x:c r="X118" s="27"/>
      <x:c r="Y118" s="27"/>
      <x:c r="Z118" s="27"/>
      <x:c r="AA118" s="27"/>
      <x:c r="AB118" s="27"/>
      <x:c r="AC118" s="27"/>
      <x:c r="AD118" s="27"/>
      <x:c r="AE118" s="27"/>
      <x:c r="AF118" s="27"/>
      <x:c r="AG118" s="27"/>
      <x:c r="AH118" s="27"/>
      <x:c r="AI118" s="27"/>
      <x:c r="AJ118" s="27"/>
      <x:c r="AK118" s="27"/>
      <x:c r="AL118" s="27"/>
      <x:c r="AM118" s="27"/>
      <x:c r="AN118" s="27"/>
      <x:c r="AO118" s="27"/>
      <x:c r="AP118" s="27"/>
      <x:c r="AQ118" s="27"/>
      <x:c r="AR118" s="27"/>
      <x:c r="AS118" s="27"/>
      <x:c r="AT118" s="27"/>
      <x:c r="AU118" s="27"/>
      <x:c r="AV118" s="27"/>
      <x:c r="AW118" s="27"/>
      <x:c r="AX118" s="27"/>
      <x:c r="AY118" s="27"/>
      <x:c r="AZ118" s="27"/>
    </x:row>
    <x:row r="119">
      <x:c r="A119" s="27"/>
      <x:c r="B119" s="27"/>
      <x:c r="C119" s="27"/>
      <x:c r="D119" s="27"/>
      <x:c r="E119" s="27"/>
      <x:c r="F119" s="27"/>
      <x:c r="G119" s="27"/>
      <x:c r="H119" s="27"/>
      <x:c r="I119" s="27"/>
      <x:c r="J119" s="27"/>
      <x:c r="K119" s="27"/>
      <x:c r="L119" s="27"/>
      <x:c r="M119" s="27"/>
      <x:c r="N119" s="27"/>
      <x:c r="O119" s="27"/>
      <x:c r="P119" s="27"/>
      <x:c r="Q119" s="27"/>
      <x:c r="R119" s="27"/>
      <x:c r="S119" s="27"/>
      <x:c r="T119" s="27"/>
      <x:c r="U119" s="27"/>
      <x:c r="V119" s="27"/>
      <x:c r="W119" s="27"/>
      <x:c r="X119" s="27"/>
      <x:c r="Y119" s="27"/>
      <x:c r="Z119" s="27"/>
      <x:c r="AA119" s="27"/>
      <x:c r="AB119" s="27"/>
      <x:c r="AC119" s="27"/>
      <x:c r="AD119" s="27"/>
      <x:c r="AE119" s="27"/>
      <x:c r="AF119" s="27"/>
      <x:c r="AG119" s="27"/>
      <x:c r="AH119" s="27"/>
      <x:c r="AI119" s="27"/>
      <x:c r="AJ119" s="27"/>
      <x:c r="AK119" s="27"/>
      <x:c r="AL119" s="27"/>
      <x:c r="AM119" s="27"/>
      <x:c r="AN119" s="27"/>
      <x:c r="AO119" s="27"/>
      <x:c r="AP119" s="27"/>
      <x:c r="AQ119" s="27"/>
      <x:c r="AR119" s="27"/>
      <x:c r="AS119" s="27"/>
      <x:c r="AT119" s="27"/>
      <x:c r="AU119" s="27"/>
      <x:c r="AV119" s="27"/>
      <x:c r="AW119" s="27"/>
      <x:c r="AX119" s="27"/>
      <x:c r="AY119" s="27"/>
      <x:c r="AZ119" s="27"/>
    </x:row>
    <x:row r="120">
      <x:c r="A120" s="27"/>
      <x:c r="B120" s="27"/>
      <x:c r="C120" s="27"/>
      <x:c r="D120" s="27"/>
      <x:c r="E120" s="27"/>
      <x:c r="F120" s="27"/>
      <x:c r="G120" s="27"/>
      <x:c r="H120" s="27"/>
      <x:c r="I120" s="27"/>
      <x:c r="J120" s="27"/>
      <x:c r="K120" s="27"/>
      <x:c r="L120" s="27"/>
      <x:c r="M120" s="27"/>
      <x:c r="N120" s="27"/>
      <x:c r="O120" s="27"/>
      <x:c r="P120" s="27"/>
      <x:c r="Q120" s="27"/>
      <x:c r="R120" s="27"/>
      <x:c r="S120" s="27"/>
      <x:c r="T120" s="27"/>
      <x:c r="U120" s="27"/>
      <x:c r="V120" s="27"/>
      <x:c r="W120" s="27"/>
      <x:c r="X120" s="27"/>
      <x:c r="Y120" s="27"/>
      <x:c r="Z120" s="27"/>
      <x:c r="AA120" s="27"/>
      <x:c r="AB120" s="27"/>
      <x:c r="AC120" s="27"/>
      <x:c r="AD120" s="27"/>
      <x:c r="AE120" s="27"/>
      <x:c r="AF120" s="27"/>
      <x:c r="AG120" s="27"/>
      <x:c r="AH120" s="27"/>
      <x:c r="AI120" s="27"/>
      <x:c r="AJ120" s="27"/>
      <x:c r="AK120" s="27"/>
      <x:c r="AL120" s="27"/>
      <x:c r="AM120" s="27"/>
      <x:c r="AN120" s="27"/>
      <x:c r="AO120" s="27"/>
      <x:c r="AP120" s="27"/>
      <x:c r="AQ120" s="27"/>
      <x:c r="AR120" s="27"/>
      <x:c r="AS120" s="27"/>
      <x:c r="AT120" s="27"/>
      <x:c r="AU120" s="27"/>
      <x:c r="AV120" s="27"/>
      <x:c r="AW120" s="27"/>
      <x:c r="AX120" s="27"/>
      <x:c r="AY120" s="27"/>
      <x:c r="AZ120" s="27"/>
    </x:row>
    <x:row r="121">
      <x:c r="A121" s="27"/>
      <x:c r="B121" s="27"/>
      <x:c r="C121" s="27"/>
      <x:c r="D121" s="27"/>
      <x:c r="E121" s="27"/>
      <x:c r="F121" s="27"/>
      <x:c r="G121" s="27"/>
      <x:c r="H121" s="27"/>
      <x:c r="I121" s="27"/>
      <x:c r="J121" s="27"/>
      <x:c r="K121" s="27"/>
      <x:c r="L121" s="27"/>
      <x:c r="M121" s="27"/>
      <x:c r="N121" s="27"/>
      <x:c r="O121" s="27"/>
      <x:c r="P121" s="27"/>
      <x:c r="Q121" s="27"/>
      <x:c r="R121" s="27"/>
      <x:c r="S121" s="27"/>
      <x:c r="T121" s="27"/>
      <x:c r="U121" s="27"/>
      <x:c r="V121" s="27"/>
      <x:c r="W121" s="27"/>
      <x:c r="X121" s="27"/>
      <x:c r="Y121" s="27"/>
      <x:c r="Z121" s="27"/>
      <x:c r="AA121" s="27"/>
      <x:c r="AB121" s="27"/>
      <x:c r="AC121" s="27"/>
      <x:c r="AD121" s="27"/>
      <x:c r="AE121" s="27"/>
      <x:c r="AF121" s="27"/>
      <x:c r="AG121" s="27"/>
      <x:c r="AH121" s="27"/>
      <x:c r="AI121" s="27"/>
      <x:c r="AJ121" s="27"/>
      <x:c r="AK121" s="27"/>
      <x:c r="AL121" s="27"/>
      <x:c r="AM121" s="27"/>
      <x:c r="AN121" s="27"/>
      <x:c r="AO121" s="27"/>
      <x:c r="AP121" s="27"/>
      <x:c r="AQ121" s="27"/>
      <x:c r="AR121" s="27"/>
      <x:c r="AS121" s="27"/>
      <x:c r="AT121" s="27"/>
      <x:c r="AU121" s="27"/>
      <x:c r="AV121" s="27"/>
      <x:c r="AW121" s="27"/>
      <x:c r="AX121" s="27"/>
      <x:c r="AY121" s="27"/>
      <x:c r="AZ121" s="27"/>
    </x:row>
    <x:row r="122">
      <x:c r="A122" s="27"/>
      <x:c r="B122" s="27"/>
      <x:c r="C122" s="27"/>
      <x:c r="D122" s="27"/>
      <x:c r="E122" s="27"/>
      <x:c r="F122" s="27"/>
      <x:c r="G122" s="27"/>
      <x:c r="H122" s="27"/>
      <x:c r="I122" s="27"/>
      <x:c r="J122" s="27"/>
      <x:c r="K122" s="27"/>
      <x:c r="L122" s="27"/>
      <x:c r="M122" s="27"/>
      <x:c r="N122" s="27"/>
      <x:c r="O122" s="27"/>
      <x:c r="P122" s="27"/>
      <x:c r="Q122" s="27"/>
      <x:c r="R122" s="27"/>
      <x:c r="S122" s="27"/>
      <x:c r="T122" s="27"/>
      <x:c r="U122" s="27"/>
      <x:c r="V122" s="27"/>
      <x:c r="W122" s="27"/>
      <x:c r="X122" s="27"/>
      <x:c r="Y122" s="27"/>
      <x:c r="Z122" s="27"/>
      <x:c r="AA122" s="27"/>
      <x:c r="AB122" s="27"/>
      <x:c r="AC122" s="27"/>
      <x:c r="AD122" s="27"/>
      <x:c r="AE122" s="27"/>
      <x:c r="AF122" s="27"/>
      <x:c r="AG122" s="27"/>
      <x:c r="AH122" s="27"/>
      <x:c r="AI122" s="27"/>
      <x:c r="AJ122" s="27"/>
      <x:c r="AK122" s="27"/>
      <x:c r="AL122" s="27"/>
      <x:c r="AM122" s="27"/>
      <x:c r="AN122" s="27"/>
      <x:c r="AO122" s="27"/>
      <x:c r="AP122" s="27"/>
      <x:c r="AQ122" s="27"/>
      <x:c r="AR122" s="27"/>
      <x:c r="AS122" s="27"/>
      <x:c r="AT122" s="27"/>
      <x:c r="AU122" s="27"/>
      <x:c r="AV122" s="27"/>
      <x:c r="AW122" s="27"/>
      <x:c r="AX122" s="27"/>
      <x:c r="AY122" s="27"/>
      <x:c r="AZ122" s="27"/>
    </x:row>
    <x:row r="123">
      <x:c r="A123" s="27"/>
      <x:c r="B123" s="27"/>
      <x:c r="C123" s="27"/>
      <x:c r="D123" s="27"/>
      <x:c r="E123" s="27"/>
      <x:c r="F123" s="27"/>
      <x:c r="G123" s="27"/>
      <x:c r="H123" s="27"/>
      <x:c r="I123" s="27"/>
      <x:c r="J123" s="27"/>
      <x:c r="K123" s="27"/>
      <x:c r="L123" s="27"/>
      <x:c r="M123" s="27"/>
      <x:c r="N123" s="27"/>
      <x:c r="O123" s="27"/>
      <x:c r="P123" s="27"/>
      <x:c r="Q123" s="27"/>
      <x:c r="R123" s="27"/>
      <x:c r="S123" s="27"/>
      <x:c r="T123" s="27"/>
      <x:c r="U123" s="27"/>
      <x:c r="V123" s="27"/>
      <x:c r="W123" s="27"/>
      <x:c r="X123" s="27"/>
      <x:c r="Y123" s="27"/>
      <x:c r="Z123" s="27"/>
      <x:c r="AA123" s="27"/>
      <x:c r="AB123" s="27"/>
      <x:c r="AC123" s="27"/>
      <x:c r="AD123" s="27"/>
      <x:c r="AE123" s="27"/>
      <x:c r="AF123" s="27"/>
      <x:c r="AG123" s="27"/>
      <x:c r="AH123" s="27"/>
      <x:c r="AI123" s="27"/>
      <x:c r="AJ123" s="27"/>
      <x:c r="AK123" s="27"/>
      <x:c r="AL123" s="27"/>
      <x:c r="AM123" s="27"/>
      <x:c r="AN123" s="27"/>
      <x:c r="AO123" s="27"/>
      <x:c r="AP123" s="27"/>
      <x:c r="AQ123" s="27"/>
      <x:c r="AR123" s="27"/>
      <x:c r="AS123" s="27"/>
      <x:c r="AT123" s="27"/>
      <x:c r="AU123" s="27"/>
      <x:c r="AV123" s="27"/>
      <x:c r="AW123" s="27"/>
      <x:c r="AX123" s="27"/>
      <x:c r="AY123" s="27"/>
      <x:c r="AZ123" s="27"/>
    </x:row>
    <x:row r="124">
      <x:c r="A124" s="27"/>
      <x:c r="B124" s="27"/>
      <x:c r="C124" s="27"/>
      <x:c r="D124" s="27"/>
      <x:c r="E124" s="27"/>
      <x:c r="F124" s="27"/>
      <x:c r="G124" s="27"/>
      <x:c r="H124" s="27"/>
      <x:c r="I124" s="27"/>
      <x:c r="J124" s="27"/>
      <x:c r="K124" s="27"/>
      <x:c r="L124" s="27"/>
      <x:c r="M124" s="27"/>
      <x:c r="N124" s="27"/>
      <x:c r="O124" s="27"/>
      <x:c r="P124" s="27"/>
      <x:c r="Q124" s="27"/>
      <x:c r="R124" s="27"/>
      <x:c r="S124" s="27"/>
      <x:c r="T124" s="27"/>
      <x:c r="U124" s="27"/>
      <x:c r="V124" s="27"/>
      <x:c r="W124" s="27"/>
      <x:c r="X124" s="27"/>
      <x:c r="Y124" s="27"/>
      <x:c r="Z124" s="27"/>
      <x:c r="AA124" s="27"/>
      <x:c r="AB124" s="27"/>
      <x:c r="AC124" s="27"/>
      <x:c r="AD124" s="27"/>
      <x:c r="AE124" s="27"/>
      <x:c r="AF124" s="27"/>
      <x:c r="AG124" s="27"/>
      <x:c r="AH124" s="27"/>
      <x:c r="AI124" s="27"/>
      <x:c r="AJ124" s="27"/>
      <x:c r="AK124" s="27"/>
      <x:c r="AL124" s="27"/>
      <x:c r="AM124" s="27"/>
      <x:c r="AN124" s="27"/>
      <x:c r="AO124" s="27"/>
      <x:c r="AP124" s="27"/>
      <x:c r="AQ124" s="27"/>
      <x:c r="AR124" s="27"/>
      <x:c r="AS124" s="27"/>
      <x:c r="AT124" s="27"/>
      <x:c r="AU124" s="27"/>
      <x:c r="AV124" s="27"/>
      <x:c r="AW124" s="27"/>
      <x:c r="AX124" s="27"/>
      <x:c r="AY124" s="27"/>
      <x:c r="AZ124" s="27"/>
    </x:row>
    <x:row r="125">
      <x:c r="A125" s="27"/>
      <x:c r="B125" s="27"/>
      <x:c r="C125" s="27"/>
      <x:c r="D125" s="27"/>
      <x:c r="E125" s="27"/>
      <x:c r="F125" s="27"/>
      <x:c r="G125" s="27"/>
      <x:c r="H125" s="27"/>
      <x:c r="I125" s="27"/>
      <x:c r="J125" s="27"/>
      <x:c r="K125" s="27"/>
      <x:c r="L125" s="27"/>
      <x:c r="M125" s="27"/>
      <x:c r="N125" s="27"/>
      <x:c r="O125" s="27"/>
      <x:c r="P125" s="27"/>
      <x:c r="Q125" s="27"/>
      <x:c r="R125" s="27"/>
      <x:c r="S125" s="27"/>
      <x:c r="T125" s="27"/>
      <x:c r="U125" s="27"/>
      <x:c r="V125" s="27"/>
      <x:c r="W125" s="27"/>
      <x:c r="X125" s="27"/>
      <x:c r="Y125" s="27"/>
      <x:c r="Z125" s="27"/>
      <x:c r="AA125" s="27"/>
      <x:c r="AB125" s="27"/>
      <x:c r="AC125" s="27"/>
      <x:c r="AD125" s="27"/>
      <x:c r="AE125" s="27"/>
      <x:c r="AF125" s="27"/>
      <x:c r="AG125" s="27"/>
      <x:c r="AH125" s="27"/>
      <x:c r="AI125" s="27"/>
      <x:c r="AJ125" s="27"/>
      <x:c r="AK125" s="27"/>
      <x:c r="AL125" s="27"/>
      <x:c r="AM125" s="27"/>
      <x:c r="AN125" s="27"/>
      <x:c r="AO125" s="27"/>
      <x:c r="AP125" s="27"/>
      <x:c r="AQ125" s="27"/>
      <x:c r="AR125" s="27"/>
      <x:c r="AS125" s="27"/>
      <x:c r="AT125" s="27"/>
      <x:c r="AU125" s="27"/>
      <x:c r="AV125" s="27"/>
      <x:c r="AW125" s="27"/>
      <x:c r="AX125" s="27"/>
      <x:c r="AY125" s="27"/>
      <x:c r="AZ125" s="27"/>
    </x:row>
    <x:row r="126">
      <x:c r="A126" s="27"/>
      <x:c r="B126" s="27"/>
      <x:c r="C126" s="27"/>
      <x:c r="D126" s="27"/>
      <x:c r="E126" s="27"/>
      <x:c r="F126" s="27"/>
      <x:c r="G126" s="27"/>
      <x:c r="H126" s="27"/>
      <x:c r="I126" s="27"/>
      <x:c r="J126" s="27"/>
      <x:c r="K126" s="27"/>
      <x:c r="L126" s="27"/>
      <x:c r="M126" s="27"/>
      <x:c r="N126" s="27"/>
      <x:c r="O126" s="27"/>
      <x:c r="P126" s="27"/>
      <x:c r="Q126" s="27"/>
      <x:c r="R126" s="27"/>
      <x:c r="S126" s="27"/>
      <x:c r="T126" s="27"/>
      <x:c r="U126" s="27"/>
      <x:c r="V126" s="27"/>
      <x:c r="W126" s="27"/>
      <x:c r="X126" s="27"/>
      <x:c r="Y126" s="27"/>
      <x:c r="Z126" s="27"/>
      <x:c r="AA126" s="27"/>
      <x:c r="AB126" s="27"/>
      <x:c r="AC126" s="27"/>
      <x:c r="AD126" s="27"/>
      <x:c r="AE126" s="27"/>
      <x:c r="AF126" s="27"/>
      <x:c r="AG126" s="27"/>
      <x:c r="AH126" s="27"/>
      <x:c r="AI126" s="27"/>
      <x:c r="AJ126" s="27"/>
      <x:c r="AK126" s="27"/>
      <x:c r="AL126" s="27"/>
      <x:c r="AM126" s="27"/>
      <x:c r="AN126" s="27"/>
      <x:c r="AO126" s="27"/>
      <x:c r="AP126" s="27"/>
      <x:c r="AQ126" s="27"/>
      <x:c r="AR126" s="27"/>
      <x:c r="AS126" s="27"/>
      <x:c r="AT126" s="27"/>
      <x:c r="AU126" s="27"/>
      <x:c r="AV126" s="27"/>
      <x:c r="AW126" s="27"/>
      <x:c r="AX126" s="27"/>
      <x:c r="AY126" s="27"/>
      <x:c r="AZ126" s="27"/>
    </x:row>
    <x:row r="127">
      <x:c r="A127" s="27"/>
      <x:c r="B127" s="27"/>
      <x:c r="C127" s="27"/>
      <x:c r="D127" s="27"/>
      <x:c r="E127" s="27"/>
      <x:c r="F127" s="27"/>
      <x:c r="G127" s="27"/>
      <x:c r="H127" s="27"/>
      <x:c r="I127" s="27"/>
      <x:c r="J127" s="27"/>
      <x:c r="K127" s="27"/>
      <x:c r="L127" s="27"/>
      <x:c r="M127" s="27"/>
      <x:c r="N127" s="27"/>
      <x:c r="O127" s="27"/>
      <x:c r="P127" s="27"/>
      <x:c r="Q127" s="27"/>
      <x:c r="R127" s="27"/>
      <x:c r="S127" s="27"/>
      <x:c r="T127" s="27"/>
      <x:c r="U127" s="27"/>
      <x:c r="V127" s="27"/>
      <x:c r="W127" s="27"/>
      <x:c r="X127" s="27"/>
      <x:c r="Y127" s="27"/>
      <x:c r="Z127" s="27"/>
      <x:c r="AA127" s="27"/>
      <x:c r="AB127" s="27"/>
      <x:c r="AC127" s="27"/>
      <x:c r="AD127" s="27"/>
      <x:c r="AE127" s="27"/>
      <x:c r="AF127" s="27"/>
      <x:c r="AG127" s="27"/>
      <x:c r="AH127" s="27"/>
      <x:c r="AI127" s="27"/>
      <x:c r="AJ127" s="27"/>
      <x:c r="AK127" s="27"/>
      <x:c r="AL127" s="27"/>
      <x:c r="AM127" s="27"/>
      <x:c r="AN127" s="27"/>
      <x:c r="AO127" s="27"/>
      <x:c r="AP127" s="27"/>
      <x:c r="AQ127" s="27"/>
      <x:c r="AR127" s="27"/>
      <x:c r="AS127" s="27"/>
      <x:c r="AT127" s="27"/>
      <x:c r="AU127" s="27"/>
      <x:c r="AV127" s="27"/>
      <x:c r="AW127" s="27"/>
      <x:c r="AX127" s="27"/>
      <x:c r="AY127" s="27"/>
      <x:c r="AZ127" s="27"/>
    </x:row>
    <x:row r="128">
      <x:c r="A128" s="27"/>
      <x:c r="B128" s="27"/>
      <x:c r="C128" s="27"/>
      <x:c r="D128" s="27"/>
      <x:c r="E128" s="27"/>
      <x:c r="F128" s="27"/>
      <x:c r="G128" s="27"/>
      <x:c r="H128" s="27"/>
      <x:c r="I128" s="27"/>
      <x:c r="J128" s="27"/>
      <x:c r="K128" s="27"/>
      <x:c r="L128" s="27"/>
      <x:c r="M128" s="27"/>
      <x:c r="N128" s="27"/>
      <x:c r="O128" s="27"/>
      <x:c r="P128" s="27"/>
      <x:c r="Q128" s="27"/>
      <x:c r="R128" s="27"/>
      <x:c r="S128" s="27"/>
      <x:c r="T128" s="27"/>
      <x:c r="U128" s="27"/>
      <x:c r="V128" s="27"/>
      <x:c r="W128" s="27"/>
      <x:c r="X128" s="27"/>
      <x:c r="Y128" s="27"/>
      <x:c r="Z128" s="27"/>
      <x:c r="AA128" s="27"/>
      <x:c r="AB128" s="27"/>
      <x:c r="AC128" s="27"/>
      <x:c r="AD128" s="27"/>
      <x:c r="AE128" s="27"/>
      <x:c r="AF128" s="27"/>
      <x:c r="AG128" s="27"/>
      <x:c r="AH128" s="27"/>
      <x:c r="AI128" s="27"/>
      <x:c r="AJ128" s="27"/>
      <x:c r="AK128" s="27"/>
      <x:c r="AL128" s="27"/>
      <x:c r="AM128" s="27"/>
      <x:c r="AN128" s="27"/>
      <x:c r="AO128" s="27"/>
      <x:c r="AP128" s="27"/>
      <x:c r="AQ128" s="27"/>
      <x:c r="AR128" s="27"/>
      <x:c r="AS128" s="27"/>
      <x:c r="AT128" s="27"/>
      <x:c r="AU128" s="27"/>
      <x:c r="AV128" s="27"/>
      <x:c r="AW128" s="27"/>
      <x:c r="AX128" s="27"/>
      <x:c r="AY128" s="27"/>
      <x:c r="AZ128" s="27"/>
    </x:row>
    <x:row r="129">
      <x:c r="A129" s="27"/>
      <x:c r="B129" s="27"/>
      <x:c r="C129" s="27"/>
      <x:c r="D129" s="27"/>
      <x:c r="E129" s="27"/>
      <x:c r="F129" s="27"/>
      <x:c r="G129" s="27"/>
      <x:c r="H129" s="27"/>
      <x:c r="I129" s="27"/>
      <x:c r="J129" s="27"/>
      <x:c r="K129" s="27"/>
      <x:c r="L129" s="27"/>
      <x:c r="M129" s="27"/>
      <x:c r="N129" s="27"/>
      <x:c r="O129" s="27"/>
      <x:c r="P129" s="27"/>
      <x:c r="Q129" s="27"/>
      <x:c r="R129" s="27"/>
      <x:c r="S129" s="27"/>
      <x:c r="T129" s="27"/>
      <x:c r="U129" s="27"/>
      <x:c r="V129" s="27"/>
      <x:c r="W129" s="27"/>
      <x:c r="X129" s="27"/>
      <x:c r="Y129" s="27"/>
      <x:c r="Z129" s="27"/>
      <x:c r="AA129" s="27"/>
      <x:c r="AB129" s="27"/>
      <x:c r="AC129" s="27"/>
      <x:c r="AD129" s="27"/>
      <x:c r="AE129" s="27"/>
      <x:c r="AF129" s="27"/>
      <x:c r="AG129" s="27"/>
      <x:c r="AH129" s="27"/>
      <x:c r="AI129" s="27"/>
      <x:c r="AJ129" s="27"/>
      <x:c r="AK129" s="27"/>
      <x:c r="AL129" s="27"/>
      <x:c r="AM129" s="27"/>
      <x:c r="AN129" s="27"/>
      <x:c r="AO129" s="27"/>
      <x:c r="AP129" s="27"/>
      <x:c r="AQ129" s="27"/>
      <x:c r="AR129" s="27"/>
      <x:c r="AS129" s="27"/>
      <x:c r="AT129" s="27"/>
      <x:c r="AU129" s="27"/>
      <x:c r="AV129" s="27"/>
      <x:c r="AW129" s="27"/>
      <x:c r="AX129" s="27"/>
      <x:c r="AY129" s="27"/>
      <x:c r="AZ129" s="27"/>
    </x:row>
    <x:row r="130">
      <x:c r="A130" s="27"/>
      <x:c r="B130" s="27"/>
      <x:c r="C130" s="27"/>
      <x:c r="D130" s="27"/>
      <x:c r="E130" s="27"/>
      <x:c r="F130" s="27"/>
      <x:c r="G130" s="27"/>
      <x:c r="H130" s="27"/>
      <x:c r="I130" s="27"/>
      <x:c r="J130" s="27"/>
      <x:c r="K130" s="27"/>
      <x:c r="L130" s="27"/>
      <x:c r="M130" s="27"/>
      <x:c r="N130" s="27"/>
      <x:c r="O130" s="27"/>
      <x:c r="P130" s="27"/>
      <x:c r="Q130" s="27"/>
      <x:c r="R130" s="27"/>
      <x:c r="S130" s="27"/>
      <x:c r="T130" s="27"/>
      <x:c r="U130" s="27"/>
      <x:c r="V130" s="27"/>
      <x:c r="W130" s="27"/>
      <x:c r="X130" s="27"/>
      <x:c r="Y130" s="27"/>
      <x:c r="Z130" s="27"/>
      <x:c r="AA130" s="27"/>
      <x:c r="AB130" s="27"/>
      <x:c r="AC130" s="27"/>
      <x:c r="AD130" s="27"/>
      <x:c r="AE130" s="27"/>
      <x:c r="AF130" s="27"/>
      <x:c r="AG130" s="27"/>
      <x:c r="AH130" s="27"/>
      <x:c r="AI130" s="27"/>
      <x:c r="AJ130" s="27"/>
      <x:c r="AK130" s="27"/>
      <x:c r="AL130" s="27"/>
      <x:c r="AM130" s="27"/>
      <x:c r="AN130" s="27"/>
      <x:c r="AO130" s="27"/>
      <x:c r="AP130" s="27"/>
      <x:c r="AQ130" s="27"/>
      <x:c r="AR130" s="27"/>
      <x:c r="AS130" s="27"/>
      <x:c r="AT130" s="27"/>
      <x:c r="AU130" s="27"/>
      <x:c r="AV130" s="27"/>
      <x:c r="AW130" s="27"/>
      <x:c r="AX130" s="27"/>
      <x:c r="AY130" s="27"/>
      <x:c r="AZ130" s="27"/>
    </x:row>
    <x:row r="131">
      <x:c r="A131" s="27"/>
      <x:c r="B131" s="27"/>
      <x:c r="C131" s="27"/>
      <x:c r="D131" s="27"/>
      <x:c r="E131" s="27"/>
      <x:c r="F131" s="27"/>
      <x:c r="G131" s="27"/>
      <x:c r="H131" s="27"/>
      <x:c r="I131" s="27"/>
      <x:c r="J131" s="27"/>
      <x:c r="K131" s="27"/>
      <x:c r="L131" s="27"/>
      <x:c r="M131" s="27"/>
      <x:c r="N131" s="27"/>
      <x:c r="O131" s="27"/>
      <x:c r="P131" s="27"/>
      <x:c r="Q131" s="27"/>
      <x:c r="R131" s="27"/>
      <x:c r="S131" s="27"/>
      <x:c r="T131" s="27"/>
      <x:c r="U131" s="27"/>
      <x:c r="V131" s="27"/>
      <x:c r="W131" s="27"/>
      <x:c r="X131" s="27"/>
      <x:c r="Y131" s="27"/>
      <x:c r="Z131" s="27"/>
      <x:c r="AA131" s="27"/>
      <x:c r="AB131" s="27"/>
      <x:c r="AC131" s="27"/>
      <x:c r="AD131" s="27"/>
      <x:c r="AE131" s="27"/>
      <x:c r="AF131" s="27"/>
      <x:c r="AG131" s="27"/>
      <x:c r="AH131" s="27"/>
      <x:c r="AI131" s="27"/>
      <x:c r="AJ131" s="27"/>
      <x:c r="AK131" s="27"/>
      <x:c r="AL131" s="27"/>
      <x:c r="AM131" s="27"/>
      <x:c r="AN131" s="27"/>
      <x:c r="AO131" s="27"/>
      <x:c r="AP131" s="27"/>
      <x:c r="AQ131" s="27"/>
      <x:c r="AR131" s="27"/>
      <x:c r="AS131" s="27"/>
      <x:c r="AT131" s="27"/>
      <x:c r="AU131" s="27"/>
      <x:c r="AV131" s="27"/>
      <x:c r="AW131" s="27"/>
      <x:c r="AX131" s="27"/>
      <x:c r="AY131" s="27"/>
      <x:c r="AZ131" s="27"/>
    </x:row>
    <x:row r="132">
      <x:c r="A132" s="27"/>
      <x:c r="B132" s="27"/>
      <x:c r="C132" s="27"/>
      <x:c r="D132" s="27"/>
      <x:c r="E132" s="27"/>
      <x:c r="F132" s="27"/>
      <x:c r="G132" s="27"/>
      <x:c r="H132" s="27"/>
      <x:c r="I132" s="27"/>
      <x:c r="J132" s="27"/>
      <x:c r="K132" s="27"/>
      <x:c r="L132" s="27"/>
      <x:c r="M132" s="27"/>
      <x:c r="N132" s="27"/>
      <x:c r="O132" s="27"/>
      <x:c r="P132" s="27"/>
      <x:c r="Q132" s="27"/>
      <x:c r="R132" s="27"/>
      <x:c r="S132" s="27"/>
      <x:c r="T132" s="27"/>
      <x:c r="U132" s="27"/>
      <x:c r="V132" s="27"/>
      <x:c r="W132" s="27"/>
      <x:c r="X132" s="27"/>
      <x:c r="Y132" s="27"/>
      <x:c r="Z132" s="27"/>
      <x:c r="AA132" s="27"/>
      <x:c r="AB132" s="27"/>
      <x:c r="AC132" s="27"/>
      <x:c r="AD132" s="27"/>
      <x:c r="AE132" s="27"/>
      <x:c r="AF132" s="27"/>
      <x:c r="AG132" s="27"/>
      <x:c r="AH132" s="27"/>
      <x:c r="AI132" s="27"/>
      <x:c r="AJ132" s="27"/>
      <x:c r="AK132" s="27"/>
      <x:c r="AL132" s="27"/>
      <x:c r="AM132" s="27"/>
      <x:c r="AN132" s="27"/>
      <x:c r="AO132" s="27"/>
      <x:c r="AP132" s="27"/>
      <x:c r="AQ132" s="27"/>
      <x:c r="AR132" s="27"/>
      <x:c r="AS132" s="27"/>
      <x:c r="AT132" s="27"/>
      <x:c r="AU132" s="27"/>
      <x:c r="AV132" s="27"/>
      <x:c r="AW132" s="27"/>
      <x:c r="AX132" s="27"/>
      <x:c r="AY132" s="27"/>
      <x:c r="AZ132" s="27"/>
    </x:row>
    <x:row r="133">
      <x:c r="A133" s="27"/>
      <x:c r="B133" s="27"/>
      <x:c r="C133" s="27"/>
      <x:c r="D133" s="27"/>
      <x:c r="E133" s="27"/>
      <x:c r="F133" s="27"/>
      <x:c r="G133" s="27"/>
      <x:c r="H133" s="27"/>
      <x:c r="I133" s="27"/>
      <x:c r="J133" s="27"/>
      <x:c r="K133" s="27"/>
      <x:c r="L133" s="27"/>
      <x:c r="M133" s="27"/>
      <x:c r="N133" s="27"/>
      <x:c r="O133" s="27"/>
      <x:c r="P133" s="27"/>
      <x:c r="Q133" s="27"/>
      <x:c r="R133" s="27"/>
      <x:c r="S133" s="27"/>
      <x:c r="T133" s="27"/>
      <x:c r="U133" s="27"/>
      <x:c r="V133" s="27"/>
      <x:c r="W133" s="27"/>
      <x:c r="X133" s="27"/>
      <x:c r="Y133" s="27"/>
      <x:c r="Z133" s="27"/>
      <x:c r="AA133" s="27"/>
      <x:c r="AB133" s="27"/>
      <x:c r="AC133" s="27"/>
      <x:c r="AD133" s="27"/>
      <x:c r="AE133" s="27"/>
      <x:c r="AF133" s="27"/>
      <x:c r="AG133" s="27"/>
      <x:c r="AH133" s="27"/>
      <x:c r="AI133" s="27"/>
      <x:c r="AJ133" s="27"/>
      <x:c r="AK133" s="27"/>
      <x:c r="AL133" s="27"/>
      <x:c r="AM133" s="27"/>
      <x:c r="AN133" s="27"/>
      <x:c r="AO133" s="27"/>
      <x:c r="AP133" s="27"/>
      <x:c r="AQ133" s="27"/>
      <x:c r="AR133" s="27"/>
      <x:c r="AS133" s="27"/>
      <x:c r="AT133" s="27"/>
      <x:c r="AU133" s="27"/>
      <x:c r="AV133" s="27"/>
      <x:c r="AW133" s="27"/>
      <x:c r="AX133" s="27"/>
      <x:c r="AY133" s="27"/>
      <x:c r="AZ133" s="27"/>
    </x:row>
    <x:row r="134">
      <x:c r="A134" s="27"/>
      <x:c r="B134" s="27"/>
      <x:c r="C134" s="27"/>
      <x:c r="D134" s="27"/>
      <x:c r="E134" s="27"/>
      <x:c r="F134" s="27"/>
      <x:c r="G134" s="27"/>
      <x:c r="H134" s="27"/>
      <x:c r="I134" s="27"/>
      <x:c r="J134" s="27"/>
      <x:c r="K134" s="27"/>
      <x:c r="L134" s="27"/>
      <x:c r="M134" s="27"/>
      <x:c r="N134" s="27"/>
      <x:c r="O134" s="27"/>
      <x:c r="P134" s="27"/>
      <x:c r="Q134" s="27"/>
      <x:c r="R134" s="27"/>
      <x:c r="S134" s="27"/>
      <x:c r="T134" s="27"/>
      <x:c r="U134" s="27"/>
      <x:c r="V134" s="27"/>
      <x:c r="W134" s="27"/>
      <x:c r="X134" s="27"/>
      <x:c r="Y134" s="27"/>
      <x:c r="Z134" s="27"/>
      <x:c r="AA134" s="27"/>
      <x:c r="AB134" s="27"/>
      <x:c r="AC134" s="27"/>
      <x:c r="AD134" s="27"/>
      <x:c r="AE134" s="27"/>
      <x:c r="AF134" s="27"/>
      <x:c r="AG134" s="27"/>
      <x:c r="AH134" s="27"/>
      <x:c r="AI134" s="27"/>
      <x:c r="AJ134" s="27"/>
      <x:c r="AK134" s="27"/>
      <x:c r="AL134" s="27"/>
      <x:c r="AM134" s="27"/>
      <x:c r="AN134" s="27"/>
      <x:c r="AO134" s="27"/>
      <x:c r="AP134" s="27"/>
      <x:c r="AQ134" s="27"/>
      <x:c r="AR134" s="27"/>
      <x:c r="AS134" s="27"/>
      <x:c r="AT134" s="27"/>
      <x:c r="AU134" s="27"/>
      <x:c r="AV134" s="27"/>
      <x:c r="AW134" s="27"/>
      <x:c r="AX134" s="27"/>
      <x:c r="AY134" s="27"/>
      <x:c r="AZ134" s="27"/>
    </x:row>
    <x:row r="135">
      <x:c r="A135" s="27"/>
      <x:c r="B135" s="27"/>
      <x:c r="C135" s="27"/>
      <x:c r="D135" s="27"/>
      <x:c r="E135" s="27"/>
      <x:c r="F135" s="27"/>
      <x:c r="G135" s="27"/>
      <x:c r="H135" s="27"/>
      <x:c r="I135" s="27"/>
      <x:c r="J135" s="27"/>
      <x:c r="K135" s="27"/>
      <x:c r="L135" s="27"/>
      <x:c r="M135" s="27"/>
      <x:c r="N135" s="27"/>
      <x:c r="O135" s="27"/>
      <x:c r="P135" s="27"/>
      <x:c r="Q135" s="27"/>
      <x:c r="R135" s="27"/>
      <x:c r="S135" s="27"/>
      <x:c r="T135" s="27"/>
      <x:c r="U135" s="27"/>
      <x:c r="V135" s="27"/>
      <x:c r="W135" s="27"/>
      <x:c r="X135" s="27"/>
      <x:c r="Y135" s="27"/>
      <x:c r="Z135" s="27"/>
      <x:c r="AA135" s="27"/>
      <x:c r="AB135" s="27"/>
      <x:c r="AC135" s="27"/>
      <x:c r="AD135" s="27"/>
      <x:c r="AE135" s="27"/>
      <x:c r="AF135" s="27"/>
      <x:c r="AG135" s="27"/>
      <x:c r="AH135" s="27"/>
      <x:c r="AI135" s="27"/>
      <x:c r="AJ135" s="27"/>
      <x:c r="AK135" s="27"/>
      <x:c r="AL135" s="27"/>
      <x:c r="AM135" s="27"/>
      <x:c r="AN135" s="27"/>
      <x:c r="AO135" s="27"/>
      <x:c r="AP135" s="27"/>
      <x:c r="AQ135" s="27"/>
      <x:c r="AR135" s="27"/>
      <x:c r="AS135" s="27"/>
      <x:c r="AT135" s="27"/>
      <x:c r="AU135" s="27"/>
      <x:c r="AV135" s="27"/>
      <x:c r="AW135" s="27"/>
      <x:c r="AX135" s="27"/>
      <x:c r="AY135" s="27"/>
      <x:c r="AZ135" s="27"/>
    </x:row>
    <x:row r="136">
      <x:c r="A136" s="27"/>
      <x:c r="B136" s="27"/>
      <x:c r="C136" s="27"/>
      <x:c r="D136" s="27"/>
      <x:c r="E136" s="27"/>
      <x:c r="F136" s="27"/>
      <x:c r="G136" s="27"/>
      <x:c r="H136" s="27"/>
      <x:c r="I136" s="27"/>
      <x:c r="J136" s="27"/>
      <x:c r="K136" s="27"/>
      <x:c r="L136" s="27"/>
      <x:c r="M136" s="27"/>
      <x:c r="N136" s="27"/>
      <x:c r="O136" s="27"/>
      <x:c r="P136" s="27"/>
      <x:c r="Q136" s="27"/>
      <x:c r="R136" s="27"/>
      <x:c r="S136" s="27"/>
      <x:c r="T136" s="27"/>
      <x:c r="U136" s="27"/>
      <x:c r="V136" s="27"/>
      <x:c r="W136" s="27"/>
      <x:c r="X136" s="27"/>
      <x:c r="Y136" s="27"/>
      <x:c r="Z136" s="27"/>
      <x:c r="AA136" s="27"/>
      <x:c r="AB136" s="27"/>
      <x:c r="AC136" s="27"/>
      <x:c r="AD136" s="27"/>
      <x:c r="AE136" s="27"/>
      <x:c r="AF136" s="27"/>
      <x:c r="AG136" s="27"/>
      <x:c r="AH136" s="27"/>
      <x:c r="AI136" s="27"/>
      <x:c r="AJ136" s="27"/>
      <x:c r="AK136" s="27"/>
      <x:c r="AL136" s="27"/>
      <x:c r="AM136" s="27"/>
      <x:c r="AN136" s="27"/>
      <x:c r="AO136" s="27"/>
      <x:c r="AP136" s="27"/>
      <x:c r="AQ136" s="27"/>
      <x:c r="AR136" s="27"/>
      <x:c r="AS136" s="27"/>
      <x:c r="AT136" s="27"/>
      <x:c r="AU136" s="27"/>
      <x:c r="AV136" s="27"/>
      <x:c r="AW136" s="27"/>
      <x:c r="AX136" s="27"/>
      <x:c r="AY136" s="27"/>
      <x:c r="AZ136" s="27"/>
    </x:row>
    <x:row r="137">
      <x:c r="A137" s="27"/>
      <x:c r="B137" s="27"/>
      <x:c r="C137" s="27"/>
      <x:c r="D137" s="27"/>
      <x:c r="E137" s="27"/>
      <x:c r="F137" s="27"/>
      <x:c r="G137" s="27"/>
      <x:c r="H137" s="27"/>
      <x:c r="I137" s="27"/>
      <x:c r="J137" s="27"/>
      <x:c r="K137" s="27"/>
      <x:c r="L137" s="27"/>
      <x:c r="M137" s="27"/>
      <x:c r="N137" s="27"/>
      <x:c r="O137" s="27"/>
      <x:c r="P137" s="27"/>
      <x:c r="Q137" s="27"/>
      <x:c r="R137" s="27"/>
      <x:c r="S137" s="27"/>
      <x:c r="T137" s="27"/>
      <x:c r="U137" s="27"/>
      <x:c r="V137" s="27"/>
      <x:c r="W137" s="27"/>
      <x:c r="X137" s="27"/>
      <x:c r="Y137" s="27"/>
      <x:c r="Z137" s="27"/>
      <x:c r="AA137" s="27"/>
      <x:c r="AB137" s="27"/>
      <x:c r="AC137" s="27"/>
      <x:c r="AD137" s="27"/>
      <x:c r="AE137" s="27"/>
      <x:c r="AF137" s="27"/>
      <x:c r="AG137" s="27"/>
      <x:c r="AH137" s="27"/>
      <x:c r="AI137" s="27"/>
      <x:c r="AJ137" s="27"/>
      <x:c r="AK137" s="27"/>
      <x:c r="AL137" s="27"/>
      <x:c r="AM137" s="27"/>
      <x:c r="AN137" s="27"/>
      <x:c r="AO137" s="27"/>
      <x:c r="AP137" s="27"/>
      <x:c r="AQ137" s="27"/>
      <x:c r="AR137" s="27"/>
      <x:c r="AS137" s="27"/>
      <x:c r="AT137" s="27"/>
      <x:c r="AU137" s="27"/>
      <x:c r="AV137" s="27"/>
      <x:c r="AW137" s="27"/>
      <x:c r="AX137" s="27"/>
      <x:c r="AY137" s="27"/>
      <x:c r="AZ137" s="27"/>
    </x:row>
    <x:row r="138">
      <x:c r="A138" s="27"/>
      <x:c r="B138" s="27"/>
      <x:c r="C138" s="27"/>
      <x:c r="D138" s="27"/>
      <x:c r="E138" s="27"/>
      <x:c r="F138" s="27"/>
      <x:c r="G138" s="27"/>
      <x:c r="H138" s="27"/>
      <x:c r="I138" s="27"/>
      <x:c r="J138" s="27"/>
      <x:c r="K138" s="27"/>
      <x:c r="L138" s="27"/>
      <x:c r="M138" s="27"/>
      <x:c r="N138" s="27"/>
      <x:c r="O138" s="27"/>
      <x:c r="P138" s="27"/>
      <x:c r="Q138" s="27"/>
      <x:c r="R138" s="27"/>
      <x:c r="S138" s="27"/>
      <x:c r="T138" s="27"/>
      <x:c r="U138" s="27"/>
      <x:c r="V138" s="27"/>
      <x:c r="W138" s="27"/>
      <x:c r="X138" s="27"/>
      <x:c r="Y138" s="27"/>
      <x:c r="Z138" s="27"/>
      <x:c r="AA138" s="27"/>
      <x:c r="AB138" s="27"/>
      <x:c r="AC138" s="27"/>
      <x:c r="AD138" s="27"/>
      <x:c r="AE138" s="27"/>
      <x:c r="AF138" s="27"/>
      <x:c r="AG138" s="27"/>
      <x:c r="AH138" s="27"/>
      <x:c r="AI138" s="27"/>
      <x:c r="AJ138" s="27"/>
      <x:c r="AK138" s="27"/>
      <x:c r="AL138" s="27"/>
      <x:c r="AM138" s="27"/>
      <x:c r="AN138" s="27"/>
      <x:c r="AO138" s="27"/>
      <x:c r="AP138" s="27"/>
      <x:c r="AQ138" s="27"/>
      <x:c r="AR138" s="27"/>
      <x:c r="AS138" s="27"/>
      <x:c r="AT138" s="27"/>
      <x:c r="AU138" s="27"/>
      <x:c r="AV138" s="27"/>
      <x:c r="AW138" s="27"/>
      <x:c r="AX138" s="27"/>
      <x:c r="AY138" s="27"/>
      <x:c r="AZ138" s="27"/>
    </x:row>
    <x:row r="139">
      <x:c r="A139" s="27"/>
      <x:c r="B139" s="27"/>
      <x:c r="C139" s="27"/>
      <x:c r="D139" s="27"/>
      <x:c r="E139" s="27"/>
      <x:c r="F139" s="27"/>
      <x:c r="G139" s="27"/>
      <x:c r="H139" s="27"/>
      <x:c r="I139" s="27"/>
      <x:c r="J139" s="27"/>
      <x:c r="K139" s="27"/>
      <x:c r="L139" s="27"/>
      <x:c r="M139" s="27"/>
      <x:c r="N139" s="27"/>
      <x:c r="O139" s="27"/>
      <x:c r="P139" s="27"/>
      <x:c r="Q139" s="27"/>
      <x:c r="R139" s="27"/>
      <x:c r="S139" s="27"/>
      <x:c r="T139" s="27"/>
      <x:c r="U139" s="27"/>
      <x:c r="V139" s="27"/>
      <x:c r="W139" s="27"/>
      <x:c r="X139" s="27"/>
      <x:c r="Y139" s="27"/>
      <x:c r="Z139" s="27"/>
      <x:c r="AA139" s="27"/>
      <x:c r="AB139" s="27"/>
      <x:c r="AC139" s="27"/>
      <x:c r="AD139" s="27"/>
      <x:c r="AE139" s="27"/>
      <x:c r="AF139" s="27"/>
      <x:c r="AG139" s="27"/>
      <x:c r="AH139" s="27"/>
      <x:c r="AI139" s="27"/>
      <x:c r="AJ139" s="27"/>
      <x:c r="AK139" s="27"/>
      <x:c r="AL139" s="27"/>
      <x:c r="AM139" s="27"/>
      <x:c r="AN139" s="27"/>
      <x:c r="AO139" s="27"/>
      <x:c r="AP139" s="27"/>
      <x:c r="AQ139" s="27"/>
      <x:c r="AR139" s="27"/>
      <x:c r="AS139" s="27"/>
      <x:c r="AT139" s="27"/>
      <x:c r="AU139" s="27"/>
      <x:c r="AV139" s="27"/>
      <x:c r="AW139" s="27"/>
      <x:c r="AX139" s="27"/>
      <x:c r="AY139" s="27"/>
      <x:c r="AZ139" s="27"/>
    </x:row>
    <x:row r="140">
      <x:c r="A140" s="27"/>
      <x:c r="B140" s="27"/>
      <x:c r="C140" s="27"/>
      <x:c r="D140" s="27"/>
      <x:c r="E140" s="27"/>
      <x:c r="F140" s="27"/>
      <x:c r="G140" s="27"/>
      <x:c r="H140" s="27"/>
      <x:c r="I140" s="27"/>
      <x:c r="J140" s="27"/>
      <x:c r="K140" s="27"/>
      <x:c r="L140" s="27"/>
      <x:c r="M140" s="27"/>
      <x:c r="N140" s="27"/>
      <x:c r="O140" s="27"/>
      <x:c r="P140" s="27"/>
      <x:c r="Q140" s="27"/>
      <x:c r="R140" s="27"/>
      <x:c r="S140" s="27"/>
      <x:c r="T140" s="27"/>
      <x:c r="U140" s="27"/>
      <x:c r="V140" s="27"/>
      <x:c r="W140" s="27"/>
      <x:c r="X140" s="27"/>
      <x:c r="Y140" s="27"/>
      <x:c r="Z140" s="27"/>
      <x:c r="AA140" s="27"/>
      <x:c r="AB140" s="27"/>
      <x:c r="AC140" s="27"/>
      <x:c r="AD140" s="27"/>
      <x:c r="AE140" s="27"/>
      <x:c r="AF140" s="27"/>
      <x:c r="AG140" s="27"/>
      <x:c r="AH140" s="27"/>
      <x:c r="AI140" s="27"/>
      <x:c r="AJ140" s="27"/>
      <x:c r="AK140" s="27"/>
      <x:c r="AL140" s="27"/>
      <x:c r="AM140" s="27"/>
      <x:c r="AN140" s="27"/>
      <x:c r="AO140" s="27"/>
      <x:c r="AP140" s="27"/>
      <x:c r="AQ140" s="27"/>
      <x:c r="AR140" s="27"/>
      <x:c r="AS140" s="27"/>
      <x:c r="AT140" s="27"/>
      <x:c r="AU140" s="27"/>
      <x:c r="AV140" s="27"/>
      <x:c r="AW140" s="27"/>
      <x:c r="AX140" s="27"/>
      <x:c r="AY140" s="27"/>
      <x:c r="AZ140" s="27"/>
    </x:row>
    <x:row r="141">
      <x:c r="A141" s="27"/>
      <x:c r="B141" s="27"/>
      <x:c r="C141" s="27"/>
      <x:c r="D141" s="27"/>
      <x:c r="E141" s="27"/>
      <x:c r="F141" s="27"/>
      <x:c r="G141" s="27"/>
      <x:c r="H141" s="27"/>
      <x:c r="I141" s="27"/>
      <x:c r="J141" s="27"/>
      <x:c r="K141" s="27"/>
      <x:c r="L141" s="27"/>
      <x:c r="M141" s="27"/>
      <x:c r="N141" s="27"/>
      <x:c r="O141" s="27"/>
      <x:c r="P141" s="27"/>
      <x:c r="Q141" s="27"/>
      <x:c r="R141" s="27"/>
      <x:c r="S141" s="27"/>
      <x:c r="T141" s="27"/>
      <x:c r="U141" s="27"/>
      <x:c r="V141" s="27"/>
      <x:c r="W141" s="27"/>
      <x:c r="X141" s="27"/>
      <x:c r="Y141" s="27"/>
      <x:c r="Z141" s="27"/>
      <x:c r="AA141" s="27"/>
      <x:c r="AB141" s="27"/>
      <x:c r="AC141" s="27"/>
      <x:c r="AD141" s="27"/>
      <x:c r="AE141" s="27"/>
      <x:c r="AF141" s="27"/>
      <x:c r="AG141" s="27"/>
      <x:c r="AH141" s="27"/>
      <x:c r="AI141" s="27"/>
      <x:c r="AJ141" s="27"/>
      <x:c r="AK141" s="27"/>
      <x:c r="AL141" s="27"/>
      <x:c r="AM141" s="27"/>
      <x:c r="AN141" s="27"/>
      <x:c r="AO141" s="27"/>
      <x:c r="AP141" s="27"/>
      <x:c r="AQ141" s="27"/>
      <x:c r="AR141" s="27"/>
      <x:c r="AS141" s="27"/>
      <x:c r="AT141" s="27"/>
      <x:c r="AU141" s="27"/>
      <x:c r="AV141" s="27"/>
      <x:c r="AW141" s="27"/>
      <x:c r="AX141" s="27"/>
      <x:c r="AY141" s="27"/>
      <x:c r="AZ141" s="27"/>
    </x:row>
    <x:row r="142">
      <x:c r="A142" s="27"/>
      <x:c r="B142" s="27"/>
      <x:c r="C142" s="27"/>
      <x:c r="D142" s="27"/>
      <x:c r="E142" s="27"/>
      <x:c r="F142" s="27"/>
      <x:c r="G142" s="27"/>
      <x:c r="H142" s="27"/>
      <x:c r="I142" s="27"/>
      <x:c r="J142" s="27"/>
      <x:c r="K142" s="27"/>
      <x:c r="L142" s="27"/>
      <x:c r="M142" s="27"/>
      <x:c r="N142" s="27"/>
      <x:c r="O142" s="27"/>
      <x:c r="P142" s="27"/>
      <x:c r="Q142" s="27"/>
      <x:c r="R142" s="27"/>
      <x:c r="S142" s="27"/>
      <x:c r="T142" s="27"/>
      <x:c r="U142" s="27"/>
      <x:c r="V142" s="27"/>
      <x:c r="W142" s="27"/>
      <x:c r="X142" s="27"/>
      <x:c r="Y142" s="27"/>
      <x:c r="Z142" s="27"/>
      <x:c r="AA142" s="27"/>
      <x:c r="AB142" s="27"/>
      <x:c r="AC142" s="27"/>
      <x:c r="AD142" s="27"/>
      <x:c r="AE142" s="27"/>
      <x:c r="AF142" s="27"/>
      <x:c r="AG142" s="27"/>
      <x:c r="AH142" s="27"/>
      <x:c r="AI142" s="27"/>
      <x:c r="AJ142" s="27"/>
      <x:c r="AK142" s="27"/>
      <x:c r="AL142" s="27"/>
      <x:c r="AM142" s="27"/>
      <x:c r="AN142" s="27"/>
      <x:c r="AO142" s="27"/>
      <x:c r="AP142" s="27"/>
      <x:c r="AQ142" s="27"/>
      <x:c r="AR142" s="27"/>
      <x:c r="AS142" s="27"/>
      <x:c r="AT142" s="27"/>
      <x:c r="AU142" s="27"/>
      <x:c r="AV142" s="27"/>
      <x:c r="AW142" s="27"/>
      <x:c r="AX142" s="27"/>
      <x:c r="AY142" s="27"/>
      <x:c r="AZ142" s="27"/>
    </x:row>
    <x:row r="143">
      <x:c r="A143" s="27"/>
      <x:c r="B143" s="27"/>
      <x:c r="C143" s="27"/>
      <x:c r="D143" s="27"/>
      <x:c r="E143" s="27"/>
      <x:c r="F143" s="27"/>
      <x:c r="G143" s="27"/>
      <x:c r="H143" s="27"/>
      <x:c r="I143" s="27"/>
      <x:c r="J143" s="27"/>
      <x:c r="K143" s="27"/>
      <x:c r="L143" s="27"/>
      <x:c r="M143" s="27"/>
      <x:c r="N143" s="27"/>
      <x:c r="O143" s="27"/>
      <x:c r="P143" s="27"/>
      <x:c r="Q143" s="27"/>
      <x:c r="R143" s="27"/>
      <x:c r="S143" s="27"/>
      <x:c r="T143" s="27"/>
      <x:c r="U143" s="27"/>
      <x:c r="V143" s="27"/>
      <x:c r="W143" s="27"/>
      <x:c r="X143" s="27"/>
      <x:c r="Y143" s="27"/>
      <x:c r="Z143" s="27"/>
      <x:c r="AA143" s="27"/>
      <x:c r="AB143" s="27"/>
      <x:c r="AC143" s="27"/>
      <x:c r="AD143" s="27"/>
      <x:c r="AE143" s="27"/>
      <x:c r="AF143" s="27"/>
      <x:c r="AG143" s="27"/>
      <x:c r="AH143" s="27"/>
      <x:c r="AI143" s="27"/>
      <x:c r="AJ143" s="27"/>
      <x:c r="AK143" s="27"/>
      <x:c r="AL143" s="27"/>
      <x:c r="AM143" s="27"/>
      <x:c r="AN143" s="27"/>
      <x:c r="AO143" s="27"/>
      <x:c r="AP143" s="27"/>
      <x:c r="AQ143" s="27"/>
      <x:c r="AR143" s="27"/>
      <x:c r="AS143" s="27"/>
      <x:c r="AT143" s="27"/>
      <x:c r="AU143" s="27"/>
      <x:c r="AV143" s="27"/>
      <x:c r="AW143" s="27"/>
      <x:c r="AX143" s="27"/>
      <x:c r="AY143" s="27"/>
      <x:c r="AZ143" s="27"/>
    </x:row>
    <x:row r="144">
      <x:c r="A144" s="27"/>
      <x:c r="B144" s="27"/>
      <x:c r="C144" s="27"/>
      <x:c r="D144" s="27"/>
      <x:c r="E144" s="27"/>
      <x:c r="F144" s="27"/>
      <x:c r="G144" s="27"/>
      <x:c r="H144" s="27"/>
      <x:c r="I144" s="27"/>
      <x:c r="J144" s="27"/>
      <x:c r="K144" s="27"/>
      <x:c r="L144" s="27"/>
      <x:c r="M144" s="27"/>
      <x:c r="N144" s="27"/>
      <x:c r="O144" s="27"/>
      <x:c r="P144" s="27"/>
      <x:c r="Q144" s="27"/>
      <x:c r="R144" s="27"/>
      <x:c r="S144" s="27"/>
      <x:c r="T144" s="27"/>
      <x:c r="U144" s="27"/>
      <x:c r="V144" s="27"/>
      <x:c r="W144" s="27"/>
      <x:c r="X144" s="27"/>
      <x:c r="Y144" s="27"/>
      <x:c r="Z144" s="27"/>
      <x:c r="AA144" s="27"/>
      <x:c r="AB144" s="27"/>
      <x:c r="AC144" s="27"/>
      <x:c r="AD144" s="27"/>
      <x:c r="AE144" s="27"/>
      <x:c r="AF144" s="27"/>
      <x:c r="AG144" s="27"/>
      <x:c r="AH144" s="27"/>
      <x:c r="AI144" s="27"/>
      <x:c r="AJ144" s="27"/>
      <x:c r="AK144" s="27"/>
      <x:c r="AL144" s="27"/>
      <x:c r="AM144" s="27"/>
      <x:c r="AN144" s="27"/>
      <x:c r="AO144" s="27"/>
      <x:c r="AP144" s="27"/>
      <x:c r="AQ144" s="27"/>
      <x:c r="AR144" s="27"/>
      <x:c r="AS144" s="27"/>
      <x:c r="AT144" s="27"/>
      <x:c r="AU144" s="27"/>
      <x:c r="AV144" s="27"/>
      <x:c r="AW144" s="27"/>
      <x:c r="AX144" s="27"/>
      <x:c r="AY144" s="27"/>
      <x:c r="AZ144" s="27"/>
    </x:row>
    <x:row r="145">
      <x:c r="A145" s="27"/>
      <x:c r="B145" s="27"/>
      <x:c r="C145" s="27"/>
      <x:c r="D145" s="27"/>
      <x:c r="E145" s="27"/>
      <x:c r="F145" s="27"/>
      <x:c r="G145" s="27"/>
      <x:c r="H145" s="27"/>
      <x:c r="I145" s="27"/>
      <x:c r="J145" s="27"/>
      <x:c r="K145" s="27"/>
      <x:c r="L145" s="27"/>
      <x:c r="M145" s="27"/>
      <x:c r="N145" s="27"/>
      <x:c r="O145" s="27"/>
      <x:c r="P145" s="27"/>
      <x:c r="Q145" s="27"/>
      <x:c r="R145" s="27"/>
      <x:c r="S145" s="27"/>
      <x:c r="T145" s="27"/>
      <x:c r="U145" s="27"/>
      <x:c r="V145" s="27"/>
      <x:c r="W145" s="27"/>
      <x:c r="X145" s="27"/>
      <x:c r="Y145" s="27"/>
      <x:c r="Z145" s="27"/>
      <x:c r="AA145" s="27"/>
      <x:c r="AB145" s="27"/>
      <x:c r="AC145" s="27"/>
      <x:c r="AD145" s="27"/>
      <x:c r="AE145" s="27"/>
      <x:c r="AF145" s="27"/>
      <x:c r="AG145" s="27"/>
      <x:c r="AH145" s="27"/>
      <x:c r="AI145" s="27"/>
      <x:c r="AJ145" s="27"/>
      <x:c r="AK145" s="27"/>
      <x:c r="AL145" s="27"/>
      <x:c r="AM145" s="27"/>
      <x:c r="AN145" s="27"/>
      <x:c r="AO145" s="27"/>
      <x:c r="AP145" s="27"/>
      <x:c r="AQ145" s="27"/>
      <x:c r="AR145" s="27"/>
      <x:c r="AS145" s="27"/>
      <x:c r="AT145" s="27"/>
      <x:c r="AU145" s="27"/>
      <x:c r="AV145" s="27"/>
      <x:c r="AW145" s="27"/>
      <x:c r="AX145" s="27"/>
      <x:c r="AY145" s="27"/>
      <x:c r="AZ145" s="27"/>
    </x:row>
    <x:row r="146">
      <x:c r="A146" s="27"/>
      <x:c r="B146" s="27"/>
      <x:c r="C146" s="27"/>
      <x:c r="D146" s="27"/>
      <x:c r="E146" s="27"/>
      <x:c r="F146" s="27"/>
      <x:c r="G146" s="27"/>
      <x:c r="H146" s="27"/>
      <x:c r="I146" s="27"/>
      <x:c r="J146" s="27"/>
      <x:c r="K146" s="27"/>
      <x:c r="L146" s="27"/>
      <x:c r="M146" s="27"/>
      <x:c r="N146" s="27"/>
      <x:c r="O146" s="27"/>
      <x:c r="P146" s="27"/>
      <x:c r="Q146" s="27"/>
      <x:c r="R146" s="27"/>
      <x:c r="S146" s="27"/>
      <x:c r="T146" s="27"/>
      <x:c r="U146" s="27"/>
      <x:c r="V146" s="27"/>
      <x:c r="W146" s="27"/>
      <x:c r="X146" s="27"/>
      <x:c r="Y146" s="27"/>
      <x:c r="Z146" s="27"/>
      <x:c r="AA146" s="27"/>
      <x:c r="AB146" s="27"/>
      <x:c r="AC146" s="27"/>
      <x:c r="AD146" s="27"/>
      <x:c r="AE146" s="27"/>
      <x:c r="AF146" s="27"/>
      <x:c r="AG146" s="27"/>
      <x:c r="AH146" s="27"/>
      <x:c r="AI146" s="27"/>
      <x:c r="AJ146" s="27"/>
      <x:c r="AK146" s="27"/>
      <x:c r="AL146" s="27"/>
      <x:c r="AM146" s="27"/>
      <x:c r="AN146" s="27"/>
      <x:c r="AO146" s="27"/>
      <x:c r="AP146" s="27"/>
      <x:c r="AQ146" s="27"/>
      <x:c r="AR146" s="27"/>
      <x:c r="AS146" s="27"/>
      <x:c r="AT146" s="27"/>
      <x:c r="AU146" s="27"/>
      <x:c r="AV146" s="27"/>
      <x:c r="AW146" s="27"/>
      <x:c r="AX146" s="27"/>
      <x:c r="AY146" s="27"/>
      <x:c r="AZ146" s="27"/>
    </x:row>
    <x:row r="147">
      <x:c r="A147" s="27"/>
      <x:c r="B147" s="27"/>
      <x:c r="C147" s="27"/>
      <x:c r="D147" s="27"/>
      <x:c r="E147" s="27"/>
      <x:c r="F147" s="27"/>
      <x:c r="G147" s="27"/>
      <x:c r="H147" s="27"/>
      <x:c r="I147" s="27"/>
      <x:c r="J147" s="27"/>
      <x:c r="K147" s="27"/>
      <x:c r="L147" s="27"/>
      <x:c r="M147" s="27"/>
      <x:c r="N147" s="27"/>
      <x:c r="O147" s="27"/>
      <x:c r="P147" s="27"/>
      <x:c r="Q147" s="27"/>
      <x:c r="R147" s="27"/>
      <x:c r="S147" s="27"/>
      <x:c r="T147" s="27"/>
      <x:c r="U147" s="27"/>
      <x:c r="V147" s="27"/>
      <x:c r="W147" s="27"/>
      <x:c r="X147" s="27"/>
      <x:c r="Y147" s="27"/>
      <x:c r="Z147" s="27"/>
      <x:c r="AA147" s="27"/>
      <x:c r="AB147" s="27"/>
      <x:c r="AC147" s="27"/>
      <x:c r="AD147" s="27"/>
      <x:c r="AE147" s="27"/>
      <x:c r="AF147" s="27"/>
      <x:c r="AG147" s="27"/>
      <x:c r="AH147" s="27"/>
      <x:c r="AI147" s="27"/>
      <x:c r="AJ147" s="27"/>
      <x:c r="AK147" s="27"/>
      <x:c r="AL147" s="27"/>
      <x:c r="AM147" s="27"/>
      <x:c r="AN147" s="27"/>
      <x:c r="AO147" s="27"/>
      <x:c r="AP147" s="27"/>
      <x:c r="AQ147" s="27"/>
      <x:c r="AR147" s="27"/>
      <x:c r="AS147" s="27"/>
      <x:c r="AT147" s="27"/>
      <x:c r="AU147" s="27"/>
      <x:c r="AV147" s="27"/>
      <x:c r="AW147" s="27"/>
      <x:c r="AX147" s="27"/>
      <x:c r="AY147" s="27"/>
      <x:c r="AZ147" s="27"/>
    </x:row>
    <x:row r="148">
      <x:c r="A148" s="27"/>
      <x:c r="B148" s="27"/>
      <x:c r="C148" s="27"/>
      <x:c r="D148" s="27"/>
      <x:c r="E148" s="27"/>
      <x:c r="F148" s="27"/>
      <x:c r="G148" s="27"/>
      <x:c r="H148" s="27"/>
      <x:c r="I148" s="27"/>
      <x:c r="J148" s="27"/>
      <x:c r="K148" s="27"/>
      <x:c r="L148" s="27"/>
      <x:c r="M148" s="27"/>
      <x:c r="N148" s="27"/>
      <x:c r="O148" s="27"/>
      <x:c r="P148" s="27"/>
      <x:c r="Q148" s="27"/>
      <x:c r="R148" s="27"/>
      <x:c r="S148" s="27"/>
      <x:c r="T148" s="27"/>
      <x:c r="U148" s="27"/>
      <x:c r="V148" s="27"/>
      <x:c r="W148" s="27"/>
      <x:c r="X148" s="27"/>
      <x:c r="Y148" s="27"/>
      <x:c r="Z148" s="27"/>
      <x:c r="AA148" s="27"/>
      <x:c r="AB148" s="27"/>
      <x:c r="AC148" s="27"/>
      <x:c r="AD148" s="27"/>
      <x:c r="AE148" s="27"/>
      <x:c r="AF148" s="27"/>
      <x:c r="AG148" s="27"/>
      <x:c r="AH148" s="27"/>
      <x:c r="AI148" s="27"/>
      <x:c r="AJ148" s="27"/>
      <x:c r="AK148" s="27"/>
      <x:c r="AL148" s="27"/>
      <x:c r="AM148" s="27"/>
      <x:c r="AN148" s="27"/>
      <x:c r="AO148" s="27"/>
      <x:c r="AP148" s="27"/>
      <x:c r="AQ148" s="27"/>
      <x:c r="AR148" s="27"/>
      <x:c r="AS148" s="27"/>
      <x:c r="AT148" s="27"/>
      <x:c r="AU148" s="27"/>
      <x:c r="AV148" s="27"/>
      <x:c r="AW148" s="27"/>
      <x:c r="AX148" s="27"/>
      <x:c r="AY148" s="27"/>
      <x:c r="AZ148" s="27"/>
    </x:row>
    <x:row r="149">
      <x:c r="A149" s="27"/>
      <x:c r="B149" s="27"/>
      <x:c r="C149" s="27"/>
      <x:c r="D149" s="27"/>
      <x:c r="E149" s="27"/>
      <x:c r="F149" s="27"/>
      <x:c r="G149" s="27"/>
      <x:c r="H149" s="27"/>
      <x:c r="I149" s="27"/>
      <x:c r="J149" s="27"/>
      <x:c r="K149" s="27"/>
      <x:c r="L149" s="27"/>
      <x:c r="M149" s="27"/>
      <x:c r="N149" s="27"/>
      <x:c r="O149" s="27"/>
      <x:c r="P149" s="27"/>
      <x:c r="Q149" s="27"/>
      <x:c r="R149" s="27"/>
      <x:c r="S149" s="27"/>
      <x:c r="T149" s="27"/>
      <x:c r="U149" s="27"/>
      <x:c r="V149" s="27"/>
      <x:c r="W149" s="27"/>
      <x:c r="X149" s="27"/>
      <x:c r="Y149" s="27"/>
      <x:c r="Z149" s="27"/>
      <x:c r="AA149" s="27"/>
      <x:c r="AB149" s="27"/>
      <x:c r="AC149" s="27"/>
      <x:c r="AD149" s="27"/>
      <x:c r="AE149" s="27"/>
      <x:c r="AF149" s="27"/>
      <x:c r="AG149" s="27"/>
      <x:c r="AH149" s="27"/>
      <x:c r="AI149" s="27"/>
      <x:c r="AJ149" s="27"/>
      <x:c r="AK149" s="27"/>
      <x:c r="AL149" s="27"/>
      <x:c r="AM149" s="27"/>
      <x:c r="AN149" s="27"/>
      <x:c r="AO149" s="27"/>
      <x:c r="AP149" s="27"/>
      <x:c r="AQ149" s="27"/>
      <x:c r="AR149" s="27"/>
      <x:c r="AS149" s="27"/>
      <x:c r="AT149" s="27"/>
      <x:c r="AU149" s="27"/>
      <x:c r="AV149" s="27"/>
      <x:c r="AW149" s="27"/>
      <x:c r="AX149" s="27"/>
      <x:c r="AY149" s="27"/>
      <x:c r="AZ149" s="27"/>
    </x:row>
    <x:row r="150">
      <x:c r="A150" s="27"/>
      <x:c r="B150" s="27"/>
      <x:c r="C150" s="27"/>
      <x:c r="D150" s="27"/>
      <x:c r="E150" s="27"/>
      <x:c r="F150" s="27"/>
      <x:c r="G150" s="27"/>
      <x:c r="H150" s="27"/>
      <x:c r="I150" s="27"/>
      <x:c r="J150" s="27"/>
      <x:c r="K150" s="27"/>
      <x:c r="L150" s="27"/>
      <x:c r="M150" s="27"/>
      <x:c r="N150" s="27"/>
      <x:c r="O150" s="27"/>
      <x:c r="P150" s="27"/>
      <x:c r="Q150" s="27"/>
      <x:c r="R150" s="27"/>
      <x:c r="S150" s="27"/>
      <x:c r="T150" s="27"/>
      <x:c r="U150" s="27"/>
      <x:c r="V150" s="27"/>
      <x:c r="W150" s="27"/>
      <x:c r="X150" s="27"/>
      <x:c r="Y150" s="27"/>
      <x:c r="Z150" s="27"/>
      <x:c r="AA150" s="27"/>
      <x:c r="AB150" s="27"/>
      <x:c r="AC150" s="27"/>
      <x:c r="AD150" s="27"/>
      <x:c r="AE150" s="27"/>
      <x:c r="AF150" s="27"/>
      <x:c r="AG150" s="27"/>
      <x:c r="AH150" s="27"/>
      <x:c r="AI150" s="27"/>
      <x:c r="AJ150" s="27"/>
      <x:c r="AK150" s="27"/>
      <x:c r="AL150" s="27"/>
      <x:c r="AM150" s="27"/>
      <x:c r="AN150" s="27"/>
      <x:c r="AO150" s="27"/>
      <x:c r="AP150" s="27"/>
      <x:c r="AQ150" s="27"/>
      <x:c r="AR150" s="27"/>
      <x:c r="AS150" s="27"/>
      <x:c r="AT150" s="27"/>
      <x:c r="AU150" s="27"/>
      <x:c r="AV150" s="27"/>
      <x:c r="AW150" s="27"/>
      <x:c r="AX150" s="27"/>
      <x:c r="AY150" s="27"/>
      <x:c r="AZ150" s="27"/>
    </x:row>
    <x:row r="151">
      <x:c r="A151" s="27"/>
      <x:c r="B151" s="27"/>
      <x:c r="C151" s="27"/>
      <x:c r="D151" s="27"/>
      <x:c r="E151" s="27"/>
      <x:c r="F151" s="27"/>
      <x:c r="G151" s="27"/>
      <x:c r="H151" s="27"/>
      <x:c r="I151" s="27"/>
      <x:c r="J151" s="27"/>
      <x:c r="K151" s="27"/>
      <x:c r="L151" s="27"/>
      <x:c r="M151" s="27"/>
      <x:c r="N151" s="27"/>
      <x:c r="O151" s="27"/>
      <x:c r="P151" s="27"/>
      <x:c r="Q151" s="27"/>
      <x:c r="R151" s="27"/>
      <x:c r="S151" s="27"/>
      <x:c r="T151" s="27"/>
      <x:c r="U151" s="27"/>
      <x:c r="V151" s="27"/>
      <x:c r="W151" s="27"/>
      <x:c r="X151" s="27"/>
      <x:c r="Y151" s="27"/>
      <x:c r="Z151" s="27"/>
      <x:c r="AA151" s="27"/>
      <x:c r="AB151" s="27"/>
      <x:c r="AC151" s="27"/>
      <x:c r="AD151" s="27"/>
      <x:c r="AE151" s="27"/>
      <x:c r="AF151" s="27"/>
      <x:c r="AG151" s="27"/>
      <x:c r="AH151" s="27"/>
      <x:c r="AI151" s="27"/>
      <x:c r="AJ151" s="27"/>
      <x:c r="AK151" s="27"/>
      <x:c r="AL151" s="27"/>
      <x:c r="AM151" s="27"/>
      <x:c r="AN151" s="27"/>
      <x:c r="AO151" s="27"/>
      <x:c r="AP151" s="27"/>
      <x:c r="AQ151" s="27"/>
      <x:c r="AR151" s="27"/>
      <x:c r="AS151" s="27"/>
      <x:c r="AT151" s="27"/>
      <x:c r="AU151" s="27"/>
      <x:c r="AV151" s="27"/>
      <x:c r="AW151" s="27"/>
      <x:c r="AX151" s="27"/>
      <x:c r="AY151" s="27"/>
      <x:c r="AZ151" s="27"/>
    </x:row>
    <x:row r="152">
      <x:c r="A152" s="27"/>
      <x:c r="B152" s="27"/>
      <x:c r="C152" s="27"/>
      <x:c r="D152" s="27"/>
      <x:c r="E152" s="27"/>
      <x:c r="F152" s="27"/>
      <x:c r="G152" s="27"/>
      <x:c r="H152" s="27"/>
      <x:c r="I152" s="27"/>
      <x:c r="J152" s="27"/>
      <x:c r="K152" s="27"/>
      <x:c r="L152" s="27"/>
      <x:c r="M152" s="27"/>
      <x:c r="N152" s="27"/>
      <x:c r="O152" s="27"/>
      <x:c r="P152" s="27"/>
      <x:c r="Q152" s="27"/>
      <x:c r="R152" s="27"/>
      <x:c r="S152" s="27"/>
      <x:c r="T152" s="27"/>
      <x:c r="U152" s="27"/>
      <x:c r="V152" s="27"/>
      <x:c r="W152" s="27"/>
      <x:c r="X152" s="27"/>
      <x:c r="Y152" s="27"/>
      <x:c r="Z152" s="27"/>
      <x:c r="AA152" s="27"/>
      <x:c r="AB152" s="27"/>
      <x:c r="AC152" s="27"/>
      <x:c r="AD152" s="27"/>
      <x:c r="AE152" s="27"/>
      <x:c r="AF152" s="27"/>
      <x:c r="AG152" s="27"/>
      <x:c r="AH152" s="27"/>
      <x:c r="AI152" s="27"/>
      <x:c r="AJ152" s="27"/>
      <x:c r="AK152" s="27"/>
      <x:c r="AL152" s="27"/>
      <x:c r="AM152" s="27"/>
      <x:c r="AN152" s="27"/>
      <x:c r="AO152" s="27"/>
      <x:c r="AP152" s="27"/>
      <x:c r="AQ152" s="27"/>
      <x:c r="AR152" s="27"/>
      <x:c r="AS152" s="27"/>
      <x:c r="AT152" s="27"/>
      <x:c r="AU152" s="27"/>
      <x:c r="AV152" s="27"/>
      <x:c r="AW152" s="27"/>
      <x:c r="AX152" s="27"/>
      <x:c r="AY152" s="27"/>
      <x:c r="AZ152" s="27"/>
    </x:row>
    <x:row r="153">
      <x:c r="A153" s="27"/>
      <x:c r="B153" s="27"/>
      <x:c r="C153" s="27"/>
      <x:c r="D153" s="27"/>
      <x:c r="E153" s="27"/>
      <x:c r="F153" s="27"/>
      <x:c r="G153" s="27"/>
      <x:c r="H153" s="27"/>
      <x:c r="I153" s="27"/>
      <x:c r="J153" s="27"/>
      <x:c r="K153" s="27"/>
      <x:c r="L153" s="27"/>
      <x:c r="M153" s="27"/>
      <x:c r="N153" s="27"/>
      <x:c r="O153" s="27"/>
      <x:c r="P153" s="27"/>
      <x:c r="Q153" s="27"/>
      <x:c r="R153" s="27"/>
      <x:c r="S153" s="27"/>
      <x:c r="T153" s="27"/>
      <x:c r="U153" s="27"/>
      <x:c r="V153" s="27"/>
      <x:c r="W153" s="27"/>
      <x:c r="X153" s="27"/>
      <x:c r="Y153" s="27"/>
      <x:c r="Z153" s="27"/>
      <x:c r="AA153" s="27"/>
      <x:c r="AB153" s="27"/>
      <x:c r="AC153" s="27"/>
      <x:c r="AD153" s="27"/>
      <x:c r="AE153" s="27"/>
      <x:c r="AF153" s="27"/>
      <x:c r="AG153" s="27"/>
      <x:c r="AH153" s="27"/>
      <x:c r="AI153" s="27"/>
      <x:c r="AJ153" s="27"/>
      <x:c r="AK153" s="27"/>
      <x:c r="AL153" s="27"/>
      <x:c r="AM153" s="27"/>
      <x:c r="AN153" s="27"/>
      <x:c r="AO153" s="27"/>
      <x:c r="AP153" s="27"/>
      <x:c r="AQ153" s="27"/>
      <x:c r="AR153" s="27"/>
      <x:c r="AS153" s="27"/>
      <x:c r="AT153" s="27"/>
      <x:c r="AU153" s="27"/>
      <x:c r="AV153" s="27"/>
      <x:c r="AW153" s="27"/>
      <x:c r="AX153" s="27"/>
      <x:c r="AY153" s="27"/>
      <x:c r="AZ153" s="27"/>
    </x:row>
    <x:row r="154">
      <x:c r="A154" s="27"/>
      <x:c r="B154" s="27"/>
      <x:c r="C154" s="27"/>
      <x:c r="D154" s="27"/>
      <x:c r="E154" s="27"/>
      <x:c r="F154" s="27"/>
      <x:c r="G154" s="27"/>
      <x:c r="H154" s="27"/>
      <x:c r="I154" s="27"/>
      <x:c r="J154" s="27"/>
      <x:c r="K154" s="27"/>
      <x:c r="L154" s="27"/>
      <x:c r="M154" s="27"/>
      <x:c r="N154" s="27"/>
      <x:c r="O154" s="27"/>
      <x:c r="P154" s="27"/>
      <x:c r="Q154" s="27"/>
      <x:c r="R154" s="27"/>
      <x:c r="S154" s="27"/>
      <x:c r="T154" s="27"/>
      <x:c r="U154" s="27"/>
      <x:c r="V154" s="27"/>
      <x:c r="W154" s="27"/>
      <x:c r="X154" s="27"/>
      <x:c r="Y154" s="27"/>
      <x:c r="Z154" s="27"/>
      <x:c r="AA154" s="27"/>
      <x:c r="AB154" s="27"/>
      <x:c r="AC154" s="27"/>
      <x:c r="AD154" s="27"/>
      <x:c r="AE154" s="27"/>
      <x:c r="AF154" s="27"/>
      <x:c r="AG154" s="27"/>
      <x:c r="AH154" s="27"/>
      <x:c r="AI154" s="27"/>
      <x:c r="AJ154" s="27"/>
      <x:c r="AK154" s="27"/>
      <x:c r="AL154" s="27"/>
      <x:c r="AM154" s="27"/>
      <x:c r="AN154" s="27"/>
      <x:c r="AO154" s="27"/>
      <x:c r="AP154" s="27"/>
      <x:c r="AQ154" s="27"/>
      <x:c r="AR154" s="27"/>
      <x:c r="AS154" s="27"/>
      <x:c r="AT154" s="27"/>
      <x:c r="AU154" s="27"/>
      <x:c r="AV154" s="27"/>
      <x:c r="AW154" s="27"/>
      <x:c r="AX154" s="27"/>
      <x:c r="AY154" s="27"/>
      <x:c r="AZ154" s="27"/>
    </x:row>
    <x:row r="155">
      <x:c r="A155" s="27"/>
      <x:c r="B155" s="27"/>
      <x:c r="C155" s="27"/>
      <x:c r="D155" s="27"/>
      <x:c r="E155" s="27"/>
      <x:c r="F155" s="27"/>
      <x:c r="G155" s="27"/>
      <x:c r="H155" s="27"/>
      <x:c r="I155" s="27"/>
      <x:c r="J155" s="27"/>
      <x:c r="K155" s="27"/>
      <x:c r="L155" s="27"/>
      <x:c r="M155" s="27"/>
      <x:c r="N155" s="27"/>
      <x:c r="O155" s="27"/>
      <x:c r="P155" s="27"/>
      <x:c r="Q155" s="27"/>
      <x:c r="R155" s="27"/>
      <x:c r="S155" s="27"/>
      <x:c r="T155" s="27"/>
      <x:c r="U155" s="27"/>
      <x:c r="V155" s="27"/>
      <x:c r="W155" s="27"/>
      <x:c r="X155" s="27"/>
      <x:c r="Y155" s="27"/>
      <x:c r="Z155" s="27"/>
      <x:c r="AA155" s="27"/>
      <x:c r="AB155" s="27"/>
      <x:c r="AC155" s="27"/>
      <x:c r="AD155" s="27"/>
      <x:c r="AE155" s="27"/>
      <x:c r="AF155" s="27"/>
      <x:c r="AG155" s="27"/>
      <x:c r="AH155" s="27"/>
      <x:c r="AI155" s="27"/>
      <x:c r="AJ155" s="27"/>
      <x:c r="AK155" s="27"/>
      <x:c r="AL155" s="27"/>
      <x:c r="AM155" s="27"/>
      <x:c r="AN155" s="27"/>
      <x:c r="AO155" s="27"/>
      <x:c r="AP155" s="27"/>
      <x:c r="AQ155" s="27"/>
      <x:c r="AR155" s="27"/>
      <x:c r="AS155" s="27"/>
      <x:c r="AT155" s="27"/>
      <x:c r="AU155" s="27"/>
      <x:c r="AV155" s="27"/>
      <x:c r="AW155" s="27"/>
      <x:c r="AX155" s="27"/>
      <x:c r="AY155" s="27"/>
      <x:c r="AZ155" s="27"/>
    </x:row>
    <x:row r="156">
      <x:c r="A156" s="27"/>
      <x:c r="B156" s="27"/>
      <x:c r="C156" s="27"/>
      <x:c r="D156" s="27"/>
      <x:c r="E156" s="27"/>
      <x:c r="F156" s="27"/>
      <x:c r="G156" s="27"/>
      <x:c r="H156" s="27"/>
      <x:c r="I156" s="27"/>
      <x:c r="J156" s="27"/>
      <x:c r="K156" s="27"/>
      <x:c r="L156" s="27"/>
      <x:c r="M156" s="27"/>
      <x:c r="N156" s="27"/>
      <x:c r="O156" s="27"/>
      <x:c r="P156" s="27"/>
      <x:c r="Q156" s="27"/>
      <x:c r="R156" s="27"/>
      <x:c r="S156" s="27"/>
      <x:c r="T156" s="27"/>
      <x:c r="U156" s="27"/>
      <x:c r="V156" s="27"/>
      <x:c r="W156" s="27"/>
      <x:c r="X156" s="27"/>
      <x:c r="Y156" s="27"/>
      <x:c r="Z156" s="27"/>
      <x:c r="AA156" s="27"/>
      <x:c r="AB156" s="27"/>
      <x:c r="AC156" s="27"/>
      <x:c r="AD156" s="27"/>
      <x:c r="AE156" s="27"/>
      <x:c r="AF156" s="27"/>
      <x:c r="AG156" s="27"/>
      <x:c r="AH156" s="27"/>
      <x:c r="AI156" s="27"/>
      <x:c r="AJ156" s="27"/>
      <x:c r="AK156" s="27"/>
      <x:c r="AL156" s="27"/>
      <x:c r="AM156" s="27"/>
      <x:c r="AN156" s="27"/>
      <x:c r="AO156" s="27"/>
      <x:c r="AP156" s="27"/>
      <x:c r="AQ156" s="27"/>
      <x:c r="AR156" s="27"/>
      <x:c r="AS156" s="27"/>
      <x:c r="AT156" s="27"/>
      <x:c r="AU156" s="27"/>
      <x:c r="AV156" s="27"/>
      <x:c r="AW156" s="27"/>
      <x:c r="AX156" s="27"/>
      <x:c r="AY156" s="27"/>
      <x:c r="AZ156" s="27"/>
    </x:row>
    <x:row r="157">
      <x:c r="A157" s="27"/>
      <x:c r="B157" s="27"/>
      <x:c r="C157" s="27"/>
      <x:c r="D157" s="27"/>
      <x:c r="E157" s="27"/>
      <x:c r="F157" s="27"/>
      <x:c r="G157" s="27"/>
      <x:c r="H157" s="27"/>
      <x:c r="I157" s="27"/>
      <x:c r="J157" s="27"/>
      <x:c r="K157" s="27"/>
      <x:c r="L157" s="27"/>
      <x:c r="M157" s="27"/>
      <x:c r="N157" s="27"/>
      <x:c r="O157" s="27"/>
      <x:c r="P157" s="27"/>
      <x:c r="Q157" s="27"/>
      <x:c r="R157" s="27"/>
      <x:c r="S157" s="27"/>
      <x:c r="T157" s="27"/>
      <x:c r="U157" s="27"/>
      <x:c r="V157" s="27"/>
      <x:c r="W157" s="27"/>
      <x:c r="X157" s="27"/>
      <x:c r="Y157" s="27"/>
      <x:c r="Z157" s="27"/>
      <x:c r="AA157" s="27"/>
      <x:c r="AB157" s="27"/>
      <x:c r="AC157" s="27"/>
      <x:c r="AD157" s="27"/>
      <x:c r="AE157" s="27"/>
      <x:c r="AF157" s="27"/>
      <x:c r="AG157" s="27"/>
      <x:c r="AH157" s="27"/>
      <x:c r="AI157" s="27"/>
      <x:c r="AJ157" s="27"/>
      <x:c r="AK157" s="27"/>
      <x:c r="AL157" s="27"/>
      <x:c r="AM157" s="27"/>
      <x:c r="AN157" s="27"/>
      <x:c r="AO157" s="27"/>
      <x:c r="AP157" s="27"/>
      <x:c r="AQ157" s="27"/>
      <x:c r="AR157" s="27"/>
      <x:c r="AS157" s="27"/>
      <x:c r="AT157" s="27"/>
      <x:c r="AU157" s="27"/>
      <x:c r="AV157" s="27"/>
      <x:c r="AW157" s="27"/>
      <x:c r="AX157" s="27"/>
      <x:c r="AY157" s="27"/>
      <x:c r="AZ157" s="27"/>
    </x:row>
    <x:row r="158">
      <x:c r="A158" s="27"/>
      <x:c r="B158" s="27"/>
      <x:c r="C158" s="27"/>
      <x:c r="D158" s="27"/>
      <x:c r="E158" s="27"/>
      <x:c r="F158" s="27"/>
      <x:c r="G158" s="27"/>
      <x:c r="H158" s="27"/>
      <x:c r="I158" s="27"/>
      <x:c r="J158" s="27"/>
      <x:c r="K158" s="27"/>
      <x:c r="L158" s="27"/>
      <x:c r="M158" s="27"/>
      <x:c r="N158" s="27"/>
      <x:c r="O158" s="27"/>
      <x:c r="P158" s="27"/>
      <x:c r="Q158" s="27"/>
      <x:c r="R158" s="27"/>
      <x:c r="S158" s="27"/>
      <x:c r="T158" s="27"/>
      <x:c r="U158" s="27"/>
      <x:c r="V158" s="27"/>
      <x:c r="W158" s="27"/>
      <x:c r="X158" s="27"/>
      <x:c r="Y158" s="27"/>
      <x:c r="Z158" s="27"/>
      <x:c r="AA158" s="27"/>
      <x:c r="AB158" s="27"/>
      <x:c r="AC158" s="27"/>
      <x:c r="AD158" s="27"/>
      <x:c r="AE158" s="27"/>
      <x:c r="AF158" s="27"/>
      <x:c r="AG158" s="27"/>
      <x:c r="AH158" s="27"/>
      <x:c r="AI158" s="27"/>
      <x:c r="AJ158" s="27"/>
      <x:c r="AK158" s="27"/>
      <x:c r="AL158" s="27"/>
      <x:c r="AM158" s="27"/>
      <x:c r="AN158" s="27"/>
      <x:c r="AO158" s="27"/>
      <x:c r="AP158" s="27"/>
      <x:c r="AQ158" s="27"/>
      <x:c r="AR158" s="27"/>
      <x:c r="AS158" s="27"/>
      <x:c r="AT158" s="27"/>
      <x:c r="AU158" s="27"/>
      <x:c r="AV158" s="27"/>
      <x:c r="AW158" s="27"/>
      <x:c r="AX158" s="27"/>
      <x:c r="AY158" s="27"/>
      <x:c r="AZ158" s="27"/>
    </x:row>
    <x:row r="159">
      <x:c r="A159" s="27"/>
      <x:c r="B159" s="27"/>
      <x:c r="C159" s="27"/>
      <x:c r="D159" s="27"/>
      <x:c r="E159" s="27"/>
      <x:c r="F159" s="27"/>
      <x:c r="G159" s="27"/>
      <x:c r="H159" s="27"/>
      <x:c r="I159" s="27"/>
      <x:c r="J159" s="27"/>
      <x:c r="K159" s="27"/>
      <x:c r="L159" s="27"/>
      <x:c r="M159" s="27"/>
      <x:c r="N159" s="27"/>
      <x:c r="O159" s="27"/>
      <x:c r="P159" s="27"/>
      <x:c r="Q159" s="27"/>
      <x:c r="R159" s="27"/>
      <x:c r="S159" s="27"/>
      <x:c r="T159" s="27"/>
      <x:c r="U159" s="27"/>
      <x:c r="V159" s="27"/>
      <x:c r="W159" s="27"/>
      <x:c r="X159" s="27"/>
      <x:c r="Y159" s="27"/>
      <x:c r="Z159" s="27"/>
      <x:c r="AA159" s="27"/>
      <x:c r="AB159" s="27"/>
      <x:c r="AC159" s="27"/>
      <x:c r="AD159" s="27"/>
      <x:c r="AE159" s="27"/>
      <x:c r="AF159" s="27"/>
      <x:c r="AG159" s="27"/>
      <x:c r="AH159" s="27"/>
      <x:c r="AI159" s="27"/>
      <x:c r="AJ159" s="27"/>
      <x:c r="AK159" s="27"/>
      <x:c r="AL159" s="27"/>
      <x:c r="AM159" s="27"/>
      <x:c r="AN159" s="27"/>
      <x:c r="AO159" s="27"/>
      <x:c r="AP159" s="27"/>
      <x:c r="AQ159" s="27"/>
      <x:c r="AR159" s="27"/>
      <x:c r="AS159" s="27"/>
      <x:c r="AT159" s="27"/>
      <x:c r="AU159" s="27"/>
      <x:c r="AV159" s="27"/>
      <x:c r="AW159" s="27"/>
      <x:c r="AX159" s="27"/>
      <x:c r="AY159" s="27"/>
      <x:c r="AZ159" s="27"/>
    </x:row>
    <x:row r="160">
      <x:c r="A160" s="27"/>
      <x:c r="B160" s="27"/>
      <x:c r="C160" s="27"/>
      <x:c r="D160" s="27"/>
      <x:c r="E160" s="27"/>
      <x:c r="F160" s="27"/>
      <x:c r="G160" s="27"/>
      <x:c r="H160" s="27"/>
      <x:c r="I160" s="27"/>
      <x:c r="J160" s="27"/>
      <x:c r="K160" s="27"/>
      <x:c r="L160" s="27"/>
      <x:c r="M160" s="27"/>
      <x:c r="N160" s="27"/>
      <x:c r="O160" s="27"/>
      <x:c r="P160" s="27"/>
      <x:c r="Q160" s="27"/>
      <x:c r="R160" s="27"/>
      <x:c r="S160" s="27"/>
      <x:c r="T160" s="27"/>
      <x:c r="U160" s="27"/>
      <x:c r="V160" s="27"/>
      <x:c r="W160" s="27"/>
      <x:c r="X160" s="27"/>
      <x:c r="Y160" s="27"/>
      <x:c r="Z160" s="27"/>
      <x:c r="AA160" s="27"/>
      <x:c r="AB160" s="27"/>
      <x:c r="AC160" s="27"/>
      <x:c r="AD160" s="27"/>
      <x:c r="AE160" s="27"/>
      <x:c r="AF160" s="27"/>
      <x:c r="AG160" s="27"/>
      <x:c r="AH160" s="27"/>
      <x:c r="AI160" s="27"/>
      <x:c r="AJ160" s="27"/>
      <x:c r="AK160" s="27"/>
      <x:c r="AL160" s="27"/>
      <x:c r="AM160" s="27"/>
      <x:c r="AN160" s="27"/>
      <x:c r="AO160" s="27"/>
      <x:c r="AP160" s="27"/>
      <x:c r="AQ160" s="27"/>
      <x:c r="AR160" s="27"/>
      <x:c r="AS160" s="27"/>
      <x:c r="AT160" s="27"/>
      <x:c r="AU160" s="27"/>
      <x:c r="AV160" s="27"/>
      <x:c r="AW160" s="27"/>
      <x:c r="AX160" s="27"/>
      <x:c r="AY160" s="27"/>
      <x:c r="AZ160" s="27"/>
    </x:row>
    <x:row r="161">
      <x:c r="A161" s="27"/>
      <x:c r="B161" s="27"/>
      <x:c r="C161" s="27"/>
      <x:c r="D161" s="27"/>
      <x:c r="E161" s="27"/>
      <x:c r="F161" s="27"/>
      <x:c r="G161" s="27"/>
      <x:c r="H161" s="27"/>
      <x:c r="I161" s="27"/>
      <x:c r="J161" s="27"/>
      <x:c r="K161" s="27"/>
      <x:c r="L161" s="27"/>
      <x:c r="M161" s="27"/>
      <x:c r="N161" s="27"/>
      <x:c r="O161" s="27"/>
      <x:c r="P161" s="27"/>
      <x:c r="Q161" s="27"/>
      <x:c r="R161" s="27"/>
      <x:c r="S161" s="27"/>
      <x:c r="T161" s="27"/>
      <x:c r="U161" s="27"/>
      <x:c r="V161" s="27"/>
      <x:c r="W161" s="27"/>
      <x:c r="X161" s="27"/>
      <x:c r="Y161" s="27"/>
      <x:c r="Z161" s="27"/>
      <x:c r="AA161" s="27"/>
      <x:c r="AB161" s="27"/>
      <x:c r="AC161" s="27"/>
      <x:c r="AD161" s="27"/>
      <x:c r="AE161" s="27"/>
      <x:c r="AF161" s="27"/>
      <x:c r="AG161" s="27"/>
      <x:c r="AH161" s="27"/>
      <x:c r="AI161" s="27"/>
      <x:c r="AJ161" s="27"/>
      <x:c r="AK161" s="27"/>
      <x:c r="AL161" s="27"/>
      <x:c r="AM161" s="27"/>
      <x:c r="AN161" s="27"/>
      <x:c r="AO161" s="27"/>
      <x:c r="AP161" s="27"/>
      <x:c r="AQ161" s="27"/>
      <x:c r="AR161" s="27"/>
      <x:c r="AS161" s="27"/>
      <x:c r="AT161" s="27"/>
      <x:c r="AU161" s="27"/>
      <x:c r="AV161" s="27"/>
      <x:c r="AW161" s="27"/>
      <x:c r="AX161" s="27"/>
      <x:c r="AY161" s="27"/>
      <x:c r="AZ161" s="27"/>
    </x:row>
    <x:row r="162">
      <x:c r="A162" s="27"/>
      <x:c r="B162" s="27"/>
      <x:c r="C162" s="27"/>
      <x:c r="D162" s="27"/>
      <x:c r="E162" s="27"/>
      <x:c r="F162" s="27"/>
      <x:c r="G162" s="27"/>
      <x:c r="H162" s="27"/>
      <x:c r="I162" s="27"/>
      <x:c r="J162" s="27"/>
      <x:c r="K162" s="27"/>
      <x:c r="L162" s="27"/>
      <x:c r="M162" s="27"/>
      <x:c r="N162" s="27"/>
      <x:c r="O162" s="27"/>
      <x:c r="P162" s="27"/>
      <x:c r="Q162" s="27"/>
      <x:c r="R162" s="27"/>
      <x:c r="S162" s="27"/>
      <x:c r="T162" s="27"/>
      <x:c r="U162" s="27"/>
      <x:c r="V162" s="27"/>
      <x:c r="W162" s="27"/>
      <x:c r="X162" s="27"/>
      <x:c r="Y162" s="27"/>
      <x:c r="Z162" s="27"/>
      <x:c r="AA162" s="27"/>
      <x:c r="AB162" s="27"/>
      <x:c r="AC162" s="27"/>
      <x:c r="AD162" s="27"/>
      <x:c r="AE162" s="27"/>
      <x:c r="AF162" s="27"/>
      <x:c r="AG162" s="27"/>
      <x:c r="AH162" s="27"/>
      <x:c r="AI162" s="27"/>
      <x:c r="AJ162" s="27"/>
      <x:c r="AK162" s="27"/>
      <x:c r="AL162" s="27"/>
      <x:c r="AM162" s="27"/>
      <x:c r="AN162" s="27"/>
      <x:c r="AO162" s="27"/>
      <x:c r="AP162" s="27"/>
      <x:c r="AQ162" s="27"/>
      <x:c r="AR162" s="27"/>
      <x:c r="AS162" s="27"/>
      <x:c r="AT162" s="27"/>
      <x:c r="AU162" s="27"/>
      <x:c r="AV162" s="27"/>
      <x:c r="AW162" s="27"/>
      <x:c r="AX162" s="27"/>
      <x:c r="AY162" s="27"/>
      <x:c r="AZ162" s="27"/>
    </x:row>
    <x:row r="163">
      <x:c r="A163" s="27"/>
      <x:c r="B163" s="27"/>
      <x:c r="C163" s="27"/>
      <x:c r="D163" s="27"/>
      <x:c r="E163" s="27"/>
      <x:c r="F163" s="27"/>
      <x:c r="G163" s="27"/>
      <x:c r="H163" s="27"/>
      <x:c r="I163" s="27"/>
      <x:c r="J163" s="27"/>
      <x:c r="K163" s="27"/>
      <x:c r="L163" s="27"/>
      <x:c r="M163" s="27"/>
      <x:c r="N163" s="27"/>
      <x:c r="O163" s="27"/>
      <x:c r="P163" s="27"/>
      <x:c r="Q163" s="27"/>
      <x:c r="R163" s="27"/>
      <x:c r="S163" s="27"/>
      <x:c r="T163" s="27"/>
      <x:c r="U163" s="27"/>
      <x:c r="V163" s="27"/>
      <x:c r="W163" s="27"/>
      <x:c r="X163" s="27"/>
      <x:c r="Y163" s="27"/>
      <x:c r="Z163" s="27"/>
      <x:c r="AA163" s="27"/>
      <x:c r="AB163" s="27"/>
      <x:c r="AC163" s="27"/>
      <x:c r="AD163" s="27"/>
      <x:c r="AE163" s="27"/>
      <x:c r="AF163" s="27"/>
      <x:c r="AG163" s="27"/>
      <x:c r="AH163" s="27"/>
      <x:c r="AI163" s="27"/>
      <x:c r="AJ163" s="27"/>
      <x:c r="AK163" s="27"/>
      <x:c r="AL163" s="27"/>
      <x:c r="AM163" s="27"/>
      <x:c r="AN163" s="27"/>
      <x:c r="AO163" s="27"/>
      <x:c r="AP163" s="27"/>
      <x:c r="AQ163" s="27"/>
      <x:c r="AR163" s="27"/>
      <x:c r="AS163" s="27"/>
      <x:c r="AT163" s="27"/>
      <x:c r="AU163" s="27"/>
      <x:c r="AV163" s="27"/>
      <x:c r="AW163" s="27"/>
      <x:c r="AX163" s="27"/>
      <x:c r="AY163" s="27"/>
      <x:c r="AZ163" s="27"/>
    </x:row>
    <x:row r="164">
      <x:c r="A164" s="27"/>
      <x:c r="B164" s="27"/>
      <x:c r="C164" s="27"/>
      <x:c r="D164" s="27"/>
      <x:c r="E164" s="27"/>
      <x:c r="F164" s="27"/>
      <x:c r="G164" s="27"/>
      <x:c r="H164" s="27"/>
      <x:c r="I164" s="27"/>
      <x:c r="J164" s="27"/>
      <x:c r="K164" s="27"/>
      <x:c r="L164" s="27"/>
      <x:c r="M164" s="27"/>
      <x:c r="N164" s="27"/>
      <x:c r="O164" s="27"/>
      <x:c r="P164" s="27"/>
      <x:c r="Q164" s="27"/>
      <x:c r="R164" s="27"/>
      <x:c r="S164" s="27"/>
      <x:c r="T164" s="27"/>
      <x:c r="U164" s="27"/>
      <x:c r="V164" s="27"/>
      <x:c r="W164" s="27"/>
      <x:c r="X164" s="27"/>
      <x:c r="Y164" s="27"/>
      <x:c r="Z164" s="27"/>
      <x:c r="AA164" s="27"/>
      <x:c r="AB164" s="27"/>
      <x:c r="AC164" s="27"/>
      <x:c r="AD164" s="27"/>
      <x:c r="AE164" s="27"/>
      <x:c r="AF164" s="27"/>
      <x:c r="AG164" s="27"/>
      <x:c r="AH164" s="27"/>
      <x:c r="AI164" s="27"/>
      <x:c r="AJ164" s="27"/>
      <x:c r="AK164" s="27"/>
      <x:c r="AL164" s="27"/>
      <x:c r="AM164" s="27"/>
      <x:c r="AN164" s="27"/>
      <x:c r="AO164" s="27"/>
      <x:c r="AP164" s="27"/>
      <x:c r="AQ164" s="27"/>
      <x:c r="AR164" s="27"/>
      <x:c r="AS164" s="27"/>
      <x:c r="AT164" s="27"/>
      <x:c r="AU164" s="27"/>
      <x:c r="AV164" s="27"/>
      <x:c r="AW164" s="27"/>
      <x:c r="AX164" s="27"/>
      <x:c r="AY164" s="27"/>
      <x:c r="AZ164" s="27"/>
    </x:row>
    <x:row r="165">
      <x:c r="A165" s="27"/>
      <x:c r="B165" s="27"/>
      <x:c r="C165" s="27"/>
      <x:c r="D165" s="27"/>
      <x:c r="E165" s="27"/>
      <x:c r="F165" s="27"/>
      <x:c r="G165" s="27"/>
      <x:c r="H165" s="27"/>
      <x:c r="I165" s="27"/>
      <x:c r="J165" s="27"/>
      <x:c r="K165" s="27"/>
      <x:c r="L165" s="27"/>
      <x:c r="M165" s="27"/>
      <x:c r="N165" s="27"/>
      <x:c r="O165" s="27"/>
      <x:c r="P165" s="27"/>
      <x:c r="Q165" s="27"/>
      <x:c r="R165" s="27"/>
      <x:c r="S165" s="27"/>
      <x:c r="T165" s="27"/>
      <x:c r="U165" s="27"/>
      <x:c r="V165" s="27"/>
      <x:c r="W165" s="27"/>
      <x:c r="X165" s="27"/>
      <x:c r="Y165" s="27"/>
      <x:c r="Z165" s="27"/>
      <x:c r="AA165" s="27"/>
      <x:c r="AB165" s="27"/>
      <x:c r="AC165" s="27"/>
      <x:c r="AD165" s="27"/>
      <x:c r="AE165" s="27"/>
      <x:c r="AF165" s="27"/>
      <x:c r="AG165" s="27"/>
      <x:c r="AH165" s="27"/>
      <x:c r="AI165" s="27"/>
      <x:c r="AJ165" s="27"/>
      <x:c r="AK165" s="27"/>
      <x:c r="AL165" s="27"/>
      <x:c r="AM165" s="27"/>
      <x:c r="AN165" s="27"/>
      <x:c r="AO165" s="27"/>
      <x:c r="AP165" s="27"/>
      <x:c r="AQ165" s="27"/>
      <x:c r="AR165" s="27"/>
      <x:c r="AS165" s="27"/>
      <x:c r="AT165" s="27"/>
      <x:c r="AU165" s="27"/>
      <x:c r="AV165" s="27"/>
      <x:c r="AW165" s="27"/>
      <x:c r="AX165" s="27"/>
      <x:c r="AY165" s="27"/>
      <x:c r="AZ165" s="27"/>
    </x:row>
    <x:row r="166">
      <x:c r="A166" s="27"/>
      <x:c r="B166" s="27"/>
      <x:c r="C166" s="27"/>
      <x:c r="D166" s="27"/>
      <x:c r="E166" s="27"/>
      <x:c r="F166" s="27"/>
      <x:c r="G166" s="27"/>
      <x:c r="H166" s="27"/>
      <x:c r="I166" s="27"/>
      <x:c r="J166" s="27"/>
      <x:c r="K166" s="27"/>
      <x:c r="L166" s="27"/>
      <x:c r="M166" s="27"/>
      <x:c r="N166" s="27"/>
      <x:c r="O166" s="27"/>
      <x:c r="P166" s="27"/>
      <x:c r="Q166" s="27"/>
      <x:c r="R166" s="27"/>
      <x:c r="S166" s="27"/>
      <x:c r="T166" s="27"/>
      <x:c r="U166" s="27"/>
      <x:c r="V166" s="27"/>
      <x:c r="W166" s="27"/>
      <x:c r="X166" s="27"/>
      <x:c r="Y166" s="27"/>
      <x:c r="Z166" s="27"/>
      <x:c r="AA166" s="27"/>
      <x:c r="AB166" s="27"/>
      <x:c r="AC166" s="27"/>
      <x:c r="AD166" s="27"/>
      <x:c r="AE166" s="27"/>
      <x:c r="AF166" s="27"/>
      <x:c r="AG166" s="27"/>
      <x:c r="AH166" s="27"/>
      <x:c r="AI166" s="27"/>
      <x:c r="AJ166" s="27"/>
      <x:c r="AK166" s="27"/>
      <x:c r="AL166" s="27"/>
      <x:c r="AM166" s="27"/>
      <x:c r="AN166" s="27"/>
      <x:c r="AO166" s="27"/>
      <x:c r="AP166" s="27"/>
      <x:c r="AQ166" s="27"/>
      <x:c r="AR166" s="27"/>
      <x:c r="AS166" s="27"/>
      <x:c r="AT166" s="27"/>
      <x:c r="AU166" s="27"/>
      <x:c r="AV166" s="27"/>
      <x:c r="AW166" s="27"/>
      <x:c r="AX166" s="27"/>
      <x:c r="AY166" s="27"/>
      <x:c r="AZ166" s="27"/>
    </x:row>
    <x:row r="167">
      <x:c r="A167" s="27"/>
      <x:c r="B167" s="27"/>
      <x:c r="C167" s="27"/>
      <x:c r="D167" s="27"/>
      <x:c r="E167" s="27"/>
      <x:c r="F167" s="27"/>
      <x:c r="G167" s="27"/>
      <x:c r="H167" s="27"/>
      <x:c r="I167" s="27"/>
      <x:c r="J167" s="27"/>
      <x:c r="K167" s="27"/>
      <x:c r="L167" s="27"/>
      <x:c r="M167" s="27"/>
      <x:c r="N167" s="27"/>
      <x:c r="O167" s="27"/>
      <x:c r="P167" s="27"/>
      <x:c r="Q167" s="27"/>
      <x:c r="R167" s="27"/>
      <x:c r="S167" s="27"/>
      <x:c r="T167" s="27"/>
      <x:c r="U167" s="27"/>
      <x:c r="V167" s="27"/>
      <x:c r="W167" s="27"/>
      <x:c r="X167" s="27"/>
      <x:c r="Y167" s="27"/>
      <x:c r="Z167" s="27"/>
      <x:c r="AA167" s="27"/>
      <x:c r="AB167" s="27"/>
      <x:c r="AC167" s="27"/>
      <x:c r="AD167" s="27"/>
      <x:c r="AE167" s="27"/>
      <x:c r="AF167" s="27"/>
      <x:c r="AG167" s="27"/>
      <x:c r="AH167" s="27"/>
      <x:c r="AI167" s="27"/>
      <x:c r="AJ167" s="27"/>
      <x:c r="AK167" s="27"/>
      <x:c r="AL167" s="27"/>
      <x:c r="AM167" s="27"/>
      <x:c r="AN167" s="27"/>
      <x:c r="AO167" s="27"/>
      <x:c r="AP167" s="27"/>
      <x:c r="AQ167" s="27"/>
      <x:c r="AR167" s="27"/>
      <x:c r="AS167" s="27"/>
      <x:c r="AT167" s="27"/>
      <x:c r="AU167" s="27"/>
      <x:c r="AV167" s="27"/>
      <x:c r="AW167" s="27"/>
      <x:c r="AX167" s="27"/>
      <x:c r="AY167" s="27"/>
      <x:c r="AZ167" s="27"/>
    </x:row>
    <x:row r="168">
      <x:c r="A168" s="27"/>
      <x:c r="B168" s="27"/>
      <x:c r="C168" s="27"/>
      <x:c r="D168" s="27"/>
      <x:c r="E168" s="27"/>
      <x:c r="F168" s="27"/>
      <x:c r="G168" s="27"/>
      <x:c r="H168" s="27"/>
      <x:c r="I168" s="27"/>
      <x:c r="J168" s="27"/>
      <x:c r="K168" s="27"/>
      <x:c r="L168" s="27"/>
      <x:c r="M168" s="27"/>
      <x:c r="N168" s="27"/>
      <x:c r="O168" s="27"/>
      <x:c r="P168" s="27"/>
      <x:c r="Q168" s="27"/>
      <x:c r="R168" s="27"/>
      <x:c r="S168" s="27"/>
      <x:c r="T168" s="27"/>
      <x:c r="U168" s="27"/>
      <x:c r="V168" s="27"/>
      <x:c r="W168" s="27"/>
      <x:c r="X168" s="27"/>
      <x:c r="Y168" s="27"/>
      <x:c r="Z168" s="27"/>
      <x:c r="AA168" s="27"/>
      <x:c r="AB168" s="27"/>
      <x:c r="AC168" s="27"/>
      <x:c r="AD168" s="27"/>
      <x:c r="AE168" s="27"/>
      <x:c r="AF168" s="27"/>
      <x:c r="AG168" s="27"/>
      <x:c r="AH168" s="27"/>
      <x:c r="AI168" s="27"/>
      <x:c r="AJ168" s="27"/>
      <x:c r="AK168" s="27"/>
      <x:c r="AL168" s="27"/>
      <x:c r="AM168" s="27"/>
      <x:c r="AN168" s="27"/>
      <x:c r="AO168" s="27"/>
      <x:c r="AP168" s="27"/>
      <x:c r="AQ168" s="27"/>
      <x:c r="AR168" s="27"/>
      <x:c r="AS168" s="27"/>
      <x:c r="AT168" s="27"/>
      <x:c r="AU168" s="27"/>
      <x:c r="AV168" s="27"/>
      <x:c r="AW168" s="27"/>
      <x:c r="AX168" s="27"/>
      <x:c r="AY168" s="27"/>
      <x:c r="AZ168" s="27"/>
    </x:row>
    <x:row r="169">
      <x:c r="A169" s="27"/>
      <x:c r="B169" s="27"/>
      <x:c r="C169" s="27"/>
      <x:c r="D169" s="27"/>
      <x:c r="E169" s="27"/>
      <x:c r="F169" s="27"/>
      <x:c r="G169" s="27"/>
      <x:c r="H169" s="27"/>
      <x:c r="I169" s="27"/>
      <x:c r="J169" s="27"/>
      <x:c r="K169" s="27"/>
      <x:c r="L169" s="27"/>
      <x:c r="M169" s="27"/>
      <x:c r="N169" s="27"/>
      <x:c r="O169" s="27"/>
      <x:c r="P169" s="27"/>
      <x:c r="Q169" s="27"/>
      <x:c r="R169" s="27"/>
      <x:c r="S169" s="27"/>
      <x:c r="T169" s="27"/>
      <x:c r="U169" s="27"/>
      <x:c r="V169" s="27"/>
      <x:c r="W169" s="27"/>
      <x:c r="X169" s="27"/>
      <x:c r="Y169" s="27"/>
      <x:c r="Z169" s="27"/>
      <x:c r="AA169" s="27"/>
      <x:c r="AB169" s="27"/>
      <x:c r="AC169" s="27"/>
      <x:c r="AD169" s="27"/>
      <x:c r="AE169" s="27"/>
      <x:c r="AF169" s="27"/>
      <x:c r="AG169" s="27"/>
      <x:c r="AH169" s="27"/>
      <x:c r="AI169" s="27"/>
      <x:c r="AJ169" s="27"/>
      <x:c r="AK169" s="27"/>
      <x:c r="AL169" s="27"/>
      <x:c r="AM169" s="27"/>
      <x:c r="AN169" s="27"/>
      <x:c r="AO169" s="27"/>
      <x:c r="AP169" s="27"/>
      <x:c r="AQ169" s="27"/>
      <x:c r="AR169" s="27"/>
      <x:c r="AS169" s="27"/>
      <x:c r="AT169" s="27"/>
      <x:c r="AU169" s="27"/>
      <x:c r="AV169" s="27"/>
      <x:c r="AW169" s="27"/>
      <x:c r="AX169" s="27"/>
      <x:c r="AY169" s="27"/>
      <x:c r="AZ169" s="27"/>
    </x:row>
    <x:row r="170">
      <x:c r="A170" s="27"/>
      <x:c r="B170" s="27"/>
      <x:c r="C170" s="27"/>
      <x:c r="D170" s="27"/>
      <x:c r="E170" s="27"/>
      <x:c r="F170" s="27"/>
      <x:c r="G170" s="27"/>
      <x:c r="H170" s="27"/>
      <x:c r="I170" s="27"/>
      <x:c r="J170" s="27"/>
      <x:c r="K170" s="27"/>
      <x:c r="L170" s="27"/>
      <x:c r="M170" s="27"/>
      <x:c r="N170" s="27"/>
      <x:c r="O170" s="27"/>
      <x:c r="P170" s="27"/>
      <x:c r="Q170" s="27"/>
      <x:c r="R170" s="27"/>
      <x:c r="S170" s="27"/>
      <x:c r="T170" s="27"/>
      <x:c r="U170" s="27"/>
      <x:c r="V170" s="27"/>
      <x:c r="W170" s="27"/>
      <x:c r="X170" s="27"/>
      <x:c r="Y170" s="27"/>
      <x:c r="Z170" s="27"/>
      <x:c r="AA170" s="27"/>
      <x:c r="AB170" s="27"/>
      <x:c r="AC170" s="27"/>
      <x:c r="AD170" s="27"/>
      <x:c r="AE170" s="27"/>
      <x:c r="AF170" s="27"/>
      <x:c r="AG170" s="27"/>
      <x:c r="AH170" s="27"/>
      <x:c r="AI170" s="27"/>
      <x:c r="AJ170" s="27"/>
      <x:c r="AK170" s="27"/>
      <x:c r="AL170" s="27"/>
      <x:c r="AM170" s="27"/>
      <x:c r="AN170" s="27"/>
      <x:c r="AO170" s="27"/>
      <x:c r="AP170" s="27"/>
      <x:c r="AQ170" s="27"/>
      <x:c r="AR170" s="27"/>
      <x:c r="AS170" s="27"/>
      <x:c r="AT170" s="27"/>
      <x:c r="AU170" s="27"/>
      <x:c r="AV170" s="27"/>
      <x:c r="AW170" s="27"/>
      <x:c r="AX170" s="27"/>
      <x:c r="AY170" s="27"/>
      <x:c r="AZ170" s="27"/>
    </x:row>
    <x:row r="171">
      <x:c r="A171" s="27"/>
      <x:c r="B171" s="27"/>
      <x:c r="C171" s="27"/>
      <x:c r="D171" s="27"/>
      <x:c r="E171" s="27"/>
      <x:c r="F171" s="27"/>
      <x:c r="G171" s="27"/>
      <x:c r="H171" s="27"/>
      <x:c r="I171" s="27"/>
      <x:c r="J171" s="27"/>
      <x:c r="K171" s="27"/>
      <x:c r="L171" s="27"/>
      <x:c r="M171" s="27"/>
      <x:c r="N171" s="27"/>
      <x:c r="O171" s="27"/>
      <x:c r="P171" s="27"/>
      <x:c r="Q171" s="27"/>
      <x:c r="R171" s="27"/>
      <x:c r="S171" s="27"/>
      <x:c r="T171" s="27"/>
      <x:c r="U171" s="27"/>
      <x:c r="V171" s="27"/>
      <x:c r="W171" s="27"/>
      <x:c r="X171" s="27"/>
      <x:c r="Y171" s="27"/>
      <x:c r="Z171" s="27"/>
      <x:c r="AA171" s="27"/>
      <x:c r="AB171" s="27"/>
      <x:c r="AC171" s="27"/>
      <x:c r="AD171" s="27"/>
      <x:c r="AE171" s="27"/>
      <x:c r="AF171" s="27"/>
      <x:c r="AG171" s="27"/>
      <x:c r="AH171" s="27"/>
      <x:c r="AI171" s="27"/>
      <x:c r="AJ171" s="27"/>
      <x:c r="AK171" s="27"/>
      <x:c r="AL171" s="27"/>
      <x:c r="AM171" s="27"/>
      <x:c r="AN171" s="27"/>
      <x:c r="AO171" s="27"/>
      <x:c r="AP171" s="27"/>
      <x:c r="AQ171" s="27"/>
      <x:c r="AR171" s="27"/>
      <x:c r="AS171" s="27"/>
      <x:c r="AT171" s="27"/>
      <x:c r="AU171" s="27"/>
      <x:c r="AV171" s="27"/>
      <x:c r="AW171" s="27"/>
      <x:c r="AX171" s="27"/>
      <x:c r="AY171" s="27"/>
      <x:c r="AZ171" s="27"/>
    </x:row>
    <x:row r="172">
      <x:c r="A172" s="27"/>
      <x:c r="B172" s="27"/>
      <x:c r="C172" s="27"/>
      <x:c r="D172" s="27"/>
      <x:c r="E172" s="27"/>
      <x:c r="F172" s="27"/>
      <x:c r="G172" s="27"/>
      <x:c r="H172" s="27"/>
      <x:c r="I172" s="27"/>
      <x:c r="J172" s="27"/>
      <x:c r="K172" s="27"/>
      <x:c r="L172" s="27"/>
      <x:c r="M172" s="27"/>
      <x:c r="N172" s="27"/>
      <x:c r="O172" s="27"/>
      <x:c r="P172" s="27"/>
      <x:c r="Q172" s="27"/>
      <x:c r="R172" s="27"/>
      <x:c r="S172" s="27"/>
      <x:c r="T172" s="27"/>
      <x:c r="U172" s="27"/>
      <x:c r="V172" s="27"/>
      <x:c r="W172" s="27"/>
      <x:c r="X172" s="27"/>
      <x:c r="Y172" s="27"/>
      <x:c r="Z172" s="27"/>
      <x:c r="AA172" s="27"/>
      <x:c r="AB172" s="27"/>
      <x:c r="AC172" s="27"/>
      <x:c r="AD172" s="27"/>
      <x:c r="AE172" s="27"/>
      <x:c r="AF172" s="27"/>
      <x:c r="AG172" s="27"/>
      <x:c r="AH172" s="27"/>
      <x:c r="AI172" s="27"/>
      <x:c r="AJ172" s="27"/>
      <x:c r="AK172" s="27"/>
      <x:c r="AL172" s="27"/>
      <x:c r="AM172" s="27"/>
      <x:c r="AN172" s="27"/>
      <x:c r="AO172" s="27"/>
      <x:c r="AP172" s="27"/>
      <x:c r="AQ172" s="27"/>
      <x:c r="AR172" s="27"/>
      <x:c r="AS172" s="27"/>
      <x:c r="AT172" s="27"/>
      <x:c r="AU172" s="27"/>
      <x:c r="AV172" s="27"/>
      <x:c r="AW172" s="27"/>
      <x:c r="AX172" s="27"/>
      <x:c r="AY172" s="27"/>
      <x:c r="AZ172" s="27"/>
    </x:row>
    <x:row r="173">
      <x:c r="A173" s="27"/>
      <x:c r="B173" s="27"/>
      <x:c r="C173" s="27"/>
      <x:c r="D173" s="27"/>
      <x:c r="E173" s="27"/>
      <x:c r="F173" s="27"/>
      <x:c r="G173" s="27"/>
      <x:c r="H173" s="27"/>
      <x:c r="I173" s="27"/>
      <x:c r="J173" s="27"/>
      <x:c r="K173" s="27"/>
      <x:c r="L173" s="27"/>
      <x:c r="M173" s="27"/>
      <x:c r="N173" s="27"/>
      <x:c r="O173" s="27"/>
      <x:c r="P173" s="27"/>
      <x:c r="Q173" s="27"/>
      <x:c r="R173" s="27"/>
      <x:c r="S173" s="27"/>
      <x:c r="T173" s="27"/>
      <x:c r="U173" s="27"/>
      <x:c r="V173" s="27"/>
      <x:c r="W173" s="27"/>
      <x:c r="X173" s="27"/>
      <x:c r="Y173" s="27"/>
      <x:c r="Z173" s="27"/>
      <x:c r="AA173" s="27"/>
      <x:c r="AB173" s="27"/>
      <x:c r="AC173" s="27"/>
      <x:c r="AD173" s="27"/>
      <x:c r="AE173" s="27"/>
      <x:c r="AF173" s="27"/>
      <x:c r="AG173" s="27"/>
      <x:c r="AH173" s="27"/>
      <x:c r="AI173" s="27"/>
      <x:c r="AJ173" s="27"/>
      <x:c r="AK173" s="27"/>
      <x:c r="AL173" s="27"/>
      <x:c r="AM173" s="27"/>
      <x:c r="AN173" s="27"/>
      <x:c r="AO173" s="27"/>
      <x:c r="AP173" s="27"/>
      <x:c r="AQ173" s="27"/>
      <x:c r="AR173" s="27"/>
      <x:c r="AS173" s="27"/>
      <x:c r="AT173" s="27"/>
      <x:c r="AU173" s="27"/>
      <x:c r="AV173" s="27"/>
      <x:c r="AW173" s="27"/>
      <x:c r="AX173" s="27"/>
      <x:c r="AY173" s="27"/>
      <x:c r="AZ173" s="27"/>
    </x:row>
    <x:row r="174">
      <x:c r="A174" s="27"/>
      <x:c r="B174" s="27"/>
      <x:c r="C174" s="27"/>
      <x:c r="D174" s="27"/>
      <x:c r="E174" s="27"/>
      <x:c r="F174" s="27"/>
      <x:c r="G174" s="27"/>
      <x:c r="H174" s="27"/>
      <x:c r="I174" s="27"/>
      <x:c r="J174" s="27"/>
      <x:c r="K174" s="27"/>
      <x:c r="L174" s="27"/>
      <x:c r="M174" s="27"/>
      <x:c r="N174" s="27"/>
      <x:c r="O174" s="27"/>
      <x:c r="P174" s="27"/>
      <x:c r="Q174" s="27"/>
      <x:c r="R174" s="27"/>
      <x:c r="S174" s="27"/>
      <x:c r="T174" s="27"/>
      <x:c r="U174" s="27"/>
      <x:c r="V174" s="27"/>
      <x:c r="W174" s="27"/>
      <x:c r="X174" s="27"/>
      <x:c r="Y174" s="27"/>
      <x:c r="Z174" s="27"/>
      <x:c r="AA174" s="27"/>
      <x:c r="AB174" s="27"/>
      <x:c r="AC174" s="27"/>
      <x:c r="AD174" s="27"/>
      <x:c r="AE174" s="27"/>
      <x:c r="AF174" s="27"/>
      <x:c r="AG174" s="27"/>
      <x:c r="AH174" s="27"/>
      <x:c r="AI174" s="27"/>
      <x:c r="AJ174" s="27"/>
      <x:c r="AK174" s="27"/>
      <x:c r="AL174" s="27"/>
      <x:c r="AM174" s="27"/>
      <x:c r="AN174" s="27"/>
      <x:c r="AO174" s="27"/>
      <x:c r="AP174" s="27"/>
      <x:c r="AQ174" s="27"/>
      <x:c r="AR174" s="27"/>
      <x:c r="AS174" s="27"/>
      <x:c r="AT174" s="27"/>
      <x:c r="AU174" s="27"/>
      <x:c r="AV174" s="27"/>
      <x:c r="AW174" s="27"/>
      <x:c r="AX174" s="27"/>
      <x:c r="AY174" s="27"/>
      <x:c r="AZ174" s="27"/>
    </x:row>
    <x:row r="175">
      <x:c r="A175" s="27"/>
      <x:c r="B175" s="27"/>
      <x:c r="C175" s="27"/>
      <x:c r="D175" s="27"/>
      <x:c r="E175" s="27"/>
      <x:c r="F175" s="27"/>
      <x:c r="G175" s="27"/>
      <x:c r="H175" s="27"/>
      <x:c r="I175" s="27"/>
      <x:c r="J175" s="27"/>
      <x:c r="K175" s="27"/>
      <x:c r="L175" s="27"/>
      <x:c r="M175" s="27"/>
      <x:c r="N175" s="27"/>
      <x:c r="O175" s="27"/>
      <x:c r="P175" s="27"/>
      <x:c r="Q175" s="27"/>
      <x:c r="R175" s="27"/>
      <x:c r="S175" s="27"/>
      <x:c r="T175" s="27"/>
      <x:c r="U175" s="27"/>
      <x:c r="V175" s="27"/>
      <x:c r="W175" s="27"/>
      <x:c r="X175" s="27"/>
      <x:c r="Y175" s="27"/>
      <x:c r="Z175" s="27"/>
      <x:c r="AA175" s="27"/>
      <x:c r="AB175" s="27"/>
      <x:c r="AC175" s="27"/>
      <x:c r="AD175" s="27"/>
      <x:c r="AE175" s="27"/>
      <x:c r="AF175" s="27"/>
      <x:c r="AG175" s="27"/>
      <x:c r="AH175" s="27"/>
      <x:c r="AI175" s="27"/>
      <x:c r="AJ175" s="27"/>
      <x:c r="AK175" s="27"/>
      <x:c r="AL175" s="27"/>
      <x:c r="AM175" s="27"/>
      <x:c r="AN175" s="27"/>
      <x:c r="AO175" s="27"/>
      <x:c r="AP175" s="27"/>
      <x:c r="AQ175" s="27"/>
      <x:c r="AR175" s="27"/>
      <x:c r="AS175" s="27"/>
      <x:c r="AT175" s="27"/>
      <x:c r="AU175" s="27"/>
      <x:c r="AV175" s="27"/>
      <x:c r="AW175" s="27"/>
      <x:c r="AX175" s="27"/>
      <x:c r="AY175" s="27"/>
      <x:c r="AZ175" s="27"/>
    </x:row>
    <x:row r="176">
      <x:c r="A176" s="27"/>
      <x:c r="B176" s="27"/>
      <x:c r="C176" s="27"/>
      <x:c r="D176" s="27"/>
      <x:c r="E176" s="27"/>
      <x:c r="F176" s="27"/>
      <x:c r="G176" s="27"/>
      <x:c r="H176" s="27"/>
      <x:c r="I176" s="27"/>
      <x:c r="J176" s="27"/>
      <x:c r="K176" s="27"/>
      <x:c r="L176" s="27"/>
      <x:c r="M176" s="27"/>
      <x:c r="N176" s="27"/>
      <x:c r="O176" s="27"/>
      <x:c r="P176" s="27"/>
      <x:c r="Q176" s="27"/>
      <x:c r="R176" s="27"/>
      <x:c r="S176" s="27"/>
      <x:c r="T176" s="27"/>
      <x:c r="U176" s="27"/>
      <x:c r="V176" s="27"/>
      <x:c r="W176" s="27"/>
      <x:c r="X176" s="27"/>
      <x:c r="Y176" s="27"/>
      <x:c r="Z176" s="27"/>
      <x:c r="AA176" s="27"/>
      <x:c r="AB176" s="27"/>
      <x:c r="AC176" s="27"/>
      <x:c r="AD176" s="27"/>
      <x:c r="AE176" s="27"/>
      <x:c r="AF176" s="27"/>
      <x:c r="AG176" s="27"/>
      <x:c r="AH176" s="27"/>
      <x:c r="AI176" s="27"/>
      <x:c r="AJ176" s="27"/>
      <x:c r="AK176" s="27"/>
      <x:c r="AL176" s="27"/>
      <x:c r="AM176" s="27"/>
      <x:c r="AN176" s="27"/>
      <x:c r="AO176" s="27"/>
      <x:c r="AP176" s="27"/>
      <x:c r="AQ176" s="27"/>
      <x:c r="AR176" s="27"/>
      <x:c r="AS176" s="27"/>
      <x:c r="AT176" s="27"/>
      <x:c r="AU176" s="27"/>
      <x:c r="AV176" s="27"/>
      <x:c r="AW176" s="27"/>
      <x:c r="AX176" s="27"/>
      <x:c r="AY176" s="27"/>
      <x:c r="AZ176" s="27"/>
    </x:row>
    <x:row r="177">
      <x:c r="A177" s="27"/>
      <x:c r="B177" s="27"/>
      <x:c r="C177" s="27"/>
      <x:c r="D177" s="27"/>
      <x:c r="E177" s="27"/>
      <x:c r="F177" s="27"/>
      <x:c r="G177" s="27"/>
      <x:c r="H177" s="27"/>
      <x:c r="I177" s="27"/>
      <x:c r="J177" s="27"/>
      <x:c r="K177" s="27"/>
      <x:c r="L177" s="27"/>
      <x:c r="M177" s="27"/>
      <x:c r="N177" s="27"/>
      <x:c r="O177" s="27"/>
      <x:c r="P177" s="27"/>
      <x:c r="Q177" s="27"/>
      <x:c r="R177" s="27"/>
      <x:c r="S177" s="27"/>
      <x:c r="T177" s="27"/>
      <x:c r="U177" s="27"/>
      <x:c r="V177" s="27"/>
      <x:c r="W177" s="27"/>
      <x:c r="X177" s="27"/>
      <x:c r="Y177" s="27"/>
      <x:c r="Z177" s="27"/>
      <x:c r="AA177" s="27"/>
      <x:c r="AB177" s="27"/>
      <x:c r="AC177" s="27"/>
      <x:c r="AD177" s="27"/>
      <x:c r="AE177" s="27"/>
      <x:c r="AF177" s="27"/>
      <x:c r="AG177" s="27"/>
      <x:c r="AH177" s="27"/>
      <x:c r="AI177" s="27"/>
      <x:c r="AJ177" s="27"/>
      <x:c r="AK177" s="27"/>
      <x:c r="AL177" s="27"/>
      <x:c r="AM177" s="27"/>
      <x:c r="AN177" s="27"/>
      <x:c r="AO177" s="27"/>
      <x:c r="AP177" s="27"/>
      <x:c r="AQ177" s="27"/>
      <x:c r="AR177" s="27"/>
      <x:c r="AS177" s="27"/>
      <x:c r="AT177" s="27"/>
      <x:c r="AU177" s="27"/>
      <x:c r="AV177" s="27"/>
      <x:c r="AW177" s="27"/>
      <x:c r="AX177" s="27"/>
      <x:c r="AY177" s="27"/>
      <x:c r="AZ177" s="27"/>
    </x:row>
    <x:row r="178">
      <x:c r="A178" s="27"/>
      <x:c r="B178" s="27"/>
      <x:c r="C178" s="27"/>
      <x:c r="D178" s="27"/>
      <x:c r="E178" s="27"/>
      <x:c r="F178" s="27"/>
      <x:c r="G178" s="27"/>
      <x:c r="H178" s="27"/>
      <x:c r="I178" s="27"/>
      <x:c r="J178" s="27"/>
      <x:c r="K178" s="27"/>
      <x:c r="L178" s="27"/>
      <x:c r="M178" s="27"/>
      <x:c r="N178" s="27"/>
      <x:c r="O178" s="27"/>
      <x:c r="P178" s="27"/>
      <x:c r="Q178" s="27"/>
      <x:c r="R178" s="27"/>
      <x:c r="S178" s="27"/>
      <x:c r="T178" s="27"/>
      <x:c r="U178" s="27"/>
      <x:c r="V178" s="27"/>
      <x:c r="W178" s="27"/>
      <x:c r="X178" s="27"/>
      <x:c r="Y178" s="27"/>
      <x:c r="Z178" s="27"/>
      <x:c r="AA178" s="27"/>
      <x:c r="AB178" s="27"/>
      <x:c r="AC178" s="27"/>
      <x:c r="AD178" s="27"/>
      <x:c r="AE178" s="27"/>
      <x:c r="AF178" s="27"/>
      <x:c r="AG178" s="27"/>
      <x:c r="AH178" s="27"/>
      <x:c r="AI178" s="27"/>
      <x:c r="AJ178" s="27"/>
      <x:c r="AK178" s="27"/>
      <x:c r="AL178" s="27"/>
      <x:c r="AM178" s="27"/>
      <x:c r="AN178" s="27"/>
      <x:c r="AO178" s="27"/>
      <x:c r="AP178" s="27"/>
      <x:c r="AQ178" s="27"/>
      <x:c r="AR178" s="27"/>
      <x:c r="AS178" s="27"/>
      <x:c r="AT178" s="27"/>
      <x:c r="AU178" s="27"/>
      <x:c r="AV178" s="27"/>
      <x:c r="AW178" s="27"/>
      <x:c r="AX178" s="27"/>
      <x:c r="AY178" s="27"/>
      <x:c r="AZ178" s="27"/>
    </x:row>
    <x:row r="179">
      <x:c r="A179" s="27"/>
      <x:c r="B179" s="27"/>
      <x:c r="C179" s="27"/>
      <x:c r="D179" s="27"/>
      <x:c r="E179" s="27"/>
      <x:c r="F179" s="27"/>
      <x:c r="G179" s="27"/>
      <x:c r="H179" s="27"/>
      <x:c r="I179" s="27"/>
      <x:c r="J179" s="27"/>
      <x:c r="K179" s="27"/>
      <x:c r="L179" s="27"/>
      <x:c r="M179" s="27"/>
      <x:c r="N179" s="27"/>
      <x:c r="O179" s="27"/>
      <x:c r="P179" s="27"/>
      <x:c r="Q179" s="27"/>
      <x:c r="R179" s="27"/>
      <x:c r="S179" s="27"/>
      <x:c r="T179" s="27"/>
      <x:c r="U179" s="27"/>
      <x:c r="V179" s="27"/>
      <x:c r="W179" s="27"/>
      <x:c r="X179" s="27"/>
      <x:c r="Y179" s="27"/>
      <x:c r="Z179" s="27"/>
      <x:c r="AA179" s="27"/>
      <x:c r="AB179" s="27"/>
      <x:c r="AC179" s="27"/>
      <x:c r="AD179" s="27"/>
      <x:c r="AE179" s="27"/>
      <x:c r="AF179" s="27"/>
      <x:c r="AG179" s="27"/>
      <x:c r="AH179" s="27"/>
      <x:c r="AI179" s="27"/>
      <x:c r="AJ179" s="27"/>
      <x:c r="AK179" s="27"/>
      <x:c r="AL179" s="27"/>
      <x:c r="AM179" s="27"/>
      <x:c r="AN179" s="27"/>
      <x:c r="AO179" s="27"/>
      <x:c r="AP179" s="27"/>
      <x:c r="AQ179" s="27"/>
      <x:c r="AR179" s="27"/>
      <x:c r="AS179" s="27"/>
      <x:c r="AT179" s="27"/>
      <x:c r="AU179" s="27"/>
      <x:c r="AV179" s="27"/>
      <x:c r="AW179" s="27"/>
      <x:c r="AX179" s="27"/>
      <x:c r="AY179" s="27"/>
      <x:c r="AZ179" s="27"/>
    </x:row>
    <x:row r="180">
      <x:c r="A180" s="27"/>
      <x:c r="B180" s="27"/>
      <x:c r="C180" s="27"/>
      <x:c r="D180" s="27"/>
      <x:c r="E180" s="27"/>
      <x:c r="F180" s="27"/>
      <x:c r="G180" s="27"/>
      <x:c r="H180" s="27"/>
      <x:c r="I180" s="27"/>
      <x:c r="J180" s="27"/>
      <x:c r="K180" s="27"/>
      <x:c r="L180" s="27"/>
      <x:c r="M180" s="27"/>
      <x:c r="N180" s="27"/>
      <x:c r="O180" s="27"/>
      <x:c r="P180" s="27"/>
      <x:c r="Q180" s="27"/>
      <x:c r="R180" s="27"/>
      <x:c r="S180" s="27"/>
      <x:c r="T180" s="27"/>
      <x:c r="U180" s="27"/>
      <x:c r="V180" s="27"/>
      <x:c r="W180" s="27"/>
      <x:c r="X180" s="27"/>
      <x:c r="Y180" s="27"/>
      <x:c r="Z180" s="27"/>
      <x:c r="AA180" s="27"/>
      <x:c r="AB180" s="27"/>
      <x:c r="AC180" s="27"/>
      <x:c r="AD180" s="27"/>
      <x:c r="AE180" s="27"/>
      <x:c r="AF180" s="27"/>
      <x:c r="AG180" s="27"/>
      <x:c r="AH180" s="27"/>
      <x:c r="AI180" s="27"/>
      <x:c r="AJ180" s="27"/>
      <x:c r="AK180" s="27"/>
      <x:c r="AL180" s="27"/>
      <x:c r="AM180" s="27"/>
      <x:c r="AN180" s="27"/>
      <x:c r="AO180" s="27"/>
      <x:c r="AP180" s="27"/>
      <x:c r="AQ180" s="27"/>
      <x:c r="AR180" s="27"/>
      <x:c r="AS180" s="27"/>
      <x:c r="AT180" s="27"/>
      <x:c r="AU180" s="27"/>
      <x:c r="AV180" s="27"/>
      <x:c r="AW180" s="27"/>
      <x:c r="AX180" s="27"/>
      <x:c r="AY180" s="27"/>
      <x:c r="AZ180" s="27"/>
    </x:row>
    <x:row r="181">
      <x:c r="A181" s="27"/>
      <x:c r="B181" s="27"/>
      <x:c r="C181" s="27"/>
      <x:c r="D181" s="27"/>
      <x:c r="E181" s="27"/>
      <x:c r="F181" s="27"/>
      <x:c r="G181" s="27"/>
      <x:c r="H181" s="27"/>
      <x:c r="I181" s="27"/>
      <x:c r="J181" s="27"/>
      <x:c r="K181" s="27"/>
      <x:c r="L181" s="27"/>
      <x:c r="M181" s="27"/>
      <x:c r="N181" s="27"/>
      <x:c r="O181" s="27"/>
      <x:c r="P181" s="27"/>
      <x:c r="Q181" s="27"/>
      <x:c r="R181" s="27"/>
      <x:c r="S181" s="27"/>
      <x:c r="T181" s="27"/>
      <x:c r="U181" s="27"/>
      <x:c r="V181" s="27"/>
      <x:c r="W181" s="27"/>
      <x:c r="X181" s="27"/>
      <x:c r="Y181" s="27"/>
      <x:c r="Z181" s="27"/>
      <x:c r="AA181" s="27"/>
      <x:c r="AB181" s="27"/>
      <x:c r="AC181" s="27"/>
      <x:c r="AD181" s="27"/>
      <x:c r="AE181" s="27"/>
      <x:c r="AF181" s="27"/>
      <x:c r="AG181" s="27"/>
      <x:c r="AH181" s="27"/>
      <x:c r="AI181" s="27"/>
      <x:c r="AJ181" s="27"/>
      <x:c r="AK181" s="27"/>
      <x:c r="AL181" s="27"/>
      <x:c r="AM181" s="27"/>
      <x:c r="AN181" s="27"/>
      <x:c r="AO181" s="27"/>
      <x:c r="AP181" s="27"/>
      <x:c r="AQ181" s="27"/>
      <x:c r="AR181" s="27"/>
      <x:c r="AS181" s="27"/>
      <x:c r="AT181" s="27"/>
      <x:c r="AU181" s="27"/>
      <x:c r="AV181" s="27"/>
      <x:c r="AW181" s="27"/>
      <x:c r="AX181" s="27"/>
      <x:c r="AY181" s="27"/>
      <x:c r="AZ181" s="27"/>
    </x:row>
    <x:row r="182">
      <x:c r="A182" s="27"/>
      <x:c r="B182" s="27"/>
      <x:c r="C182" s="27"/>
      <x:c r="D182" s="27"/>
      <x:c r="E182" s="27"/>
      <x:c r="F182" s="27"/>
      <x:c r="G182" s="27"/>
      <x:c r="H182" s="27"/>
      <x:c r="I182" s="27"/>
      <x:c r="J182" s="27"/>
      <x:c r="K182" s="27"/>
      <x:c r="L182" s="27"/>
      <x:c r="M182" s="27"/>
      <x:c r="N182" s="27"/>
      <x:c r="O182" s="27"/>
      <x:c r="P182" s="27"/>
      <x:c r="Q182" s="27"/>
      <x:c r="R182" s="27"/>
      <x:c r="S182" s="27"/>
      <x:c r="T182" s="27"/>
      <x:c r="U182" s="27"/>
      <x:c r="V182" s="27"/>
      <x:c r="W182" s="27"/>
      <x:c r="X182" s="27"/>
      <x:c r="Y182" s="27"/>
      <x:c r="Z182" s="27"/>
      <x:c r="AA182" s="27"/>
      <x:c r="AB182" s="27"/>
      <x:c r="AC182" s="27"/>
      <x:c r="AD182" s="27"/>
      <x:c r="AE182" s="27"/>
      <x:c r="AF182" s="27"/>
      <x:c r="AG182" s="27"/>
      <x:c r="AH182" s="27"/>
      <x:c r="AI182" s="27"/>
      <x:c r="AJ182" s="27"/>
      <x:c r="AK182" s="27"/>
      <x:c r="AL182" s="27"/>
      <x:c r="AM182" s="27"/>
      <x:c r="AN182" s="27"/>
      <x:c r="AO182" s="27"/>
      <x:c r="AP182" s="27"/>
      <x:c r="AQ182" s="27"/>
      <x:c r="AR182" s="27"/>
      <x:c r="AS182" s="27"/>
      <x:c r="AT182" s="27"/>
      <x:c r="AU182" s="27"/>
      <x:c r="AV182" s="27"/>
      <x:c r="AW182" s="27"/>
      <x:c r="AX182" s="27"/>
      <x:c r="AY182" s="27"/>
      <x:c r="AZ182" s="27"/>
    </x:row>
    <x:row r="183">
      <x:c r="A183" s="27"/>
      <x:c r="B183" s="27"/>
      <x:c r="C183" s="27"/>
      <x:c r="D183" s="27"/>
      <x:c r="E183" s="27"/>
      <x:c r="F183" s="27"/>
      <x:c r="G183" s="27"/>
      <x:c r="H183" s="27"/>
      <x:c r="I183" s="27"/>
      <x:c r="J183" s="27"/>
      <x:c r="K183" s="27"/>
      <x:c r="L183" s="27"/>
      <x:c r="M183" s="27"/>
      <x:c r="N183" s="27"/>
      <x:c r="O183" s="27"/>
      <x:c r="P183" s="27"/>
      <x:c r="Q183" s="27"/>
      <x:c r="R183" s="27"/>
      <x:c r="S183" s="27"/>
      <x:c r="T183" s="27"/>
      <x:c r="U183" s="27"/>
      <x:c r="V183" s="27"/>
      <x:c r="W183" s="27"/>
      <x:c r="X183" s="27"/>
      <x:c r="Y183" s="27"/>
      <x:c r="Z183" s="27"/>
      <x:c r="AA183" s="27"/>
      <x:c r="AB183" s="27"/>
      <x:c r="AC183" s="27"/>
      <x:c r="AD183" s="27"/>
      <x:c r="AE183" s="27"/>
      <x:c r="AF183" s="27"/>
      <x:c r="AG183" s="27"/>
      <x:c r="AH183" s="27"/>
      <x:c r="AI183" s="27"/>
      <x:c r="AJ183" s="27"/>
      <x:c r="AK183" s="27"/>
      <x:c r="AL183" s="27"/>
      <x:c r="AM183" s="27"/>
      <x:c r="AN183" s="27"/>
      <x:c r="AO183" s="27"/>
      <x:c r="AP183" s="27"/>
      <x:c r="AQ183" s="27"/>
      <x:c r="AR183" s="27"/>
      <x:c r="AS183" s="27"/>
      <x:c r="AT183" s="27"/>
      <x:c r="AU183" s="27"/>
      <x:c r="AV183" s="27"/>
      <x:c r="AW183" s="27"/>
      <x:c r="AX183" s="27"/>
      <x:c r="AY183" s="27"/>
      <x:c r="AZ183" s="27"/>
    </x:row>
    <x:row r="184">
      <x:c r="A184" s="27"/>
      <x:c r="B184" s="27"/>
      <x:c r="C184" s="27"/>
      <x:c r="D184" s="27"/>
      <x:c r="E184" s="27"/>
      <x:c r="F184" s="27"/>
      <x:c r="G184" s="27"/>
      <x:c r="H184" s="27"/>
      <x:c r="I184" s="27"/>
      <x:c r="J184" s="27"/>
      <x:c r="K184" s="27"/>
      <x:c r="L184" s="27"/>
      <x:c r="M184" s="27"/>
      <x:c r="N184" s="27"/>
      <x:c r="O184" s="27"/>
      <x:c r="P184" s="27"/>
      <x:c r="Q184" s="27"/>
      <x:c r="R184" s="27"/>
      <x:c r="S184" s="27"/>
      <x:c r="T184" s="27"/>
      <x:c r="U184" s="27"/>
      <x:c r="V184" s="27"/>
      <x:c r="W184" s="27"/>
      <x:c r="X184" s="27"/>
      <x:c r="Y184" s="27"/>
      <x:c r="Z184" s="27"/>
      <x:c r="AA184" s="27"/>
      <x:c r="AB184" s="27"/>
      <x:c r="AC184" s="27"/>
      <x:c r="AD184" s="27"/>
      <x:c r="AE184" s="27"/>
      <x:c r="AF184" s="27"/>
      <x:c r="AG184" s="27"/>
      <x:c r="AH184" s="27"/>
      <x:c r="AI184" s="27"/>
      <x:c r="AJ184" s="27"/>
      <x:c r="AK184" s="27"/>
      <x:c r="AL184" s="27"/>
      <x:c r="AM184" s="27"/>
      <x:c r="AN184" s="27"/>
      <x:c r="AO184" s="27"/>
      <x:c r="AP184" s="27"/>
      <x:c r="AQ184" s="27"/>
      <x:c r="AR184" s="27"/>
      <x:c r="AS184" s="27"/>
      <x:c r="AT184" s="27"/>
      <x:c r="AU184" s="27"/>
      <x:c r="AV184" s="27"/>
      <x:c r="AW184" s="27"/>
      <x:c r="AX184" s="27"/>
      <x:c r="AY184" s="27"/>
      <x:c r="AZ184" s="27"/>
    </x:row>
    <x:row r="185">
      <x:c r="A185" s="27"/>
      <x:c r="B185" s="27"/>
      <x:c r="C185" s="27"/>
      <x:c r="D185" s="27"/>
      <x:c r="E185" s="27"/>
      <x:c r="F185" s="27"/>
      <x:c r="G185" s="27"/>
      <x:c r="H185" s="27"/>
      <x:c r="I185" s="27"/>
      <x:c r="J185" s="27"/>
      <x:c r="K185" s="27"/>
      <x:c r="L185" s="27"/>
      <x:c r="M185" s="27"/>
      <x:c r="N185" s="27"/>
      <x:c r="O185" s="27"/>
      <x:c r="P185" s="27"/>
      <x:c r="Q185" s="27"/>
      <x:c r="R185" s="27"/>
      <x:c r="S185" s="27"/>
      <x:c r="T185" s="27"/>
      <x:c r="U185" s="27"/>
      <x:c r="V185" s="27"/>
      <x:c r="W185" s="27"/>
      <x:c r="X185" s="27"/>
      <x:c r="Y185" s="27"/>
      <x:c r="Z185" s="27"/>
      <x:c r="AA185" s="27"/>
      <x:c r="AB185" s="27"/>
      <x:c r="AC185" s="27"/>
      <x:c r="AD185" s="27"/>
      <x:c r="AE185" s="27"/>
      <x:c r="AF185" s="27"/>
      <x:c r="AG185" s="27"/>
      <x:c r="AH185" s="27"/>
      <x:c r="AI185" s="27"/>
      <x:c r="AJ185" s="27"/>
      <x:c r="AK185" s="27"/>
      <x:c r="AL185" s="27"/>
      <x:c r="AM185" s="27"/>
      <x:c r="AN185" s="27"/>
      <x:c r="AO185" s="27"/>
      <x:c r="AP185" s="27"/>
      <x:c r="AQ185" s="27"/>
      <x:c r="AR185" s="27"/>
      <x:c r="AS185" s="27"/>
      <x:c r="AT185" s="27"/>
      <x:c r="AU185" s="27"/>
      <x:c r="AV185" s="27"/>
      <x:c r="AW185" s="27"/>
      <x:c r="AX185" s="27"/>
      <x:c r="AY185" s="27"/>
      <x:c r="AZ185" s="27"/>
    </x:row>
    <x:row r="186">
      <x:c r="A186" s="27"/>
      <x:c r="B186" s="27"/>
      <x:c r="C186" s="27"/>
      <x:c r="D186" s="27"/>
      <x:c r="E186" s="27"/>
      <x:c r="F186" s="27"/>
      <x:c r="G186" s="27"/>
      <x:c r="H186" s="27"/>
      <x:c r="I186" s="27"/>
      <x:c r="J186" s="27"/>
      <x:c r="K186" s="27"/>
      <x:c r="L186" s="27"/>
      <x:c r="M186" s="27"/>
      <x:c r="N186" s="27"/>
      <x:c r="O186" s="27"/>
      <x:c r="P186" s="27"/>
      <x:c r="Q186" s="27"/>
      <x:c r="R186" s="27"/>
      <x:c r="S186" s="27"/>
      <x:c r="T186" s="27"/>
      <x:c r="U186" s="27"/>
      <x:c r="V186" s="27"/>
      <x:c r="W186" s="27"/>
      <x:c r="X186" s="27"/>
      <x:c r="Y186" s="27"/>
      <x:c r="Z186" s="27"/>
      <x:c r="AA186" s="27"/>
      <x:c r="AB186" s="27"/>
      <x:c r="AC186" s="27"/>
      <x:c r="AD186" s="27"/>
      <x:c r="AE186" s="27"/>
      <x:c r="AF186" s="27"/>
      <x:c r="AG186" s="27"/>
      <x:c r="AH186" s="27"/>
      <x:c r="AI186" s="27"/>
      <x:c r="AJ186" s="27"/>
      <x:c r="AK186" s="27"/>
      <x:c r="AL186" s="27"/>
      <x:c r="AM186" s="27"/>
      <x:c r="AN186" s="27"/>
      <x:c r="AO186" s="27"/>
      <x:c r="AP186" s="27"/>
      <x:c r="AQ186" s="27"/>
      <x:c r="AR186" s="27"/>
      <x:c r="AS186" s="27"/>
      <x:c r="AT186" s="27"/>
      <x:c r="AU186" s="27"/>
      <x:c r="AV186" s="27"/>
      <x:c r="AW186" s="27"/>
      <x:c r="AX186" s="27"/>
      <x:c r="AY186" s="27"/>
      <x:c r="AZ186" s="27"/>
    </x:row>
    <x:row r="187">
      <x:c r="A187" s="27"/>
      <x:c r="B187" s="27"/>
      <x:c r="C187" s="27"/>
      <x:c r="D187" s="27"/>
      <x:c r="E187" s="27"/>
      <x:c r="F187" s="27"/>
      <x:c r="G187" s="27"/>
      <x:c r="H187" s="27"/>
      <x:c r="I187" s="27"/>
      <x:c r="J187" s="27"/>
      <x:c r="K187" s="27"/>
      <x:c r="L187" s="27"/>
      <x:c r="M187" s="27"/>
      <x:c r="N187" s="27"/>
      <x:c r="O187" s="27"/>
      <x:c r="P187" s="27"/>
      <x:c r="Q187" s="27"/>
      <x:c r="R187" s="27"/>
      <x:c r="S187" s="27"/>
      <x:c r="T187" s="27"/>
      <x:c r="U187" s="27"/>
      <x:c r="V187" s="27"/>
      <x:c r="W187" s="27"/>
      <x:c r="X187" s="27"/>
      <x:c r="Y187" s="27"/>
      <x:c r="Z187" s="27"/>
      <x:c r="AA187" s="27"/>
      <x:c r="AB187" s="27"/>
      <x:c r="AC187" s="27"/>
      <x:c r="AD187" s="27"/>
      <x:c r="AE187" s="27"/>
      <x:c r="AF187" s="27"/>
      <x:c r="AG187" s="27"/>
      <x:c r="AH187" s="27"/>
      <x:c r="AI187" s="27"/>
      <x:c r="AJ187" s="27"/>
      <x:c r="AK187" s="27"/>
      <x:c r="AL187" s="27"/>
      <x:c r="AM187" s="27"/>
      <x:c r="AN187" s="27"/>
      <x:c r="AO187" s="27"/>
      <x:c r="AP187" s="27"/>
      <x:c r="AQ187" s="27"/>
      <x:c r="AR187" s="27"/>
      <x:c r="AS187" s="27"/>
      <x:c r="AT187" s="27"/>
      <x:c r="AU187" s="27"/>
      <x:c r="AV187" s="27"/>
      <x:c r="AW187" s="27"/>
      <x:c r="AX187" s="27"/>
      <x:c r="AY187" s="27"/>
      <x:c r="AZ187" s="27"/>
    </x:row>
    <x:row r="188">
      <x:c r="A188" s="27"/>
      <x:c r="B188" s="27"/>
      <x:c r="C188" s="27"/>
      <x:c r="D188" s="27"/>
      <x:c r="E188" s="27"/>
      <x:c r="F188" s="27"/>
      <x:c r="G188" s="27"/>
      <x:c r="H188" s="27"/>
      <x:c r="I188" s="27"/>
      <x:c r="J188" s="27"/>
      <x:c r="K188" s="27"/>
      <x:c r="L188" s="27"/>
      <x:c r="M188" s="27"/>
      <x:c r="N188" s="27"/>
      <x:c r="O188" s="27"/>
      <x:c r="P188" s="27"/>
      <x:c r="Q188" s="27"/>
      <x:c r="R188" s="27"/>
      <x:c r="S188" s="27"/>
      <x:c r="T188" s="27"/>
      <x:c r="U188" s="27"/>
      <x:c r="V188" s="27"/>
      <x:c r="W188" s="27"/>
      <x:c r="X188" s="27"/>
      <x:c r="Y188" s="27"/>
      <x:c r="Z188" s="27"/>
      <x:c r="AA188" s="27"/>
      <x:c r="AB188" s="27"/>
      <x:c r="AC188" s="27"/>
      <x:c r="AD188" s="27"/>
      <x:c r="AE188" s="27"/>
      <x:c r="AF188" s="27"/>
      <x:c r="AG188" s="27"/>
      <x:c r="AH188" s="27"/>
      <x:c r="AI188" s="27"/>
      <x:c r="AJ188" s="27"/>
      <x:c r="AK188" s="27"/>
      <x:c r="AL188" s="27"/>
      <x:c r="AM188" s="27"/>
      <x:c r="AN188" s="27"/>
      <x:c r="AO188" s="27"/>
      <x:c r="AP188" s="27"/>
      <x:c r="AQ188" s="27"/>
      <x:c r="AR188" s="27"/>
      <x:c r="AS188" s="27"/>
      <x:c r="AT188" s="27"/>
      <x:c r="AU188" s="27"/>
      <x:c r="AV188" s="27"/>
      <x:c r="AW188" s="27"/>
      <x:c r="AX188" s="27"/>
      <x:c r="AY188" s="27"/>
      <x:c r="AZ188" s="27"/>
    </x:row>
    <x:row r="189">
      <x:c r="A189" s="27"/>
      <x:c r="B189" s="27"/>
      <x:c r="C189" s="27"/>
      <x:c r="D189" s="27"/>
      <x:c r="E189" s="27"/>
      <x:c r="F189" s="27"/>
      <x:c r="G189" s="27"/>
      <x:c r="H189" s="27"/>
      <x:c r="I189" s="27"/>
      <x:c r="J189" s="27"/>
      <x:c r="K189" s="27"/>
      <x:c r="L189" s="27"/>
      <x:c r="M189" s="27"/>
      <x:c r="N189" s="27"/>
      <x:c r="O189" s="27"/>
      <x:c r="P189" s="27"/>
      <x:c r="Q189" s="27"/>
      <x:c r="R189" s="27"/>
      <x:c r="S189" s="27"/>
      <x:c r="T189" s="27"/>
      <x:c r="U189" s="27"/>
      <x:c r="V189" s="27"/>
      <x:c r="W189" s="27"/>
      <x:c r="X189" s="27"/>
      <x:c r="Y189" s="27"/>
      <x:c r="Z189" s="27"/>
      <x:c r="AA189" s="27"/>
      <x:c r="AB189" s="27"/>
      <x:c r="AC189" s="27"/>
      <x:c r="AD189" s="27"/>
      <x:c r="AE189" s="27"/>
      <x:c r="AF189" s="27"/>
      <x:c r="AG189" s="27"/>
      <x:c r="AH189" s="27"/>
      <x:c r="AI189" s="27"/>
      <x:c r="AJ189" s="27"/>
      <x:c r="AK189" s="27"/>
      <x:c r="AL189" s="27"/>
      <x:c r="AM189" s="27"/>
      <x:c r="AN189" s="27"/>
      <x:c r="AO189" s="27"/>
      <x:c r="AP189" s="27"/>
      <x:c r="AQ189" s="27"/>
      <x:c r="AR189" s="27"/>
      <x:c r="AS189" s="27"/>
      <x:c r="AT189" s="27"/>
      <x:c r="AU189" s="27"/>
      <x:c r="AV189" s="27"/>
      <x:c r="AW189" s="27"/>
      <x:c r="AX189" s="27"/>
      <x:c r="AY189" s="27"/>
      <x:c r="AZ189" s="27"/>
    </x:row>
    <x:row r="190">
      <x:c r="A190" s="27"/>
      <x:c r="B190" s="27"/>
      <x:c r="C190" s="27"/>
      <x:c r="D190" s="27"/>
      <x:c r="E190" s="27"/>
      <x:c r="F190" s="27"/>
      <x:c r="G190" s="27"/>
      <x:c r="H190" s="27"/>
      <x:c r="I190" s="27"/>
      <x:c r="J190" s="27"/>
      <x:c r="K190" s="27"/>
      <x:c r="L190" s="27"/>
      <x:c r="M190" s="27"/>
      <x:c r="N190" s="27"/>
      <x:c r="O190" s="27"/>
      <x:c r="P190" s="27"/>
      <x:c r="Q190" s="27"/>
      <x:c r="R190" s="27"/>
      <x:c r="S190" s="27"/>
      <x:c r="T190" s="27"/>
      <x:c r="U190" s="27"/>
      <x:c r="V190" s="27"/>
      <x:c r="W190" s="27"/>
      <x:c r="X190" s="27"/>
      <x:c r="Y190" s="27"/>
      <x:c r="Z190" s="27"/>
      <x:c r="AA190" s="27"/>
      <x:c r="AB190" s="27"/>
      <x:c r="AC190" s="27"/>
      <x:c r="AD190" s="27"/>
      <x:c r="AE190" s="27"/>
      <x:c r="AF190" s="27"/>
      <x:c r="AG190" s="27"/>
      <x:c r="AH190" s="27"/>
      <x:c r="AI190" s="27"/>
      <x:c r="AJ190" s="27"/>
      <x:c r="AK190" s="27"/>
      <x:c r="AL190" s="27"/>
      <x:c r="AM190" s="27"/>
      <x:c r="AN190" s="27"/>
      <x:c r="AO190" s="27"/>
      <x:c r="AP190" s="27"/>
      <x:c r="AQ190" s="27"/>
      <x:c r="AR190" s="27"/>
      <x:c r="AS190" s="27"/>
      <x:c r="AT190" s="27"/>
      <x:c r="AU190" s="27"/>
      <x:c r="AV190" s="27"/>
      <x:c r="AW190" s="27"/>
      <x:c r="AX190" s="27"/>
      <x:c r="AY190" s="27"/>
      <x:c r="AZ190" s="27"/>
    </x:row>
    <x:row r="191">
      <x:c r="A191" s="27"/>
      <x:c r="B191" s="27"/>
      <x:c r="C191" s="27"/>
      <x:c r="D191" s="27"/>
      <x:c r="E191" s="27"/>
      <x:c r="F191" s="27"/>
      <x:c r="G191" s="27"/>
      <x:c r="H191" s="27"/>
      <x:c r="I191" s="27"/>
      <x:c r="J191" s="27"/>
      <x:c r="K191" s="27"/>
      <x:c r="L191" s="27"/>
      <x:c r="M191" s="27"/>
      <x:c r="N191" s="27"/>
      <x:c r="O191" s="27"/>
      <x:c r="P191" s="27"/>
      <x:c r="Q191" s="27"/>
      <x:c r="R191" s="27"/>
      <x:c r="S191" s="27"/>
      <x:c r="T191" s="27"/>
      <x:c r="U191" s="27"/>
      <x:c r="V191" s="27"/>
      <x:c r="W191" s="27"/>
      <x:c r="X191" s="27"/>
      <x:c r="Y191" s="27"/>
      <x:c r="Z191" s="27"/>
      <x:c r="AA191" s="27"/>
      <x:c r="AB191" s="27"/>
      <x:c r="AC191" s="27"/>
      <x:c r="AD191" s="27"/>
      <x:c r="AE191" s="27"/>
      <x:c r="AF191" s="27"/>
      <x:c r="AG191" s="27"/>
      <x:c r="AH191" s="27"/>
      <x:c r="AI191" s="27"/>
      <x:c r="AJ191" s="27"/>
      <x:c r="AK191" s="27"/>
      <x:c r="AL191" s="27"/>
      <x:c r="AM191" s="27"/>
      <x:c r="AN191" s="27"/>
      <x:c r="AO191" s="27"/>
      <x:c r="AP191" s="27"/>
      <x:c r="AQ191" s="27"/>
      <x:c r="AR191" s="27"/>
      <x:c r="AS191" s="27"/>
      <x:c r="AT191" s="27"/>
      <x:c r="AU191" s="27"/>
      <x:c r="AV191" s="27"/>
      <x:c r="AW191" s="27"/>
      <x:c r="AX191" s="27"/>
      <x:c r="AY191" s="27"/>
      <x:c r="AZ191" s="27"/>
    </x:row>
    <x:row r="192">
      <x:c r="A192" s="27"/>
      <x:c r="B192" s="27"/>
      <x:c r="C192" s="27"/>
      <x:c r="D192" s="27"/>
      <x:c r="E192" s="27"/>
      <x:c r="F192" s="27"/>
      <x:c r="G192" s="27"/>
      <x:c r="H192" s="27"/>
      <x:c r="I192" s="27"/>
      <x:c r="J192" s="27"/>
      <x:c r="K192" s="27"/>
      <x:c r="L192" s="27"/>
      <x:c r="M192" s="27"/>
      <x:c r="N192" s="27"/>
      <x:c r="O192" s="27"/>
      <x:c r="P192" s="27"/>
      <x:c r="Q192" s="27"/>
      <x:c r="R192" s="27"/>
      <x:c r="S192" s="27"/>
      <x:c r="T192" s="27"/>
      <x:c r="U192" s="27"/>
      <x:c r="V192" s="27"/>
      <x:c r="W192" s="27"/>
      <x:c r="X192" s="27"/>
      <x:c r="Y192" s="27"/>
      <x:c r="Z192" s="27"/>
      <x:c r="AA192" s="27"/>
      <x:c r="AB192" s="27"/>
      <x:c r="AC192" s="27"/>
      <x:c r="AD192" s="27"/>
      <x:c r="AE192" s="27"/>
      <x:c r="AF192" s="27"/>
      <x:c r="AG192" s="27"/>
      <x:c r="AH192" s="27"/>
      <x:c r="AI192" s="27"/>
      <x:c r="AJ192" s="27"/>
      <x:c r="AK192" s="27"/>
      <x:c r="AL192" s="27"/>
      <x:c r="AM192" s="27"/>
      <x:c r="AN192" s="27"/>
      <x:c r="AO192" s="27"/>
      <x:c r="AP192" s="27"/>
      <x:c r="AQ192" s="27"/>
      <x:c r="AR192" s="27"/>
      <x:c r="AS192" s="27"/>
      <x:c r="AT192" s="27"/>
      <x:c r="AU192" s="27"/>
      <x:c r="AV192" s="27"/>
      <x:c r="AW192" s="27"/>
      <x:c r="AX192" s="27"/>
      <x:c r="AY192" s="27"/>
      <x:c r="AZ192" s="27"/>
    </x:row>
    <x:row r="193">
      <x:c r="A193" s="27"/>
      <x:c r="B193" s="27"/>
      <x:c r="C193" s="27"/>
      <x:c r="D193" s="27"/>
      <x:c r="E193" s="27"/>
      <x:c r="F193" s="27"/>
      <x:c r="G193" s="27"/>
      <x:c r="H193" s="27"/>
      <x:c r="I193" s="27"/>
      <x:c r="J193" s="27"/>
      <x:c r="K193" s="27"/>
      <x:c r="L193" s="27"/>
      <x:c r="M193" s="27"/>
      <x:c r="N193" s="27"/>
      <x:c r="O193" s="27"/>
      <x:c r="P193" s="27"/>
      <x:c r="Q193" s="27"/>
      <x:c r="R193" s="27"/>
      <x:c r="S193" s="27"/>
      <x:c r="T193" s="27"/>
      <x:c r="U193" s="27"/>
      <x:c r="V193" s="27"/>
      <x:c r="W193" s="27"/>
      <x:c r="X193" s="27"/>
      <x:c r="Y193" s="27"/>
      <x:c r="Z193" s="27"/>
      <x:c r="AA193" s="27"/>
      <x:c r="AB193" s="27"/>
      <x:c r="AC193" s="27"/>
      <x:c r="AD193" s="27"/>
      <x:c r="AE193" s="27"/>
      <x:c r="AF193" s="27"/>
      <x:c r="AG193" s="27"/>
      <x:c r="AH193" s="27"/>
      <x:c r="AI193" s="27"/>
      <x:c r="AJ193" s="27"/>
      <x:c r="AK193" s="27"/>
      <x:c r="AL193" s="27"/>
      <x:c r="AM193" s="27"/>
      <x:c r="AN193" s="27"/>
      <x:c r="AO193" s="27"/>
      <x:c r="AP193" s="27"/>
      <x:c r="AQ193" s="27"/>
      <x:c r="AR193" s="27"/>
      <x:c r="AS193" s="27"/>
      <x:c r="AT193" s="27"/>
      <x:c r="AU193" s="27"/>
      <x:c r="AV193" s="27"/>
      <x:c r="AW193" s="27"/>
      <x:c r="AX193" s="27"/>
      <x:c r="AY193" s="27"/>
      <x:c r="AZ193" s="27"/>
    </x:row>
    <x:row r="194">
      <x:c r="A194" s="27"/>
      <x:c r="B194" s="27"/>
      <x:c r="C194" s="27"/>
      <x:c r="D194" s="27"/>
      <x:c r="E194" s="27"/>
      <x:c r="F194" s="27"/>
      <x:c r="G194" s="27"/>
      <x:c r="H194" s="27"/>
      <x:c r="I194" s="27"/>
      <x:c r="J194" s="27"/>
      <x:c r="K194" s="27"/>
      <x:c r="L194" s="27"/>
      <x:c r="M194" s="27"/>
      <x:c r="N194" s="27"/>
      <x:c r="O194" s="27"/>
      <x:c r="P194" s="27"/>
      <x:c r="Q194" s="27"/>
      <x:c r="R194" s="27"/>
      <x:c r="S194" s="27"/>
      <x:c r="T194" s="27"/>
      <x:c r="U194" s="27"/>
      <x:c r="V194" s="27"/>
      <x:c r="W194" s="27"/>
      <x:c r="X194" s="27"/>
      <x:c r="Y194" s="27"/>
      <x:c r="Z194" s="27"/>
      <x:c r="AA194" s="27"/>
      <x:c r="AB194" s="27"/>
      <x:c r="AC194" s="27"/>
      <x:c r="AD194" s="27"/>
      <x:c r="AE194" s="27"/>
      <x:c r="AF194" s="27"/>
      <x:c r="AG194" s="27"/>
      <x:c r="AH194" s="27"/>
      <x:c r="AI194" s="27"/>
      <x:c r="AJ194" s="27"/>
      <x:c r="AK194" s="27"/>
      <x:c r="AL194" s="27"/>
      <x:c r="AM194" s="27"/>
      <x:c r="AN194" s="27"/>
      <x:c r="AO194" s="27"/>
      <x:c r="AP194" s="27"/>
      <x:c r="AQ194" s="27"/>
      <x:c r="AR194" s="27"/>
      <x:c r="AS194" s="27"/>
      <x:c r="AT194" s="27"/>
      <x:c r="AU194" s="27"/>
      <x:c r="AV194" s="27"/>
      <x:c r="AW194" s="27"/>
      <x:c r="AX194" s="27"/>
      <x:c r="AY194" s="27"/>
      <x:c r="AZ194" s="27"/>
    </x:row>
    <x:row r="195">
      <x:c r="A195" s="27"/>
      <x:c r="B195" s="27"/>
      <x:c r="C195" s="27"/>
      <x:c r="D195" s="27"/>
      <x:c r="E195" s="27"/>
      <x:c r="F195" s="27"/>
      <x:c r="G195" s="27"/>
      <x:c r="H195" s="27"/>
      <x:c r="I195" s="27"/>
      <x:c r="J195" s="27"/>
      <x:c r="K195" s="27"/>
      <x:c r="L195" s="27"/>
      <x:c r="M195" s="27"/>
      <x:c r="N195" s="27"/>
      <x:c r="O195" s="27"/>
      <x:c r="P195" s="27"/>
      <x:c r="Q195" s="27"/>
      <x:c r="R195" s="27"/>
      <x:c r="S195" s="27"/>
      <x:c r="T195" s="27"/>
      <x:c r="U195" s="27"/>
      <x:c r="V195" s="27"/>
      <x:c r="W195" s="27"/>
      <x:c r="X195" s="27"/>
      <x:c r="Y195" s="27"/>
      <x:c r="Z195" s="27"/>
      <x:c r="AA195" s="27"/>
      <x:c r="AB195" s="27"/>
      <x:c r="AC195" s="27"/>
      <x:c r="AD195" s="27"/>
      <x:c r="AE195" s="27"/>
      <x:c r="AF195" s="27"/>
      <x:c r="AG195" s="27"/>
      <x:c r="AH195" s="27"/>
      <x:c r="AI195" s="27"/>
      <x:c r="AJ195" s="27"/>
      <x:c r="AK195" s="27"/>
      <x:c r="AL195" s="27"/>
      <x:c r="AM195" s="27"/>
      <x:c r="AN195" s="27"/>
      <x:c r="AO195" s="27"/>
      <x:c r="AP195" s="27"/>
      <x:c r="AQ195" s="27"/>
      <x:c r="AR195" s="27"/>
      <x:c r="AS195" s="27"/>
      <x:c r="AT195" s="27"/>
      <x:c r="AU195" s="27"/>
      <x:c r="AV195" s="27"/>
      <x:c r="AW195" s="27"/>
      <x:c r="AX195" s="27"/>
      <x:c r="AY195" s="27"/>
      <x:c r="AZ195" s="27"/>
    </x:row>
    <x:row r="196">
      <x:c r="A196" s="27"/>
      <x:c r="B196" s="27"/>
      <x:c r="C196" s="27"/>
      <x:c r="D196" s="27"/>
      <x:c r="E196" s="27"/>
      <x:c r="F196" s="27"/>
      <x:c r="G196" s="27"/>
      <x:c r="H196" s="27"/>
      <x:c r="I196" s="27"/>
      <x:c r="J196" s="27"/>
      <x:c r="K196" s="27"/>
      <x:c r="L196" s="27"/>
      <x:c r="M196" s="27"/>
      <x:c r="N196" s="27"/>
      <x:c r="O196" s="27"/>
      <x:c r="P196" s="27"/>
      <x:c r="Q196" s="27"/>
      <x:c r="R196" s="27"/>
      <x:c r="S196" s="27"/>
      <x:c r="T196" s="27"/>
      <x:c r="U196" s="27"/>
      <x:c r="V196" s="27"/>
      <x:c r="W196" s="27"/>
      <x:c r="X196" s="27"/>
      <x:c r="Y196" s="27"/>
      <x:c r="Z196" s="27"/>
      <x:c r="AA196" s="27"/>
      <x:c r="AB196" s="27"/>
      <x:c r="AC196" s="27"/>
      <x:c r="AD196" s="27"/>
      <x:c r="AE196" s="27"/>
      <x:c r="AF196" s="27"/>
      <x:c r="AG196" s="27"/>
      <x:c r="AH196" s="27"/>
      <x:c r="AI196" s="27"/>
      <x:c r="AJ196" s="27"/>
      <x:c r="AK196" s="27"/>
      <x:c r="AL196" s="27"/>
      <x:c r="AM196" s="27"/>
      <x:c r="AN196" s="27"/>
      <x:c r="AO196" s="27"/>
      <x:c r="AP196" s="27"/>
      <x:c r="AQ196" s="27"/>
      <x:c r="AR196" s="27"/>
      <x:c r="AS196" s="27"/>
      <x:c r="AT196" s="27"/>
      <x:c r="AU196" s="27"/>
      <x:c r="AV196" s="27"/>
      <x:c r="AW196" s="27"/>
      <x:c r="AX196" s="27"/>
      <x:c r="AY196" s="27"/>
      <x:c r="AZ196" s="27"/>
    </x:row>
    <x:row r="197">
      <x:c r="A197" s="27"/>
      <x:c r="B197" s="27"/>
      <x:c r="C197" s="27"/>
      <x:c r="D197" s="27"/>
      <x:c r="E197" s="27"/>
      <x:c r="F197" s="27"/>
      <x:c r="G197" s="27"/>
      <x:c r="H197" s="27"/>
      <x:c r="I197" s="27"/>
      <x:c r="J197" s="27"/>
      <x:c r="K197" s="27"/>
      <x:c r="L197" s="27"/>
      <x:c r="M197" s="27"/>
      <x:c r="N197" s="27"/>
      <x:c r="O197" s="27"/>
      <x:c r="P197" s="27"/>
      <x:c r="Q197" s="27"/>
      <x:c r="R197" s="27"/>
      <x:c r="S197" s="27"/>
      <x:c r="T197" s="27"/>
      <x:c r="U197" s="27"/>
      <x:c r="V197" s="27"/>
      <x:c r="W197" s="27"/>
      <x:c r="X197" s="27"/>
      <x:c r="Y197" s="27"/>
      <x:c r="Z197" s="27"/>
      <x:c r="AA197" s="27"/>
      <x:c r="AB197" s="27"/>
      <x:c r="AC197" s="27"/>
      <x:c r="AD197" s="27"/>
      <x:c r="AE197" s="27"/>
      <x:c r="AF197" s="27"/>
      <x:c r="AG197" s="27"/>
      <x:c r="AH197" s="27"/>
      <x:c r="AI197" s="27"/>
      <x:c r="AJ197" s="27"/>
      <x:c r="AK197" s="27"/>
      <x:c r="AL197" s="27"/>
      <x:c r="AM197" s="27"/>
      <x:c r="AN197" s="27"/>
      <x:c r="AO197" s="27"/>
      <x:c r="AP197" s="27"/>
      <x:c r="AQ197" s="27"/>
      <x:c r="AR197" s="27"/>
      <x:c r="AS197" s="27"/>
      <x:c r="AT197" s="27"/>
      <x:c r="AU197" s="27"/>
      <x:c r="AV197" s="27"/>
      <x:c r="AW197" s="27"/>
      <x:c r="AX197" s="27"/>
      <x:c r="AY197" s="27"/>
      <x:c r="AZ197" s="27"/>
    </x:row>
    <x:row r="198">
      <x:c r="A198" s="27"/>
      <x:c r="B198" s="27"/>
      <x:c r="C198" s="27"/>
      <x:c r="D198" s="27"/>
      <x:c r="E198" s="27"/>
      <x:c r="F198" s="27"/>
      <x:c r="G198" s="27"/>
      <x:c r="H198" s="27"/>
      <x:c r="I198" s="27"/>
      <x:c r="J198" s="27"/>
      <x:c r="K198" s="27"/>
      <x:c r="L198" s="27"/>
      <x:c r="M198" s="27"/>
      <x:c r="N198" s="27"/>
      <x:c r="O198" s="27"/>
      <x:c r="P198" s="27"/>
      <x:c r="Q198" s="27"/>
      <x:c r="R198" s="27"/>
      <x:c r="S198" s="27"/>
      <x:c r="T198" s="27"/>
      <x:c r="U198" s="27"/>
      <x:c r="V198" s="27"/>
      <x:c r="W198" s="27"/>
      <x:c r="X198" s="27"/>
      <x:c r="Y198" s="27"/>
      <x:c r="Z198" s="27"/>
      <x:c r="AA198" s="27"/>
      <x:c r="AB198" s="27"/>
      <x:c r="AC198" s="27"/>
      <x:c r="AD198" s="27"/>
      <x:c r="AE198" s="27"/>
      <x:c r="AF198" s="27"/>
      <x:c r="AG198" s="27"/>
      <x:c r="AH198" s="27"/>
      <x:c r="AI198" s="27"/>
      <x:c r="AJ198" s="27"/>
      <x:c r="AK198" s="27"/>
      <x:c r="AL198" s="27"/>
      <x:c r="AM198" s="27"/>
      <x:c r="AN198" s="27"/>
      <x:c r="AO198" s="27"/>
      <x:c r="AP198" s="27"/>
      <x:c r="AQ198" s="27"/>
      <x:c r="AR198" s="27"/>
      <x:c r="AS198" s="27"/>
      <x:c r="AT198" s="27"/>
      <x:c r="AU198" s="27"/>
      <x:c r="AV198" s="27"/>
      <x:c r="AW198" s="27"/>
      <x:c r="AX198" s="27"/>
      <x:c r="AY198" s="27"/>
      <x:c r="AZ198" s="27"/>
    </x:row>
    <x:row r="199">
      <x:c r="A199" s="27"/>
      <x:c r="B199" s="27"/>
      <x:c r="C199" s="27"/>
      <x:c r="D199" s="27"/>
      <x:c r="E199" s="27"/>
      <x:c r="F199" s="27"/>
      <x:c r="G199" s="27"/>
      <x:c r="H199" s="27"/>
      <x:c r="I199" s="27"/>
      <x:c r="J199" s="27"/>
      <x:c r="K199" s="27"/>
      <x:c r="L199" s="27"/>
      <x:c r="M199" s="27"/>
      <x:c r="N199" s="27"/>
      <x:c r="O199" s="27"/>
      <x:c r="P199" s="27"/>
      <x:c r="Q199" s="27"/>
      <x:c r="R199" s="27"/>
      <x:c r="S199" s="27"/>
      <x:c r="T199" s="27"/>
      <x:c r="U199" s="27"/>
      <x:c r="V199" s="27"/>
      <x:c r="W199" s="27"/>
      <x:c r="X199" s="27"/>
      <x:c r="Y199" s="27"/>
      <x:c r="Z199" s="27"/>
      <x:c r="AA199" s="27"/>
      <x:c r="AB199" s="27"/>
      <x:c r="AC199" s="27"/>
      <x:c r="AD199" s="27"/>
      <x:c r="AE199" s="27"/>
      <x:c r="AF199" s="27"/>
      <x:c r="AG199" s="27"/>
      <x:c r="AH199" s="27"/>
      <x:c r="AI199" s="27"/>
      <x:c r="AJ199" s="27"/>
      <x:c r="AK199" s="27"/>
      <x:c r="AL199" s="27"/>
      <x:c r="AM199" s="27"/>
      <x:c r="AN199" s="27"/>
      <x:c r="AO199" s="27"/>
      <x:c r="AP199" s="27"/>
      <x:c r="AQ199" s="27"/>
      <x:c r="AR199" s="27"/>
      <x:c r="AS199" s="27"/>
      <x:c r="AT199" s="27"/>
      <x:c r="AU199" s="27"/>
      <x:c r="AV199" s="27"/>
      <x:c r="AW199" s="27"/>
      <x:c r="AX199" s="27"/>
      <x:c r="AY199" s="27"/>
      <x:c r="AZ199" s="27"/>
    </x:row>
    <x:row r="200">
      <x:c r="A200" s="27"/>
      <x:c r="B200" s="27"/>
      <x:c r="C200" s="27"/>
      <x:c r="D200" s="27"/>
      <x:c r="E200" s="27"/>
      <x:c r="F200" s="27"/>
      <x:c r="G200" s="27"/>
      <x:c r="H200" s="27"/>
      <x:c r="I200" s="27"/>
      <x:c r="J200" s="27"/>
      <x:c r="K200" s="27"/>
      <x:c r="L200" s="27"/>
      <x:c r="M200" s="27"/>
      <x:c r="N200" s="27"/>
      <x:c r="O200" s="27"/>
      <x:c r="P200" s="27"/>
      <x:c r="Q200" s="27"/>
      <x:c r="R200" s="27"/>
      <x:c r="S200" s="27"/>
      <x:c r="T200" s="27"/>
      <x:c r="U200" s="27"/>
      <x:c r="V200" s="27"/>
      <x:c r="W200" s="27"/>
      <x:c r="X200" s="27"/>
      <x:c r="Y200" s="27"/>
      <x:c r="Z200" s="27"/>
      <x:c r="AA200" s="27"/>
      <x:c r="AB200" s="27"/>
      <x:c r="AC200" s="27"/>
      <x:c r="AD200" s="27"/>
      <x:c r="AE200" s="27"/>
      <x:c r="AF200" s="27"/>
      <x:c r="AG200" s="27"/>
      <x:c r="AH200" s="27"/>
      <x:c r="AI200" s="27"/>
      <x:c r="AJ200" s="27"/>
      <x:c r="AK200" s="27"/>
      <x:c r="AL200" s="27"/>
      <x:c r="AM200" s="27"/>
      <x:c r="AN200" s="27"/>
      <x:c r="AO200" s="27"/>
      <x:c r="AP200" s="27"/>
      <x:c r="AQ200" s="27"/>
      <x:c r="AR200" s="27"/>
      <x:c r="AS200" s="27"/>
      <x:c r="AT200" s="27"/>
      <x:c r="AU200" s="27"/>
      <x:c r="AV200" s="27"/>
      <x:c r="AW200" s="27"/>
      <x:c r="AX200" s="27"/>
      <x:c r="AY200" s="27"/>
      <x:c r="AZ200" s="27"/>
    </x:row>
  </x:sheetData>
  <x:mergeCells>
    <x:mergeCell ref="A1:P1"/>
    <x:mergeCell ref="A2:P2"/>
    <x:mergeCell ref="A11:P11"/>
    <x:mergeCell ref="A32:P32"/>
    <x:mergeCell ref="A80:P80"/>
  </x:mergeCells>
  <x:conditionalFormatting sqref="P34:P77">
    <x:cfRule type="cellIs" dxfId="0" priority="1" operator="greaterThan">
      <x:formula>0</x:formula>
    </x:cfRule>
  </x:conditionalFormatting>
  <x:pageMargins left="0.7" right="0.7" top="0.75" bottom="0.75" header="0.3" footer="0.3"/>
</x:worksheet>
</file>

<file path=xl/worksheets/sheet14.xml><?xml version="1.0" encoding="utf-8"?>
<x:worksheet xmlns:x="http://schemas.openxmlformats.org/spreadsheetml/2006/main">
  <x:sheetFormatPr defaultRowHeight="15"/>
  <x:cols>
    <x:col min="1" max="1" width="14" hidden="0" customWidth="1"/>
    <x:col min="2" max="2" width="16" hidden="0" customWidth="1"/>
    <x:col min="3" max="3" width="16" hidden="0" customWidth="1"/>
    <x:col min="4" max="4" width="18" hidden="0" customWidth="1"/>
    <x:col min="5" max="5" width="18" hidden="0" customWidth="1"/>
    <x:col min="6" max="6" width="14" hidden="0" customWidth="1"/>
    <x:col min="7" max="7" width="14" hidden="0" customWidth="1"/>
    <x:col min="8" max="8" width="16" hidden="0" customWidth="1"/>
    <x:col min="9" max="9" width="24" hidden="0" customWidth="1"/>
  </x:cols>
  <x:sheetData>
    <x:row r="1">
      <x:c r="A1" s="98" t="str">
        <x:v>Operation Pancake — TE Ingestion Checkpoints</x:v>
      </x:c>
      <x:c r="B1" s="98"/>
      <x:c r="C1" s="98"/>
      <x:c r="D1" s="98"/>
      <x:c r="E1" s="98"/>
      <x:c r="F1" s="98"/>
      <x:c r="G1" s="98"/>
      <x:c r="H1" s="98"/>
      <x:c r="I1" s="98"/>
      <x:c r="J1" s="27"/>
      <x:c r="K1" s="27"/>
      <x:c r="L1" s="27"/>
      <x:c r="M1" s="27"/>
      <x:c r="N1" s="27"/>
      <x:c r="O1" s="27"/>
      <x:c r="P1" s="27"/>
      <x:c r="Q1" s="27"/>
      <x:c r="R1" s="27"/>
      <x:c r="S1" s="27"/>
      <x:c r="T1" s="27"/>
      <x:c r="U1" s="27"/>
      <x:c r="V1" s="27"/>
      <x:c r="W1" s="27"/>
      <x:c r="X1" s="27"/>
      <x:c r="Y1" s="27"/>
      <x:c r="Z1" s="27"/>
      <x:c r="AA1" s="27"/>
      <x:c r="AB1" s="27"/>
      <x:c r="AC1" s="27"/>
      <x:c r="AD1" s="27"/>
      <x:c r="AE1" s="27"/>
      <x:c r="AF1" s="27"/>
      <x:c r="AG1" s="27"/>
      <x:c r="AH1" s="27"/>
      <x:c r="AI1" s="27"/>
      <x:c r="AJ1" s="27"/>
      <x:c r="AK1" s="27"/>
      <x:c r="AL1" s="27"/>
      <x:c r="AM1" s="27"/>
      <x:c r="AN1" s="27"/>
      <x:c r="AO1" s="27"/>
      <x:c r="AP1" s="27"/>
      <x:c r="AQ1" s="27"/>
      <x:c r="AR1" s="27"/>
      <x:c r="AS1" s="27"/>
      <x:c r="AT1" s="27"/>
      <x:c r="AU1" s="27"/>
      <x:c r="AV1" s="27"/>
      <x:c r="AW1" s="27"/>
      <x:c r="AX1" s="27"/>
      <x:c r="AY1" s="27"/>
      <x:c r="AZ1" s="27"/>
    </x:row>
    <x:row r="2">
      <x:c r="A2" s="27"/>
      <x:c r="B2" s="27"/>
      <x:c r="C2" s="27"/>
      <x:c r="D2" s="27"/>
      <x:c r="E2" s="27"/>
      <x:c r="F2" s="27"/>
      <x:c r="G2" s="27"/>
      <x:c r="H2" s="27"/>
      <x:c r="I2" s="27"/>
      <x:c r="J2" s="27"/>
      <x:c r="K2" s="27"/>
      <x:c r="L2" s="27"/>
      <x:c r="M2" s="27"/>
      <x:c r="N2" s="27"/>
      <x:c r="O2" s="27"/>
      <x:c r="P2" s="27"/>
      <x:c r="Q2" s="27"/>
      <x:c r="R2" s="27"/>
      <x:c r="S2" s="27"/>
      <x:c r="T2" s="27"/>
      <x:c r="U2" s="27"/>
      <x:c r="V2" s="27"/>
      <x:c r="W2" s="27"/>
      <x:c r="X2" s="27"/>
      <x:c r="Y2" s="27"/>
      <x:c r="Z2" s="27"/>
      <x:c r="AA2" s="27"/>
      <x:c r="AB2" s="27"/>
      <x:c r="AC2" s="27"/>
      <x:c r="AD2" s="27"/>
      <x:c r="AE2" s="27"/>
      <x:c r="AF2" s="27"/>
      <x:c r="AG2" s="27"/>
      <x:c r="AH2" s="27"/>
      <x:c r="AI2" s="27"/>
      <x:c r="AJ2" s="27"/>
      <x:c r="AK2" s="27"/>
      <x:c r="AL2" s="27"/>
      <x:c r="AM2" s="27"/>
      <x:c r="AN2" s="27"/>
      <x:c r="AO2" s="27"/>
      <x:c r="AP2" s="27"/>
      <x:c r="AQ2" s="27"/>
      <x:c r="AR2" s="27"/>
      <x:c r="AS2" s="27"/>
      <x:c r="AT2" s="27"/>
      <x:c r="AU2" s="27"/>
      <x:c r="AV2" s="27"/>
      <x:c r="AW2" s="27"/>
      <x:c r="AX2" s="27"/>
      <x:c r="AY2" s="27"/>
      <x:c r="AZ2" s="27"/>
    </x:row>
    <x:row r="3">
      <x:c r="A3" s="90" t="str">
        <x:v>Checkpoint</x:v>
      </x:c>
      <x:c r="B3" s="90" t="str">
        <x:v>New Cards Added</x:v>
      </x:c>
      <x:c r="C3" s="90" t="str">
        <x:v>Cumulative New</x:v>
      </x:c>
      <x:c r="D3" s="90" t="str">
        <x:v>Canonical TE Total</x:v>
      </x:c>
      <x:c r="E3" s="90" t="str">
        <x:v>Through Source Page</x:v>
      </x:c>
      <x:c r="F3" s="90" t="str">
        <x:v>Gritty New</x:v>
      </x:c>
      <x:c r="G3" s="90" t="str">
        <x:v>Vertical New</x:v>
      </x:c>
      <x:c r="H3" s="90" t="str">
        <x:v>Physical New</x:v>
      </x:c>
      <x:c r="I3" s="90" t="str">
        <x:v>Validation</x:v>
      </x:c>
      <x:c r="J3" s="27"/>
      <x:c r="K3" s="27"/>
      <x:c r="L3" s="27"/>
      <x:c r="M3" s="27"/>
      <x:c r="N3" s="27"/>
      <x:c r="O3" s="27"/>
      <x:c r="P3" s="27"/>
      <x:c r="Q3" s="27"/>
      <x:c r="R3" s="27"/>
      <x:c r="S3" s="27"/>
      <x:c r="T3" s="27"/>
      <x:c r="U3" s="27"/>
      <x:c r="V3" s="27"/>
      <x:c r="W3" s="27"/>
      <x:c r="X3" s="27"/>
      <x:c r="Y3" s="27"/>
      <x:c r="Z3" s="27"/>
      <x:c r="AA3" s="27"/>
      <x:c r="AB3" s="27"/>
      <x:c r="AC3" s="27"/>
      <x:c r="AD3" s="27"/>
      <x:c r="AE3" s="27"/>
      <x:c r="AF3" s="27"/>
      <x:c r="AG3" s="27"/>
      <x:c r="AH3" s="27"/>
      <x:c r="AI3" s="27"/>
      <x:c r="AJ3" s="27"/>
      <x:c r="AK3" s="27"/>
      <x:c r="AL3" s="27"/>
      <x:c r="AM3" s="27"/>
      <x:c r="AN3" s="27"/>
      <x:c r="AO3" s="27"/>
      <x:c r="AP3" s="27"/>
      <x:c r="AQ3" s="27"/>
      <x:c r="AR3" s="27"/>
      <x:c r="AS3" s="27"/>
      <x:c r="AT3" s="27"/>
      <x:c r="AU3" s="27"/>
      <x:c r="AV3" s="27"/>
      <x:c r="AW3" s="27"/>
      <x:c r="AX3" s="27"/>
      <x:c r="AY3" s="27"/>
      <x:c r="AZ3" s="27"/>
    </x:row>
    <x:row r="4">
      <x:c r="A4" s="27" t="str">
        <x:v>+5</x:v>
      </x:c>
      <x:c r="B4" s="27" t="n">
        <x:v>5</x:v>
      </x:c>
      <x:c r="C4" s="27" t="n">
        <x:v>5</x:v>
      </x:c>
      <x:c r="D4" s="27" t="n">
        <x:v>29</x:v>
      </x:c>
      <x:c r="E4" s="27" t="n">
        <x:v>29</x:v>
      </x:c>
      <x:c r="F4" s="27" t="n">
        <x:v>0</x:v>
      </x:c>
      <x:c r="G4" s="27" t="n">
        <x:v>2</x:v>
      </x:c>
      <x:c r="H4" s="27" t="n">
        <x:v>3</x:v>
      </x:c>
      <x:c r="I4" s="27" t="str">
        <x:v>VALIDATED / INGESTED</x:v>
      </x:c>
      <x:c r="J4" s="27"/>
      <x:c r="K4" s="27"/>
      <x:c r="L4" s="27"/>
      <x:c r="M4" s="27"/>
      <x:c r="N4" s="27"/>
      <x:c r="O4" s="27"/>
      <x:c r="P4" s="27"/>
      <x:c r="Q4" s="27"/>
      <x:c r="R4" s="27"/>
      <x:c r="S4" s="27"/>
      <x:c r="T4" s="27"/>
      <x:c r="U4" s="27"/>
      <x:c r="V4" s="27"/>
      <x:c r="W4" s="27"/>
      <x:c r="X4" s="27"/>
      <x:c r="Y4" s="27"/>
      <x:c r="Z4" s="27"/>
      <x:c r="AA4" s="27"/>
      <x:c r="AB4" s="27"/>
      <x:c r="AC4" s="27"/>
      <x:c r="AD4" s="27"/>
      <x:c r="AE4" s="27"/>
      <x:c r="AF4" s="27"/>
      <x:c r="AG4" s="27"/>
      <x:c r="AH4" s="27"/>
      <x:c r="AI4" s="27"/>
      <x:c r="AJ4" s="27"/>
      <x:c r="AK4" s="27"/>
      <x:c r="AL4" s="27"/>
      <x:c r="AM4" s="27"/>
      <x:c r="AN4" s="27"/>
      <x:c r="AO4" s="27"/>
      <x:c r="AP4" s="27"/>
      <x:c r="AQ4" s="27"/>
      <x:c r="AR4" s="27"/>
      <x:c r="AS4" s="27"/>
      <x:c r="AT4" s="27"/>
      <x:c r="AU4" s="27"/>
      <x:c r="AV4" s="27"/>
      <x:c r="AW4" s="27"/>
      <x:c r="AX4" s="27"/>
      <x:c r="AY4" s="27"/>
      <x:c r="AZ4" s="27"/>
    </x:row>
    <x:row r="5">
      <x:c r="A5" s="27" t="str">
        <x:v>+10</x:v>
      </x:c>
      <x:c r="B5" s="27" t="n">
        <x:v>5</x:v>
      </x:c>
      <x:c r="C5" s="27" t="n">
        <x:v>10</x:v>
      </x:c>
      <x:c r="D5" s="27" t="n">
        <x:v>34</x:v>
      </x:c>
      <x:c r="E5" s="27" t="n">
        <x:v>34</x:v>
      </x:c>
      <x:c r="F5" s="27" t="n">
        <x:v>0</x:v>
      </x:c>
      <x:c r="G5" s="27" t="n">
        <x:v>3</x:v>
      </x:c>
      <x:c r="H5" s="27" t="n">
        <x:v>7</x:v>
      </x:c>
      <x:c r="I5" s="27" t="str">
        <x:v>VALIDATED / INGESTED</x:v>
      </x:c>
      <x:c r="J5" s="27"/>
      <x:c r="K5" s="27"/>
      <x:c r="L5" s="27"/>
      <x:c r="M5" s="27"/>
      <x:c r="N5" s="27"/>
      <x:c r="O5" s="27"/>
      <x:c r="P5" s="27"/>
      <x:c r="Q5" s="27"/>
      <x:c r="R5" s="27"/>
      <x:c r="S5" s="27"/>
      <x:c r="T5" s="27"/>
      <x:c r="U5" s="27"/>
      <x:c r="V5" s="27"/>
      <x:c r="W5" s="27"/>
      <x:c r="X5" s="27"/>
      <x:c r="Y5" s="27"/>
      <x:c r="Z5" s="27"/>
      <x:c r="AA5" s="27"/>
      <x:c r="AB5" s="27"/>
      <x:c r="AC5" s="27"/>
      <x:c r="AD5" s="27"/>
      <x:c r="AE5" s="27"/>
      <x:c r="AF5" s="27"/>
      <x:c r="AG5" s="27"/>
      <x:c r="AH5" s="27"/>
      <x:c r="AI5" s="27"/>
      <x:c r="AJ5" s="27"/>
      <x:c r="AK5" s="27"/>
      <x:c r="AL5" s="27"/>
      <x:c r="AM5" s="27"/>
      <x:c r="AN5" s="27"/>
      <x:c r="AO5" s="27"/>
      <x:c r="AP5" s="27"/>
      <x:c r="AQ5" s="27"/>
      <x:c r="AR5" s="27"/>
      <x:c r="AS5" s="27"/>
      <x:c r="AT5" s="27"/>
      <x:c r="AU5" s="27"/>
      <x:c r="AV5" s="27"/>
      <x:c r="AW5" s="27"/>
      <x:c r="AX5" s="27"/>
      <x:c r="AY5" s="27"/>
      <x:c r="AZ5" s="27"/>
    </x:row>
    <x:row r="6">
      <x:c r="A6" s="27" t="str">
        <x:v>+15</x:v>
      </x:c>
      <x:c r="B6" s="27" t="n">
        <x:v>5</x:v>
      </x:c>
      <x:c r="C6" s="27" t="n">
        <x:v>15</x:v>
      </x:c>
      <x:c r="D6" s="27" t="n">
        <x:v>39</x:v>
      </x:c>
      <x:c r="E6" s="27" t="n">
        <x:v>39</x:v>
      </x:c>
      <x:c r="F6" s="27" t="n">
        <x:v>4</x:v>
      </x:c>
      <x:c r="G6" s="27" t="n">
        <x:v>4</x:v>
      </x:c>
      <x:c r="H6" s="27" t="n">
        <x:v>7</x:v>
      </x:c>
      <x:c r="I6" s="27" t="str">
        <x:v>VALIDATED / INGESTED</x:v>
      </x:c>
      <x:c r="J6" s="27"/>
      <x:c r="K6" s="27"/>
      <x:c r="L6" s="27"/>
      <x:c r="M6" s="27"/>
      <x:c r="N6" s="27"/>
      <x:c r="O6" s="27"/>
      <x:c r="P6" s="27"/>
      <x:c r="Q6" s="27"/>
      <x:c r="R6" s="27"/>
      <x:c r="S6" s="27"/>
      <x:c r="T6" s="27"/>
      <x:c r="U6" s="27"/>
      <x:c r="V6" s="27"/>
      <x:c r="W6" s="27"/>
      <x:c r="X6" s="27"/>
      <x:c r="Y6" s="27"/>
      <x:c r="Z6" s="27"/>
      <x:c r="AA6" s="27"/>
      <x:c r="AB6" s="27"/>
      <x:c r="AC6" s="27"/>
      <x:c r="AD6" s="27"/>
      <x:c r="AE6" s="27"/>
      <x:c r="AF6" s="27"/>
      <x:c r="AG6" s="27"/>
      <x:c r="AH6" s="27"/>
      <x:c r="AI6" s="27"/>
      <x:c r="AJ6" s="27"/>
      <x:c r="AK6" s="27"/>
      <x:c r="AL6" s="27"/>
      <x:c r="AM6" s="27"/>
      <x:c r="AN6" s="27"/>
      <x:c r="AO6" s="27"/>
      <x:c r="AP6" s="27"/>
      <x:c r="AQ6" s="27"/>
      <x:c r="AR6" s="27"/>
      <x:c r="AS6" s="27"/>
      <x:c r="AT6" s="27"/>
      <x:c r="AU6" s="27"/>
      <x:c r="AV6" s="27"/>
      <x:c r="AW6" s="27"/>
      <x:c r="AX6" s="27"/>
      <x:c r="AY6" s="27"/>
      <x:c r="AZ6" s="27"/>
    </x:row>
    <x:row r="7">
      <x:c r="A7" s="27" t="str">
        <x:v>+20</x:v>
      </x:c>
      <x:c r="B7" s="27" t="n">
        <x:v>5</x:v>
      </x:c>
      <x:c r="C7" s="27" t="n">
        <x:v>20</x:v>
      </x:c>
      <x:c r="D7" s="27" t="n">
        <x:v>44</x:v>
      </x:c>
      <x:c r="E7" s="27" t="n">
        <x:v>44</x:v>
      </x:c>
      <x:c r="F7" s="27" t="n">
        <x:v>4</x:v>
      </x:c>
      <x:c r="G7" s="27" t="n">
        <x:v>7</x:v>
      </x:c>
      <x:c r="H7" s="27" t="n">
        <x:v>9</x:v>
      </x:c>
      <x:c r="I7" s="27" t="str">
        <x:v>VALIDATED / INGESTED</x:v>
      </x:c>
      <x:c r="J7" s="27"/>
      <x:c r="K7" s="27"/>
      <x:c r="L7" s="27"/>
      <x:c r="M7" s="27"/>
      <x:c r="N7" s="27"/>
      <x:c r="O7" s="27"/>
      <x:c r="P7" s="27"/>
      <x:c r="Q7" s="27"/>
      <x:c r="R7" s="27"/>
      <x:c r="S7" s="27"/>
      <x:c r="T7" s="27"/>
      <x:c r="U7" s="27"/>
      <x:c r="V7" s="27"/>
      <x:c r="W7" s="27"/>
      <x:c r="X7" s="27"/>
      <x:c r="Y7" s="27"/>
      <x:c r="Z7" s="27"/>
      <x:c r="AA7" s="27"/>
      <x:c r="AB7" s="27"/>
      <x:c r="AC7" s="27"/>
      <x:c r="AD7" s="27"/>
      <x:c r="AE7" s="27"/>
      <x:c r="AF7" s="27"/>
      <x:c r="AG7" s="27"/>
      <x:c r="AH7" s="27"/>
      <x:c r="AI7" s="27"/>
      <x:c r="AJ7" s="27"/>
      <x:c r="AK7" s="27"/>
      <x:c r="AL7" s="27"/>
      <x:c r="AM7" s="27"/>
      <x:c r="AN7" s="27"/>
      <x:c r="AO7" s="27"/>
      <x:c r="AP7" s="27"/>
      <x:c r="AQ7" s="27"/>
      <x:c r="AR7" s="27"/>
      <x:c r="AS7" s="27"/>
      <x:c r="AT7" s="27"/>
      <x:c r="AU7" s="27"/>
      <x:c r="AV7" s="27"/>
      <x:c r="AW7" s="27"/>
      <x:c r="AX7" s="27"/>
      <x:c r="AY7" s="27"/>
      <x:c r="AZ7" s="27"/>
    </x:row>
    <x:row r="8">
      <x:c r="A8" s="27" t="str">
        <x:v>+25</x:v>
      </x:c>
      <x:c r="B8" s="27" t="n">
        <x:v>5</x:v>
      </x:c>
      <x:c r="C8" s="27" t="n">
        <x:v>25</x:v>
      </x:c>
      <x:c r="D8" s="27" t="n">
        <x:v>49</x:v>
      </x:c>
      <x:c r="E8" s="27" t="n">
        <x:v>49</x:v>
      </x:c>
      <x:c r="F8" s="27" t="n">
        <x:v>6</x:v>
      </x:c>
      <x:c r="G8" s="27" t="n">
        <x:v>9</x:v>
      </x:c>
      <x:c r="H8" s="27" t="n">
        <x:v>10</x:v>
      </x:c>
      <x:c r="I8" s="27" t="str">
        <x:v>VALIDATED / INGESTED</x:v>
      </x:c>
      <x:c r="J8" s="27"/>
      <x:c r="K8" s="27"/>
      <x:c r="L8" s="27"/>
      <x:c r="M8" s="27"/>
      <x:c r="N8" s="27"/>
      <x:c r="O8" s="27"/>
      <x:c r="P8" s="27"/>
      <x:c r="Q8" s="27"/>
      <x:c r="R8" s="27"/>
      <x:c r="S8" s="27"/>
      <x:c r="T8" s="27"/>
      <x:c r="U8" s="27"/>
      <x:c r="V8" s="27"/>
      <x:c r="W8" s="27"/>
      <x:c r="X8" s="27"/>
      <x:c r="Y8" s="27"/>
      <x:c r="Z8" s="27"/>
      <x:c r="AA8" s="27"/>
      <x:c r="AB8" s="27"/>
      <x:c r="AC8" s="27"/>
      <x:c r="AD8" s="27"/>
      <x:c r="AE8" s="27"/>
      <x:c r="AF8" s="27"/>
      <x:c r="AG8" s="27"/>
      <x:c r="AH8" s="27"/>
      <x:c r="AI8" s="27"/>
      <x:c r="AJ8" s="27"/>
      <x:c r="AK8" s="27"/>
      <x:c r="AL8" s="27"/>
      <x:c r="AM8" s="27"/>
      <x:c r="AN8" s="27"/>
      <x:c r="AO8" s="27"/>
      <x:c r="AP8" s="27"/>
      <x:c r="AQ8" s="27"/>
      <x:c r="AR8" s="27"/>
      <x:c r="AS8" s="27"/>
      <x:c r="AT8" s="27"/>
      <x:c r="AU8" s="27"/>
      <x:c r="AV8" s="27"/>
      <x:c r="AW8" s="27"/>
      <x:c r="AX8" s="27"/>
      <x:c r="AY8" s="27"/>
      <x:c r="AZ8" s="27"/>
    </x:row>
    <x:row r="9">
      <x:c r="A9" s="27" t="str">
        <x:v>+30</x:v>
      </x:c>
      <x:c r="B9" s="27" t="n">
        <x:v>5</x:v>
      </x:c>
      <x:c r="C9" s="27" t="n">
        <x:v>30</x:v>
      </x:c>
      <x:c r="D9" s="27" t="n">
        <x:v>54</x:v>
      </x:c>
      <x:c r="E9" s="27" t="n">
        <x:v>54</x:v>
      </x:c>
      <x:c r="F9" s="27" t="n">
        <x:v>7</x:v>
      </x:c>
      <x:c r="G9" s="27" t="n">
        <x:v>11</x:v>
      </x:c>
      <x:c r="H9" s="27" t="n">
        <x:v>12</x:v>
      </x:c>
      <x:c r="I9" s="27" t="str">
        <x:v>VALIDATED / INGESTED</x:v>
      </x:c>
      <x:c r="J9" s="27"/>
      <x:c r="K9" s="27"/>
      <x:c r="L9" s="27"/>
      <x:c r="M9" s="27"/>
      <x:c r="N9" s="27"/>
      <x:c r="O9" s="27"/>
      <x:c r="P9" s="27"/>
      <x:c r="Q9" s="27"/>
      <x:c r="R9" s="27"/>
      <x:c r="S9" s="27"/>
      <x:c r="T9" s="27"/>
      <x:c r="U9" s="27"/>
      <x:c r="V9" s="27"/>
      <x:c r="W9" s="27"/>
      <x:c r="X9" s="27"/>
      <x:c r="Y9" s="27"/>
      <x:c r="Z9" s="27"/>
      <x:c r="AA9" s="27"/>
      <x:c r="AB9" s="27"/>
      <x:c r="AC9" s="27"/>
      <x:c r="AD9" s="27"/>
      <x:c r="AE9" s="27"/>
      <x:c r="AF9" s="27"/>
      <x:c r="AG9" s="27"/>
      <x:c r="AH9" s="27"/>
      <x:c r="AI9" s="27"/>
      <x:c r="AJ9" s="27"/>
      <x:c r="AK9" s="27"/>
      <x:c r="AL9" s="27"/>
      <x:c r="AM9" s="27"/>
      <x:c r="AN9" s="27"/>
      <x:c r="AO9" s="27"/>
      <x:c r="AP9" s="27"/>
      <x:c r="AQ9" s="27"/>
      <x:c r="AR9" s="27"/>
      <x:c r="AS9" s="27"/>
      <x:c r="AT9" s="27"/>
      <x:c r="AU9" s="27"/>
      <x:c r="AV9" s="27"/>
      <x:c r="AW9" s="27"/>
      <x:c r="AX9" s="27"/>
      <x:c r="AY9" s="27"/>
      <x:c r="AZ9" s="27"/>
    </x:row>
    <x:row r="10">
      <x:c r="A10" s="27" t="str">
        <x:v>+35</x:v>
      </x:c>
      <x:c r="B10" s="27" t="n">
        <x:v>5</x:v>
      </x:c>
      <x:c r="C10" s="27" t="n">
        <x:v>35</x:v>
      </x:c>
      <x:c r="D10" s="27" t="n">
        <x:v>59</x:v>
      </x:c>
      <x:c r="E10" s="27" t="n">
        <x:v>59</x:v>
      </x:c>
      <x:c r="F10" s="27" t="n">
        <x:v>8</x:v>
      </x:c>
      <x:c r="G10" s="27" t="n">
        <x:v>12</x:v>
      </x:c>
      <x:c r="H10" s="27" t="n">
        <x:v>15</x:v>
      </x:c>
      <x:c r="I10" s="27" t="str">
        <x:v>VALIDATED / INGESTED</x:v>
      </x:c>
      <x:c r="J10" s="27"/>
      <x:c r="K10" s="27"/>
      <x:c r="L10" s="27"/>
      <x:c r="M10" s="27"/>
      <x:c r="N10" s="27"/>
      <x:c r="O10" s="27"/>
      <x:c r="P10" s="27"/>
      <x:c r="Q10" s="27"/>
      <x:c r="R10" s="27"/>
      <x:c r="S10" s="27"/>
      <x:c r="T10" s="27"/>
      <x:c r="U10" s="27"/>
      <x:c r="V10" s="27"/>
      <x:c r="W10" s="27"/>
      <x:c r="X10" s="27"/>
      <x:c r="Y10" s="27"/>
      <x:c r="Z10" s="27"/>
      <x:c r="AA10" s="27"/>
      <x:c r="AB10" s="27"/>
      <x:c r="AC10" s="27"/>
      <x:c r="AD10" s="27"/>
      <x:c r="AE10" s="27"/>
      <x:c r="AF10" s="27"/>
      <x:c r="AG10" s="27"/>
      <x:c r="AH10" s="27"/>
      <x:c r="AI10" s="27"/>
      <x:c r="AJ10" s="27"/>
      <x:c r="AK10" s="27"/>
      <x:c r="AL10" s="27"/>
      <x:c r="AM10" s="27"/>
      <x:c r="AN10" s="27"/>
      <x:c r="AO10" s="27"/>
      <x:c r="AP10" s="27"/>
      <x:c r="AQ10" s="27"/>
      <x:c r="AR10" s="27"/>
      <x:c r="AS10" s="27"/>
      <x:c r="AT10" s="27"/>
      <x:c r="AU10" s="27"/>
      <x:c r="AV10" s="27"/>
      <x:c r="AW10" s="27"/>
      <x:c r="AX10" s="27"/>
      <x:c r="AY10" s="27"/>
      <x:c r="AZ10" s="27"/>
    </x:row>
    <x:row r="11">
      <x:c r="A11" s="27" t="str">
        <x:v>+40</x:v>
      </x:c>
      <x:c r="B11" s="27" t="n">
        <x:v>5</x:v>
      </x:c>
      <x:c r="C11" s="27" t="n">
        <x:v>40</x:v>
      </x:c>
      <x:c r="D11" s="27" t="n">
        <x:v>64</x:v>
      </x:c>
      <x:c r="E11" s="27" t="n">
        <x:v>65</x:v>
      </x:c>
      <x:c r="F11" s="27" t="n">
        <x:v>9</x:v>
      </x:c>
      <x:c r="G11" s="27" t="n">
        <x:v>13</x:v>
      </x:c>
      <x:c r="H11" s="27" t="n">
        <x:v>18</x:v>
      </x:c>
      <x:c r="I11" s="27" t="str">
        <x:v>VALIDATED / INGESTED</x:v>
      </x:c>
      <x:c r="J11" s="27"/>
      <x:c r="K11" s="27"/>
      <x:c r="L11" s="27"/>
      <x:c r="M11" s="27"/>
      <x:c r="N11" s="27"/>
      <x:c r="O11" s="27"/>
      <x:c r="P11" s="27"/>
      <x:c r="Q11" s="27"/>
      <x:c r="R11" s="27"/>
      <x:c r="S11" s="27"/>
      <x:c r="T11" s="27"/>
      <x:c r="U11" s="27"/>
      <x:c r="V11" s="27"/>
      <x:c r="W11" s="27"/>
      <x:c r="X11" s="27"/>
      <x:c r="Y11" s="27"/>
      <x:c r="Z11" s="27"/>
      <x:c r="AA11" s="27"/>
      <x:c r="AB11" s="27"/>
      <x:c r="AC11" s="27"/>
      <x:c r="AD11" s="27"/>
      <x:c r="AE11" s="27"/>
      <x:c r="AF11" s="27"/>
      <x:c r="AG11" s="27"/>
      <x:c r="AH11" s="27"/>
      <x:c r="AI11" s="27"/>
      <x:c r="AJ11" s="27"/>
      <x:c r="AK11" s="27"/>
      <x:c r="AL11" s="27"/>
      <x:c r="AM11" s="27"/>
      <x:c r="AN11" s="27"/>
      <x:c r="AO11" s="27"/>
      <x:c r="AP11" s="27"/>
      <x:c r="AQ11" s="27"/>
      <x:c r="AR11" s="27"/>
      <x:c r="AS11" s="27"/>
      <x:c r="AT11" s="27"/>
      <x:c r="AU11" s="27"/>
      <x:c r="AV11" s="27"/>
      <x:c r="AW11" s="27"/>
      <x:c r="AX11" s="27"/>
      <x:c r="AY11" s="27"/>
      <x:c r="AZ11" s="27"/>
    </x:row>
    <x:row r="12">
      <x:c r="A12" s="27" t="str">
        <x:v>+44</x:v>
      </x:c>
      <x:c r="B12" s="27" t="n">
        <x:v>4</x:v>
      </x:c>
      <x:c r="C12" s="27" t="n">
        <x:v>44</x:v>
      </x:c>
      <x:c r="D12" s="27" t="n">
        <x:v>68</x:v>
      </x:c>
      <x:c r="E12" s="27" t="n">
        <x:v>69</x:v>
      </x:c>
      <x:c r="F12" s="27" t="n">
        <x:v>9</x:v>
      </x:c>
      <x:c r="G12" s="27" t="n">
        <x:v>14</x:v>
      </x:c>
      <x:c r="H12" s="27" t="n">
        <x:v>21</x:v>
      </x:c>
      <x:c r="I12" s="27" t="str">
        <x:v>VALIDATED / INGESTED</x:v>
      </x:c>
      <x:c r="J12" s="27"/>
      <x:c r="K12" s="27"/>
      <x:c r="L12" s="27"/>
      <x:c r="M12" s="27"/>
      <x:c r="N12" s="27"/>
      <x:c r="O12" s="27"/>
      <x:c r="P12" s="27"/>
      <x:c r="Q12" s="27"/>
      <x:c r="R12" s="27"/>
      <x:c r="S12" s="27"/>
      <x:c r="T12" s="27"/>
      <x:c r="U12" s="27"/>
      <x:c r="V12" s="27"/>
      <x:c r="W12" s="27"/>
      <x:c r="X12" s="27"/>
      <x:c r="Y12" s="27"/>
      <x:c r="Z12" s="27"/>
      <x:c r="AA12" s="27"/>
      <x:c r="AB12" s="27"/>
      <x:c r="AC12" s="27"/>
      <x:c r="AD12" s="27"/>
      <x:c r="AE12" s="27"/>
      <x:c r="AF12" s="27"/>
      <x:c r="AG12" s="27"/>
      <x:c r="AH12" s="27"/>
      <x:c r="AI12" s="27"/>
      <x:c r="AJ12" s="27"/>
      <x:c r="AK12" s="27"/>
      <x:c r="AL12" s="27"/>
      <x:c r="AM12" s="27"/>
      <x:c r="AN12" s="27"/>
      <x:c r="AO12" s="27"/>
      <x:c r="AP12" s="27"/>
      <x:c r="AQ12" s="27"/>
      <x:c r="AR12" s="27"/>
      <x:c r="AS12" s="27"/>
      <x:c r="AT12" s="27"/>
      <x:c r="AU12" s="27"/>
      <x:c r="AV12" s="27"/>
      <x:c r="AW12" s="27"/>
      <x:c r="AX12" s="27"/>
      <x:c r="AY12" s="27"/>
      <x:c r="AZ12" s="27"/>
    </x:row>
    <x:row r="13">
      <x:c r="A13" s="27"/>
      <x:c r="B13" s="27"/>
      <x:c r="C13" s="27"/>
      <x:c r="D13" s="27"/>
      <x:c r="E13" s="27"/>
      <x:c r="F13" s="27"/>
      <x:c r="G13" s="27"/>
      <x:c r="H13" s="27"/>
      <x:c r="I13" s="27"/>
      <x:c r="J13" s="27"/>
      <x:c r="K13" s="27"/>
      <x:c r="L13" s="27"/>
      <x:c r="M13" s="27"/>
      <x:c r="N13" s="27"/>
      <x:c r="O13" s="27"/>
      <x:c r="P13" s="27"/>
      <x:c r="Q13" s="27"/>
      <x:c r="R13" s="27"/>
      <x:c r="S13" s="27"/>
      <x:c r="T13" s="27"/>
      <x:c r="U13" s="27"/>
      <x:c r="V13" s="27"/>
      <x:c r="W13" s="27"/>
      <x:c r="X13" s="27"/>
      <x:c r="Y13" s="27"/>
      <x:c r="Z13" s="27"/>
      <x:c r="AA13" s="27"/>
      <x:c r="AB13" s="27"/>
      <x:c r="AC13" s="27"/>
      <x:c r="AD13" s="27"/>
      <x:c r="AE13" s="27"/>
      <x:c r="AF13" s="27"/>
      <x:c r="AG13" s="27"/>
      <x:c r="AH13" s="27"/>
      <x:c r="AI13" s="27"/>
      <x:c r="AJ13" s="27"/>
      <x:c r="AK13" s="27"/>
      <x:c r="AL13" s="27"/>
      <x:c r="AM13" s="27"/>
      <x:c r="AN13" s="27"/>
      <x:c r="AO13" s="27"/>
      <x:c r="AP13" s="27"/>
      <x:c r="AQ13" s="27"/>
      <x:c r="AR13" s="27"/>
      <x:c r="AS13" s="27"/>
      <x:c r="AT13" s="27"/>
      <x:c r="AU13" s="27"/>
      <x:c r="AV13" s="27"/>
      <x:c r="AW13" s="27"/>
      <x:c r="AX13" s="27"/>
      <x:c r="AY13" s="27"/>
      <x:c r="AZ13" s="27"/>
    </x:row>
    <x:row r="14">
      <x:c r="A14" s="27"/>
      <x:c r="B14" s="27"/>
      <x:c r="C14" s="27"/>
      <x:c r="D14" s="27"/>
      <x:c r="E14" s="27"/>
      <x:c r="F14" s="27"/>
      <x:c r="G14" s="27"/>
      <x:c r="H14" s="27"/>
      <x:c r="I14" s="27"/>
      <x:c r="J14" s="27"/>
      <x:c r="K14" s="27"/>
      <x:c r="L14" s="27"/>
      <x:c r="M14" s="27"/>
      <x:c r="N14" s="27"/>
      <x:c r="O14" s="27"/>
      <x:c r="P14" s="27"/>
      <x:c r="Q14" s="27"/>
      <x:c r="R14" s="27"/>
      <x:c r="S14" s="27"/>
      <x:c r="T14" s="27"/>
      <x:c r="U14" s="27"/>
      <x:c r="V14" s="27"/>
      <x:c r="W14" s="27"/>
      <x:c r="X14" s="27"/>
      <x:c r="Y14" s="27"/>
      <x:c r="Z14" s="27"/>
      <x:c r="AA14" s="27"/>
      <x:c r="AB14" s="27"/>
      <x:c r="AC14" s="27"/>
      <x:c r="AD14" s="27"/>
      <x:c r="AE14" s="27"/>
      <x:c r="AF14" s="27"/>
      <x:c r="AG14" s="27"/>
      <x:c r="AH14" s="27"/>
      <x:c r="AI14" s="27"/>
      <x:c r="AJ14" s="27"/>
      <x:c r="AK14" s="27"/>
      <x:c r="AL14" s="27"/>
      <x:c r="AM14" s="27"/>
      <x:c r="AN14" s="27"/>
      <x:c r="AO14" s="27"/>
      <x:c r="AP14" s="27"/>
      <x:c r="AQ14" s="27"/>
      <x:c r="AR14" s="27"/>
      <x:c r="AS14" s="27"/>
      <x:c r="AT14" s="27"/>
      <x:c r="AU14" s="27"/>
      <x:c r="AV14" s="27"/>
      <x:c r="AW14" s="27"/>
      <x:c r="AX14" s="27"/>
      <x:c r="AY14" s="27"/>
      <x:c r="AZ14" s="27"/>
    </x:row>
    <x:row r="15">
      <x:c r="A15" s="27"/>
      <x:c r="B15" s="27"/>
      <x:c r="C15" s="27"/>
      <x:c r="D15" s="27"/>
      <x:c r="E15" s="27"/>
      <x:c r="F15" s="27"/>
      <x:c r="G15" s="27"/>
      <x:c r="H15" s="27"/>
      <x:c r="I15" s="27"/>
      <x:c r="J15" s="27"/>
      <x:c r="K15" s="27"/>
      <x:c r="L15" s="27"/>
      <x:c r="M15" s="27"/>
      <x:c r="N15" s="27"/>
      <x:c r="O15" s="27"/>
      <x:c r="P15" s="27"/>
      <x:c r="Q15" s="27"/>
      <x:c r="R15" s="27"/>
      <x:c r="S15" s="27"/>
      <x:c r="T15" s="27"/>
      <x:c r="U15" s="27"/>
      <x:c r="V15" s="27"/>
      <x:c r="W15" s="27"/>
      <x:c r="X15" s="27"/>
      <x:c r="Y15" s="27"/>
      <x:c r="Z15" s="27"/>
      <x:c r="AA15" s="27"/>
      <x:c r="AB15" s="27"/>
      <x:c r="AC15" s="27"/>
      <x:c r="AD15" s="27"/>
      <x:c r="AE15" s="27"/>
      <x:c r="AF15" s="27"/>
      <x:c r="AG15" s="27"/>
      <x:c r="AH15" s="27"/>
      <x:c r="AI15" s="27"/>
      <x:c r="AJ15" s="27"/>
      <x:c r="AK15" s="27"/>
      <x:c r="AL15" s="27"/>
      <x:c r="AM15" s="27"/>
      <x:c r="AN15" s="27"/>
      <x:c r="AO15" s="27"/>
      <x:c r="AP15" s="27"/>
      <x:c r="AQ15" s="27"/>
      <x:c r="AR15" s="27"/>
      <x:c r="AS15" s="27"/>
      <x:c r="AT15" s="27"/>
      <x:c r="AU15" s="27"/>
      <x:c r="AV15" s="27"/>
      <x:c r="AW15" s="27"/>
      <x:c r="AX15" s="27"/>
      <x:c r="AY15" s="27"/>
      <x:c r="AZ15" s="27"/>
    </x:row>
    <x:row r="16">
      <x:c r="A16" s="27"/>
      <x:c r="B16" s="27"/>
      <x:c r="C16" s="27"/>
      <x:c r="D16" s="27"/>
      <x:c r="E16" s="27"/>
      <x:c r="F16" s="27"/>
      <x:c r="G16" s="27"/>
      <x:c r="H16" s="27"/>
      <x:c r="I16" s="27"/>
      <x:c r="J16" s="27"/>
      <x:c r="K16" s="27"/>
      <x:c r="L16" s="27"/>
      <x:c r="M16" s="27"/>
      <x:c r="N16" s="27"/>
      <x:c r="O16" s="27"/>
      <x:c r="P16" s="27"/>
      <x:c r="Q16" s="27"/>
      <x:c r="R16" s="27"/>
      <x:c r="S16" s="27"/>
      <x:c r="T16" s="27"/>
      <x:c r="U16" s="27"/>
      <x:c r="V16" s="27"/>
      <x:c r="W16" s="27"/>
      <x:c r="X16" s="27"/>
      <x:c r="Y16" s="27"/>
      <x:c r="Z16" s="27"/>
      <x:c r="AA16" s="27"/>
      <x:c r="AB16" s="27"/>
      <x:c r="AC16" s="27"/>
      <x:c r="AD16" s="27"/>
      <x:c r="AE16" s="27"/>
      <x:c r="AF16" s="27"/>
      <x:c r="AG16" s="27"/>
      <x:c r="AH16" s="27"/>
      <x:c r="AI16" s="27"/>
      <x:c r="AJ16" s="27"/>
      <x:c r="AK16" s="27"/>
      <x:c r="AL16" s="27"/>
      <x:c r="AM16" s="27"/>
      <x:c r="AN16" s="27"/>
      <x:c r="AO16" s="27"/>
      <x:c r="AP16" s="27"/>
      <x:c r="AQ16" s="27"/>
      <x:c r="AR16" s="27"/>
      <x:c r="AS16" s="27"/>
      <x:c r="AT16" s="27"/>
      <x:c r="AU16" s="27"/>
      <x:c r="AV16" s="27"/>
      <x:c r="AW16" s="27"/>
      <x:c r="AX16" s="27"/>
      <x:c r="AY16" s="27"/>
      <x:c r="AZ16" s="27"/>
    </x:row>
    <x:row r="17">
      <x:c r="A17" s="27"/>
      <x:c r="B17" s="27"/>
      <x:c r="C17" s="27"/>
      <x:c r="D17" s="27"/>
      <x:c r="E17" s="27"/>
      <x:c r="F17" s="27"/>
      <x:c r="G17" s="27"/>
      <x:c r="H17" s="27"/>
      <x:c r="I17" s="27"/>
      <x:c r="J17" s="27"/>
      <x:c r="K17" s="27"/>
      <x:c r="L17" s="27"/>
      <x:c r="M17" s="27"/>
      <x:c r="N17" s="27"/>
      <x:c r="O17" s="27"/>
      <x:c r="P17" s="27"/>
      <x:c r="Q17" s="27"/>
      <x:c r="R17" s="27"/>
      <x:c r="S17" s="27"/>
      <x:c r="T17" s="27"/>
      <x:c r="U17" s="27"/>
      <x:c r="V17" s="27"/>
      <x:c r="W17" s="27"/>
      <x:c r="X17" s="27"/>
      <x:c r="Y17" s="27"/>
      <x:c r="Z17" s="27"/>
      <x:c r="AA17" s="27"/>
      <x:c r="AB17" s="27"/>
      <x:c r="AC17" s="27"/>
      <x:c r="AD17" s="27"/>
      <x:c r="AE17" s="27"/>
      <x:c r="AF17" s="27"/>
      <x:c r="AG17" s="27"/>
      <x:c r="AH17" s="27"/>
      <x:c r="AI17" s="27"/>
      <x:c r="AJ17" s="27"/>
      <x:c r="AK17" s="27"/>
      <x:c r="AL17" s="27"/>
      <x:c r="AM17" s="27"/>
      <x:c r="AN17" s="27"/>
      <x:c r="AO17" s="27"/>
      <x:c r="AP17" s="27"/>
      <x:c r="AQ17" s="27"/>
      <x:c r="AR17" s="27"/>
      <x:c r="AS17" s="27"/>
      <x:c r="AT17" s="27"/>
      <x:c r="AU17" s="27"/>
      <x:c r="AV17" s="27"/>
      <x:c r="AW17" s="27"/>
      <x:c r="AX17" s="27"/>
      <x:c r="AY17" s="27"/>
      <x:c r="AZ17" s="27"/>
    </x:row>
    <x:row r="18">
      <x:c r="A18" s="27"/>
      <x:c r="B18" s="27"/>
      <x:c r="C18" s="27"/>
      <x:c r="D18" s="27"/>
      <x:c r="E18" s="27"/>
      <x:c r="F18" s="27"/>
      <x:c r="G18" s="27"/>
      <x:c r="H18" s="27"/>
      <x:c r="I18" s="27"/>
      <x:c r="J18" s="27"/>
      <x:c r="K18" s="27"/>
      <x:c r="L18" s="27"/>
      <x:c r="M18" s="27"/>
      <x:c r="N18" s="27"/>
      <x:c r="O18" s="27"/>
      <x:c r="P18" s="27"/>
      <x:c r="Q18" s="27"/>
      <x:c r="R18" s="27"/>
      <x:c r="S18" s="27"/>
      <x:c r="T18" s="27"/>
      <x:c r="U18" s="27"/>
      <x:c r="V18" s="27"/>
      <x:c r="W18" s="27"/>
      <x:c r="X18" s="27"/>
      <x:c r="Y18" s="27"/>
      <x:c r="Z18" s="27"/>
      <x:c r="AA18" s="27"/>
      <x:c r="AB18" s="27"/>
      <x:c r="AC18" s="27"/>
      <x:c r="AD18" s="27"/>
      <x:c r="AE18" s="27"/>
      <x:c r="AF18" s="27"/>
      <x:c r="AG18" s="27"/>
      <x:c r="AH18" s="27"/>
      <x:c r="AI18" s="27"/>
      <x:c r="AJ18" s="27"/>
      <x:c r="AK18" s="27"/>
      <x:c r="AL18" s="27"/>
      <x:c r="AM18" s="27"/>
      <x:c r="AN18" s="27"/>
      <x:c r="AO18" s="27"/>
      <x:c r="AP18" s="27"/>
      <x:c r="AQ18" s="27"/>
      <x:c r="AR18" s="27"/>
      <x:c r="AS18" s="27"/>
      <x:c r="AT18" s="27"/>
      <x:c r="AU18" s="27"/>
      <x:c r="AV18" s="27"/>
      <x:c r="AW18" s="27"/>
      <x:c r="AX18" s="27"/>
      <x:c r="AY18" s="27"/>
      <x:c r="AZ18" s="27"/>
    </x:row>
    <x:row r="19">
      <x:c r="A19" s="27"/>
      <x:c r="B19" s="27"/>
      <x:c r="C19" s="27"/>
      <x:c r="D19" s="27"/>
      <x:c r="E19" s="27"/>
      <x:c r="F19" s="27"/>
      <x:c r="G19" s="27"/>
      <x:c r="H19" s="27"/>
      <x:c r="I19" s="27"/>
      <x:c r="J19" s="27"/>
      <x:c r="K19" s="27"/>
      <x:c r="L19" s="27"/>
      <x:c r="M19" s="27"/>
      <x:c r="N19" s="27"/>
      <x:c r="O19" s="27"/>
      <x:c r="P19" s="27"/>
      <x:c r="Q19" s="27"/>
      <x:c r="R19" s="27"/>
      <x:c r="S19" s="27"/>
      <x:c r="T19" s="27"/>
      <x:c r="U19" s="27"/>
      <x:c r="V19" s="27"/>
      <x:c r="W19" s="27"/>
      <x:c r="X19" s="27"/>
      <x:c r="Y19" s="27"/>
      <x:c r="Z19" s="27"/>
      <x:c r="AA19" s="27"/>
      <x:c r="AB19" s="27"/>
      <x:c r="AC19" s="27"/>
      <x:c r="AD19" s="27"/>
      <x:c r="AE19" s="27"/>
      <x:c r="AF19" s="27"/>
      <x:c r="AG19" s="27"/>
      <x:c r="AH19" s="27"/>
      <x:c r="AI19" s="27"/>
      <x:c r="AJ19" s="27"/>
      <x:c r="AK19" s="27"/>
      <x:c r="AL19" s="27"/>
      <x:c r="AM19" s="27"/>
      <x:c r="AN19" s="27"/>
      <x:c r="AO19" s="27"/>
      <x:c r="AP19" s="27"/>
      <x:c r="AQ19" s="27"/>
      <x:c r="AR19" s="27"/>
      <x:c r="AS19" s="27"/>
      <x:c r="AT19" s="27"/>
      <x:c r="AU19" s="27"/>
      <x:c r="AV19" s="27"/>
      <x:c r="AW19" s="27"/>
      <x:c r="AX19" s="27"/>
      <x:c r="AY19" s="27"/>
      <x:c r="AZ19" s="27"/>
    </x:row>
    <x:row r="20">
      <x:c r="A20" s="27"/>
      <x:c r="B20" s="27"/>
      <x:c r="C20" s="27"/>
      <x:c r="D20" s="27"/>
      <x:c r="E20" s="27"/>
      <x:c r="F20" s="27"/>
      <x:c r="G20" s="27"/>
      <x:c r="H20" s="27"/>
      <x:c r="I20" s="27"/>
      <x:c r="J20" s="27"/>
      <x:c r="K20" s="27"/>
      <x:c r="L20" s="27"/>
      <x:c r="M20" s="27"/>
      <x:c r="N20" s="27"/>
      <x:c r="O20" s="27"/>
      <x:c r="P20" s="27"/>
      <x:c r="Q20" s="27"/>
      <x:c r="R20" s="27"/>
      <x:c r="S20" s="27"/>
      <x:c r="T20" s="27"/>
      <x:c r="U20" s="27"/>
      <x:c r="V20" s="27"/>
      <x:c r="W20" s="27"/>
      <x:c r="X20" s="27"/>
      <x:c r="Y20" s="27"/>
      <x:c r="Z20" s="27"/>
      <x:c r="AA20" s="27"/>
      <x:c r="AB20" s="27"/>
      <x:c r="AC20" s="27"/>
      <x:c r="AD20" s="27"/>
      <x:c r="AE20" s="27"/>
      <x:c r="AF20" s="27"/>
      <x:c r="AG20" s="27"/>
      <x:c r="AH20" s="27"/>
      <x:c r="AI20" s="27"/>
      <x:c r="AJ20" s="27"/>
      <x:c r="AK20" s="27"/>
      <x:c r="AL20" s="27"/>
      <x:c r="AM20" s="27"/>
      <x:c r="AN20" s="27"/>
      <x:c r="AO20" s="27"/>
      <x:c r="AP20" s="27"/>
      <x:c r="AQ20" s="27"/>
      <x:c r="AR20" s="27"/>
      <x:c r="AS20" s="27"/>
      <x:c r="AT20" s="27"/>
      <x:c r="AU20" s="27"/>
      <x:c r="AV20" s="27"/>
      <x:c r="AW20" s="27"/>
      <x:c r="AX20" s="27"/>
      <x:c r="AY20" s="27"/>
      <x:c r="AZ20" s="27"/>
    </x:row>
    <x:row r="21">
      <x:c r="A21" s="27"/>
      <x:c r="B21" s="27"/>
      <x:c r="C21" s="27"/>
      <x:c r="D21" s="27"/>
      <x:c r="E21" s="27"/>
      <x:c r="F21" s="27"/>
      <x:c r="G21" s="27"/>
      <x:c r="H21" s="27"/>
      <x:c r="I21" s="27"/>
      <x:c r="J21" s="27"/>
      <x:c r="K21" s="27"/>
      <x:c r="L21" s="27"/>
      <x:c r="M21" s="27"/>
      <x:c r="N21" s="27"/>
      <x:c r="O21" s="27"/>
      <x:c r="P21" s="27"/>
      <x:c r="Q21" s="27"/>
      <x:c r="R21" s="27"/>
      <x:c r="S21" s="27"/>
      <x:c r="T21" s="27"/>
      <x:c r="U21" s="27"/>
      <x:c r="V21" s="27"/>
      <x:c r="W21" s="27"/>
      <x:c r="X21" s="27"/>
      <x:c r="Y21" s="27"/>
      <x:c r="Z21" s="27"/>
      <x:c r="AA21" s="27"/>
      <x:c r="AB21" s="27"/>
      <x:c r="AC21" s="27"/>
      <x:c r="AD21" s="27"/>
      <x:c r="AE21" s="27"/>
      <x:c r="AF21" s="27"/>
      <x:c r="AG21" s="27"/>
      <x:c r="AH21" s="27"/>
      <x:c r="AI21" s="27"/>
      <x:c r="AJ21" s="27"/>
      <x:c r="AK21" s="27"/>
      <x:c r="AL21" s="27"/>
      <x:c r="AM21" s="27"/>
      <x:c r="AN21" s="27"/>
      <x:c r="AO21" s="27"/>
      <x:c r="AP21" s="27"/>
      <x:c r="AQ21" s="27"/>
      <x:c r="AR21" s="27"/>
      <x:c r="AS21" s="27"/>
      <x:c r="AT21" s="27"/>
      <x:c r="AU21" s="27"/>
      <x:c r="AV21" s="27"/>
      <x:c r="AW21" s="27"/>
      <x:c r="AX21" s="27"/>
      <x:c r="AY21" s="27"/>
      <x:c r="AZ21" s="27"/>
    </x:row>
    <x:row r="22">
      <x:c r="A22" s="27"/>
      <x:c r="B22" s="27"/>
      <x:c r="C22" s="27"/>
      <x:c r="D22" s="27"/>
      <x:c r="E22" s="27"/>
      <x:c r="F22" s="27"/>
      <x:c r="G22" s="27"/>
      <x:c r="H22" s="27"/>
      <x:c r="I22" s="27"/>
      <x:c r="J22" s="27"/>
      <x:c r="K22" s="27"/>
      <x:c r="L22" s="27"/>
      <x:c r="M22" s="27"/>
      <x:c r="N22" s="27"/>
      <x:c r="O22" s="27"/>
      <x:c r="P22" s="27"/>
      <x:c r="Q22" s="27"/>
      <x:c r="R22" s="27"/>
      <x:c r="S22" s="27"/>
      <x:c r="T22" s="27"/>
      <x:c r="U22" s="27"/>
      <x:c r="V22" s="27"/>
      <x:c r="W22" s="27"/>
      <x:c r="X22" s="27"/>
      <x:c r="Y22" s="27"/>
      <x:c r="Z22" s="27"/>
      <x:c r="AA22" s="27"/>
      <x:c r="AB22" s="27"/>
      <x:c r="AC22" s="27"/>
      <x:c r="AD22" s="27"/>
      <x:c r="AE22" s="27"/>
      <x:c r="AF22" s="27"/>
      <x:c r="AG22" s="27"/>
      <x:c r="AH22" s="27"/>
      <x:c r="AI22" s="27"/>
      <x:c r="AJ22" s="27"/>
      <x:c r="AK22" s="27"/>
      <x:c r="AL22" s="27"/>
      <x:c r="AM22" s="27"/>
      <x:c r="AN22" s="27"/>
      <x:c r="AO22" s="27"/>
      <x:c r="AP22" s="27"/>
      <x:c r="AQ22" s="27"/>
      <x:c r="AR22" s="27"/>
      <x:c r="AS22" s="27"/>
      <x:c r="AT22" s="27"/>
      <x:c r="AU22" s="27"/>
      <x:c r="AV22" s="27"/>
      <x:c r="AW22" s="27"/>
      <x:c r="AX22" s="27"/>
      <x:c r="AY22" s="27"/>
      <x:c r="AZ22" s="27"/>
    </x:row>
    <x:row r="23">
      <x:c r="A23" s="27"/>
      <x:c r="B23" s="27"/>
      <x:c r="C23" s="27"/>
      <x:c r="D23" s="27"/>
      <x:c r="E23" s="27"/>
      <x:c r="F23" s="27"/>
      <x:c r="G23" s="27"/>
      <x:c r="H23" s="27"/>
      <x:c r="I23" s="27"/>
      <x:c r="J23" s="27"/>
      <x:c r="K23" s="27"/>
      <x:c r="L23" s="27"/>
      <x:c r="M23" s="27"/>
      <x:c r="N23" s="27"/>
      <x:c r="O23" s="27"/>
      <x:c r="P23" s="27"/>
      <x:c r="Q23" s="27"/>
      <x:c r="R23" s="27"/>
      <x:c r="S23" s="27"/>
      <x:c r="T23" s="27"/>
      <x:c r="U23" s="27"/>
      <x:c r="V23" s="27"/>
      <x:c r="W23" s="27"/>
      <x:c r="X23" s="27"/>
      <x:c r="Y23" s="27"/>
      <x:c r="Z23" s="27"/>
      <x:c r="AA23" s="27"/>
      <x:c r="AB23" s="27"/>
      <x:c r="AC23" s="27"/>
      <x:c r="AD23" s="27"/>
      <x:c r="AE23" s="27"/>
      <x:c r="AF23" s="27"/>
      <x:c r="AG23" s="27"/>
      <x:c r="AH23" s="27"/>
      <x:c r="AI23" s="27"/>
      <x:c r="AJ23" s="27"/>
      <x:c r="AK23" s="27"/>
      <x:c r="AL23" s="27"/>
      <x:c r="AM23" s="27"/>
      <x:c r="AN23" s="27"/>
      <x:c r="AO23" s="27"/>
      <x:c r="AP23" s="27"/>
      <x:c r="AQ23" s="27"/>
      <x:c r="AR23" s="27"/>
      <x:c r="AS23" s="27"/>
      <x:c r="AT23" s="27"/>
      <x:c r="AU23" s="27"/>
      <x:c r="AV23" s="27"/>
      <x:c r="AW23" s="27"/>
      <x:c r="AX23" s="27"/>
      <x:c r="AY23" s="27"/>
      <x:c r="AZ23" s="27"/>
    </x:row>
    <x:row r="24">
      <x:c r="A24" s="27"/>
      <x:c r="B24" s="27"/>
      <x:c r="C24" s="27"/>
      <x:c r="D24" s="27"/>
      <x:c r="E24" s="27"/>
      <x:c r="F24" s="27"/>
      <x:c r="G24" s="27"/>
      <x:c r="H24" s="27"/>
      <x:c r="I24" s="27"/>
      <x:c r="J24" s="27"/>
      <x:c r="K24" s="27"/>
      <x:c r="L24" s="27"/>
      <x:c r="M24" s="27"/>
      <x:c r="N24" s="27"/>
      <x:c r="O24" s="27"/>
      <x:c r="P24" s="27"/>
      <x:c r="Q24" s="27"/>
      <x:c r="R24" s="27"/>
      <x:c r="S24" s="27"/>
      <x:c r="T24" s="27"/>
      <x:c r="U24" s="27"/>
      <x:c r="V24" s="27"/>
      <x:c r="W24" s="27"/>
      <x:c r="X24" s="27"/>
      <x:c r="Y24" s="27"/>
      <x:c r="Z24" s="27"/>
      <x:c r="AA24" s="27"/>
      <x:c r="AB24" s="27"/>
      <x:c r="AC24" s="27"/>
      <x:c r="AD24" s="27"/>
      <x:c r="AE24" s="27"/>
      <x:c r="AF24" s="27"/>
      <x:c r="AG24" s="27"/>
      <x:c r="AH24" s="27"/>
      <x:c r="AI24" s="27"/>
      <x:c r="AJ24" s="27"/>
      <x:c r="AK24" s="27"/>
      <x:c r="AL24" s="27"/>
      <x:c r="AM24" s="27"/>
      <x:c r="AN24" s="27"/>
      <x:c r="AO24" s="27"/>
      <x:c r="AP24" s="27"/>
      <x:c r="AQ24" s="27"/>
      <x:c r="AR24" s="27"/>
      <x:c r="AS24" s="27"/>
      <x:c r="AT24" s="27"/>
      <x:c r="AU24" s="27"/>
      <x:c r="AV24" s="27"/>
      <x:c r="AW24" s="27"/>
      <x:c r="AX24" s="27"/>
      <x:c r="AY24" s="27"/>
      <x:c r="AZ24" s="27"/>
    </x:row>
    <x:row r="25">
      <x:c r="A25" s="27"/>
      <x:c r="B25" s="27"/>
      <x:c r="C25" s="27"/>
      <x:c r="D25" s="27"/>
      <x:c r="E25" s="27"/>
      <x:c r="F25" s="27"/>
      <x:c r="G25" s="27"/>
      <x:c r="H25" s="27"/>
      <x:c r="I25" s="27"/>
      <x:c r="J25" s="27"/>
      <x:c r="K25" s="27"/>
      <x:c r="L25" s="27"/>
      <x:c r="M25" s="27"/>
      <x:c r="N25" s="27"/>
      <x:c r="O25" s="27"/>
      <x:c r="P25" s="27"/>
      <x:c r="Q25" s="27"/>
      <x:c r="R25" s="27"/>
      <x:c r="S25" s="27"/>
      <x:c r="T25" s="27"/>
      <x:c r="U25" s="27"/>
      <x:c r="V25" s="27"/>
      <x:c r="W25" s="27"/>
      <x:c r="X25" s="27"/>
      <x:c r="Y25" s="27"/>
      <x:c r="Z25" s="27"/>
      <x:c r="AA25" s="27"/>
      <x:c r="AB25" s="27"/>
      <x:c r="AC25" s="27"/>
      <x:c r="AD25" s="27"/>
      <x:c r="AE25" s="27"/>
      <x:c r="AF25" s="27"/>
      <x:c r="AG25" s="27"/>
      <x:c r="AH25" s="27"/>
      <x:c r="AI25" s="27"/>
      <x:c r="AJ25" s="27"/>
      <x:c r="AK25" s="27"/>
      <x:c r="AL25" s="27"/>
      <x:c r="AM25" s="27"/>
      <x:c r="AN25" s="27"/>
      <x:c r="AO25" s="27"/>
      <x:c r="AP25" s="27"/>
      <x:c r="AQ25" s="27"/>
      <x:c r="AR25" s="27"/>
      <x:c r="AS25" s="27"/>
      <x:c r="AT25" s="27"/>
      <x:c r="AU25" s="27"/>
      <x:c r="AV25" s="27"/>
      <x:c r="AW25" s="27"/>
      <x:c r="AX25" s="27"/>
      <x:c r="AY25" s="27"/>
      <x:c r="AZ25" s="27"/>
    </x:row>
    <x:row r="26">
      <x:c r="A26" s="27"/>
      <x:c r="B26" s="27"/>
      <x:c r="C26" s="27"/>
      <x:c r="D26" s="27"/>
      <x:c r="E26" s="27"/>
      <x:c r="F26" s="27"/>
      <x:c r="G26" s="27"/>
      <x:c r="H26" s="27"/>
      <x:c r="I26" s="27"/>
      <x:c r="J26" s="27"/>
      <x:c r="K26" s="27"/>
      <x:c r="L26" s="27"/>
      <x:c r="M26" s="27"/>
      <x:c r="N26" s="27"/>
      <x:c r="O26" s="27"/>
      <x:c r="P26" s="27"/>
      <x:c r="Q26" s="27"/>
      <x:c r="R26" s="27"/>
      <x:c r="S26" s="27"/>
      <x:c r="T26" s="27"/>
      <x:c r="U26" s="27"/>
      <x:c r="V26" s="27"/>
      <x:c r="W26" s="27"/>
      <x:c r="X26" s="27"/>
      <x:c r="Y26" s="27"/>
      <x:c r="Z26" s="27"/>
      <x:c r="AA26" s="27"/>
      <x:c r="AB26" s="27"/>
      <x:c r="AC26" s="27"/>
      <x:c r="AD26" s="27"/>
      <x:c r="AE26" s="27"/>
      <x:c r="AF26" s="27"/>
      <x:c r="AG26" s="27"/>
      <x:c r="AH26" s="27"/>
      <x:c r="AI26" s="27"/>
      <x:c r="AJ26" s="27"/>
      <x:c r="AK26" s="27"/>
      <x:c r="AL26" s="27"/>
      <x:c r="AM26" s="27"/>
      <x:c r="AN26" s="27"/>
      <x:c r="AO26" s="27"/>
      <x:c r="AP26" s="27"/>
      <x:c r="AQ26" s="27"/>
      <x:c r="AR26" s="27"/>
      <x:c r="AS26" s="27"/>
      <x:c r="AT26" s="27"/>
      <x:c r="AU26" s="27"/>
      <x:c r="AV26" s="27"/>
      <x:c r="AW26" s="27"/>
      <x:c r="AX26" s="27"/>
      <x:c r="AY26" s="27"/>
      <x:c r="AZ26" s="27"/>
    </x:row>
    <x:row r="27">
      <x:c r="A27" s="27"/>
      <x:c r="B27" s="27"/>
      <x:c r="C27" s="27"/>
      <x:c r="D27" s="27"/>
      <x:c r="E27" s="27"/>
      <x:c r="F27" s="27"/>
      <x:c r="G27" s="27"/>
      <x:c r="H27" s="27"/>
      <x:c r="I27" s="27"/>
      <x:c r="J27" s="27"/>
      <x:c r="K27" s="27"/>
      <x:c r="L27" s="27"/>
      <x:c r="M27" s="27"/>
      <x:c r="N27" s="27"/>
      <x:c r="O27" s="27"/>
      <x:c r="P27" s="27"/>
      <x:c r="Q27" s="27"/>
      <x:c r="R27" s="27"/>
      <x:c r="S27" s="27"/>
      <x:c r="T27" s="27"/>
      <x:c r="U27" s="27"/>
      <x:c r="V27" s="27"/>
      <x:c r="W27" s="27"/>
      <x:c r="X27" s="27"/>
      <x:c r="Y27" s="27"/>
      <x:c r="Z27" s="27"/>
      <x:c r="AA27" s="27"/>
      <x:c r="AB27" s="27"/>
      <x:c r="AC27" s="27"/>
      <x:c r="AD27" s="27"/>
      <x:c r="AE27" s="27"/>
      <x:c r="AF27" s="27"/>
      <x:c r="AG27" s="27"/>
      <x:c r="AH27" s="27"/>
      <x:c r="AI27" s="27"/>
      <x:c r="AJ27" s="27"/>
      <x:c r="AK27" s="27"/>
      <x:c r="AL27" s="27"/>
      <x:c r="AM27" s="27"/>
      <x:c r="AN27" s="27"/>
      <x:c r="AO27" s="27"/>
      <x:c r="AP27" s="27"/>
      <x:c r="AQ27" s="27"/>
      <x:c r="AR27" s="27"/>
      <x:c r="AS27" s="27"/>
      <x:c r="AT27" s="27"/>
      <x:c r="AU27" s="27"/>
      <x:c r="AV27" s="27"/>
      <x:c r="AW27" s="27"/>
      <x:c r="AX27" s="27"/>
      <x:c r="AY27" s="27"/>
      <x:c r="AZ27" s="27"/>
    </x:row>
    <x:row r="28">
      <x:c r="A28" s="27"/>
      <x:c r="B28" s="27"/>
      <x:c r="C28" s="27"/>
      <x:c r="D28" s="27"/>
      <x:c r="E28" s="27"/>
      <x:c r="F28" s="27"/>
      <x:c r="G28" s="27"/>
      <x:c r="H28" s="27"/>
      <x:c r="I28" s="27"/>
      <x:c r="J28" s="27"/>
      <x:c r="K28" s="27"/>
      <x:c r="L28" s="27"/>
      <x:c r="M28" s="27"/>
      <x:c r="N28" s="27"/>
      <x:c r="O28" s="27"/>
      <x:c r="P28" s="27"/>
      <x:c r="Q28" s="27"/>
      <x:c r="R28" s="27"/>
      <x:c r="S28" s="27"/>
      <x:c r="T28" s="27"/>
      <x:c r="U28" s="27"/>
      <x:c r="V28" s="27"/>
      <x:c r="W28" s="27"/>
      <x:c r="X28" s="27"/>
      <x:c r="Y28" s="27"/>
      <x:c r="Z28" s="27"/>
      <x:c r="AA28" s="27"/>
      <x:c r="AB28" s="27"/>
      <x:c r="AC28" s="27"/>
      <x:c r="AD28" s="27"/>
      <x:c r="AE28" s="27"/>
      <x:c r="AF28" s="27"/>
      <x:c r="AG28" s="27"/>
      <x:c r="AH28" s="27"/>
      <x:c r="AI28" s="27"/>
      <x:c r="AJ28" s="27"/>
      <x:c r="AK28" s="27"/>
      <x:c r="AL28" s="27"/>
      <x:c r="AM28" s="27"/>
      <x:c r="AN28" s="27"/>
      <x:c r="AO28" s="27"/>
      <x:c r="AP28" s="27"/>
      <x:c r="AQ28" s="27"/>
      <x:c r="AR28" s="27"/>
      <x:c r="AS28" s="27"/>
      <x:c r="AT28" s="27"/>
      <x:c r="AU28" s="27"/>
      <x:c r="AV28" s="27"/>
      <x:c r="AW28" s="27"/>
      <x:c r="AX28" s="27"/>
      <x:c r="AY28" s="27"/>
      <x:c r="AZ28" s="27"/>
    </x:row>
    <x:row r="29">
      <x:c r="A29" s="27"/>
      <x:c r="B29" s="27"/>
      <x:c r="C29" s="27"/>
      <x:c r="D29" s="27"/>
      <x:c r="E29" s="27"/>
      <x:c r="F29" s="27"/>
      <x:c r="G29" s="27"/>
      <x:c r="H29" s="27"/>
      <x:c r="I29" s="27"/>
      <x:c r="J29" s="27"/>
      <x:c r="K29" s="27"/>
      <x:c r="L29" s="27"/>
      <x:c r="M29" s="27"/>
      <x:c r="N29" s="27"/>
      <x:c r="O29" s="27"/>
      <x:c r="P29" s="27"/>
      <x:c r="Q29" s="27"/>
      <x:c r="R29" s="27"/>
      <x:c r="S29" s="27"/>
      <x:c r="T29" s="27"/>
      <x:c r="U29" s="27"/>
      <x:c r="V29" s="27"/>
      <x:c r="W29" s="27"/>
      <x:c r="X29" s="27"/>
      <x:c r="Y29" s="27"/>
      <x:c r="Z29" s="27"/>
      <x:c r="AA29" s="27"/>
      <x:c r="AB29" s="27"/>
      <x:c r="AC29" s="27"/>
      <x:c r="AD29" s="27"/>
      <x:c r="AE29" s="27"/>
      <x:c r="AF29" s="27"/>
      <x:c r="AG29" s="27"/>
      <x:c r="AH29" s="27"/>
      <x:c r="AI29" s="27"/>
      <x:c r="AJ29" s="27"/>
      <x:c r="AK29" s="27"/>
      <x:c r="AL29" s="27"/>
      <x:c r="AM29" s="27"/>
      <x:c r="AN29" s="27"/>
      <x:c r="AO29" s="27"/>
      <x:c r="AP29" s="27"/>
      <x:c r="AQ29" s="27"/>
      <x:c r="AR29" s="27"/>
      <x:c r="AS29" s="27"/>
      <x:c r="AT29" s="27"/>
      <x:c r="AU29" s="27"/>
      <x:c r="AV29" s="27"/>
      <x:c r="AW29" s="27"/>
      <x:c r="AX29" s="27"/>
      <x:c r="AY29" s="27"/>
      <x:c r="AZ29" s="27"/>
    </x:row>
    <x:row r="30">
      <x:c r="A30" s="27"/>
      <x:c r="B30" s="27"/>
      <x:c r="C30" s="27"/>
      <x:c r="D30" s="27"/>
      <x:c r="E30" s="27"/>
      <x:c r="F30" s="27"/>
      <x:c r="G30" s="27"/>
      <x:c r="H30" s="27"/>
      <x:c r="I30" s="27"/>
      <x:c r="J30" s="27"/>
      <x:c r="K30" s="27"/>
      <x:c r="L30" s="27"/>
      <x:c r="M30" s="27"/>
      <x:c r="N30" s="27"/>
      <x:c r="O30" s="27"/>
      <x:c r="P30" s="27"/>
      <x:c r="Q30" s="27"/>
      <x:c r="R30" s="27"/>
      <x:c r="S30" s="27"/>
      <x:c r="T30" s="27"/>
      <x:c r="U30" s="27"/>
      <x:c r="V30" s="27"/>
      <x:c r="W30" s="27"/>
      <x:c r="X30" s="27"/>
      <x:c r="Y30" s="27"/>
      <x:c r="Z30" s="27"/>
      <x:c r="AA30" s="27"/>
      <x:c r="AB30" s="27"/>
      <x:c r="AC30" s="27"/>
      <x:c r="AD30" s="27"/>
      <x:c r="AE30" s="27"/>
      <x:c r="AF30" s="27"/>
      <x:c r="AG30" s="27"/>
      <x:c r="AH30" s="27"/>
      <x:c r="AI30" s="27"/>
      <x:c r="AJ30" s="27"/>
      <x:c r="AK30" s="27"/>
      <x:c r="AL30" s="27"/>
      <x:c r="AM30" s="27"/>
      <x:c r="AN30" s="27"/>
      <x:c r="AO30" s="27"/>
      <x:c r="AP30" s="27"/>
      <x:c r="AQ30" s="27"/>
      <x:c r="AR30" s="27"/>
      <x:c r="AS30" s="27"/>
      <x:c r="AT30" s="27"/>
      <x:c r="AU30" s="27"/>
      <x:c r="AV30" s="27"/>
      <x:c r="AW30" s="27"/>
      <x:c r="AX30" s="27"/>
      <x:c r="AY30" s="27"/>
      <x:c r="AZ30" s="27"/>
    </x:row>
    <x:row r="31">
      <x:c r="A31" s="27"/>
      <x:c r="B31" s="27"/>
      <x:c r="C31" s="27"/>
      <x:c r="D31" s="27"/>
      <x:c r="E31" s="27"/>
      <x:c r="F31" s="27"/>
      <x:c r="G31" s="27"/>
      <x:c r="H31" s="27"/>
      <x:c r="I31" s="27"/>
      <x:c r="J31" s="27"/>
      <x:c r="K31" s="27"/>
      <x:c r="L31" s="27"/>
      <x:c r="M31" s="27"/>
      <x:c r="N31" s="27"/>
      <x:c r="O31" s="27"/>
      <x:c r="P31" s="27"/>
      <x:c r="Q31" s="27"/>
      <x:c r="R31" s="27"/>
      <x:c r="S31" s="27"/>
      <x:c r="T31" s="27"/>
      <x:c r="U31" s="27"/>
      <x:c r="V31" s="27"/>
      <x:c r="W31" s="27"/>
      <x:c r="X31" s="27"/>
      <x:c r="Y31" s="27"/>
      <x:c r="Z31" s="27"/>
      <x:c r="AA31" s="27"/>
      <x:c r="AB31" s="27"/>
      <x:c r="AC31" s="27"/>
      <x:c r="AD31" s="27"/>
      <x:c r="AE31" s="27"/>
      <x:c r="AF31" s="27"/>
      <x:c r="AG31" s="27"/>
      <x:c r="AH31" s="27"/>
      <x:c r="AI31" s="27"/>
      <x:c r="AJ31" s="27"/>
      <x:c r="AK31" s="27"/>
      <x:c r="AL31" s="27"/>
      <x:c r="AM31" s="27"/>
      <x:c r="AN31" s="27"/>
      <x:c r="AO31" s="27"/>
      <x:c r="AP31" s="27"/>
      <x:c r="AQ31" s="27"/>
      <x:c r="AR31" s="27"/>
      <x:c r="AS31" s="27"/>
      <x:c r="AT31" s="27"/>
      <x:c r="AU31" s="27"/>
      <x:c r="AV31" s="27"/>
      <x:c r="AW31" s="27"/>
      <x:c r="AX31" s="27"/>
      <x:c r="AY31" s="27"/>
      <x:c r="AZ31" s="27"/>
    </x:row>
    <x:row r="32">
      <x:c r="A32" s="27"/>
      <x:c r="B32" s="27"/>
      <x:c r="C32" s="27"/>
      <x:c r="D32" s="27"/>
      <x:c r="E32" s="27"/>
      <x:c r="F32" s="27"/>
      <x:c r="G32" s="27"/>
      <x:c r="H32" s="27"/>
      <x:c r="I32" s="27"/>
      <x:c r="J32" s="27"/>
      <x:c r="K32" s="27"/>
      <x:c r="L32" s="27"/>
      <x:c r="M32" s="27"/>
      <x:c r="N32" s="27"/>
      <x:c r="O32" s="27"/>
      <x:c r="P32" s="27"/>
      <x:c r="Q32" s="27"/>
      <x:c r="R32" s="27"/>
      <x:c r="S32" s="27"/>
      <x:c r="T32" s="27"/>
      <x:c r="U32" s="27"/>
      <x:c r="V32" s="27"/>
      <x:c r="W32" s="27"/>
      <x:c r="X32" s="27"/>
      <x:c r="Y32" s="27"/>
      <x:c r="Z32" s="27"/>
      <x:c r="AA32" s="27"/>
      <x:c r="AB32" s="27"/>
      <x:c r="AC32" s="27"/>
      <x:c r="AD32" s="27"/>
      <x:c r="AE32" s="27"/>
      <x:c r="AF32" s="27"/>
      <x:c r="AG32" s="27"/>
      <x:c r="AH32" s="27"/>
      <x:c r="AI32" s="27"/>
      <x:c r="AJ32" s="27"/>
      <x:c r="AK32" s="27"/>
      <x:c r="AL32" s="27"/>
      <x:c r="AM32" s="27"/>
      <x:c r="AN32" s="27"/>
      <x:c r="AO32" s="27"/>
      <x:c r="AP32" s="27"/>
      <x:c r="AQ32" s="27"/>
      <x:c r="AR32" s="27"/>
      <x:c r="AS32" s="27"/>
      <x:c r="AT32" s="27"/>
      <x:c r="AU32" s="27"/>
      <x:c r="AV32" s="27"/>
      <x:c r="AW32" s="27"/>
      <x:c r="AX32" s="27"/>
      <x:c r="AY32" s="27"/>
      <x:c r="AZ32" s="27"/>
    </x:row>
    <x:row r="33">
      <x:c r="A33" s="27"/>
      <x:c r="B33" s="27"/>
      <x:c r="C33" s="27"/>
      <x:c r="D33" s="27"/>
      <x:c r="E33" s="27"/>
      <x:c r="F33" s="27"/>
      <x:c r="G33" s="27"/>
      <x:c r="H33" s="27"/>
      <x:c r="I33" s="27"/>
      <x:c r="J33" s="27"/>
      <x:c r="K33" s="27"/>
      <x:c r="L33" s="27"/>
      <x:c r="M33" s="27"/>
      <x:c r="N33" s="27"/>
      <x:c r="O33" s="27"/>
      <x:c r="P33" s="27"/>
      <x:c r="Q33" s="27"/>
      <x:c r="R33" s="27"/>
      <x:c r="S33" s="27"/>
      <x:c r="T33" s="27"/>
      <x:c r="U33" s="27"/>
      <x:c r="V33" s="27"/>
      <x:c r="W33" s="27"/>
      <x:c r="X33" s="27"/>
      <x:c r="Y33" s="27"/>
      <x:c r="Z33" s="27"/>
      <x:c r="AA33" s="27"/>
      <x:c r="AB33" s="27"/>
      <x:c r="AC33" s="27"/>
      <x:c r="AD33" s="27"/>
      <x:c r="AE33" s="27"/>
      <x:c r="AF33" s="27"/>
      <x:c r="AG33" s="27"/>
      <x:c r="AH33" s="27"/>
      <x:c r="AI33" s="27"/>
      <x:c r="AJ33" s="27"/>
      <x:c r="AK33" s="27"/>
      <x:c r="AL33" s="27"/>
      <x:c r="AM33" s="27"/>
      <x:c r="AN33" s="27"/>
      <x:c r="AO33" s="27"/>
      <x:c r="AP33" s="27"/>
      <x:c r="AQ33" s="27"/>
      <x:c r="AR33" s="27"/>
      <x:c r="AS33" s="27"/>
      <x:c r="AT33" s="27"/>
      <x:c r="AU33" s="27"/>
      <x:c r="AV33" s="27"/>
      <x:c r="AW33" s="27"/>
      <x:c r="AX33" s="27"/>
      <x:c r="AY33" s="27"/>
      <x:c r="AZ33" s="27"/>
    </x:row>
    <x:row r="34">
      <x:c r="A34" s="27"/>
      <x:c r="B34" s="27"/>
      <x:c r="C34" s="27"/>
      <x:c r="D34" s="27"/>
      <x:c r="E34" s="27"/>
      <x:c r="F34" s="27"/>
      <x:c r="G34" s="27"/>
      <x:c r="H34" s="27"/>
      <x:c r="I34" s="27"/>
      <x:c r="J34" s="27"/>
      <x:c r="K34" s="27"/>
      <x:c r="L34" s="27"/>
      <x:c r="M34" s="27"/>
      <x:c r="N34" s="27"/>
      <x:c r="O34" s="27"/>
      <x:c r="P34" s="27"/>
      <x:c r="Q34" s="27"/>
      <x:c r="R34" s="27"/>
      <x:c r="S34" s="27"/>
      <x:c r="T34" s="27"/>
      <x:c r="U34" s="27"/>
      <x:c r="V34" s="27"/>
      <x:c r="W34" s="27"/>
      <x:c r="X34" s="27"/>
      <x:c r="Y34" s="27"/>
      <x:c r="Z34" s="27"/>
      <x:c r="AA34" s="27"/>
      <x:c r="AB34" s="27"/>
      <x:c r="AC34" s="27"/>
      <x:c r="AD34" s="27"/>
      <x:c r="AE34" s="27"/>
      <x:c r="AF34" s="27"/>
      <x:c r="AG34" s="27"/>
      <x:c r="AH34" s="27"/>
      <x:c r="AI34" s="27"/>
      <x:c r="AJ34" s="27"/>
      <x:c r="AK34" s="27"/>
      <x:c r="AL34" s="27"/>
      <x:c r="AM34" s="27"/>
      <x:c r="AN34" s="27"/>
      <x:c r="AO34" s="27"/>
      <x:c r="AP34" s="27"/>
      <x:c r="AQ34" s="27"/>
      <x:c r="AR34" s="27"/>
      <x:c r="AS34" s="27"/>
      <x:c r="AT34" s="27"/>
      <x:c r="AU34" s="27"/>
      <x:c r="AV34" s="27"/>
      <x:c r="AW34" s="27"/>
      <x:c r="AX34" s="27"/>
      <x:c r="AY34" s="27"/>
      <x:c r="AZ34" s="27"/>
    </x:row>
    <x:row r="35">
      <x:c r="A35" s="27"/>
      <x:c r="B35" s="27"/>
      <x:c r="C35" s="27"/>
      <x:c r="D35" s="27"/>
      <x:c r="E35" s="27"/>
      <x:c r="F35" s="27"/>
      <x:c r="G35" s="27"/>
      <x:c r="H35" s="27"/>
      <x:c r="I35" s="27"/>
      <x:c r="J35" s="27"/>
      <x:c r="K35" s="27"/>
      <x:c r="L35" s="27"/>
      <x:c r="M35" s="27"/>
      <x:c r="N35" s="27"/>
      <x:c r="O35" s="27"/>
      <x:c r="P35" s="27"/>
      <x:c r="Q35" s="27"/>
      <x:c r="R35" s="27"/>
      <x:c r="S35" s="27"/>
      <x:c r="T35" s="27"/>
      <x:c r="U35" s="27"/>
      <x:c r="V35" s="27"/>
      <x:c r="W35" s="27"/>
      <x:c r="X35" s="27"/>
      <x:c r="Y35" s="27"/>
      <x:c r="Z35" s="27"/>
      <x:c r="AA35" s="27"/>
      <x:c r="AB35" s="27"/>
      <x:c r="AC35" s="27"/>
      <x:c r="AD35" s="27"/>
      <x:c r="AE35" s="27"/>
      <x:c r="AF35" s="27"/>
      <x:c r="AG35" s="27"/>
      <x:c r="AH35" s="27"/>
      <x:c r="AI35" s="27"/>
      <x:c r="AJ35" s="27"/>
      <x:c r="AK35" s="27"/>
      <x:c r="AL35" s="27"/>
      <x:c r="AM35" s="27"/>
      <x:c r="AN35" s="27"/>
      <x:c r="AO35" s="27"/>
      <x:c r="AP35" s="27"/>
      <x:c r="AQ35" s="27"/>
      <x:c r="AR35" s="27"/>
      <x:c r="AS35" s="27"/>
      <x:c r="AT35" s="27"/>
      <x:c r="AU35" s="27"/>
      <x:c r="AV35" s="27"/>
      <x:c r="AW35" s="27"/>
      <x:c r="AX35" s="27"/>
      <x:c r="AY35" s="27"/>
      <x:c r="AZ35" s="27"/>
    </x:row>
    <x:row r="36">
      <x:c r="A36" s="27"/>
      <x:c r="B36" s="27"/>
      <x:c r="C36" s="27"/>
      <x:c r="D36" s="27"/>
      <x:c r="E36" s="27"/>
      <x:c r="F36" s="27"/>
      <x:c r="G36" s="27"/>
      <x:c r="H36" s="27"/>
      <x:c r="I36" s="27"/>
      <x:c r="J36" s="27"/>
      <x:c r="K36" s="27"/>
      <x:c r="L36" s="27"/>
      <x:c r="M36" s="27"/>
      <x:c r="N36" s="27"/>
      <x:c r="O36" s="27"/>
      <x:c r="P36" s="27"/>
      <x:c r="Q36" s="27"/>
      <x:c r="R36" s="27"/>
      <x:c r="S36" s="27"/>
      <x:c r="T36" s="27"/>
      <x:c r="U36" s="27"/>
      <x:c r="V36" s="27"/>
      <x:c r="W36" s="27"/>
      <x:c r="X36" s="27"/>
      <x:c r="Y36" s="27"/>
      <x:c r="Z36" s="27"/>
      <x:c r="AA36" s="27"/>
      <x:c r="AB36" s="27"/>
      <x:c r="AC36" s="27"/>
      <x:c r="AD36" s="27"/>
      <x:c r="AE36" s="27"/>
      <x:c r="AF36" s="27"/>
      <x:c r="AG36" s="27"/>
      <x:c r="AH36" s="27"/>
      <x:c r="AI36" s="27"/>
      <x:c r="AJ36" s="27"/>
      <x:c r="AK36" s="27"/>
      <x:c r="AL36" s="27"/>
      <x:c r="AM36" s="27"/>
      <x:c r="AN36" s="27"/>
      <x:c r="AO36" s="27"/>
      <x:c r="AP36" s="27"/>
      <x:c r="AQ36" s="27"/>
      <x:c r="AR36" s="27"/>
      <x:c r="AS36" s="27"/>
      <x:c r="AT36" s="27"/>
      <x:c r="AU36" s="27"/>
      <x:c r="AV36" s="27"/>
      <x:c r="AW36" s="27"/>
      <x:c r="AX36" s="27"/>
      <x:c r="AY36" s="27"/>
      <x:c r="AZ36" s="27"/>
    </x:row>
    <x:row r="37">
      <x:c r="A37" s="27"/>
      <x:c r="B37" s="27"/>
      <x:c r="C37" s="27"/>
      <x:c r="D37" s="27"/>
      <x:c r="E37" s="27"/>
      <x:c r="F37" s="27"/>
      <x:c r="G37" s="27"/>
      <x:c r="H37" s="27"/>
      <x:c r="I37" s="27"/>
      <x:c r="J37" s="27"/>
      <x:c r="K37" s="27"/>
      <x:c r="L37" s="27"/>
      <x:c r="M37" s="27"/>
      <x:c r="N37" s="27"/>
      <x:c r="O37" s="27"/>
      <x:c r="P37" s="27"/>
      <x:c r="Q37" s="27"/>
      <x:c r="R37" s="27"/>
      <x:c r="S37" s="27"/>
      <x:c r="T37" s="27"/>
      <x:c r="U37" s="27"/>
      <x:c r="V37" s="27"/>
      <x:c r="W37" s="27"/>
      <x:c r="X37" s="27"/>
      <x:c r="Y37" s="27"/>
      <x:c r="Z37" s="27"/>
      <x:c r="AA37" s="27"/>
      <x:c r="AB37" s="27"/>
      <x:c r="AC37" s="27"/>
      <x:c r="AD37" s="27"/>
      <x:c r="AE37" s="27"/>
      <x:c r="AF37" s="27"/>
      <x:c r="AG37" s="27"/>
      <x:c r="AH37" s="27"/>
      <x:c r="AI37" s="27"/>
      <x:c r="AJ37" s="27"/>
      <x:c r="AK37" s="27"/>
      <x:c r="AL37" s="27"/>
      <x:c r="AM37" s="27"/>
      <x:c r="AN37" s="27"/>
      <x:c r="AO37" s="27"/>
      <x:c r="AP37" s="27"/>
      <x:c r="AQ37" s="27"/>
      <x:c r="AR37" s="27"/>
      <x:c r="AS37" s="27"/>
      <x:c r="AT37" s="27"/>
      <x:c r="AU37" s="27"/>
      <x:c r="AV37" s="27"/>
      <x:c r="AW37" s="27"/>
      <x:c r="AX37" s="27"/>
      <x:c r="AY37" s="27"/>
      <x:c r="AZ37" s="27"/>
    </x:row>
    <x:row r="38">
      <x:c r="A38" s="27"/>
      <x:c r="B38" s="27"/>
      <x:c r="C38" s="27"/>
      <x:c r="D38" s="27"/>
      <x:c r="E38" s="27"/>
      <x:c r="F38" s="27"/>
      <x:c r="G38" s="27"/>
      <x:c r="H38" s="27"/>
      <x:c r="I38" s="27"/>
      <x:c r="J38" s="27"/>
      <x:c r="K38" s="27"/>
      <x:c r="L38" s="27"/>
      <x:c r="M38" s="27"/>
      <x:c r="N38" s="27"/>
      <x:c r="O38" s="27"/>
      <x:c r="P38" s="27"/>
      <x:c r="Q38" s="27"/>
      <x:c r="R38" s="27"/>
      <x:c r="S38" s="27"/>
      <x:c r="T38" s="27"/>
      <x:c r="U38" s="27"/>
      <x:c r="V38" s="27"/>
      <x:c r="W38" s="27"/>
      <x:c r="X38" s="27"/>
      <x:c r="Y38" s="27"/>
      <x:c r="Z38" s="27"/>
      <x:c r="AA38" s="27"/>
      <x:c r="AB38" s="27"/>
      <x:c r="AC38" s="27"/>
      <x:c r="AD38" s="27"/>
      <x:c r="AE38" s="27"/>
      <x:c r="AF38" s="27"/>
      <x:c r="AG38" s="27"/>
      <x:c r="AH38" s="27"/>
      <x:c r="AI38" s="27"/>
      <x:c r="AJ38" s="27"/>
      <x:c r="AK38" s="27"/>
      <x:c r="AL38" s="27"/>
      <x:c r="AM38" s="27"/>
      <x:c r="AN38" s="27"/>
      <x:c r="AO38" s="27"/>
      <x:c r="AP38" s="27"/>
      <x:c r="AQ38" s="27"/>
      <x:c r="AR38" s="27"/>
      <x:c r="AS38" s="27"/>
      <x:c r="AT38" s="27"/>
      <x:c r="AU38" s="27"/>
      <x:c r="AV38" s="27"/>
      <x:c r="AW38" s="27"/>
      <x:c r="AX38" s="27"/>
      <x:c r="AY38" s="27"/>
      <x:c r="AZ38" s="27"/>
    </x:row>
    <x:row r="39">
      <x:c r="A39" s="27"/>
      <x:c r="B39" s="27"/>
      <x:c r="C39" s="27"/>
      <x:c r="D39" s="27"/>
      <x:c r="E39" s="27"/>
      <x:c r="F39" s="27"/>
      <x:c r="G39" s="27"/>
      <x:c r="H39" s="27"/>
      <x:c r="I39" s="27"/>
      <x:c r="J39" s="27"/>
      <x:c r="K39" s="27"/>
      <x:c r="L39" s="27"/>
      <x:c r="M39" s="27"/>
      <x:c r="N39" s="27"/>
      <x:c r="O39" s="27"/>
      <x:c r="P39" s="27"/>
      <x:c r="Q39" s="27"/>
      <x:c r="R39" s="27"/>
      <x:c r="S39" s="27"/>
      <x:c r="T39" s="27"/>
      <x:c r="U39" s="27"/>
      <x:c r="V39" s="27"/>
      <x:c r="W39" s="27"/>
      <x:c r="X39" s="27"/>
      <x:c r="Y39" s="27"/>
      <x:c r="Z39" s="27"/>
      <x:c r="AA39" s="27"/>
      <x:c r="AB39" s="27"/>
      <x:c r="AC39" s="27"/>
      <x:c r="AD39" s="27"/>
      <x:c r="AE39" s="27"/>
      <x:c r="AF39" s="27"/>
      <x:c r="AG39" s="27"/>
      <x:c r="AH39" s="27"/>
      <x:c r="AI39" s="27"/>
      <x:c r="AJ39" s="27"/>
      <x:c r="AK39" s="27"/>
      <x:c r="AL39" s="27"/>
      <x:c r="AM39" s="27"/>
      <x:c r="AN39" s="27"/>
      <x:c r="AO39" s="27"/>
      <x:c r="AP39" s="27"/>
      <x:c r="AQ39" s="27"/>
      <x:c r="AR39" s="27"/>
      <x:c r="AS39" s="27"/>
      <x:c r="AT39" s="27"/>
      <x:c r="AU39" s="27"/>
      <x:c r="AV39" s="27"/>
      <x:c r="AW39" s="27"/>
      <x:c r="AX39" s="27"/>
      <x:c r="AY39" s="27"/>
      <x:c r="AZ39" s="27"/>
    </x:row>
    <x:row r="40">
      <x:c r="A40" s="27"/>
      <x:c r="B40" s="27"/>
      <x:c r="C40" s="27"/>
      <x:c r="D40" s="27"/>
      <x:c r="E40" s="27"/>
      <x:c r="F40" s="27"/>
      <x:c r="G40" s="27"/>
      <x:c r="H40" s="27"/>
      <x:c r="I40" s="27"/>
      <x:c r="J40" s="27"/>
      <x:c r="K40" s="27"/>
      <x:c r="L40" s="27"/>
      <x:c r="M40" s="27"/>
      <x:c r="N40" s="27"/>
      <x:c r="O40" s="27"/>
      <x:c r="P40" s="27"/>
      <x:c r="Q40" s="27"/>
      <x:c r="R40" s="27"/>
      <x:c r="S40" s="27"/>
      <x:c r="T40" s="27"/>
      <x:c r="U40" s="27"/>
      <x:c r="V40" s="27"/>
      <x:c r="W40" s="27"/>
      <x:c r="X40" s="27"/>
      <x:c r="Y40" s="27"/>
      <x:c r="Z40" s="27"/>
      <x:c r="AA40" s="27"/>
      <x:c r="AB40" s="27"/>
      <x:c r="AC40" s="27"/>
      <x:c r="AD40" s="27"/>
      <x:c r="AE40" s="27"/>
      <x:c r="AF40" s="27"/>
      <x:c r="AG40" s="27"/>
      <x:c r="AH40" s="27"/>
      <x:c r="AI40" s="27"/>
      <x:c r="AJ40" s="27"/>
      <x:c r="AK40" s="27"/>
      <x:c r="AL40" s="27"/>
      <x:c r="AM40" s="27"/>
      <x:c r="AN40" s="27"/>
      <x:c r="AO40" s="27"/>
      <x:c r="AP40" s="27"/>
      <x:c r="AQ40" s="27"/>
      <x:c r="AR40" s="27"/>
      <x:c r="AS40" s="27"/>
      <x:c r="AT40" s="27"/>
      <x:c r="AU40" s="27"/>
      <x:c r="AV40" s="27"/>
      <x:c r="AW40" s="27"/>
      <x:c r="AX40" s="27"/>
      <x:c r="AY40" s="27"/>
      <x:c r="AZ40" s="27"/>
    </x:row>
    <x:row r="41">
      <x:c r="A41" s="27"/>
      <x:c r="B41" s="27"/>
      <x:c r="C41" s="27"/>
      <x:c r="D41" s="27"/>
      <x:c r="E41" s="27"/>
      <x:c r="F41" s="27"/>
      <x:c r="G41" s="27"/>
      <x:c r="H41" s="27"/>
      <x:c r="I41" s="27"/>
      <x:c r="J41" s="27"/>
      <x:c r="K41" s="27"/>
      <x:c r="L41" s="27"/>
      <x:c r="M41" s="27"/>
      <x:c r="N41" s="27"/>
      <x:c r="O41" s="27"/>
      <x:c r="P41" s="27"/>
      <x:c r="Q41" s="27"/>
      <x:c r="R41" s="27"/>
      <x:c r="S41" s="27"/>
      <x:c r="T41" s="27"/>
      <x:c r="U41" s="27"/>
      <x:c r="V41" s="27"/>
      <x:c r="W41" s="27"/>
      <x:c r="X41" s="27"/>
      <x:c r="Y41" s="27"/>
      <x:c r="Z41" s="27"/>
      <x:c r="AA41" s="27"/>
      <x:c r="AB41" s="27"/>
      <x:c r="AC41" s="27"/>
      <x:c r="AD41" s="27"/>
      <x:c r="AE41" s="27"/>
      <x:c r="AF41" s="27"/>
      <x:c r="AG41" s="27"/>
      <x:c r="AH41" s="27"/>
      <x:c r="AI41" s="27"/>
      <x:c r="AJ41" s="27"/>
      <x:c r="AK41" s="27"/>
      <x:c r="AL41" s="27"/>
      <x:c r="AM41" s="27"/>
      <x:c r="AN41" s="27"/>
      <x:c r="AO41" s="27"/>
      <x:c r="AP41" s="27"/>
      <x:c r="AQ41" s="27"/>
      <x:c r="AR41" s="27"/>
      <x:c r="AS41" s="27"/>
      <x:c r="AT41" s="27"/>
      <x:c r="AU41" s="27"/>
      <x:c r="AV41" s="27"/>
      <x:c r="AW41" s="27"/>
      <x:c r="AX41" s="27"/>
      <x:c r="AY41" s="27"/>
      <x:c r="AZ41" s="27"/>
    </x:row>
    <x:row r="42">
      <x:c r="A42" s="27"/>
      <x:c r="B42" s="27"/>
      <x:c r="C42" s="27"/>
      <x:c r="D42" s="27"/>
      <x:c r="E42" s="27"/>
      <x:c r="F42" s="27"/>
      <x:c r="G42" s="27"/>
      <x:c r="H42" s="27"/>
      <x:c r="I42" s="27"/>
      <x:c r="J42" s="27"/>
      <x:c r="K42" s="27"/>
      <x:c r="L42" s="27"/>
      <x:c r="M42" s="27"/>
      <x:c r="N42" s="27"/>
      <x:c r="O42" s="27"/>
      <x:c r="P42" s="27"/>
      <x:c r="Q42" s="27"/>
      <x:c r="R42" s="27"/>
      <x:c r="S42" s="27"/>
      <x:c r="T42" s="27"/>
      <x:c r="U42" s="27"/>
      <x:c r="V42" s="27"/>
      <x:c r="W42" s="27"/>
      <x:c r="X42" s="27"/>
      <x:c r="Y42" s="27"/>
      <x:c r="Z42" s="27"/>
      <x:c r="AA42" s="27"/>
      <x:c r="AB42" s="27"/>
      <x:c r="AC42" s="27"/>
      <x:c r="AD42" s="27"/>
      <x:c r="AE42" s="27"/>
      <x:c r="AF42" s="27"/>
      <x:c r="AG42" s="27"/>
      <x:c r="AH42" s="27"/>
      <x:c r="AI42" s="27"/>
      <x:c r="AJ42" s="27"/>
      <x:c r="AK42" s="27"/>
      <x:c r="AL42" s="27"/>
      <x:c r="AM42" s="27"/>
      <x:c r="AN42" s="27"/>
      <x:c r="AO42" s="27"/>
      <x:c r="AP42" s="27"/>
      <x:c r="AQ42" s="27"/>
      <x:c r="AR42" s="27"/>
      <x:c r="AS42" s="27"/>
      <x:c r="AT42" s="27"/>
      <x:c r="AU42" s="27"/>
      <x:c r="AV42" s="27"/>
      <x:c r="AW42" s="27"/>
      <x:c r="AX42" s="27"/>
      <x:c r="AY42" s="27"/>
      <x:c r="AZ42" s="27"/>
    </x:row>
    <x:row r="43">
      <x:c r="A43" s="27"/>
      <x:c r="B43" s="27"/>
      <x:c r="C43" s="27"/>
      <x:c r="D43" s="27"/>
      <x:c r="E43" s="27"/>
      <x:c r="F43" s="27"/>
      <x:c r="G43" s="27"/>
      <x:c r="H43" s="27"/>
      <x:c r="I43" s="27"/>
      <x:c r="J43" s="27"/>
      <x:c r="K43" s="27"/>
      <x:c r="L43" s="27"/>
      <x:c r="M43" s="27"/>
      <x:c r="N43" s="27"/>
      <x:c r="O43" s="27"/>
      <x:c r="P43" s="27"/>
      <x:c r="Q43" s="27"/>
      <x:c r="R43" s="27"/>
      <x:c r="S43" s="27"/>
      <x:c r="T43" s="27"/>
      <x:c r="U43" s="27"/>
      <x:c r="V43" s="27"/>
      <x:c r="W43" s="27"/>
      <x:c r="X43" s="27"/>
      <x:c r="Y43" s="27"/>
      <x:c r="Z43" s="27"/>
      <x:c r="AA43" s="27"/>
      <x:c r="AB43" s="27"/>
      <x:c r="AC43" s="27"/>
      <x:c r="AD43" s="27"/>
      <x:c r="AE43" s="27"/>
      <x:c r="AF43" s="27"/>
      <x:c r="AG43" s="27"/>
      <x:c r="AH43" s="27"/>
      <x:c r="AI43" s="27"/>
      <x:c r="AJ43" s="27"/>
      <x:c r="AK43" s="27"/>
      <x:c r="AL43" s="27"/>
      <x:c r="AM43" s="27"/>
      <x:c r="AN43" s="27"/>
      <x:c r="AO43" s="27"/>
      <x:c r="AP43" s="27"/>
      <x:c r="AQ43" s="27"/>
      <x:c r="AR43" s="27"/>
      <x:c r="AS43" s="27"/>
      <x:c r="AT43" s="27"/>
      <x:c r="AU43" s="27"/>
      <x:c r="AV43" s="27"/>
      <x:c r="AW43" s="27"/>
      <x:c r="AX43" s="27"/>
      <x:c r="AY43" s="27"/>
      <x:c r="AZ43" s="27"/>
    </x:row>
    <x:row r="44">
      <x:c r="A44" s="27"/>
      <x:c r="B44" s="27"/>
      <x:c r="C44" s="27"/>
      <x:c r="D44" s="27"/>
      <x:c r="E44" s="27"/>
      <x:c r="F44" s="27"/>
      <x:c r="G44" s="27"/>
      <x:c r="H44" s="27"/>
      <x:c r="I44" s="27"/>
      <x:c r="J44" s="27"/>
      <x:c r="K44" s="27"/>
      <x:c r="L44" s="27"/>
      <x:c r="M44" s="27"/>
      <x:c r="N44" s="27"/>
      <x:c r="O44" s="27"/>
      <x:c r="P44" s="27"/>
      <x:c r="Q44" s="27"/>
      <x:c r="R44" s="27"/>
      <x:c r="S44" s="27"/>
      <x:c r="T44" s="27"/>
      <x:c r="U44" s="27"/>
      <x:c r="V44" s="27"/>
      <x:c r="W44" s="27"/>
      <x:c r="X44" s="27"/>
      <x:c r="Y44" s="27"/>
      <x:c r="Z44" s="27"/>
      <x:c r="AA44" s="27"/>
      <x:c r="AB44" s="27"/>
      <x:c r="AC44" s="27"/>
      <x:c r="AD44" s="27"/>
      <x:c r="AE44" s="27"/>
      <x:c r="AF44" s="27"/>
      <x:c r="AG44" s="27"/>
      <x:c r="AH44" s="27"/>
      <x:c r="AI44" s="27"/>
      <x:c r="AJ44" s="27"/>
      <x:c r="AK44" s="27"/>
      <x:c r="AL44" s="27"/>
      <x:c r="AM44" s="27"/>
      <x:c r="AN44" s="27"/>
      <x:c r="AO44" s="27"/>
      <x:c r="AP44" s="27"/>
      <x:c r="AQ44" s="27"/>
      <x:c r="AR44" s="27"/>
      <x:c r="AS44" s="27"/>
      <x:c r="AT44" s="27"/>
      <x:c r="AU44" s="27"/>
      <x:c r="AV44" s="27"/>
      <x:c r="AW44" s="27"/>
      <x:c r="AX44" s="27"/>
      <x:c r="AY44" s="27"/>
      <x:c r="AZ44" s="27"/>
    </x:row>
    <x:row r="45">
      <x:c r="A45" s="27"/>
      <x:c r="B45" s="27"/>
      <x:c r="C45" s="27"/>
      <x:c r="D45" s="27"/>
      <x:c r="E45" s="27"/>
      <x:c r="F45" s="27"/>
      <x:c r="G45" s="27"/>
      <x:c r="H45" s="27"/>
      <x:c r="I45" s="27"/>
      <x:c r="J45" s="27"/>
      <x:c r="K45" s="27"/>
      <x:c r="L45" s="27"/>
      <x:c r="M45" s="27"/>
      <x:c r="N45" s="27"/>
      <x:c r="O45" s="27"/>
      <x:c r="P45" s="27"/>
      <x:c r="Q45" s="27"/>
      <x:c r="R45" s="27"/>
      <x:c r="S45" s="27"/>
      <x:c r="T45" s="27"/>
      <x:c r="U45" s="27"/>
      <x:c r="V45" s="27"/>
      <x:c r="W45" s="27"/>
      <x:c r="X45" s="27"/>
      <x:c r="Y45" s="27"/>
      <x:c r="Z45" s="27"/>
      <x:c r="AA45" s="27"/>
      <x:c r="AB45" s="27"/>
      <x:c r="AC45" s="27"/>
      <x:c r="AD45" s="27"/>
      <x:c r="AE45" s="27"/>
      <x:c r="AF45" s="27"/>
      <x:c r="AG45" s="27"/>
      <x:c r="AH45" s="27"/>
      <x:c r="AI45" s="27"/>
      <x:c r="AJ45" s="27"/>
      <x:c r="AK45" s="27"/>
      <x:c r="AL45" s="27"/>
      <x:c r="AM45" s="27"/>
      <x:c r="AN45" s="27"/>
      <x:c r="AO45" s="27"/>
      <x:c r="AP45" s="27"/>
      <x:c r="AQ45" s="27"/>
      <x:c r="AR45" s="27"/>
      <x:c r="AS45" s="27"/>
      <x:c r="AT45" s="27"/>
      <x:c r="AU45" s="27"/>
      <x:c r="AV45" s="27"/>
      <x:c r="AW45" s="27"/>
      <x:c r="AX45" s="27"/>
      <x:c r="AY45" s="27"/>
      <x:c r="AZ45" s="27"/>
    </x:row>
    <x:row r="46">
      <x:c r="A46" s="27"/>
      <x:c r="B46" s="27"/>
      <x:c r="C46" s="27"/>
      <x:c r="D46" s="27"/>
      <x:c r="E46" s="27"/>
      <x:c r="F46" s="27"/>
      <x:c r="G46" s="27"/>
      <x:c r="H46" s="27"/>
      <x:c r="I46" s="27"/>
      <x:c r="J46" s="27"/>
      <x:c r="K46" s="27"/>
      <x:c r="L46" s="27"/>
      <x:c r="M46" s="27"/>
      <x:c r="N46" s="27"/>
      <x:c r="O46" s="27"/>
      <x:c r="P46" s="27"/>
      <x:c r="Q46" s="27"/>
      <x:c r="R46" s="27"/>
      <x:c r="S46" s="27"/>
      <x:c r="T46" s="27"/>
      <x:c r="U46" s="27"/>
      <x:c r="V46" s="27"/>
      <x:c r="W46" s="27"/>
      <x:c r="X46" s="27"/>
      <x:c r="Y46" s="27"/>
      <x:c r="Z46" s="27"/>
      <x:c r="AA46" s="27"/>
      <x:c r="AB46" s="27"/>
      <x:c r="AC46" s="27"/>
      <x:c r="AD46" s="27"/>
      <x:c r="AE46" s="27"/>
      <x:c r="AF46" s="27"/>
      <x:c r="AG46" s="27"/>
      <x:c r="AH46" s="27"/>
      <x:c r="AI46" s="27"/>
      <x:c r="AJ46" s="27"/>
      <x:c r="AK46" s="27"/>
      <x:c r="AL46" s="27"/>
      <x:c r="AM46" s="27"/>
      <x:c r="AN46" s="27"/>
      <x:c r="AO46" s="27"/>
      <x:c r="AP46" s="27"/>
      <x:c r="AQ46" s="27"/>
      <x:c r="AR46" s="27"/>
      <x:c r="AS46" s="27"/>
      <x:c r="AT46" s="27"/>
      <x:c r="AU46" s="27"/>
      <x:c r="AV46" s="27"/>
      <x:c r="AW46" s="27"/>
      <x:c r="AX46" s="27"/>
      <x:c r="AY46" s="27"/>
      <x:c r="AZ46" s="27"/>
    </x:row>
    <x:row r="47">
      <x:c r="A47" s="27"/>
      <x:c r="B47" s="27"/>
      <x:c r="C47" s="27"/>
      <x:c r="D47" s="27"/>
      <x:c r="E47" s="27"/>
      <x:c r="F47" s="27"/>
      <x:c r="G47" s="27"/>
      <x:c r="H47" s="27"/>
      <x:c r="I47" s="27"/>
      <x:c r="J47" s="27"/>
      <x:c r="K47" s="27"/>
      <x:c r="L47" s="27"/>
      <x:c r="M47" s="27"/>
      <x:c r="N47" s="27"/>
      <x:c r="O47" s="27"/>
      <x:c r="P47" s="27"/>
      <x:c r="Q47" s="27"/>
      <x:c r="R47" s="27"/>
      <x:c r="S47" s="27"/>
      <x:c r="T47" s="27"/>
      <x:c r="U47" s="27"/>
      <x:c r="V47" s="27"/>
      <x:c r="W47" s="27"/>
      <x:c r="X47" s="27"/>
      <x:c r="Y47" s="27"/>
      <x:c r="Z47" s="27"/>
      <x:c r="AA47" s="27"/>
      <x:c r="AB47" s="27"/>
      <x:c r="AC47" s="27"/>
      <x:c r="AD47" s="27"/>
      <x:c r="AE47" s="27"/>
      <x:c r="AF47" s="27"/>
      <x:c r="AG47" s="27"/>
      <x:c r="AH47" s="27"/>
      <x:c r="AI47" s="27"/>
      <x:c r="AJ47" s="27"/>
      <x:c r="AK47" s="27"/>
      <x:c r="AL47" s="27"/>
      <x:c r="AM47" s="27"/>
      <x:c r="AN47" s="27"/>
      <x:c r="AO47" s="27"/>
      <x:c r="AP47" s="27"/>
      <x:c r="AQ47" s="27"/>
      <x:c r="AR47" s="27"/>
      <x:c r="AS47" s="27"/>
      <x:c r="AT47" s="27"/>
      <x:c r="AU47" s="27"/>
      <x:c r="AV47" s="27"/>
      <x:c r="AW47" s="27"/>
      <x:c r="AX47" s="27"/>
      <x:c r="AY47" s="27"/>
      <x:c r="AZ47" s="27"/>
    </x:row>
    <x:row r="48">
      <x:c r="A48" s="27"/>
      <x:c r="B48" s="27"/>
      <x:c r="C48" s="27"/>
      <x:c r="D48" s="27"/>
      <x:c r="E48" s="27"/>
      <x:c r="F48" s="27"/>
      <x:c r="G48" s="27"/>
      <x:c r="H48" s="27"/>
      <x:c r="I48" s="27"/>
      <x:c r="J48" s="27"/>
      <x:c r="K48" s="27"/>
      <x:c r="L48" s="27"/>
      <x:c r="M48" s="27"/>
      <x:c r="N48" s="27"/>
      <x:c r="O48" s="27"/>
      <x:c r="P48" s="27"/>
      <x:c r="Q48" s="27"/>
      <x:c r="R48" s="27"/>
      <x:c r="S48" s="27"/>
      <x:c r="T48" s="27"/>
      <x:c r="U48" s="27"/>
      <x:c r="V48" s="27"/>
      <x:c r="W48" s="27"/>
      <x:c r="X48" s="27"/>
      <x:c r="Y48" s="27"/>
      <x:c r="Z48" s="27"/>
      <x:c r="AA48" s="27"/>
      <x:c r="AB48" s="27"/>
      <x:c r="AC48" s="27"/>
      <x:c r="AD48" s="27"/>
      <x:c r="AE48" s="27"/>
      <x:c r="AF48" s="27"/>
      <x:c r="AG48" s="27"/>
      <x:c r="AH48" s="27"/>
      <x:c r="AI48" s="27"/>
      <x:c r="AJ48" s="27"/>
      <x:c r="AK48" s="27"/>
      <x:c r="AL48" s="27"/>
      <x:c r="AM48" s="27"/>
      <x:c r="AN48" s="27"/>
      <x:c r="AO48" s="27"/>
      <x:c r="AP48" s="27"/>
      <x:c r="AQ48" s="27"/>
      <x:c r="AR48" s="27"/>
      <x:c r="AS48" s="27"/>
      <x:c r="AT48" s="27"/>
      <x:c r="AU48" s="27"/>
      <x:c r="AV48" s="27"/>
      <x:c r="AW48" s="27"/>
      <x:c r="AX48" s="27"/>
      <x:c r="AY48" s="27"/>
      <x:c r="AZ48" s="27"/>
    </x:row>
    <x:row r="49">
      <x:c r="A49" s="27"/>
      <x:c r="B49" s="27"/>
      <x:c r="C49" s="27"/>
      <x:c r="D49" s="27"/>
      <x:c r="E49" s="27"/>
      <x:c r="F49" s="27"/>
      <x:c r="G49" s="27"/>
      <x:c r="H49" s="27"/>
      <x:c r="I49" s="27"/>
      <x:c r="J49" s="27"/>
      <x:c r="K49" s="27"/>
      <x:c r="L49" s="27"/>
      <x:c r="M49" s="27"/>
      <x:c r="N49" s="27"/>
      <x:c r="O49" s="27"/>
      <x:c r="P49" s="27"/>
      <x:c r="Q49" s="27"/>
      <x:c r="R49" s="27"/>
      <x:c r="S49" s="27"/>
      <x:c r="T49" s="27"/>
      <x:c r="U49" s="27"/>
      <x:c r="V49" s="27"/>
      <x:c r="W49" s="27"/>
      <x:c r="X49" s="27"/>
      <x:c r="Y49" s="27"/>
      <x:c r="Z49" s="27"/>
      <x:c r="AA49" s="27"/>
      <x:c r="AB49" s="27"/>
      <x:c r="AC49" s="27"/>
      <x:c r="AD49" s="27"/>
      <x:c r="AE49" s="27"/>
      <x:c r="AF49" s="27"/>
      <x:c r="AG49" s="27"/>
      <x:c r="AH49" s="27"/>
      <x:c r="AI49" s="27"/>
      <x:c r="AJ49" s="27"/>
      <x:c r="AK49" s="27"/>
      <x:c r="AL49" s="27"/>
      <x:c r="AM49" s="27"/>
      <x:c r="AN49" s="27"/>
      <x:c r="AO49" s="27"/>
      <x:c r="AP49" s="27"/>
      <x:c r="AQ49" s="27"/>
      <x:c r="AR49" s="27"/>
      <x:c r="AS49" s="27"/>
      <x:c r="AT49" s="27"/>
      <x:c r="AU49" s="27"/>
      <x:c r="AV49" s="27"/>
      <x:c r="AW49" s="27"/>
      <x:c r="AX49" s="27"/>
      <x:c r="AY49" s="27"/>
      <x:c r="AZ49" s="27"/>
    </x:row>
    <x:row r="50">
      <x:c r="A50" s="27"/>
      <x:c r="B50" s="27"/>
      <x:c r="C50" s="27"/>
      <x:c r="D50" s="27"/>
      <x:c r="E50" s="27"/>
      <x:c r="F50" s="27"/>
      <x:c r="G50" s="27"/>
      <x:c r="H50" s="27"/>
      <x:c r="I50" s="27"/>
      <x:c r="J50" s="27"/>
      <x:c r="K50" s="27"/>
      <x:c r="L50" s="27"/>
      <x:c r="M50" s="27"/>
      <x:c r="N50" s="27"/>
      <x:c r="O50" s="27"/>
      <x:c r="P50" s="27"/>
      <x:c r="Q50" s="27"/>
      <x:c r="R50" s="27"/>
      <x:c r="S50" s="27"/>
      <x:c r="T50" s="27"/>
      <x:c r="U50" s="27"/>
      <x:c r="V50" s="27"/>
      <x:c r="W50" s="27"/>
      <x:c r="X50" s="27"/>
      <x:c r="Y50" s="27"/>
      <x:c r="Z50" s="27"/>
      <x:c r="AA50" s="27"/>
      <x:c r="AB50" s="27"/>
      <x:c r="AC50" s="27"/>
      <x:c r="AD50" s="27"/>
      <x:c r="AE50" s="27"/>
      <x:c r="AF50" s="27"/>
      <x:c r="AG50" s="27"/>
      <x:c r="AH50" s="27"/>
      <x:c r="AI50" s="27"/>
      <x:c r="AJ50" s="27"/>
      <x:c r="AK50" s="27"/>
      <x:c r="AL50" s="27"/>
      <x:c r="AM50" s="27"/>
      <x:c r="AN50" s="27"/>
      <x:c r="AO50" s="27"/>
      <x:c r="AP50" s="27"/>
      <x:c r="AQ50" s="27"/>
      <x:c r="AR50" s="27"/>
      <x:c r="AS50" s="27"/>
      <x:c r="AT50" s="27"/>
      <x:c r="AU50" s="27"/>
      <x:c r="AV50" s="27"/>
      <x:c r="AW50" s="27"/>
      <x:c r="AX50" s="27"/>
      <x:c r="AY50" s="27"/>
      <x:c r="AZ50" s="27"/>
    </x:row>
    <x:row r="51">
      <x:c r="A51" s="27"/>
      <x:c r="B51" s="27"/>
      <x:c r="C51" s="27"/>
      <x:c r="D51" s="27"/>
      <x:c r="E51" s="27"/>
      <x:c r="F51" s="27"/>
      <x:c r="G51" s="27"/>
      <x:c r="H51" s="27"/>
      <x:c r="I51" s="27"/>
      <x:c r="J51" s="27"/>
      <x:c r="K51" s="27"/>
      <x:c r="L51" s="27"/>
      <x:c r="M51" s="27"/>
      <x:c r="N51" s="27"/>
      <x:c r="O51" s="27"/>
      <x:c r="P51" s="27"/>
      <x:c r="Q51" s="27"/>
      <x:c r="R51" s="27"/>
      <x:c r="S51" s="27"/>
      <x:c r="T51" s="27"/>
      <x:c r="U51" s="27"/>
      <x:c r="V51" s="27"/>
      <x:c r="W51" s="27"/>
      <x:c r="X51" s="27"/>
      <x:c r="Y51" s="27"/>
      <x:c r="Z51" s="27"/>
      <x:c r="AA51" s="27"/>
      <x:c r="AB51" s="27"/>
      <x:c r="AC51" s="27"/>
      <x:c r="AD51" s="27"/>
      <x:c r="AE51" s="27"/>
      <x:c r="AF51" s="27"/>
      <x:c r="AG51" s="27"/>
      <x:c r="AH51" s="27"/>
      <x:c r="AI51" s="27"/>
      <x:c r="AJ51" s="27"/>
      <x:c r="AK51" s="27"/>
      <x:c r="AL51" s="27"/>
      <x:c r="AM51" s="27"/>
      <x:c r="AN51" s="27"/>
      <x:c r="AO51" s="27"/>
      <x:c r="AP51" s="27"/>
      <x:c r="AQ51" s="27"/>
      <x:c r="AR51" s="27"/>
      <x:c r="AS51" s="27"/>
      <x:c r="AT51" s="27"/>
      <x:c r="AU51" s="27"/>
      <x:c r="AV51" s="27"/>
      <x:c r="AW51" s="27"/>
      <x:c r="AX51" s="27"/>
      <x:c r="AY51" s="27"/>
      <x:c r="AZ51" s="27"/>
    </x:row>
    <x:row r="52">
      <x:c r="A52" s="27"/>
      <x:c r="B52" s="27"/>
      <x:c r="C52" s="27"/>
      <x:c r="D52" s="27"/>
      <x:c r="E52" s="27"/>
      <x:c r="F52" s="27"/>
      <x:c r="G52" s="27"/>
      <x:c r="H52" s="27"/>
      <x:c r="I52" s="27"/>
      <x:c r="J52" s="27"/>
      <x:c r="K52" s="27"/>
      <x:c r="L52" s="27"/>
      <x:c r="M52" s="27"/>
      <x:c r="N52" s="27"/>
      <x:c r="O52" s="27"/>
      <x:c r="P52" s="27"/>
      <x:c r="Q52" s="27"/>
      <x:c r="R52" s="27"/>
      <x:c r="S52" s="27"/>
      <x:c r="T52" s="27"/>
      <x:c r="U52" s="27"/>
      <x:c r="V52" s="27"/>
      <x:c r="W52" s="27"/>
      <x:c r="X52" s="27"/>
      <x:c r="Y52" s="27"/>
      <x:c r="Z52" s="27"/>
      <x:c r="AA52" s="27"/>
      <x:c r="AB52" s="27"/>
      <x:c r="AC52" s="27"/>
      <x:c r="AD52" s="27"/>
      <x:c r="AE52" s="27"/>
      <x:c r="AF52" s="27"/>
      <x:c r="AG52" s="27"/>
      <x:c r="AH52" s="27"/>
      <x:c r="AI52" s="27"/>
      <x:c r="AJ52" s="27"/>
      <x:c r="AK52" s="27"/>
      <x:c r="AL52" s="27"/>
      <x:c r="AM52" s="27"/>
      <x:c r="AN52" s="27"/>
      <x:c r="AO52" s="27"/>
      <x:c r="AP52" s="27"/>
      <x:c r="AQ52" s="27"/>
      <x:c r="AR52" s="27"/>
      <x:c r="AS52" s="27"/>
      <x:c r="AT52" s="27"/>
      <x:c r="AU52" s="27"/>
      <x:c r="AV52" s="27"/>
      <x:c r="AW52" s="27"/>
      <x:c r="AX52" s="27"/>
      <x:c r="AY52" s="27"/>
      <x:c r="AZ52" s="27"/>
    </x:row>
    <x:row r="53">
      <x:c r="A53" s="27"/>
      <x:c r="B53" s="27"/>
      <x:c r="C53" s="27"/>
      <x:c r="D53" s="27"/>
      <x:c r="E53" s="27"/>
      <x:c r="F53" s="27"/>
      <x:c r="G53" s="27"/>
      <x:c r="H53" s="27"/>
      <x:c r="I53" s="27"/>
      <x:c r="J53" s="27"/>
      <x:c r="K53" s="27"/>
      <x:c r="L53" s="27"/>
      <x:c r="M53" s="27"/>
      <x:c r="N53" s="27"/>
      <x:c r="O53" s="27"/>
      <x:c r="P53" s="27"/>
      <x:c r="Q53" s="27"/>
      <x:c r="R53" s="27"/>
      <x:c r="S53" s="27"/>
      <x:c r="T53" s="27"/>
      <x:c r="U53" s="27"/>
      <x:c r="V53" s="27"/>
      <x:c r="W53" s="27"/>
      <x:c r="X53" s="27"/>
      <x:c r="Y53" s="27"/>
      <x:c r="Z53" s="27"/>
      <x:c r="AA53" s="27"/>
      <x:c r="AB53" s="27"/>
      <x:c r="AC53" s="27"/>
      <x:c r="AD53" s="27"/>
      <x:c r="AE53" s="27"/>
      <x:c r="AF53" s="27"/>
      <x:c r="AG53" s="27"/>
      <x:c r="AH53" s="27"/>
      <x:c r="AI53" s="27"/>
      <x:c r="AJ53" s="27"/>
      <x:c r="AK53" s="27"/>
      <x:c r="AL53" s="27"/>
      <x:c r="AM53" s="27"/>
      <x:c r="AN53" s="27"/>
      <x:c r="AO53" s="27"/>
      <x:c r="AP53" s="27"/>
      <x:c r="AQ53" s="27"/>
      <x:c r="AR53" s="27"/>
      <x:c r="AS53" s="27"/>
      <x:c r="AT53" s="27"/>
      <x:c r="AU53" s="27"/>
      <x:c r="AV53" s="27"/>
      <x:c r="AW53" s="27"/>
      <x:c r="AX53" s="27"/>
      <x:c r="AY53" s="27"/>
      <x:c r="AZ53" s="27"/>
    </x:row>
    <x:row r="54">
      <x:c r="A54" s="27"/>
      <x:c r="B54" s="27"/>
      <x:c r="C54" s="27"/>
      <x:c r="D54" s="27"/>
      <x:c r="E54" s="27"/>
      <x:c r="F54" s="27"/>
      <x:c r="G54" s="27"/>
      <x:c r="H54" s="27"/>
      <x:c r="I54" s="27"/>
      <x:c r="J54" s="27"/>
      <x:c r="K54" s="27"/>
      <x:c r="L54" s="27"/>
      <x:c r="M54" s="27"/>
      <x:c r="N54" s="27"/>
      <x:c r="O54" s="27"/>
      <x:c r="P54" s="27"/>
      <x:c r="Q54" s="27"/>
      <x:c r="R54" s="27"/>
      <x:c r="S54" s="27"/>
      <x:c r="T54" s="27"/>
      <x:c r="U54" s="27"/>
      <x:c r="V54" s="27"/>
      <x:c r="W54" s="27"/>
      <x:c r="X54" s="27"/>
      <x:c r="Y54" s="27"/>
      <x:c r="Z54" s="27"/>
      <x:c r="AA54" s="27"/>
      <x:c r="AB54" s="27"/>
      <x:c r="AC54" s="27"/>
      <x:c r="AD54" s="27"/>
      <x:c r="AE54" s="27"/>
      <x:c r="AF54" s="27"/>
      <x:c r="AG54" s="27"/>
      <x:c r="AH54" s="27"/>
      <x:c r="AI54" s="27"/>
      <x:c r="AJ54" s="27"/>
      <x:c r="AK54" s="27"/>
      <x:c r="AL54" s="27"/>
      <x:c r="AM54" s="27"/>
      <x:c r="AN54" s="27"/>
      <x:c r="AO54" s="27"/>
      <x:c r="AP54" s="27"/>
      <x:c r="AQ54" s="27"/>
      <x:c r="AR54" s="27"/>
      <x:c r="AS54" s="27"/>
      <x:c r="AT54" s="27"/>
      <x:c r="AU54" s="27"/>
      <x:c r="AV54" s="27"/>
      <x:c r="AW54" s="27"/>
      <x:c r="AX54" s="27"/>
      <x:c r="AY54" s="27"/>
      <x:c r="AZ54" s="27"/>
    </x:row>
    <x:row r="55">
      <x:c r="A55" s="27"/>
      <x:c r="B55" s="27"/>
      <x:c r="C55" s="27"/>
      <x:c r="D55" s="27"/>
      <x:c r="E55" s="27"/>
      <x:c r="F55" s="27"/>
      <x:c r="G55" s="27"/>
      <x:c r="H55" s="27"/>
      <x:c r="I55" s="27"/>
      <x:c r="J55" s="27"/>
      <x:c r="K55" s="27"/>
      <x:c r="L55" s="27"/>
      <x:c r="M55" s="27"/>
      <x:c r="N55" s="27"/>
      <x:c r="O55" s="27"/>
      <x:c r="P55" s="27"/>
      <x:c r="Q55" s="27"/>
      <x:c r="R55" s="27"/>
      <x:c r="S55" s="27"/>
      <x:c r="T55" s="27"/>
      <x:c r="U55" s="27"/>
      <x:c r="V55" s="27"/>
      <x:c r="W55" s="27"/>
      <x:c r="X55" s="27"/>
      <x:c r="Y55" s="27"/>
      <x:c r="Z55" s="27"/>
      <x:c r="AA55" s="27"/>
      <x:c r="AB55" s="27"/>
      <x:c r="AC55" s="27"/>
      <x:c r="AD55" s="27"/>
      <x:c r="AE55" s="27"/>
      <x:c r="AF55" s="27"/>
      <x:c r="AG55" s="27"/>
      <x:c r="AH55" s="27"/>
      <x:c r="AI55" s="27"/>
      <x:c r="AJ55" s="27"/>
      <x:c r="AK55" s="27"/>
      <x:c r="AL55" s="27"/>
      <x:c r="AM55" s="27"/>
      <x:c r="AN55" s="27"/>
      <x:c r="AO55" s="27"/>
      <x:c r="AP55" s="27"/>
      <x:c r="AQ55" s="27"/>
      <x:c r="AR55" s="27"/>
      <x:c r="AS55" s="27"/>
      <x:c r="AT55" s="27"/>
      <x:c r="AU55" s="27"/>
      <x:c r="AV55" s="27"/>
      <x:c r="AW55" s="27"/>
      <x:c r="AX55" s="27"/>
      <x:c r="AY55" s="27"/>
      <x:c r="AZ55" s="27"/>
    </x:row>
    <x:row r="56">
      <x:c r="A56" s="27"/>
      <x:c r="B56" s="27"/>
      <x:c r="C56" s="27"/>
      <x:c r="D56" s="27"/>
      <x:c r="E56" s="27"/>
      <x:c r="F56" s="27"/>
      <x:c r="G56" s="27"/>
      <x:c r="H56" s="27"/>
      <x:c r="I56" s="27"/>
      <x:c r="J56" s="27"/>
      <x:c r="K56" s="27"/>
      <x:c r="L56" s="27"/>
      <x:c r="M56" s="27"/>
      <x:c r="N56" s="27"/>
      <x:c r="O56" s="27"/>
      <x:c r="P56" s="27"/>
      <x:c r="Q56" s="27"/>
      <x:c r="R56" s="27"/>
      <x:c r="S56" s="27"/>
      <x:c r="T56" s="27"/>
      <x:c r="U56" s="27"/>
      <x:c r="V56" s="27"/>
      <x:c r="W56" s="27"/>
      <x:c r="X56" s="27"/>
      <x:c r="Y56" s="27"/>
      <x:c r="Z56" s="27"/>
      <x:c r="AA56" s="27"/>
      <x:c r="AB56" s="27"/>
      <x:c r="AC56" s="27"/>
      <x:c r="AD56" s="27"/>
      <x:c r="AE56" s="27"/>
      <x:c r="AF56" s="27"/>
      <x:c r="AG56" s="27"/>
      <x:c r="AH56" s="27"/>
      <x:c r="AI56" s="27"/>
      <x:c r="AJ56" s="27"/>
      <x:c r="AK56" s="27"/>
      <x:c r="AL56" s="27"/>
      <x:c r="AM56" s="27"/>
      <x:c r="AN56" s="27"/>
      <x:c r="AO56" s="27"/>
      <x:c r="AP56" s="27"/>
      <x:c r="AQ56" s="27"/>
      <x:c r="AR56" s="27"/>
      <x:c r="AS56" s="27"/>
      <x:c r="AT56" s="27"/>
      <x:c r="AU56" s="27"/>
      <x:c r="AV56" s="27"/>
      <x:c r="AW56" s="27"/>
      <x:c r="AX56" s="27"/>
      <x:c r="AY56" s="27"/>
      <x:c r="AZ56" s="27"/>
    </x:row>
    <x:row r="57">
      <x:c r="A57" s="27"/>
      <x:c r="B57" s="27"/>
      <x:c r="C57" s="27"/>
      <x:c r="D57" s="27"/>
      <x:c r="E57" s="27"/>
      <x:c r="F57" s="27"/>
      <x:c r="G57" s="27"/>
      <x:c r="H57" s="27"/>
      <x:c r="I57" s="27"/>
      <x:c r="J57" s="27"/>
      <x:c r="K57" s="27"/>
      <x:c r="L57" s="27"/>
      <x:c r="M57" s="27"/>
      <x:c r="N57" s="27"/>
      <x:c r="O57" s="27"/>
      <x:c r="P57" s="27"/>
      <x:c r="Q57" s="27"/>
      <x:c r="R57" s="27"/>
      <x:c r="S57" s="27"/>
      <x:c r="T57" s="27"/>
      <x:c r="U57" s="27"/>
      <x:c r="V57" s="27"/>
      <x:c r="W57" s="27"/>
      <x:c r="X57" s="27"/>
      <x:c r="Y57" s="27"/>
      <x:c r="Z57" s="27"/>
      <x:c r="AA57" s="27"/>
      <x:c r="AB57" s="27"/>
      <x:c r="AC57" s="27"/>
      <x:c r="AD57" s="27"/>
      <x:c r="AE57" s="27"/>
      <x:c r="AF57" s="27"/>
      <x:c r="AG57" s="27"/>
      <x:c r="AH57" s="27"/>
      <x:c r="AI57" s="27"/>
      <x:c r="AJ57" s="27"/>
      <x:c r="AK57" s="27"/>
      <x:c r="AL57" s="27"/>
      <x:c r="AM57" s="27"/>
      <x:c r="AN57" s="27"/>
      <x:c r="AO57" s="27"/>
      <x:c r="AP57" s="27"/>
      <x:c r="AQ57" s="27"/>
      <x:c r="AR57" s="27"/>
      <x:c r="AS57" s="27"/>
      <x:c r="AT57" s="27"/>
      <x:c r="AU57" s="27"/>
      <x:c r="AV57" s="27"/>
      <x:c r="AW57" s="27"/>
      <x:c r="AX57" s="27"/>
      <x:c r="AY57" s="27"/>
      <x:c r="AZ57" s="27"/>
    </x:row>
    <x:row r="58">
      <x:c r="A58" s="27"/>
      <x:c r="B58" s="27"/>
      <x:c r="C58" s="27"/>
      <x:c r="D58" s="27"/>
      <x:c r="E58" s="27"/>
      <x:c r="F58" s="27"/>
      <x:c r="G58" s="27"/>
      <x:c r="H58" s="27"/>
      <x:c r="I58" s="27"/>
      <x:c r="J58" s="27"/>
      <x:c r="K58" s="27"/>
      <x:c r="L58" s="27"/>
      <x:c r="M58" s="27"/>
      <x:c r="N58" s="27"/>
      <x:c r="O58" s="27"/>
      <x:c r="P58" s="27"/>
      <x:c r="Q58" s="27"/>
      <x:c r="R58" s="27"/>
      <x:c r="S58" s="27"/>
      <x:c r="T58" s="27"/>
      <x:c r="U58" s="27"/>
      <x:c r="V58" s="27"/>
      <x:c r="W58" s="27"/>
      <x:c r="X58" s="27"/>
      <x:c r="Y58" s="27"/>
      <x:c r="Z58" s="27"/>
      <x:c r="AA58" s="27"/>
      <x:c r="AB58" s="27"/>
      <x:c r="AC58" s="27"/>
      <x:c r="AD58" s="27"/>
      <x:c r="AE58" s="27"/>
      <x:c r="AF58" s="27"/>
      <x:c r="AG58" s="27"/>
      <x:c r="AH58" s="27"/>
      <x:c r="AI58" s="27"/>
      <x:c r="AJ58" s="27"/>
      <x:c r="AK58" s="27"/>
      <x:c r="AL58" s="27"/>
      <x:c r="AM58" s="27"/>
      <x:c r="AN58" s="27"/>
      <x:c r="AO58" s="27"/>
      <x:c r="AP58" s="27"/>
      <x:c r="AQ58" s="27"/>
      <x:c r="AR58" s="27"/>
      <x:c r="AS58" s="27"/>
      <x:c r="AT58" s="27"/>
      <x:c r="AU58" s="27"/>
      <x:c r="AV58" s="27"/>
      <x:c r="AW58" s="27"/>
      <x:c r="AX58" s="27"/>
      <x:c r="AY58" s="27"/>
      <x:c r="AZ58" s="27"/>
    </x:row>
    <x:row r="59">
      <x:c r="A59" s="27"/>
      <x:c r="B59" s="27"/>
      <x:c r="C59" s="27"/>
      <x:c r="D59" s="27"/>
      <x:c r="E59" s="27"/>
      <x:c r="F59" s="27"/>
      <x:c r="G59" s="27"/>
      <x:c r="H59" s="27"/>
      <x:c r="I59" s="27"/>
      <x:c r="J59" s="27"/>
      <x:c r="K59" s="27"/>
      <x:c r="L59" s="27"/>
      <x:c r="M59" s="27"/>
      <x:c r="N59" s="27"/>
      <x:c r="O59" s="27"/>
      <x:c r="P59" s="27"/>
      <x:c r="Q59" s="27"/>
      <x:c r="R59" s="27"/>
      <x:c r="S59" s="27"/>
      <x:c r="T59" s="27"/>
      <x:c r="U59" s="27"/>
      <x:c r="V59" s="27"/>
      <x:c r="W59" s="27"/>
      <x:c r="X59" s="27"/>
      <x:c r="Y59" s="27"/>
      <x:c r="Z59" s="27"/>
      <x:c r="AA59" s="27"/>
      <x:c r="AB59" s="27"/>
      <x:c r="AC59" s="27"/>
      <x:c r="AD59" s="27"/>
      <x:c r="AE59" s="27"/>
      <x:c r="AF59" s="27"/>
      <x:c r="AG59" s="27"/>
      <x:c r="AH59" s="27"/>
      <x:c r="AI59" s="27"/>
      <x:c r="AJ59" s="27"/>
      <x:c r="AK59" s="27"/>
      <x:c r="AL59" s="27"/>
      <x:c r="AM59" s="27"/>
      <x:c r="AN59" s="27"/>
      <x:c r="AO59" s="27"/>
      <x:c r="AP59" s="27"/>
      <x:c r="AQ59" s="27"/>
      <x:c r="AR59" s="27"/>
      <x:c r="AS59" s="27"/>
      <x:c r="AT59" s="27"/>
      <x:c r="AU59" s="27"/>
      <x:c r="AV59" s="27"/>
      <x:c r="AW59" s="27"/>
      <x:c r="AX59" s="27"/>
      <x:c r="AY59" s="27"/>
      <x:c r="AZ59" s="27"/>
    </x:row>
    <x:row r="60">
      <x:c r="A60" s="27"/>
      <x:c r="B60" s="27"/>
      <x:c r="C60" s="27"/>
      <x:c r="D60" s="27"/>
      <x:c r="E60" s="27"/>
      <x:c r="F60" s="27"/>
      <x:c r="G60" s="27"/>
      <x:c r="H60" s="27"/>
      <x:c r="I60" s="27"/>
      <x:c r="J60" s="27"/>
      <x:c r="K60" s="27"/>
      <x:c r="L60" s="27"/>
      <x:c r="M60" s="27"/>
      <x:c r="N60" s="27"/>
      <x:c r="O60" s="27"/>
      <x:c r="P60" s="27"/>
      <x:c r="Q60" s="27"/>
      <x:c r="R60" s="27"/>
      <x:c r="S60" s="27"/>
      <x:c r="T60" s="27"/>
      <x:c r="U60" s="27"/>
      <x:c r="V60" s="27"/>
      <x:c r="W60" s="27"/>
      <x:c r="X60" s="27"/>
      <x:c r="Y60" s="27"/>
      <x:c r="Z60" s="27"/>
      <x:c r="AA60" s="27"/>
      <x:c r="AB60" s="27"/>
      <x:c r="AC60" s="27"/>
      <x:c r="AD60" s="27"/>
      <x:c r="AE60" s="27"/>
      <x:c r="AF60" s="27"/>
      <x:c r="AG60" s="27"/>
      <x:c r="AH60" s="27"/>
      <x:c r="AI60" s="27"/>
      <x:c r="AJ60" s="27"/>
      <x:c r="AK60" s="27"/>
      <x:c r="AL60" s="27"/>
      <x:c r="AM60" s="27"/>
      <x:c r="AN60" s="27"/>
      <x:c r="AO60" s="27"/>
      <x:c r="AP60" s="27"/>
      <x:c r="AQ60" s="27"/>
      <x:c r="AR60" s="27"/>
      <x:c r="AS60" s="27"/>
      <x:c r="AT60" s="27"/>
      <x:c r="AU60" s="27"/>
      <x:c r="AV60" s="27"/>
      <x:c r="AW60" s="27"/>
      <x:c r="AX60" s="27"/>
      <x:c r="AY60" s="27"/>
      <x:c r="AZ60" s="27"/>
    </x:row>
    <x:row r="61">
      <x:c r="A61" s="27"/>
      <x:c r="B61" s="27"/>
      <x:c r="C61" s="27"/>
      <x:c r="D61" s="27"/>
      <x:c r="E61" s="27"/>
      <x:c r="F61" s="27"/>
      <x:c r="G61" s="27"/>
      <x:c r="H61" s="27"/>
      <x:c r="I61" s="27"/>
      <x:c r="J61" s="27"/>
      <x:c r="K61" s="27"/>
      <x:c r="L61" s="27"/>
      <x:c r="M61" s="27"/>
      <x:c r="N61" s="27"/>
      <x:c r="O61" s="27"/>
      <x:c r="P61" s="27"/>
      <x:c r="Q61" s="27"/>
      <x:c r="R61" s="27"/>
      <x:c r="S61" s="27"/>
      <x:c r="T61" s="27"/>
      <x:c r="U61" s="27"/>
      <x:c r="V61" s="27"/>
      <x:c r="W61" s="27"/>
      <x:c r="X61" s="27"/>
      <x:c r="Y61" s="27"/>
      <x:c r="Z61" s="27"/>
      <x:c r="AA61" s="27"/>
      <x:c r="AB61" s="27"/>
      <x:c r="AC61" s="27"/>
      <x:c r="AD61" s="27"/>
      <x:c r="AE61" s="27"/>
      <x:c r="AF61" s="27"/>
      <x:c r="AG61" s="27"/>
      <x:c r="AH61" s="27"/>
      <x:c r="AI61" s="27"/>
      <x:c r="AJ61" s="27"/>
      <x:c r="AK61" s="27"/>
      <x:c r="AL61" s="27"/>
      <x:c r="AM61" s="27"/>
      <x:c r="AN61" s="27"/>
      <x:c r="AO61" s="27"/>
      <x:c r="AP61" s="27"/>
      <x:c r="AQ61" s="27"/>
      <x:c r="AR61" s="27"/>
      <x:c r="AS61" s="27"/>
      <x:c r="AT61" s="27"/>
      <x:c r="AU61" s="27"/>
      <x:c r="AV61" s="27"/>
      <x:c r="AW61" s="27"/>
      <x:c r="AX61" s="27"/>
      <x:c r="AY61" s="27"/>
      <x:c r="AZ61" s="27"/>
    </x:row>
    <x:row r="62">
      <x:c r="A62" s="27"/>
      <x:c r="B62" s="27"/>
      <x:c r="C62" s="27"/>
      <x:c r="D62" s="27"/>
      <x:c r="E62" s="27"/>
      <x:c r="F62" s="27"/>
      <x:c r="G62" s="27"/>
      <x:c r="H62" s="27"/>
      <x:c r="I62" s="27"/>
      <x:c r="J62" s="27"/>
      <x:c r="K62" s="27"/>
      <x:c r="L62" s="27"/>
      <x:c r="M62" s="27"/>
      <x:c r="N62" s="27"/>
      <x:c r="O62" s="27"/>
      <x:c r="P62" s="27"/>
      <x:c r="Q62" s="27"/>
      <x:c r="R62" s="27"/>
      <x:c r="S62" s="27"/>
      <x:c r="T62" s="27"/>
      <x:c r="U62" s="27"/>
      <x:c r="V62" s="27"/>
      <x:c r="W62" s="27"/>
      <x:c r="X62" s="27"/>
      <x:c r="Y62" s="27"/>
      <x:c r="Z62" s="27"/>
      <x:c r="AA62" s="27"/>
      <x:c r="AB62" s="27"/>
      <x:c r="AC62" s="27"/>
      <x:c r="AD62" s="27"/>
      <x:c r="AE62" s="27"/>
      <x:c r="AF62" s="27"/>
      <x:c r="AG62" s="27"/>
      <x:c r="AH62" s="27"/>
      <x:c r="AI62" s="27"/>
      <x:c r="AJ62" s="27"/>
      <x:c r="AK62" s="27"/>
      <x:c r="AL62" s="27"/>
      <x:c r="AM62" s="27"/>
      <x:c r="AN62" s="27"/>
      <x:c r="AO62" s="27"/>
      <x:c r="AP62" s="27"/>
      <x:c r="AQ62" s="27"/>
      <x:c r="AR62" s="27"/>
      <x:c r="AS62" s="27"/>
      <x:c r="AT62" s="27"/>
      <x:c r="AU62" s="27"/>
      <x:c r="AV62" s="27"/>
      <x:c r="AW62" s="27"/>
      <x:c r="AX62" s="27"/>
      <x:c r="AY62" s="27"/>
      <x:c r="AZ62" s="27"/>
    </x:row>
    <x:row r="63">
      <x:c r="A63" s="27"/>
      <x:c r="B63" s="27"/>
      <x:c r="C63" s="27"/>
      <x:c r="D63" s="27"/>
      <x:c r="E63" s="27"/>
      <x:c r="F63" s="27"/>
      <x:c r="G63" s="27"/>
      <x:c r="H63" s="27"/>
      <x:c r="I63" s="27"/>
      <x:c r="J63" s="27"/>
      <x:c r="K63" s="27"/>
      <x:c r="L63" s="27"/>
      <x:c r="M63" s="27"/>
      <x:c r="N63" s="27"/>
      <x:c r="O63" s="27"/>
      <x:c r="P63" s="27"/>
      <x:c r="Q63" s="27"/>
      <x:c r="R63" s="27"/>
      <x:c r="S63" s="27"/>
      <x:c r="T63" s="27"/>
      <x:c r="U63" s="27"/>
      <x:c r="V63" s="27"/>
      <x:c r="W63" s="27"/>
      <x:c r="X63" s="27"/>
      <x:c r="Y63" s="27"/>
      <x:c r="Z63" s="27"/>
      <x:c r="AA63" s="27"/>
      <x:c r="AB63" s="27"/>
      <x:c r="AC63" s="27"/>
      <x:c r="AD63" s="27"/>
      <x:c r="AE63" s="27"/>
      <x:c r="AF63" s="27"/>
      <x:c r="AG63" s="27"/>
      <x:c r="AH63" s="27"/>
      <x:c r="AI63" s="27"/>
      <x:c r="AJ63" s="27"/>
      <x:c r="AK63" s="27"/>
      <x:c r="AL63" s="27"/>
      <x:c r="AM63" s="27"/>
      <x:c r="AN63" s="27"/>
      <x:c r="AO63" s="27"/>
      <x:c r="AP63" s="27"/>
      <x:c r="AQ63" s="27"/>
      <x:c r="AR63" s="27"/>
      <x:c r="AS63" s="27"/>
      <x:c r="AT63" s="27"/>
      <x:c r="AU63" s="27"/>
      <x:c r="AV63" s="27"/>
      <x:c r="AW63" s="27"/>
      <x:c r="AX63" s="27"/>
      <x:c r="AY63" s="27"/>
      <x:c r="AZ63" s="27"/>
    </x:row>
    <x:row r="64">
      <x:c r="A64" s="27"/>
      <x:c r="B64" s="27"/>
      <x:c r="C64" s="27"/>
      <x:c r="D64" s="27"/>
      <x:c r="E64" s="27"/>
      <x:c r="F64" s="27"/>
      <x:c r="G64" s="27"/>
      <x:c r="H64" s="27"/>
      <x:c r="I64" s="27"/>
      <x:c r="J64" s="27"/>
      <x:c r="K64" s="27"/>
      <x:c r="L64" s="27"/>
      <x:c r="M64" s="27"/>
      <x:c r="N64" s="27"/>
      <x:c r="O64" s="27"/>
      <x:c r="P64" s="27"/>
      <x:c r="Q64" s="27"/>
      <x:c r="R64" s="27"/>
      <x:c r="S64" s="27"/>
      <x:c r="T64" s="27"/>
      <x:c r="U64" s="27"/>
      <x:c r="V64" s="27"/>
      <x:c r="W64" s="27"/>
      <x:c r="X64" s="27"/>
      <x:c r="Y64" s="27"/>
      <x:c r="Z64" s="27"/>
      <x:c r="AA64" s="27"/>
      <x:c r="AB64" s="27"/>
      <x:c r="AC64" s="27"/>
      <x:c r="AD64" s="27"/>
      <x:c r="AE64" s="27"/>
      <x:c r="AF64" s="27"/>
      <x:c r="AG64" s="27"/>
      <x:c r="AH64" s="27"/>
      <x:c r="AI64" s="27"/>
      <x:c r="AJ64" s="27"/>
      <x:c r="AK64" s="27"/>
      <x:c r="AL64" s="27"/>
      <x:c r="AM64" s="27"/>
      <x:c r="AN64" s="27"/>
      <x:c r="AO64" s="27"/>
      <x:c r="AP64" s="27"/>
      <x:c r="AQ64" s="27"/>
      <x:c r="AR64" s="27"/>
      <x:c r="AS64" s="27"/>
      <x:c r="AT64" s="27"/>
      <x:c r="AU64" s="27"/>
      <x:c r="AV64" s="27"/>
      <x:c r="AW64" s="27"/>
      <x:c r="AX64" s="27"/>
      <x:c r="AY64" s="27"/>
      <x:c r="AZ64" s="27"/>
    </x:row>
    <x:row r="65">
      <x:c r="A65" s="27"/>
      <x:c r="B65" s="27"/>
      <x:c r="C65" s="27"/>
      <x:c r="D65" s="27"/>
      <x:c r="E65" s="27"/>
      <x:c r="F65" s="27"/>
      <x:c r="G65" s="27"/>
      <x:c r="H65" s="27"/>
      <x:c r="I65" s="27"/>
      <x:c r="J65" s="27"/>
      <x:c r="K65" s="27"/>
      <x:c r="L65" s="27"/>
      <x:c r="M65" s="27"/>
      <x:c r="N65" s="27"/>
      <x:c r="O65" s="27"/>
      <x:c r="P65" s="27"/>
      <x:c r="Q65" s="27"/>
      <x:c r="R65" s="27"/>
      <x:c r="S65" s="27"/>
      <x:c r="T65" s="27"/>
      <x:c r="U65" s="27"/>
      <x:c r="V65" s="27"/>
      <x:c r="W65" s="27"/>
      <x:c r="X65" s="27"/>
      <x:c r="Y65" s="27"/>
      <x:c r="Z65" s="27"/>
      <x:c r="AA65" s="27"/>
      <x:c r="AB65" s="27"/>
      <x:c r="AC65" s="27"/>
      <x:c r="AD65" s="27"/>
      <x:c r="AE65" s="27"/>
      <x:c r="AF65" s="27"/>
      <x:c r="AG65" s="27"/>
      <x:c r="AH65" s="27"/>
      <x:c r="AI65" s="27"/>
      <x:c r="AJ65" s="27"/>
      <x:c r="AK65" s="27"/>
      <x:c r="AL65" s="27"/>
      <x:c r="AM65" s="27"/>
      <x:c r="AN65" s="27"/>
      <x:c r="AO65" s="27"/>
      <x:c r="AP65" s="27"/>
      <x:c r="AQ65" s="27"/>
      <x:c r="AR65" s="27"/>
      <x:c r="AS65" s="27"/>
      <x:c r="AT65" s="27"/>
      <x:c r="AU65" s="27"/>
      <x:c r="AV65" s="27"/>
      <x:c r="AW65" s="27"/>
      <x:c r="AX65" s="27"/>
      <x:c r="AY65" s="27"/>
      <x:c r="AZ65" s="27"/>
    </x:row>
    <x:row r="66">
      <x:c r="A66" s="27"/>
      <x:c r="B66" s="27"/>
      <x:c r="C66" s="27"/>
      <x:c r="D66" s="27"/>
      <x:c r="E66" s="27"/>
      <x:c r="F66" s="27"/>
      <x:c r="G66" s="27"/>
      <x:c r="H66" s="27"/>
      <x:c r="I66" s="27"/>
      <x:c r="J66" s="27"/>
      <x:c r="K66" s="27"/>
      <x:c r="L66" s="27"/>
      <x:c r="M66" s="27"/>
      <x:c r="N66" s="27"/>
      <x:c r="O66" s="27"/>
      <x:c r="P66" s="27"/>
      <x:c r="Q66" s="27"/>
      <x:c r="R66" s="27"/>
      <x:c r="S66" s="27"/>
      <x:c r="T66" s="27"/>
      <x:c r="U66" s="27"/>
      <x:c r="V66" s="27"/>
      <x:c r="W66" s="27"/>
      <x:c r="X66" s="27"/>
      <x:c r="Y66" s="27"/>
      <x:c r="Z66" s="27"/>
      <x:c r="AA66" s="27"/>
      <x:c r="AB66" s="27"/>
      <x:c r="AC66" s="27"/>
      <x:c r="AD66" s="27"/>
      <x:c r="AE66" s="27"/>
      <x:c r="AF66" s="27"/>
      <x:c r="AG66" s="27"/>
      <x:c r="AH66" s="27"/>
      <x:c r="AI66" s="27"/>
      <x:c r="AJ66" s="27"/>
      <x:c r="AK66" s="27"/>
      <x:c r="AL66" s="27"/>
      <x:c r="AM66" s="27"/>
      <x:c r="AN66" s="27"/>
      <x:c r="AO66" s="27"/>
      <x:c r="AP66" s="27"/>
      <x:c r="AQ66" s="27"/>
      <x:c r="AR66" s="27"/>
      <x:c r="AS66" s="27"/>
      <x:c r="AT66" s="27"/>
      <x:c r="AU66" s="27"/>
      <x:c r="AV66" s="27"/>
      <x:c r="AW66" s="27"/>
      <x:c r="AX66" s="27"/>
      <x:c r="AY66" s="27"/>
      <x:c r="AZ66" s="27"/>
    </x:row>
    <x:row r="67">
      <x:c r="A67" s="27"/>
      <x:c r="B67" s="27"/>
      <x:c r="C67" s="27"/>
      <x:c r="D67" s="27"/>
      <x:c r="E67" s="27"/>
      <x:c r="F67" s="27"/>
      <x:c r="G67" s="27"/>
      <x:c r="H67" s="27"/>
      <x:c r="I67" s="27"/>
      <x:c r="J67" s="27"/>
      <x:c r="K67" s="27"/>
      <x:c r="L67" s="27"/>
      <x:c r="M67" s="27"/>
      <x:c r="N67" s="27"/>
      <x:c r="O67" s="27"/>
      <x:c r="P67" s="27"/>
      <x:c r="Q67" s="27"/>
      <x:c r="R67" s="27"/>
      <x:c r="S67" s="27"/>
      <x:c r="T67" s="27"/>
      <x:c r="U67" s="27"/>
      <x:c r="V67" s="27"/>
      <x:c r="W67" s="27"/>
      <x:c r="X67" s="27"/>
      <x:c r="Y67" s="27"/>
      <x:c r="Z67" s="27"/>
      <x:c r="AA67" s="27"/>
      <x:c r="AB67" s="27"/>
      <x:c r="AC67" s="27"/>
      <x:c r="AD67" s="27"/>
      <x:c r="AE67" s="27"/>
      <x:c r="AF67" s="27"/>
      <x:c r="AG67" s="27"/>
      <x:c r="AH67" s="27"/>
      <x:c r="AI67" s="27"/>
      <x:c r="AJ67" s="27"/>
      <x:c r="AK67" s="27"/>
      <x:c r="AL67" s="27"/>
      <x:c r="AM67" s="27"/>
      <x:c r="AN67" s="27"/>
      <x:c r="AO67" s="27"/>
      <x:c r="AP67" s="27"/>
      <x:c r="AQ67" s="27"/>
      <x:c r="AR67" s="27"/>
      <x:c r="AS67" s="27"/>
      <x:c r="AT67" s="27"/>
      <x:c r="AU67" s="27"/>
      <x:c r="AV67" s="27"/>
      <x:c r="AW67" s="27"/>
      <x:c r="AX67" s="27"/>
      <x:c r="AY67" s="27"/>
      <x:c r="AZ67" s="27"/>
    </x:row>
    <x:row r="68">
      <x:c r="A68" s="27"/>
      <x:c r="B68" s="27"/>
      <x:c r="C68" s="27"/>
      <x:c r="D68" s="27"/>
      <x:c r="E68" s="27"/>
      <x:c r="F68" s="27"/>
      <x:c r="G68" s="27"/>
      <x:c r="H68" s="27"/>
      <x:c r="I68" s="27"/>
      <x:c r="J68" s="27"/>
      <x:c r="K68" s="27"/>
      <x:c r="L68" s="27"/>
      <x:c r="M68" s="27"/>
      <x:c r="N68" s="27"/>
      <x:c r="O68" s="27"/>
      <x:c r="P68" s="27"/>
      <x:c r="Q68" s="27"/>
      <x:c r="R68" s="27"/>
      <x:c r="S68" s="27"/>
      <x:c r="T68" s="27"/>
      <x:c r="U68" s="27"/>
      <x:c r="V68" s="27"/>
      <x:c r="W68" s="27"/>
      <x:c r="X68" s="27"/>
      <x:c r="Y68" s="27"/>
      <x:c r="Z68" s="27"/>
      <x:c r="AA68" s="27"/>
      <x:c r="AB68" s="27"/>
      <x:c r="AC68" s="27"/>
      <x:c r="AD68" s="27"/>
      <x:c r="AE68" s="27"/>
      <x:c r="AF68" s="27"/>
      <x:c r="AG68" s="27"/>
      <x:c r="AH68" s="27"/>
      <x:c r="AI68" s="27"/>
      <x:c r="AJ68" s="27"/>
      <x:c r="AK68" s="27"/>
      <x:c r="AL68" s="27"/>
      <x:c r="AM68" s="27"/>
      <x:c r="AN68" s="27"/>
      <x:c r="AO68" s="27"/>
      <x:c r="AP68" s="27"/>
      <x:c r="AQ68" s="27"/>
      <x:c r="AR68" s="27"/>
      <x:c r="AS68" s="27"/>
      <x:c r="AT68" s="27"/>
      <x:c r="AU68" s="27"/>
      <x:c r="AV68" s="27"/>
      <x:c r="AW68" s="27"/>
      <x:c r="AX68" s="27"/>
      <x:c r="AY68" s="27"/>
      <x:c r="AZ68" s="27"/>
    </x:row>
    <x:row r="69">
      <x:c r="A69" s="27"/>
      <x:c r="B69" s="27"/>
      <x:c r="C69" s="27"/>
      <x:c r="D69" s="27"/>
      <x:c r="E69" s="27"/>
      <x:c r="F69" s="27"/>
      <x:c r="G69" s="27"/>
      <x:c r="H69" s="27"/>
      <x:c r="I69" s="27"/>
      <x:c r="J69" s="27"/>
      <x:c r="K69" s="27"/>
      <x:c r="L69" s="27"/>
      <x:c r="M69" s="27"/>
      <x:c r="N69" s="27"/>
      <x:c r="O69" s="27"/>
      <x:c r="P69" s="27"/>
      <x:c r="Q69" s="27"/>
      <x:c r="R69" s="27"/>
      <x:c r="S69" s="27"/>
      <x:c r="T69" s="27"/>
      <x:c r="U69" s="27"/>
      <x:c r="V69" s="27"/>
      <x:c r="W69" s="27"/>
      <x:c r="X69" s="27"/>
      <x:c r="Y69" s="27"/>
      <x:c r="Z69" s="27"/>
      <x:c r="AA69" s="27"/>
      <x:c r="AB69" s="27"/>
      <x:c r="AC69" s="27"/>
      <x:c r="AD69" s="27"/>
      <x:c r="AE69" s="27"/>
      <x:c r="AF69" s="27"/>
      <x:c r="AG69" s="27"/>
      <x:c r="AH69" s="27"/>
      <x:c r="AI69" s="27"/>
      <x:c r="AJ69" s="27"/>
      <x:c r="AK69" s="27"/>
      <x:c r="AL69" s="27"/>
      <x:c r="AM69" s="27"/>
      <x:c r="AN69" s="27"/>
      <x:c r="AO69" s="27"/>
      <x:c r="AP69" s="27"/>
      <x:c r="AQ69" s="27"/>
      <x:c r="AR69" s="27"/>
      <x:c r="AS69" s="27"/>
      <x:c r="AT69" s="27"/>
      <x:c r="AU69" s="27"/>
      <x:c r="AV69" s="27"/>
      <x:c r="AW69" s="27"/>
      <x:c r="AX69" s="27"/>
      <x:c r="AY69" s="27"/>
      <x:c r="AZ69" s="27"/>
    </x:row>
    <x:row r="70">
      <x:c r="A70" s="27"/>
      <x:c r="B70" s="27"/>
      <x:c r="C70" s="27"/>
      <x:c r="D70" s="27"/>
      <x:c r="E70" s="27"/>
      <x:c r="F70" s="27"/>
      <x:c r="G70" s="27"/>
      <x:c r="H70" s="27"/>
      <x:c r="I70" s="27"/>
      <x:c r="J70" s="27"/>
      <x:c r="K70" s="27"/>
      <x:c r="L70" s="27"/>
      <x:c r="M70" s="27"/>
      <x:c r="N70" s="27"/>
      <x:c r="O70" s="27"/>
      <x:c r="P70" s="27"/>
      <x:c r="Q70" s="27"/>
      <x:c r="R70" s="27"/>
      <x:c r="S70" s="27"/>
      <x:c r="T70" s="27"/>
      <x:c r="U70" s="27"/>
      <x:c r="V70" s="27"/>
      <x:c r="W70" s="27"/>
      <x:c r="X70" s="27"/>
      <x:c r="Y70" s="27"/>
      <x:c r="Z70" s="27"/>
      <x:c r="AA70" s="27"/>
      <x:c r="AB70" s="27"/>
      <x:c r="AC70" s="27"/>
      <x:c r="AD70" s="27"/>
      <x:c r="AE70" s="27"/>
      <x:c r="AF70" s="27"/>
      <x:c r="AG70" s="27"/>
      <x:c r="AH70" s="27"/>
      <x:c r="AI70" s="27"/>
      <x:c r="AJ70" s="27"/>
      <x:c r="AK70" s="27"/>
      <x:c r="AL70" s="27"/>
      <x:c r="AM70" s="27"/>
      <x:c r="AN70" s="27"/>
      <x:c r="AO70" s="27"/>
      <x:c r="AP70" s="27"/>
      <x:c r="AQ70" s="27"/>
      <x:c r="AR70" s="27"/>
      <x:c r="AS70" s="27"/>
      <x:c r="AT70" s="27"/>
      <x:c r="AU70" s="27"/>
      <x:c r="AV70" s="27"/>
      <x:c r="AW70" s="27"/>
      <x:c r="AX70" s="27"/>
      <x:c r="AY70" s="27"/>
      <x:c r="AZ70" s="27"/>
    </x:row>
    <x:row r="71">
      <x:c r="A71" s="27"/>
      <x:c r="B71" s="27"/>
      <x:c r="C71" s="27"/>
      <x:c r="D71" s="27"/>
      <x:c r="E71" s="27"/>
      <x:c r="F71" s="27"/>
      <x:c r="G71" s="27"/>
      <x:c r="H71" s="27"/>
      <x:c r="I71" s="27"/>
      <x:c r="J71" s="27"/>
      <x:c r="K71" s="27"/>
      <x:c r="L71" s="27"/>
      <x:c r="M71" s="27"/>
      <x:c r="N71" s="27"/>
      <x:c r="O71" s="27"/>
      <x:c r="P71" s="27"/>
      <x:c r="Q71" s="27"/>
      <x:c r="R71" s="27"/>
      <x:c r="S71" s="27"/>
      <x:c r="T71" s="27"/>
      <x:c r="U71" s="27"/>
      <x:c r="V71" s="27"/>
      <x:c r="W71" s="27"/>
      <x:c r="X71" s="27"/>
      <x:c r="Y71" s="27"/>
      <x:c r="Z71" s="27"/>
      <x:c r="AA71" s="27"/>
      <x:c r="AB71" s="27"/>
      <x:c r="AC71" s="27"/>
      <x:c r="AD71" s="27"/>
      <x:c r="AE71" s="27"/>
      <x:c r="AF71" s="27"/>
      <x:c r="AG71" s="27"/>
      <x:c r="AH71" s="27"/>
      <x:c r="AI71" s="27"/>
      <x:c r="AJ71" s="27"/>
      <x:c r="AK71" s="27"/>
      <x:c r="AL71" s="27"/>
      <x:c r="AM71" s="27"/>
      <x:c r="AN71" s="27"/>
      <x:c r="AO71" s="27"/>
      <x:c r="AP71" s="27"/>
      <x:c r="AQ71" s="27"/>
      <x:c r="AR71" s="27"/>
      <x:c r="AS71" s="27"/>
      <x:c r="AT71" s="27"/>
      <x:c r="AU71" s="27"/>
      <x:c r="AV71" s="27"/>
      <x:c r="AW71" s="27"/>
      <x:c r="AX71" s="27"/>
      <x:c r="AY71" s="27"/>
      <x:c r="AZ71" s="27"/>
    </x:row>
    <x:row r="72">
      <x:c r="A72" s="27"/>
      <x:c r="B72" s="27"/>
      <x:c r="C72" s="27"/>
      <x:c r="D72" s="27"/>
      <x:c r="E72" s="27"/>
      <x:c r="F72" s="27"/>
      <x:c r="G72" s="27"/>
      <x:c r="H72" s="27"/>
      <x:c r="I72" s="27"/>
      <x:c r="J72" s="27"/>
      <x:c r="K72" s="27"/>
      <x:c r="L72" s="27"/>
      <x:c r="M72" s="27"/>
      <x:c r="N72" s="27"/>
      <x:c r="O72" s="27"/>
      <x:c r="P72" s="27"/>
      <x:c r="Q72" s="27"/>
      <x:c r="R72" s="27"/>
      <x:c r="S72" s="27"/>
      <x:c r="T72" s="27"/>
      <x:c r="U72" s="27"/>
      <x:c r="V72" s="27"/>
      <x:c r="W72" s="27"/>
      <x:c r="X72" s="27"/>
      <x:c r="Y72" s="27"/>
      <x:c r="Z72" s="27"/>
      <x:c r="AA72" s="27"/>
      <x:c r="AB72" s="27"/>
      <x:c r="AC72" s="27"/>
      <x:c r="AD72" s="27"/>
      <x:c r="AE72" s="27"/>
      <x:c r="AF72" s="27"/>
      <x:c r="AG72" s="27"/>
      <x:c r="AH72" s="27"/>
      <x:c r="AI72" s="27"/>
      <x:c r="AJ72" s="27"/>
      <x:c r="AK72" s="27"/>
      <x:c r="AL72" s="27"/>
      <x:c r="AM72" s="27"/>
      <x:c r="AN72" s="27"/>
      <x:c r="AO72" s="27"/>
      <x:c r="AP72" s="27"/>
      <x:c r="AQ72" s="27"/>
      <x:c r="AR72" s="27"/>
      <x:c r="AS72" s="27"/>
      <x:c r="AT72" s="27"/>
      <x:c r="AU72" s="27"/>
      <x:c r="AV72" s="27"/>
      <x:c r="AW72" s="27"/>
      <x:c r="AX72" s="27"/>
      <x:c r="AY72" s="27"/>
      <x:c r="AZ72" s="27"/>
    </x:row>
    <x:row r="73">
      <x:c r="A73" s="27"/>
      <x:c r="B73" s="27"/>
      <x:c r="C73" s="27"/>
      <x:c r="D73" s="27"/>
      <x:c r="E73" s="27"/>
      <x:c r="F73" s="27"/>
      <x:c r="G73" s="27"/>
      <x:c r="H73" s="27"/>
      <x:c r="I73" s="27"/>
      <x:c r="J73" s="27"/>
      <x:c r="K73" s="27"/>
      <x:c r="L73" s="27"/>
      <x:c r="M73" s="27"/>
      <x:c r="N73" s="27"/>
      <x:c r="O73" s="27"/>
      <x:c r="P73" s="27"/>
      <x:c r="Q73" s="27"/>
      <x:c r="R73" s="27"/>
      <x:c r="S73" s="27"/>
      <x:c r="T73" s="27"/>
      <x:c r="U73" s="27"/>
      <x:c r="V73" s="27"/>
      <x:c r="W73" s="27"/>
      <x:c r="X73" s="27"/>
      <x:c r="Y73" s="27"/>
      <x:c r="Z73" s="27"/>
      <x:c r="AA73" s="27"/>
      <x:c r="AB73" s="27"/>
      <x:c r="AC73" s="27"/>
      <x:c r="AD73" s="27"/>
      <x:c r="AE73" s="27"/>
      <x:c r="AF73" s="27"/>
      <x:c r="AG73" s="27"/>
      <x:c r="AH73" s="27"/>
      <x:c r="AI73" s="27"/>
      <x:c r="AJ73" s="27"/>
      <x:c r="AK73" s="27"/>
      <x:c r="AL73" s="27"/>
      <x:c r="AM73" s="27"/>
      <x:c r="AN73" s="27"/>
      <x:c r="AO73" s="27"/>
      <x:c r="AP73" s="27"/>
      <x:c r="AQ73" s="27"/>
      <x:c r="AR73" s="27"/>
      <x:c r="AS73" s="27"/>
      <x:c r="AT73" s="27"/>
      <x:c r="AU73" s="27"/>
      <x:c r="AV73" s="27"/>
      <x:c r="AW73" s="27"/>
      <x:c r="AX73" s="27"/>
      <x:c r="AY73" s="27"/>
      <x:c r="AZ73" s="27"/>
    </x:row>
    <x:row r="74">
      <x:c r="A74" s="27"/>
      <x:c r="B74" s="27"/>
      <x:c r="C74" s="27"/>
      <x:c r="D74" s="27"/>
      <x:c r="E74" s="27"/>
      <x:c r="F74" s="27"/>
      <x:c r="G74" s="27"/>
      <x:c r="H74" s="27"/>
      <x:c r="I74" s="27"/>
      <x:c r="J74" s="27"/>
      <x:c r="K74" s="27"/>
      <x:c r="L74" s="27"/>
      <x:c r="M74" s="27"/>
      <x:c r="N74" s="27"/>
      <x:c r="O74" s="27"/>
      <x:c r="P74" s="27"/>
      <x:c r="Q74" s="27"/>
      <x:c r="R74" s="27"/>
      <x:c r="S74" s="27"/>
      <x:c r="T74" s="27"/>
      <x:c r="U74" s="27"/>
      <x:c r="V74" s="27"/>
      <x:c r="W74" s="27"/>
      <x:c r="X74" s="27"/>
      <x:c r="Y74" s="27"/>
      <x:c r="Z74" s="27"/>
      <x:c r="AA74" s="27"/>
      <x:c r="AB74" s="27"/>
      <x:c r="AC74" s="27"/>
      <x:c r="AD74" s="27"/>
      <x:c r="AE74" s="27"/>
      <x:c r="AF74" s="27"/>
      <x:c r="AG74" s="27"/>
      <x:c r="AH74" s="27"/>
      <x:c r="AI74" s="27"/>
      <x:c r="AJ74" s="27"/>
      <x:c r="AK74" s="27"/>
      <x:c r="AL74" s="27"/>
      <x:c r="AM74" s="27"/>
      <x:c r="AN74" s="27"/>
      <x:c r="AO74" s="27"/>
      <x:c r="AP74" s="27"/>
      <x:c r="AQ74" s="27"/>
      <x:c r="AR74" s="27"/>
      <x:c r="AS74" s="27"/>
      <x:c r="AT74" s="27"/>
      <x:c r="AU74" s="27"/>
      <x:c r="AV74" s="27"/>
      <x:c r="AW74" s="27"/>
      <x:c r="AX74" s="27"/>
      <x:c r="AY74" s="27"/>
      <x:c r="AZ74" s="27"/>
    </x:row>
    <x:row r="75">
      <x:c r="A75" s="27"/>
      <x:c r="B75" s="27"/>
      <x:c r="C75" s="27"/>
      <x:c r="D75" s="27"/>
      <x:c r="E75" s="27"/>
      <x:c r="F75" s="27"/>
      <x:c r="G75" s="27"/>
      <x:c r="H75" s="27"/>
      <x:c r="I75" s="27"/>
      <x:c r="J75" s="27"/>
      <x:c r="K75" s="27"/>
      <x:c r="L75" s="27"/>
      <x:c r="M75" s="27"/>
      <x:c r="N75" s="27"/>
      <x:c r="O75" s="27"/>
      <x:c r="P75" s="27"/>
      <x:c r="Q75" s="27"/>
      <x:c r="R75" s="27"/>
      <x:c r="S75" s="27"/>
      <x:c r="T75" s="27"/>
      <x:c r="U75" s="27"/>
      <x:c r="V75" s="27"/>
      <x:c r="W75" s="27"/>
      <x:c r="X75" s="27"/>
      <x:c r="Y75" s="27"/>
      <x:c r="Z75" s="27"/>
      <x:c r="AA75" s="27"/>
      <x:c r="AB75" s="27"/>
      <x:c r="AC75" s="27"/>
      <x:c r="AD75" s="27"/>
      <x:c r="AE75" s="27"/>
      <x:c r="AF75" s="27"/>
      <x:c r="AG75" s="27"/>
      <x:c r="AH75" s="27"/>
      <x:c r="AI75" s="27"/>
      <x:c r="AJ75" s="27"/>
      <x:c r="AK75" s="27"/>
      <x:c r="AL75" s="27"/>
      <x:c r="AM75" s="27"/>
      <x:c r="AN75" s="27"/>
      <x:c r="AO75" s="27"/>
      <x:c r="AP75" s="27"/>
      <x:c r="AQ75" s="27"/>
      <x:c r="AR75" s="27"/>
      <x:c r="AS75" s="27"/>
      <x:c r="AT75" s="27"/>
      <x:c r="AU75" s="27"/>
      <x:c r="AV75" s="27"/>
      <x:c r="AW75" s="27"/>
      <x:c r="AX75" s="27"/>
      <x:c r="AY75" s="27"/>
      <x:c r="AZ75" s="27"/>
    </x:row>
    <x:row r="76">
      <x:c r="A76" s="27"/>
      <x:c r="B76" s="27"/>
      <x:c r="C76" s="27"/>
      <x:c r="D76" s="27"/>
      <x:c r="E76" s="27"/>
      <x:c r="F76" s="27"/>
      <x:c r="G76" s="27"/>
      <x:c r="H76" s="27"/>
      <x:c r="I76" s="27"/>
      <x:c r="J76" s="27"/>
      <x:c r="K76" s="27"/>
      <x:c r="L76" s="27"/>
      <x:c r="M76" s="27"/>
      <x:c r="N76" s="27"/>
      <x:c r="O76" s="27"/>
      <x:c r="P76" s="27"/>
      <x:c r="Q76" s="27"/>
      <x:c r="R76" s="27"/>
      <x:c r="S76" s="27"/>
      <x:c r="T76" s="27"/>
      <x:c r="U76" s="27"/>
      <x:c r="V76" s="27"/>
      <x:c r="W76" s="27"/>
      <x:c r="X76" s="27"/>
      <x:c r="Y76" s="27"/>
      <x:c r="Z76" s="27"/>
      <x:c r="AA76" s="27"/>
      <x:c r="AB76" s="27"/>
      <x:c r="AC76" s="27"/>
      <x:c r="AD76" s="27"/>
      <x:c r="AE76" s="27"/>
      <x:c r="AF76" s="27"/>
      <x:c r="AG76" s="27"/>
      <x:c r="AH76" s="27"/>
      <x:c r="AI76" s="27"/>
      <x:c r="AJ76" s="27"/>
      <x:c r="AK76" s="27"/>
      <x:c r="AL76" s="27"/>
      <x:c r="AM76" s="27"/>
      <x:c r="AN76" s="27"/>
      <x:c r="AO76" s="27"/>
      <x:c r="AP76" s="27"/>
      <x:c r="AQ76" s="27"/>
      <x:c r="AR76" s="27"/>
      <x:c r="AS76" s="27"/>
      <x:c r="AT76" s="27"/>
      <x:c r="AU76" s="27"/>
      <x:c r="AV76" s="27"/>
      <x:c r="AW76" s="27"/>
      <x:c r="AX76" s="27"/>
      <x:c r="AY76" s="27"/>
      <x:c r="AZ76" s="27"/>
    </x:row>
    <x:row r="77">
      <x:c r="A77" s="27"/>
      <x:c r="B77" s="27"/>
      <x:c r="C77" s="27"/>
      <x:c r="D77" s="27"/>
      <x:c r="E77" s="27"/>
      <x:c r="F77" s="27"/>
      <x:c r="G77" s="27"/>
      <x:c r="H77" s="27"/>
      <x:c r="I77" s="27"/>
      <x:c r="J77" s="27"/>
      <x:c r="K77" s="27"/>
      <x:c r="L77" s="27"/>
      <x:c r="M77" s="27"/>
      <x:c r="N77" s="27"/>
      <x:c r="O77" s="27"/>
      <x:c r="P77" s="27"/>
      <x:c r="Q77" s="27"/>
      <x:c r="R77" s="27"/>
      <x:c r="S77" s="27"/>
      <x:c r="T77" s="27"/>
      <x:c r="U77" s="27"/>
      <x:c r="V77" s="27"/>
      <x:c r="W77" s="27"/>
      <x:c r="X77" s="27"/>
      <x:c r="Y77" s="27"/>
      <x:c r="Z77" s="27"/>
      <x:c r="AA77" s="27"/>
      <x:c r="AB77" s="27"/>
      <x:c r="AC77" s="27"/>
      <x:c r="AD77" s="27"/>
      <x:c r="AE77" s="27"/>
      <x:c r="AF77" s="27"/>
      <x:c r="AG77" s="27"/>
      <x:c r="AH77" s="27"/>
      <x:c r="AI77" s="27"/>
      <x:c r="AJ77" s="27"/>
      <x:c r="AK77" s="27"/>
      <x:c r="AL77" s="27"/>
      <x:c r="AM77" s="27"/>
      <x:c r="AN77" s="27"/>
      <x:c r="AO77" s="27"/>
      <x:c r="AP77" s="27"/>
      <x:c r="AQ77" s="27"/>
      <x:c r="AR77" s="27"/>
      <x:c r="AS77" s="27"/>
      <x:c r="AT77" s="27"/>
      <x:c r="AU77" s="27"/>
      <x:c r="AV77" s="27"/>
      <x:c r="AW77" s="27"/>
      <x:c r="AX77" s="27"/>
      <x:c r="AY77" s="27"/>
      <x:c r="AZ77" s="27"/>
    </x:row>
    <x:row r="78">
      <x:c r="A78" s="27"/>
      <x:c r="B78" s="27"/>
      <x:c r="C78" s="27"/>
      <x:c r="D78" s="27"/>
      <x:c r="E78" s="27"/>
      <x:c r="F78" s="27"/>
      <x:c r="G78" s="27"/>
      <x:c r="H78" s="27"/>
      <x:c r="I78" s="27"/>
      <x:c r="J78" s="27"/>
      <x:c r="K78" s="27"/>
      <x:c r="L78" s="27"/>
      <x:c r="M78" s="27"/>
      <x:c r="N78" s="27"/>
      <x:c r="O78" s="27"/>
      <x:c r="P78" s="27"/>
      <x:c r="Q78" s="27"/>
      <x:c r="R78" s="27"/>
      <x:c r="S78" s="27"/>
      <x:c r="T78" s="27"/>
      <x:c r="U78" s="27"/>
      <x:c r="V78" s="27"/>
      <x:c r="W78" s="27"/>
      <x:c r="X78" s="27"/>
      <x:c r="Y78" s="27"/>
      <x:c r="Z78" s="27"/>
      <x:c r="AA78" s="27"/>
      <x:c r="AB78" s="27"/>
      <x:c r="AC78" s="27"/>
      <x:c r="AD78" s="27"/>
      <x:c r="AE78" s="27"/>
      <x:c r="AF78" s="27"/>
      <x:c r="AG78" s="27"/>
      <x:c r="AH78" s="27"/>
      <x:c r="AI78" s="27"/>
      <x:c r="AJ78" s="27"/>
      <x:c r="AK78" s="27"/>
      <x:c r="AL78" s="27"/>
      <x:c r="AM78" s="27"/>
      <x:c r="AN78" s="27"/>
      <x:c r="AO78" s="27"/>
      <x:c r="AP78" s="27"/>
      <x:c r="AQ78" s="27"/>
      <x:c r="AR78" s="27"/>
      <x:c r="AS78" s="27"/>
      <x:c r="AT78" s="27"/>
      <x:c r="AU78" s="27"/>
      <x:c r="AV78" s="27"/>
      <x:c r="AW78" s="27"/>
      <x:c r="AX78" s="27"/>
      <x:c r="AY78" s="27"/>
      <x:c r="AZ78" s="27"/>
    </x:row>
    <x:row r="79">
      <x:c r="A79" s="27"/>
      <x:c r="B79" s="27"/>
      <x:c r="C79" s="27"/>
      <x:c r="D79" s="27"/>
      <x:c r="E79" s="27"/>
      <x:c r="F79" s="27"/>
      <x:c r="G79" s="27"/>
      <x:c r="H79" s="27"/>
      <x:c r="I79" s="27"/>
      <x:c r="J79" s="27"/>
      <x:c r="K79" s="27"/>
      <x:c r="L79" s="27"/>
      <x:c r="M79" s="27"/>
      <x:c r="N79" s="27"/>
      <x:c r="O79" s="27"/>
      <x:c r="P79" s="27"/>
      <x:c r="Q79" s="27"/>
      <x:c r="R79" s="27"/>
      <x:c r="S79" s="27"/>
      <x:c r="T79" s="27"/>
      <x:c r="U79" s="27"/>
      <x:c r="V79" s="27"/>
      <x:c r="W79" s="27"/>
      <x:c r="X79" s="27"/>
      <x:c r="Y79" s="27"/>
      <x:c r="Z79" s="27"/>
      <x:c r="AA79" s="27"/>
      <x:c r="AB79" s="27"/>
      <x:c r="AC79" s="27"/>
      <x:c r="AD79" s="27"/>
      <x:c r="AE79" s="27"/>
      <x:c r="AF79" s="27"/>
      <x:c r="AG79" s="27"/>
      <x:c r="AH79" s="27"/>
      <x:c r="AI79" s="27"/>
      <x:c r="AJ79" s="27"/>
      <x:c r="AK79" s="27"/>
      <x:c r="AL79" s="27"/>
      <x:c r="AM79" s="27"/>
      <x:c r="AN79" s="27"/>
      <x:c r="AO79" s="27"/>
      <x:c r="AP79" s="27"/>
      <x:c r="AQ79" s="27"/>
      <x:c r="AR79" s="27"/>
      <x:c r="AS79" s="27"/>
      <x:c r="AT79" s="27"/>
      <x:c r="AU79" s="27"/>
      <x:c r="AV79" s="27"/>
      <x:c r="AW79" s="27"/>
      <x:c r="AX79" s="27"/>
      <x:c r="AY79" s="27"/>
      <x:c r="AZ79" s="27"/>
    </x:row>
    <x:row r="80">
      <x:c r="A80" s="27"/>
      <x:c r="B80" s="27"/>
      <x:c r="C80" s="27"/>
      <x:c r="D80" s="27"/>
      <x:c r="E80" s="27"/>
      <x:c r="F80" s="27"/>
      <x:c r="G80" s="27"/>
      <x:c r="H80" s="27"/>
      <x:c r="I80" s="27"/>
      <x:c r="J80" s="27"/>
      <x:c r="K80" s="27"/>
      <x:c r="L80" s="27"/>
      <x:c r="M80" s="27"/>
      <x:c r="N80" s="27"/>
      <x:c r="O80" s="27"/>
      <x:c r="P80" s="27"/>
      <x:c r="Q80" s="27"/>
      <x:c r="R80" s="27"/>
      <x:c r="S80" s="27"/>
      <x:c r="T80" s="27"/>
      <x:c r="U80" s="27"/>
      <x:c r="V80" s="27"/>
      <x:c r="W80" s="27"/>
      <x:c r="X80" s="27"/>
      <x:c r="Y80" s="27"/>
      <x:c r="Z80" s="27"/>
      <x:c r="AA80" s="27"/>
      <x:c r="AB80" s="27"/>
      <x:c r="AC80" s="27"/>
      <x:c r="AD80" s="27"/>
      <x:c r="AE80" s="27"/>
      <x:c r="AF80" s="27"/>
      <x:c r="AG80" s="27"/>
      <x:c r="AH80" s="27"/>
      <x:c r="AI80" s="27"/>
      <x:c r="AJ80" s="27"/>
      <x:c r="AK80" s="27"/>
      <x:c r="AL80" s="27"/>
      <x:c r="AM80" s="27"/>
      <x:c r="AN80" s="27"/>
      <x:c r="AO80" s="27"/>
      <x:c r="AP80" s="27"/>
      <x:c r="AQ80" s="27"/>
      <x:c r="AR80" s="27"/>
      <x:c r="AS80" s="27"/>
      <x:c r="AT80" s="27"/>
      <x:c r="AU80" s="27"/>
      <x:c r="AV80" s="27"/>
      <x:c r="AW80" s="27"/>
      <x:c r="AX80" s="27"/>
      <x:c r="AY80" s="27"/>
      <x:c r="AZ80" s="27"/>
    </x:row>
    <x:row r="81">
      <x:c r="A81" s="27"/>
      <x:c r="B81" s="27"/>
      <x:c r="C81" s="27"/>
      <x:c r="D81" s="27"/>
      <x:c r="E81" s="27"/>
      <x:c r="F81" s="27"/>
      <x:c r="G81" s="27"/>
      <x:c r="H81" s="27"/>
      <x:c r="I81" s="27"/>
      <x:c r="J81" s="27"/>
      <x:c r="K81" s="27"/>
      <x:c r="L81" s="27"/>
      <x:c r="M81" s="27"/>
      <x:c r="N81" s="27"/>
      <x:c r="O81" s="27"/>
      <x:c r="P81" s="27"/>
      <x:c r="Q81" s="27"/>
      <x:c r="R81" s="27"/>
      <x:c r="S81" s="27"/>
      <x:c r="T81" s="27"/>
      <x:c r="U81" s="27"/>
      <x:c r="V81" s="27"/>
      <x:c r="W81" s="27"/>
      <x:c r="X81" s="27"/>
      <x:c r="Y81" s="27"/>
      <x:c r="Z81" s="27"/>
      <x:c r="AA81" s="27"/>
      <x:c r="AB81" s="27"/>
      <x:c r="AC81" s="27"/>
      <x:c r="AD81" s="27"/>
      <x:c r="AE81" s="27"/>
      <x:c r="AF81" s="27"/>
      <x:c r="AG81" s="27"/>
      <x:c r="AH81" s="27"/>
      <x:c r="AI81" s="27"/>
      <x:c r="AJ81" s="27"/>
      <x:c r="AK81" s="27"/>
      <x:c r="AL81" s="27"/>
      <x:c r="AM81" s="27"/>
      <x:c r="AN81" s="27"/>
      <x:c r="AO81" s="27"/>
      <x:c r="AP81" s="27"/>
      <x:c r="AQ81" s="27"/>
      <x:c r="AR81" s="27"/>
      <x:c r="AS81" s="27"/>
      <x:c r="AT81" s="27"/>
      <x:c r="AU81" s="27"/>
      <x:c r="AV81" s="27"/>
      <x:c r="AW81" s="27"/>
      <x:c r="AX81" s="27"/>
      <x:c r="AY81" s="27"/>
      <x:c r="AZ81" s="27"/>
    </x:row>
    <x:row r="82">
      <x:c r="A82" s="27"/>
      <x:c r="B82" s="27"/>
      <x:c r="C82" s="27"/>
      <x:c r="D82" s="27"/>
      <x:c r="E82" s="27"/>
      <x:c r="F82" s="27"/>
      <x:c r="G82" s="27"/>
      <x:c r="H82" s="27"/>
      <x:c r="I82" s="27"/>
      <x:c r="J82" s="27"/>
      <x:c r="K82" s="27"/>
      <x:c r="L82" s="27"/>
      <x:c r="M82" s="27"/>
      <x:c r="N82" s="27"/>
      <x:c r="O82" s="27"/>
      <x:c r="P82" s="27"/>
      <x:c r="Q82" s="27"/>
      <x:c r="R82" s="27"/>
      <x:c r="S82" s="27"/>
      <x:c r="T82" s="27"/>
      <x:c r="U82" s="27"/>
      <x:c r="V82" s="27"/>
      <x:c r="W82" s="27"/>
      <x:c r="X82" s="27"/>
      <x:c r="Y82" s="27"/>
      <x:c r="Z82" s="27"/>
      <x:c r="AA82" s="27"/>
      <x:c r="AB82" s="27"/>
      <x:c r="AC82" s="27"/>
      <x:c r="AD82" s="27"/>
      <x:c r="AE82" s="27"/>
      <x:c r="AF82" s="27"/>
      <x:c r="AG82" s="27"/>
      <x:c r="AH82" s="27"/>
      <x:c r="AI82" s="27"/>
      <x:c r="AJ82" s="27"/>
      <x:c r="AK82" s="27"/>
      <x:c r="AL82" s="27"/>
      <x:c r="AM82" s="27"/>
      <x:c r="AN82" s="27"/>
      <x:c r="AO82" s="27"/>
      <x:c r="AP82" s="27"/>
      <x:c r="AQ82" s="27"/>
      <x:c r="AR82" s="27"/>
      <x:c r="AS82" s="27"/>
      <x:c r="AT82" s="27"/>
      <x:c r="AU82" s="27"/>
      <x:c r="AV82" s="27"/>
      <x:c r="AW82" s="27"/>
      <x:c r="AX82" s="27"/>
      <x:c r="AY82" s="27"/>
      <x:c r="AZ82" s="27"/>
    </x:row>
    <x:row r="83">
      <x:c r="A83" s="27"/>
      <x:c r="B83" s="27"/>
      <x:c r="C83" s="27"/>
      <x:c r="D83" s="27"/>
      <x:c r="E83" s="27"/>
      <x:c r="F83" s="27"/>
      <x:c r="G83" s="27"/>
      <x:c r="H83" s="27"/>
      <x:c r="I83" s="27"/>
      <x:c r="J83" s="27"/>
      <x:c r="K83" s="27"/>
      <x:c r="L83" s="27"/>
      <x:c r="M83" s="27"/>
      <x:c r="N83" s="27"/>
      <x:c r="O83" s="27"/>
      <x:c r="P83" s="27"/>
      <x:c r="Q83" s="27"/>
      <x:c r="R83" s="27"/>
      <x:c r="S83" s="27"/>
      <x:c r="T83" s="27"/>
      <x:c r="U83" s="27"/>
      <x:c r="V83" s="27"/>
      <x:c r="W83" s="27"/>
      <x:c r="X83" s="27"/>
      <x:c r="Y83" s="27"/>
      <x:c r="Z83" s="27"/>
      <x:c r="AA83" s="27"/>
      <x:c r="AB83" s="27"/>
      <x:c r="AC83" s="27"/>
      <x:c r="AD83" s="27"/>
      <x:c r="AE83" s="27"/>
      <x:c r="AF83" s="27"/>
      <x:c r="AG83" s="27"/>
      <x:c r="AH83" s="27"/>
      <x:c r="AI83" s="27"/>
      <x:c r="AJ83" s="27"/>
      <x:c r="AK83" s="27"/>
      <x:c r="AL83" s="27"/>
      <x:c r="AM83" s="27"/>
      <x:c r="AN83" s="27"/>
      <x:c r="AO83" s="27"/>
      <x:c r="AP83" s="27"/>
      <x:c r="AQ83" s="27"/>
      <x:c r="AR83" s="27"/>
      <x:c r="AS83" s="27"/>
      <x:c r="AT83" s="27"/>
      <x:c r="AU83" s="27"/>
      <x:c r="AV83" s="27"/>
      <x:c r="AW83" s="27"/>
      <x:c r="AX83" s="27"/>
      <x:c r="AY83" s="27"/>
      <x:c r="AZ83" s="27"/>
    </x:row>
    <x:row r="84">
      <x:c r="A84" s="27"/>
      <x:c r="B84" s="27"/>
      <x:c r="C84" s="27"/>
      <x:c r="D84" s="27"/>
      <x:c r="E84" s="27"/>
      <x:c r="F84" s="27"/>
      <x:c r="G84" s="27"/>
      <x:c r="H84" s="27"/>
      <x:c r="I84" s="27"/>
      <x:c r="J84" s="27"/>
      <x:c r="K84" s="27"/>
      <x:c r="L84" s="27"/>
      <x:c r="M84" s="27"/>
      <x:c r="N84" s="27"/>
      <x:c r="O84" s="27"/>
      <x:c r="P84" s="27"/>
      <x:c r="Q84" s="27"/>
      <x:c r="R84" s="27"/>
      <x:c r="S84" s="27"/>
      <x:c r="T84" s="27"/>
      <x:c r="U84" s="27"/>
      <x:c r="V84" s="27"/>
      <x:c r="W84" s="27"/>
      <x:c r="X84" s="27"/>
      <x:c r="Y84" s="27"/>
      <x:c r="Z84" s="27"/>
      <x:c r="AA84" s="27"/>
      <x:c r="AB84" s="27"/>
      <x:c r="AC84" s="27"/>
      <x:c r="AD84" s="27"/>
      <x:c r="AE84" s="27"/>
      <x:c r="AF84" s="27"/>
      <x:c r="AG84" s="27"/>
      <x:c r="AH84" s="27"/>
      <x:c r="AI84" s="27"/>
      <x:c r="AJ84" s="27"/>
      <x:c r="AK84" s="27"/>
      <x:c r="AL84" s="27"/>
      <x:c r="AM84" s="27"/>
      <x:c r="AN84" s="27"/>
      <x:c r="AO84" s="27"/>
      <x:c r="AP84" s="27"/>
      <x:c r="AQ84" s="27"/>
      <x:c r="AR84" s="27"/>
      <x:c r="AS84" s="27"/>
      <x:c r="AT84" s="27"/>
      <x:c r="AU84" s="27"/>
      <x:c r="AV84" s="27"/>
      <x:c r="AW84" s="27"/>
      <x:c r="AX84" s="27"/>
      <x:c r="AY84" s="27"/>
      <x:c r="AZ84" s="27"/>
    </x:row>
    <x:row r="85">
      <x:c r="A85" s="27"/>
      <x:c r="B85" s="27"/>
      <x:c r="C85" s="27"/>
      <x:c r="D85" s="27"/>
      <x:c r="E85" s="27"/>
      <x:c r="F85" s="27"/>
      <x:c r="G85" s="27"/>
      <x:c r="H85" s="27"/>
      <x:c r="I85" s="27"/>
      <x:c r="J85" s="27"/>
      <x:c r="K85" s="27"/>
      <x:c r="L85" s="27"/>
      <x:c r="M85" s="27"/>
      <x:c r="N85" s="27"/>
      <x:c r="O85" s="27"/>
      <x:c r="P85" s="27"/>
      <x:c r="Q85" s="27"/>
      <x:c r="R85" s="27"/>
      <x:c r="S85" s="27"/>
      <x:c r="T85" s="27"/>
      <x:c r="U85" s="27"/>
      <x:c r="V85" s="27"/>
      <x:c r="W85" s="27"/>
      <x:c r="X85" s="27"/>
      <x:c r="Y85" s="27"/>
      <x:c r="Z85" s="27"/>
      <x:c r="AA85" s="27"/>
      <x:c r="AB85" s="27"/>
      <x:c r="AC85" s="27"/>
      <x:c r="AD85" s="27"/>
      <x:c r="AE85" s="27"/>
      <x:c r="AF85" s="27"/>
      <x:c r="AG85" s="27"/>
      <x:c r="AH85" s="27"/>
      <x:c r="AI85" s="27"/>
      <x:c r="AJ85" s="27"/>
      <x:c r="AK85" s="27"/>
      <x:c r="AL85" s="27"/>
      <x:c r="AM85" s="27"/>
      <x:c r="AN85" s="27"/>
      <x:c r="AO85" s="27"/>
      <x:c r="AP85" s="27"/>
      <x:c r="AQ85" s="27"/>
      <x:c r="AR85" s="27"/>
      <x:c r="AS85" s="27"/>
      <x:c r="AT85" s="27"/>
      <x:c r="AU85" s="27"/>
      <x:c r="AV85" s="27"/>
      <x:c r="AW85" s="27"/>
      <x:c r="AX85" s="27"/>
      <x:c r="AY85" s="27"/>
      <x:c r="AZ85" s="27"/>
    </x:row>
    <x:row r="86">
      <x:c r="A86" s="27"/>
      <x:c r="B86" s="27"/>
      <x:c r="C86" s="27"/>
      <x:c r="D86" s="27"/>
      <x:c r="E86" s="27"/>
      <x:c r="F86" s="27"/>
      <x:c r="G86" s="27"/>
      <x:c r="H86" s="27"/>
      <x:c r="I86" s="27"/>
      <x:c r="J86" s="27"/>
      <x:c r="K86" s="27"/>
      <x:c r="L86" s="27"/>
      <x:c r="M86" s="27"/>
      <x:c r="N86" s="27"/>
      <x:c r="O86" s="27"/>
      <x:c r="P86" s="27"/>
      <x:c r="Q86" s="27"/>
      <x:c r="R86" s="27"/>
      <x:c r="S86" s="27"/>
      <x:c r="T86" s="27"/>
      <x:c r="U86" s="27"/>
      <x:c r="V86" s="27"/>
      <x:c r="W86" s="27"/>
      <x:c r="X86" s="27"/>
      <x:c r="Y86" s="27"/>
      <x:c r="Z86" s="27"/>
      <x:c r="AA86" s="27"/>
      <x:c r="AB86" s="27"/>
      <x:c r="AC86" s="27"/>
      <x:c r="AD86" s="27"/>
      <x:c r="AE86" s="27"/>
      <x:c r="AF86" s="27"/>
      <x:c r="AG86" s="27"/>
      <x:c r="AH86" s="27"/>
      <x:c r="AI86" s="27"/>
      <x:c r="AJ86" s="27"/>
      <x:c r="AK86" s="27"/>
      <x:c r="AL86" s="27"/>
      <x:c r="AM86" s="27"/>
      <x:c r="AN86" s="27"/>
      <x:c r="AO86" s="27"/>
      <x:c r="AP86" s="27"/>
      <x:c r="AQ86" s="27"/>
      <x:c r="AR86" s="27"/>
      <x:c r="AS86" s="27"/>
      <x:c r="AT86" s="27"/>
      <x:c r="AU86" s="27"/>
      <x:c r="AV86" s="27"/>
      <x:c r="AW86" s="27"/>
      <x:c r="AX86" s="27"/>
      <x:c r="AY86" s="27"/>
      <x:c r="AZ86" s="27"/>
    </x:row>
    <x:row r="87">
      <x:c r="A87" s="27"/>
      <x:c r="B87" s="27"/>
      <x:c r="C87" s="27"/>
      <x:c r="D87" s="27"/>
      <x:c r="E87" s="27"/>
      <x:c r="F87" s="27"/>
      <x:c r="G87" s="27"/>
      <x:c r="H87" s="27"/>
      <x:c r="I87" s="27"/>
      <x:c r="J87" s="27"/>
      <x:c r="K87" s="27"/>
      <x:c r="L87" s="27"/>
      <x:c r="M87" s="27"/>
      <x:c r="N87" s="27"/>
      <x:c r="O87" s="27"/>
      <x:c r="P87" s="27"/>
      <x:c r="Q87" s="27"/>
      <x:c r="R87" s="27"/>
      <x:c r="S87" s="27"/>
      <x:c r="T87" s="27"/>
      <x:c r="U87" s="27"/>
      <x:c r="V87" s="27"/>
      <x:c r="W87" s="27"/>
      <x:c r="X87" s="27"/>
      <x:c r="Y87" s="27"/>
      <x:c r="Z87" s="27"/>
      <x:c r="AA87" s="27"/>
      <x:c r="AB87" s="27"/>
      <x:c r="AC87" s="27"/>
      <x:c r="AD87" s="27"/>
      <x:c r="AE87" s="27"/>
      <x:c r="AF87" s="27"/>
      <x:c r="AG87" s="27"/>
      <x:c r="AH87" s="27"/>
      <x:c r="AI87" s="27"/>
      <x:c r="AJ87" s="27"/>
      <x:c r="AK87" s="27"/>
      <x:c r="AL87" s="27"/>
      <x:c r="AM87" s="27"/>
      <x:c r="AN87" s="27"/>
      <x:c r="AO87" s="27"/>
      <x:c r="AP87" s="27"/>
      <x:c r="AQ87" s="27"/>
      <x:c r="AR87" s="27"/>
      <x:c r="AS87" s="27"/>
      <x:c r="AT87" s="27"/>
      <x:c r="AU87" s="27"/>
      <x:c r="AV87" s="27"/>
      <x:c r="AW87" s="27"/>
      <x:c r="AX87" s="27"/>
      <x:c r="AY87" s="27"/>
      <x:c r="AZ87" s="27"/>
    </x:row>
    <x:row r="88">
      <x:c r="A88" s="27"/>
      <x:c r="B88" s="27"/>
      <x:c r="C88" s="27"/>
      <x:c r="D88" s="27"/>
      <x:c r="E88" s="27"/>
      <x:c r="F88" s="27"/>
      <x:c r="G88" s="27"/>
      <x:c r="H88" s="27"/>
      <x:c r="I88" s="27"/>
      <x:c r="J88" s="27"/>
      <x:c r="K88" s="27"/>
      <x:c r="L88" s="27"/>
      <x:c r="M88" s="27"/>
      <x:c r="N88" s="27"/>
      <x:c r="O88" s="27"/>
      <x:c r="P88" s="27"/>
      <x:c r="Q88" s="27"/>
      <x:c r="R88" s="27"/>
      <x:c r="S88" s="27"/>
      <x:c r="T88" s="27"/>
      <x:c r="U88" s="27"/>
      <x:c r="V88" s="27"/>
      <x:c r="W88" s="27"/>
      <x:c r="X88" s="27"/>
      <x:c r="Y88" s="27"/>
      <x:c r="Z88" s="27"/>
      <x:c r="AA88" s="27"/>
      <x:c r="AB88" s="27"/>
      <x:c r="AC88" s="27"/>
      <x:c r="AD88" s="27"/>
      <x:c r="AE88" s="27"/>
      <x:c r="AF88" s="27"/>
      <x:c r="AG88" s="27"/>
      <x:c r="AH88" s="27"/>
      <x:c r="AI88" s="27"/>
      <x:c r="AJ88" s="27"/>
      <x:c r="AK88" s="27"/>
      <x:c r="AL88" s="27"/>
      <x:c r="AM88" s="27"/>
      <x:c r="AN88" s="27"/>
      <x:c r="AO88" s="27"/>
      <x:c r="AP88" s="27"/>
      <x:c r="AQ88" s="27"/>
      <x:c r="AR88" s="27"/>
      <x:c r="AS88" s="27"/>
      <x:c r="AT88" s="27"/>
      <x:c r="AU88" s="27"/>
      <x:c r="AV88" s="27"/>
      <x:c r="AW88" s="27"/>
      <x:c r="AX88" s="27"/>
      <x:c r="AY88" s="27"/>
      <x:c r="AZ88" s="27"/>
    </x:row>
    <x:row r="89">
      <x:c r="A89" s="27"/>
      <x:c r="B89" s="27"/>
      <x:c r="C89" s="27"/>
      <x:c r="D89" s="27"/>
      <x:c r="E89" s="27"/>
      <x:c r="F89" s="27"/>
      <x:c r="G89" s="27"/>
      <x:c r="H89" s="27"/>
      <x:c r="I89" s="27"/>
      <x:c r="J89" s="27"/>
      <x:c r="K89" s="27"/>
      <x:c r="L89" s="27"/>
      <x:c r="M89" s="27"/>
      <x:c r="N89" s="27"/>
      <x:c r="O89" s="27"/>
      <x:c r="P89" s="27"/>
      <x:c r="Q89" s="27"/>
      <x:c r="R89" s="27"/>
      <x:c r="S89" s="27"/>
      <x:c r="T89" s="27"/>
      <x:c r="U89" s="27"/>
      <x:c r="V89" s="27"/>
      <x:c r="W89" s="27"/>
      <x:c r="X89" s="27"/>
      <x:c r="Y89" s="27"/>
      <x:c r="Z89" s="27"/>
      <x:c r="AA89" s="27"/>
      <x:c r="AB89" s="27"/>
      <x:c r="AC89" s="27"/>
      <x:c r="AD89" s="27"/>
      <x:c r="AE89" s="27"/>
      <x:c r="AF89" s="27"/>
      <x:c r="AG89" s="27"/>
      <x:c r="AH89" s="27"/>
      <x:c r="AI89" s="27"/>
      <x:c r="AJ89" s="27"/>
      <x:c r="AK89" s="27"/>
      <x:c r="AL89" s="27"/>
      <x:c r="AM89" s="27"/>
      <x:c r="AN89" s="27"/>
      <x:c r="AO89" s="27"/>
      <x:c r="AP89" s="27"/>
      <x:c r="AQ89" s="27"/>
      <x:c r="AR89" s="27"/>
      <x:c r="AS89" s="27"/>
      <x:c r="AT89" s="27"/>
      <x:c r="AU89" s="27"/>
      <x:c r="AV89" s="27"/>
      <x:c r="AW89" s="27"/>
      <x:c r="AX89" s="27"/>
      <x:c r="AY89" s="27"/>
      <x:c r="AZ89" s="27"/>
    </x:row>
    <x:row r="90">
      <x:c r="A90" s="27"/>
      <x:c r="B90" s="27"/>
      <x:c r="C90" s="27"/>
      <x:c r="D90" s="27"/>
      <x:c r="E90" s="27"/>
      <x:c r="F90" s="27"/>
      <x:c r="G90" s="27"/>
      <x:c r="H90" s="27"/>
      <x:c r="I90" s="27"/>
      <x:c r="J90" s="27"/>
      <x:c r="K90" s="27"/>
      <x:c r="L90" s="27"/>
      <x:c r="M90" s="27"/>
      <x:c r="N90" s="27"/>
      <x:c r="O90" s="27"/>
      <x:c r="P90" s="27"/>
      <x:c r="Q90" s="27"/>
      <x:c r="R90" s="27"/>
      <x:c r="S90" s="27"/>
      <x:c r="T90" s="27"/>
      <x:c r="U90" s="27"/>
      <x:c r="V90" s="27"/>
      <x:c r="W90" s="27"/>
      <x:c r="X90" s="27"/>
      <x:c r="Y90" s="27"/>
      <x:c r="Z90" s="27"/>
      <x:c r="AA90" s="27"/>
      <x:c r="AB90" s="27"/>
      <x:c r="AC90" s="27"/>
      <x:c r="AD90" s="27"/>
      <x:c r="AE90" s="27"/>
      <x:c r="AF90" s="27"/>
      <x:c r="AG90" s="27"/>
      <x:c r="AH90" s="27"/>
      <x:c r="AI90" s="27"/>
      <x:c r="AJ90" s="27"/>
      <x:c r="AK90" s="27"/>
      <x:c r="AL90" s="27"/>
      <x:c r="AM90" s="27"/>
      <x:c r="AN90" s="27"/>
      <x:c r="AO90" s="27"/>
      <x:c r="AP90" s="27"/>
      <x:c r="AQ90" s="27"/>
      <x:c r="AR90" s="27"/>
      <x:c r="AS90" s="27"/>
      <x:c r="AT90" s="27"/>
      <x:c r="AU90" s="27"/>
      <x:c r="AV90" s="27"/>
      <x:c r="AW90" s="27"/>
      <x:c r="AX90" s="27"/>
      <x:c r="AY90" s="27"/>
      <x:c r="AZ90" s="27"/>
    </x:row>
    <x:row r="91">
      <x:c r="A91" s="27"/>
      <x:c r="B91" s="27"/>
      <x:c r="C91" s="27"/>
      <x:c r="D91" s="27"/>
      <x:c r="E91" s="27"/>
      <x:c r="F91" s="27"/>
      <x:c r="G91" s="27"/>
      <x:c r="H91" s="27"/>
      <x:c r="I91" s="27"/>
      <x:c r="J91" s="27"/>
      <x:c r="K91" s="27"/>
      <x:c r="L91" s="27"/>
      <x:c r="M91" s="27"/>
      <x:c r="N91" s="27"/>
      <x:c r="O91" s="27"/>
      <x:c r="P91" s="27"/>
      <x:c r="Q91" s="27"/>
      <x:c r="R91" s="27"/>
      <x:c r="S91" s="27"/>
      <x:c r="T91" s="27"/>
      <x:c r="U91" s="27"/>
      <x:c r="V91" s="27"/>
      <x:c r="W91" s="27"/>
      <x:c r="X91" s="27"/>
      <x:c r="Y91" s="27"/>
      <x:c r="Z91" s="27"/>
      <x:c r="AA91" s="27"/>
      <x:c r="AB91" s="27"/>
      <x:c r="AC91" s="27"/>
      <x:c r="AD91" s="27"/>
      <x:c r="AE91" s="27"/>
      <x:c r="AF91" s="27"/>
      <x:c r="AG91" s="27"/>
      <x:c r="AH91" s="27"/>
      <x:c r="AI91" s="27"/>
      <x:c r="AJ91" s="27"/>
      <x:c r="AK91" s="27"/>
      <x:c r="AL91" s="27"/>
      <x:c r="AM91" s="27"/>
      <x:c r="AN91" s="27"/>
      <x:c r="AO91" s="27"/>
      <x:c r="AP91" s="27"/>
      <x:c r="AQ91" s="27"/>
      <x:c r="AR91" s="27"/>
      <x:c r="AS91" s="27"/>
      <x:c r="AT91" s="27"/>
      <x:c r="AU91" s="27"/>
      <x:c r="AV91" s="27"/>
      <x:c r="AW91" s="27"/>
      <x:c r="AX91" s="27"/>
      <x:c r="AY91" s="27"/>
      <x:c r="AZ91" s="27"/>
    </x:row>
    <x:row r="92">
      <x:c r="A92" s="27"/>
      <x:c r="B92" s="27"/>
      <x:c r="C92" s="27"/>
      <x:c r="D92" s="27"/>
      <x:c r="E92" s="27"/>
      <x:c r="F92" s="27"/>
      <x:c r="G92" s="27"/>
      <x:c r="H92" s="27"/>
      <x:c r="I92" s="27"/>
      <x:c r="J92" s="27"/>
      <x:c r="K92" s="27"/>
      <x:c r="L92" s="27"/>
      <x:c r="M92" s="27"/>
      <x:c r="N92" s="27"/>
      <x:c r="O92" s="27"/>
      <x:c r="P92" s="27"/>
      <x:c r="Q92" s="27"/>
      <x:c r="R92" s="27"/>
      <x:c r="S92" s="27"/>
      <x:c r="T92" s="27"/>
      <x:c r="U92" s="27"/>
      <x:c r="V92" s="27"/>
      <x:c r="W92" s="27"/>
      <x:c r="X92" s="27"/>
      <x:c r="Y92" s="27"/>
      <x:c r="Z92" s="27"/>
      <x:c r="AA92" s="27"/>
      <x:c r="AB92" s="27"/>
      <x:c r="AC92" s="27"/>
      <x:c r="AD92" s="27"/>
      <x:c r="AE92" s="27"/>
      <x:c r="AF92" s="27"/>
      <x:c r="AG92" s="27"/>
      <x:c r="AH92" s="27"/>
      <x:c r="AI92" s="27"/>
      <x:c r="AJ92" s="27"/>
      <x:c r="AK92" s="27"/>
      <x:c r="AL92" s="27"/>
      <x:c r="AM92" s="27"/>
      <x:c r="AN92" s="27"/>
      <x:c r="AO92" s="27"/>
      <x:c r="AP92" s="27"/>
      <x:c r="AQ92" s="27"/>
      <x:c r="AR92" s="27"/>
      <x:c r="AS92" s="27"/>
      <x:c r="AT92" s="27"/>
      <x:c r="AU92" s="27"/>
      <x:c r="AV92" s="27"/>
      <x:c r="AW92" s="27"/>
      <x:c r="AX92" s="27"/>
      <x:c r="AY92" s="27"/>
      <x:c r="AZ92" s="27"/>
    </x:row>
    <x:row r="93">
      <x:c r="A93" s="27"/>
      <x:c r="B93" s="27"/>
      <x:c r="C93" s="27"/>
      <x:c r="D93" s="27"/>
      <x:c r="E93" s="27"/>
      <x:c r="F93" s="27"/>
      <x:c r="G93" s="27"/>
      <x:c r="H93" s="27"/>
      <x:c r="I93" s="27"/>
      <x:c r="J93" s="27"/>
      <x:c r="K93" s="27"/>
      <x:c r="L93" s="27"/>
      <x:c r="M93" s="27"/>
      <x:c r="N93" s="27"/>
      <x:c r="O93" s="27"/>
      <x:c r="P93" s="27"/>
      <x:c r="Q93" s="27"/>
      <x:c r="R93" s="27"/>
      <x:c r="S93" s="27"/>
      <x:c r="T93" s="27"/>
      <x:c r="U93" s="27"/>
      <x:c r="V93" s="27"/>
      <x:c r="W93" s="27"/>
      <x:c r="X93" s="27"/>
      <x:c r="Y93" s="27"/>
      <x:c r="Z93" s="27"/>
      <x:c r="AA93" s="27"/>
      <x:c r="AB93" s="27"/>
      <x:c r="AC93" s="27"/>
      <x:c r="AD93" s="27"/>
      <x:c r="AE93" s="27"/>
      <x:c r="AF93" s="27"/>
      <x:c r="AG93" s="27"/>
      <x:c r="AH93" s="27"/>
      <x:c r="AI93" s="27"/>
      <x:c r="AJ93" s="27"/>
      <x:c r="AK93" s="27"/>
      <x:c r="AL93" s="27"/>
      <x:c r="AM93" s="27"/>
      <x:c r="AN93" s="27"/>
      <x:c r="AO93" s="27"/>
      <x:c r="AP93" s="27"/>
      <x:c r="AQ93" s="27"/>
      <x:c r="AR93" s="27"/>
      <x:c r="AS93" s="27"/>
      <x:c r="AT93" s="27"/>
      <x:c r="AU93" s="27"/>
      <x:c r="AV93" s="27"/>
      <x:c r="AW93" s="27"/>
      <x:c r="AX93" s="27"/>
      <x:c r="AY93" s="27"/>
      <x:c r="AZ93" s="27"/>
    </x:row>
    <x:row r="94">
      <x:c r="A94" s="27"/>
      <x:c r="B94" s="27"/>
      <x:c r="C94" s="27"/>
      <x:c r="D94" s="27"/>
      <x:c r="E94" s="27"/>
      <x:c r="F94" s="27"/>
      <x:c r="G94" s="27"/>
      <x:c r="H94" s="27"/>
      <x:c r="I94" s="27"/>
      <x:c r="J94" s="27"/>
      <x:c r="K94" s="27"/>
      <x:c r="L94" s="27"/>
      <x:c r="M94" s="27"/>
      <x:c r="N94" s="27"/>
      <x:c r="O94" s="27"/>
      <x:c r="P94" s="27"/>
      <x:c r="Q94" s="27"/>
      <x:c r="R94" s="27"/>
      <x:c r="S94" s="27"/>
      <x:c r="T94" s="27"/>
      <x:c r="U94" s="27"/>
      <x:c r="V94" s="27"/>
      <x:c r="W94" s="27"/>
      <x:c r="X94" s="27"/>
      <x:c r="Y94" s="27"/>
      <x:c r="Z94" s="27"/>
      <x:c r="AA94" s="27"/>
      <x:c r="AB94" s="27"/>
      <x:c r="AC94" s="27"/>
      <x:c r="AD94" s="27"/>
      <x:c r="AE94" s="27"/>
      <x:c r="AF94" s="27"/>
      <x:c r="AG94" s="27"/>
      <x:c r="AH94" s="27"/>
      <x:c r="AI94" s="27"/>
      <x:c r="AJ94" s="27"/>
      <x:c r="AK94" s="27"/>
      <x:c r="AL94" s="27"/>
      <x:c r="AM94" s="27"/>
      <x:c r="AN94" s="27"/>
      <x:c r="AO94" s="27"/>
      <x:c r="AP94" s="27"/>
      <x:c r="AQ94" s="27"/>
      <x:c r="AR94" s="27"/>
      <x:c r="AS94" s="27"/>
      <x:c r="AT94" s="27"/>
      <x:c r="AU94" s="27"/>
      <x:c r="AV94" s="27"/>
      <x:c r="AW94" s="27"/>
      <x:c r="AX94" s="27"/>
      <x:c r="AY94" s="27"/>
      <x:c r="AZ94" s="27"/>
    </x:row>
    <x:row r="95">
      <x:c r="A95" s="27"/>
      <x:c r="B95" s="27"/>
      <x:c r="C95" s="27"/>
      <x:c r="D95" s="27"/>
      <x:c r="E95" s="27"/>
      <x:c r="F95" s="27"/>
      <x:c r="G95" s="27"/>
      <x:c r="H95" s="27"/>
      <x:c r="I95" s="27"/>
      <x:c r="J95" s="27"/>
      <x:c r="K95" s="27"/>
      <x:c r="L95" s="27"/>
      <x:c r="M95" s="27"/>
      <x:c r="N95" s="27"/>
      <x:c r="O95" s="27"/>
      <x:c r="P95" s="27"/>
      <x:c r="Q95" s="27"/>
      <x:c r="R95" s="27"/>
      <x:c r="S95" s="27"/>
      <x:c r="T95" s="27"/>
      <x:c r="U95" s="27"/>
      <x:c r="V95" s="27"/>
      <x:c r="W95" s="27"/>
      <x:c r="X95" s="27"/>
      <x:c r="Y95" s="27"/>
      <x:c r="Z95" s="27"/>
      <x:c r="AA95" s="27"/>
      <x:c r="AB95" s="27"/>
      <x:c r="AC95" s="27"/>
      <x:c r="AD95" s="27"/>
      <x:c r="AE95" s="27"/>
      <x:c r="AF95" s="27"/>
      <x:c r="AG95" s="27"/>
      <x:c r="AH95" s="27"/>
      <x:c r="AI95" s="27"/>
      <x:c r="AJ95" s="27"/>
      <x:c r="AK95" s="27"/>
      <x:c r="AL95" s="27"/>
      <x:c r="AM95" s="27"/>
      <x:c r="AN95" s="27"/>
      <x:c r="AO95" s="27"/>
      <x:c r="AP95" s="27"/>
      <x:c r="AQ95" s="27"/>
      <x:c r="AR95" s="27"/>
      <x:c r="AS95" s="27"/>
      <x:c r="AT95" s="27"/>
      <x:c r="AU95" s="27"/>
      <x:c r="AV95" s="27"/>
      <x:c r="AW95" s="27"/>
      <x:c r="AX95" s="27"/>
      <x:c r="AY95" s="27"/>
      <x:c r="AZ95" s="27"/>
    </x:row>
    <x:row r="96">
      <x:c r="A96" s="27"/>
      <x:c r="B96" s="27"/>
      <x:c r="C96" s="27"/>
      <x:c r="D96" s="27"/>
      <x:c r="E96" s="27"/>
      <x:c r="F96" s="27"/>
      <x:c r="G96" s="27"/>
      <x:c r="H96" s="27"/>
      <x:c r="I96" s="27"/>
      <x:c r="J96" s="27"/>
      <x:c r="K96" s="27"/>
      <x:c r="L96" s="27"/>
      <x:c r="M96" s="27"/>
      <x:c r="N96" s="27"/>
      <x:c r="O96" s="27"/>
      <x:c r="P96" s="27"/>
      <x:c r="Q96" s="27"/>
      <x:c r="R96" s="27"/>
      <x:c r="S96" s="27"/>
      <x:c r="T96" s="27"/>
      <x:c r="U96" s="27"/>
      <x:c r="V96" s="27"/>
      <x:c r="W96" s="27"/>
      <x:c r="X96" s="27"/>
      <x:c r="Y96" s="27"/>
      <x:c r="Z96" s="27"/>
      <x:c r="AA96" s="27"/>
      <x:c r="AB96" s="27"/>
      <x:c r="AC96" s="27"/>
      <x:c r="AD96" s="27"/>
      <x:c r="AE96" s="27"/>
      <x:c r="AF96" s="27"/>
      <x:c r="AG96" s="27"/>
      <x:c r="AH96" s="27"/>
      <x:c r="AI96" s="27"/>
      <x:c r="AJ96" s="27"/>
      <x:c r="AK96" s="27"/>
      <x:c r="AL96" s="27"/>
      <x:c r="AM96" s="27"/>
      <x:c r="AN96" s="27"/>
      <x:c r="AO96" s="27"/>
      <x:c r="AP96" s="27"/>
      <x:c r="AQ96" s="27"/>
      <x:c r="AR96" s="27"/>
      <x:c r="AS96" s="27"/>
      <x:c r="AT96" s="27"/>
      <x:c r="AU96" s="27"/>
      <x:c r="AV96" s="27"/>
      <x:c r="AW96" s="27"/>
      <x:c r="AX96" s="27"/>
      <x:c r="AY96" s="27"/>
      <x:c r="AZ96" s="27"/>
    </x:row>
    <x:row r="97">
      <x:c r="A97" s="27"/>
      <x:c r="B97" s="27"/>
      <x:c r="C97" s="27"/>
      <x:c r="D97" s="27"/>
      <x:c r="E97" s="27"/>
      <x:c r="F97" s="27"/>
      <x:c r="G97" s="27"/>
      <x:c r="H97" s="27"/>
      <x:c r="I97" s="27"/>
      <x:c r="J97" s="27"/>
      <x:c r="K97" s="27"/>
      <x:c r="L97" s="27"/>
      <x:c r="M97" s="27"/>
      <x:c r="N97" s="27"/>
      <x:c r="O97" s="27"/>
      <x:c r="P97" s="27"/>
      <x:c r="Q97" s="27"/>
      <x:c r="R97" s="27"/>
      <x:c r="S97" s="27"/>
      <x:c r="T97" s="27"/>
      <x:c r="U97" s="27"/>
      <x:c r="V97" s="27"/>
      <x:c r="W97" s="27"/>
      <x:c r="X97" s="27"/>
      <x:c r="Y97" s="27"/>
      <x:c r="Z97" s="27"/>
      <x:c r="AA97" s="27"/>
      <x:c r="AB97" s="27"/>
      <x:c r="AC97" s="27"/>
      <x:c r="AD97" s="27"/>
      <x:c r="AE97" s="27"/>
      <x:c r="AF97" s="27"/>
      <x:c r="AG97" s="27"/>
      <x:c r="AH97" s="27"/>
      <x:c r="AI97" s="27"/>
      <x:c r="AJ97" s="27"/>
      <x:c r="AK97" s="27"/>
      <x:c r="AL97" s="27"/>
      <x:c r="AM97" s="27"/>
      <x:c r="AN97" s="27"/>
      <x:c r="AO97" s="27"/>
      <x:c r="AP97" s="27"/>
      <x:c r="AQ97" s="27"/>
      <x:c r="AR97" s="27"/>
      <x:c r="AS97" s="27"/>
      <x:c r="AT97" s="27"/>
      <x:c r="AU97" s="27"/>
      <x:c r="AV97" s="27"/>
      <x:c r="AW97" s="27"/>
      <x:c r="AX97" s="27"/>
      <x:c r="AY97" s="27"/>
      <x:c r="AZ97" s="27"/>
    </x:row>
    <x:row r="98">
      <x:c r="A98" s="27"/>
      <x:c r="B98" s="27"/>
      <x:c r="C98" s="27"/>
      <x:c r="D98" s="27"/>
      <x:c r="E98" s="27"/>
      <x:c r="F98" s="27"/>
      <x:c r="G98" s="27"/>
      <x:c r="H98" s="27"/>
      <x:c r="I98" s="27"/>
      <x:c r="J98" s="27"/>
      <x:c r="K98" s="27"/>
      <x:c r="L98" s="27"/>
      <x:c r="M98" s="27"/>
      <x:c r="N98" s="27"/>
      <x:c r="O98" s="27"/>
      <x:c r="P98" s="27"/>
      <x:c r="Q98" s="27"/>
      <x:c r="R98" s="27"/>
      <x:c r="S98" s="27"/>
      <x:c r="T98" s="27"/>
      <x:c r="U98" s="27"/>
      <x:c r="V98" s="27"/>
      <x:c r="W98" s="27"/>
      <x:c r="X98" s="27"/>
      <x:c r="Y98" s="27"/>
      <x:c r="Z98" s="27"/>
      <x:c r="AA98" s="27"/>
      <x:c r="AB98" s="27"/>
      <x:c r="AC98" s="27"/>
      <x:c r="AD98" s="27"/>
      <x:c r="AE98" s="27"/>
      <x:c r="AF98" s="27"/>
      <x:c r="AG98" s="27"/>
      <x:c r="AH98" s="27"/>
      <x:c r="AI98" s="27"/>
      <x:c r="AJ98" s="27"/>
      <x:c r="AK98" s="27"/>
      <x:c r="AL98" s="27"/>
      <x:c r="AM98" s="27"/>
      <x:c r="AN98" s="27"/>
      <x:c r="AO98" s="27"/>
      <x:c r="AP98" s="27"/>
      <x:c r="AQ98" s="27"/>
      <x:c r="AR98" s="27"/>
      <x:c r="AS98" s="27"/>
      <x:c r="AT98" s="27"/>
      <x:c r="AU98" s="27"/>
      <x:c r="AV98" s="27"/>
      <x:c r="AW98" s="27"/>
      <x:c r="AX98" s="27"/>
      <x:c r="AY98" s="27"/>
      <x:c r="AZ98" s="27"/>
    </x:row>
    <x:row r="99">
      <x:c r="A99" s="27"/>
      <x:c r="B99" s="27"/>
      <x:c r="C99" s="27"/>
      <x:c r="D99" s="27"/>
      <x:c r="E99" s="27"/>
      <x:c r="F99" s="27"/>
      <x:c r="G99" s="27"/>
      <x:c r="H99" s="27"/>
      <x:c r="I99" s="27"/>
      <x:c r="J99" s="27"/>
      <x:c r="K99" s="27"/>
      <x:c r="L99" s="27"/>
      <x:c r="M99" s="27"/>
      <x:c r="N99" s="27"/>
      <x:c r="O99" s="27"/>
      <x:c r="P99" s="27"/>
      <x:c r="Q99" s="27"/>
      <x:c r="R99" s="27"/>
      <x:c r="S99" s="27"/>
      <x:c r="T99" s="27"/>
      <x:c r="U99" s="27"/>
      <x:c r="V99" s="27"/>
      <x:c r="W99" s="27"/>
      <x:c r="X99" s="27"/>
      <x:c r="Y99" s="27"/>
      <x:c r="Z99" s="27"/>
      <x:c r="AA99" s="27"/>
      <x:c r="AB99" s="27"/>
      <x:c r="AC99" s="27"/>
      <x:c r="AD99" s="27"/>
      <x:c r="AE99" s="27"/>
      <x:c r="AF99" s="27"/>
      <x:c r="AG99" s="27"/>
      <x:c r="AH99" s="27"/>
      <x:c r="AI99" s="27"/>
      <x:c r="AJ99" s="27"/>
      <x:c r="AK99" s="27"/>
      <x:c r="AL99" s="27"/>
      <x:c r="AM99" s="27"/>
      <x:c r="AN99" s="27"/>
      <x:c r="AO99" s="27"/>
      <x:c r="AP99" s="27"/>
      <x:c r="AQ99" s="27"/>
      <x:c r="AR99" s="27"/>
      <x:c r="AS99" s="27"/>
      <x:c r="AT99" s="27"/>
      <x:c r="AU99" s="27"/>
      <x:c r="AV99" s="27"/>
      <x:c r="AW99" s="27"/>
      <x:c r="AX99" s="27"/>
      <x:c r="AY99" s="27"/>
      <x:c r="AZ99" s="27"/>
    </x:row>
    <x:row r="100">
      <x:c r="A100" s="27"/>
      <x:c r="B100" s="27"/>
      <x:c r="C100" s="27"/>
      <x:c r="D100" s="27"/>
      <x:c r="E100" s="27"/>
      <x:c r="F100" s="27"/>
      <x:c r="G100" s="27"/>
      <x:c r="H100" s="27"/>
      <x:c r="I100" s="27"/>
      <x:c r="J100" s="27"/>
      <x:c r="K100" s="27"/>
      <x:c r="L100" s="27"/>
      <x:c r="M100" s="27"/>
      <x:c r="N100" s="27"/>
      <x:c r="O100" s="27"/>
      <x:c r="P100" s="27"/>
      <x:c r="Q100" s="27"/>
      <x:c r="R100" s="27"/>
      <x:c r="S100" s="27"/>
      <x:c r="T100" s="27"/>
      <x:c r="U100" s="27"/>
      <x:c r="V100" s="27"/>
      <x:c r="W100" s="27"/>
      <x:c r="X100" s="27"/>
      <x:c r="Y100" s="27"/>
      <x:c r="Z100" s="27"/>
      <x:c r="AA100" s="27"/>
      <x:c r="AB100" s="27"/>
      <x:c r="AC100" s="27"/>
      <x:c r="AD100" s="27"/>
      <x:c r="AE100" s="27"/>
      <x:c r="AF100" s="27"/>
      <x:c r="AG100" s="27"/>
      <x:c r="AH100" s="27"/>
      <x:c r="AI100" s="27"/>
      <x:c r="AJ100" s="27"/>
      <x:c r="AK100" s="27"/>
      <x:c r="AL100" s="27"/>
      <x:c r="AM100" s="27"/>
      <x:c r="AN100" s="27"/>
      <x:c r="AO100" s="27"/>
      <x:c r="AP100" s="27"/>
      <x:c r="AQ100" s="27"/>
      <x:c r="AR100" s="27"/>
      <x:c r="AS100" s="27"/>
      <x:c r="AT100" s="27"/>
      <x:c r="AU100" s="27"/>
      <x:c r="AV100" s="27"/>
      <x:c r="AW100" s="27"/>
      <x:c r="AX100" s="27"/>
      <x:c r="AY100" s="27"/>
      <x:c r="AZ100" s="27"/>
    </x:row>
    <x:row r="101">
      <x:c r="A101" s="27"/>
      <x:c r="B101" s="27"/>
      <x:c r="C101" s="27"/>
      <x:c r="D101" s="27"/>
      <x:c r="E101" s="27"/>
      <x:c r="F101" s="27"/>
      <x:c r="G101" s="27"/>
      <x:c r="H101" s="27"/>
      <x:c r="I101" s="27"/>
      <x:c r="J101" s="27"/>
      <x:c r="K101" s="27"/>
      <x:c r="L101" s="27"/>
      <x:c r="M101" s="27"/>
      <x:c r="N101" s="27"/>
      <x:c r="O101" s="27"/>
      <x:c r="P101" s="27"/>
      <x:c r="Q101" s="27"/>
      <x:c r="R101" s="27"/>
      <x:c r="S101" s="27"/>
      <x:c r="T101" s="27"/>
      <x:c r="U101" s="27"/>
      <x:c r="V101" s="27"/>
      <x:c r="W101" s="27"/>
      <x:c r="X101" s="27"/>
      <x:c r="Y101" s="27"/>
      <x:c r="Z101" s="27"/>
      <x:c r="AA101" s="27"/>
      <x:c r="AB101" s="27"/>
      <x:c r="AC101" s="27"/>
      <x:c r="AD101" s="27"/>
      <x:c r="AE101" s="27"/>
      <x:c r="AF101" s="27"/>
      <x:c r="AG101" s="27"/>
      <x:c r="AH101" s="27"/>
      <x:c r="AI101" s="27"/>
      <x:c r="AJ101" s="27"/>
      <x:c r="AK101" s="27"/>
      <x:c r="AL101" s="27"/>
      <x:c r="AM101" s="27"/>
      <x:c r="AN101" s="27"/>
      <x:c r="AO101" s="27"/>
      <x:c r="AP101" s="27"/>
      <x:c r="AQ101" s="27"/>
      <x:c r="AR101" s="27"/>
      <x:c r="AS101" s="27"/>
      <x:c r="AT101" s="27"/>
      <x:c r="AU101" s="27"/>
      <x:c r="AV101" s="27"/>
      <x:c r="AW101" s="27"/>
      <x:c r="AX101" s="27"/>
      <x:c r="AY101" s="27"/>
      <x:c r="AZ101" s="27"/>
    </x:row>
    <x:row r="102">
      <x:c r="A102" s="27"/>
      <x:c r="B102" s="27"/>
      <x:c r="C102" s="27"/>
      <x:c r="D102" s="27"/>
      <x:c r="E102" s="27"/>
      <x:c r="F102" s="27"/>
      <x:c r="G102" s="27"/>
      <x:c r="H102" s="27"/>
      <x:c r="I102" s="27"/>
      <x:c r="J102" s="27"/>
      <x:c r="K102" s="27"/>
      <x:c r="L102" s="27"/>
      <x:c r="M102" s="27"/>
      <x:c r="N102" s="27"/>
      <x:c r="O102" s="27"/>
      <x:c r="P102" s="27"/>
      <x:c r="Q102" s="27"/>
      <x:c r="R102" s="27"/>
      <x:c r="S102" s="27"/>
      <x:c r="T102" s="27"/>
      <x:c r="U102" s="27"/>
      <x:c r="V102" s="27"/>
      <x:c r="W102" s="27"/>
      <x:c r="X102" s="27"/>
      <x:c r="Y102" s="27"/>
      <x:c r="Z102" s="27"/>
      <x:c r="AA102" s="27"/>
      <x:c r="AB102" s="27"/>
      <x:c r="AC102" s="27"/>
      <x:c r="AD102" s="27"/>
      <x:c r="AE102" s="27"/>
      <x:c r="AF102" s="27"/>
      <x:c r="AG102" s="27"/>
      <x:c r="AH102" s="27"/>
      <x:c r="AI102" s="27"/>
      <x:c r="AJ102" s="27"/>
      <x:c r="AK102" s="27"/>
      <x:c r="AL102" s="27"/>
      <x:c r="AM102" s="27"/>
      <x:c r="AN102" s="27"/>
      <x:c r="AO102" s="27"/>
      <x:c r="AP102" s="27"/>
      <x:c r="AQ102" s="27"/>
      <x:c r="AR102" s="27"/>
      <x:c r="AS102" s="27"/>
      <x:c r="AT102" s="27"/>
      <x:c r="AU102" s="27"/>
      <x:c r="AV102" s="27"/>
      <x:c r="AW102" s="27"/>
      <x:c r="AX102" s="27"/>
      <x:c r="AY102" s="27"/>
      <x:c r="AZ102" s="27"/>
    </x:row>
    <x:row r="103">
      <x:c r="A103" s="27"/>
      <x:c r="B103" s="27"/>
      <x:c r="C103" s="27"/>
      <x:c r="D103" s="27"/>
      <x:c r="E103" s="27"/>
      <x:c r="F103" s="27"/>
      <x:c r="G103" s="27"/>
      <x:c r="H103" s="27"/>
      <x:c r="I103" s="27"/>
      <x:c r="J103" s="27"/>
      <x:c r="K103" s="27"/>
      <x:c r="L103" s="27"/>
      <x:c r="M103" s="27"/>
      <x:c r="N103" s="27"/>
      <x:c r="O103" s="27"/>
      <x:c r="P103" s="27"/>
      <x:c r="Q103" s="27"/>
      <x:c r="R103" s="27"/>
      <x:c r="S103" s="27"/>
      <x:c r="T103" s="27"/>
      <x:c r="U103" s="27"/>
      <x:c r="V103" s="27"/>
      <x:c r="W103" s="27"/>
      <x:c r="X103" s="27"/>
      <x:c r="Y103" s="27"/>
      <x:c r="Z103" s="27"/>
      <x:c r="AA103" s="27"/>
      <x:c r="AB103" s="27"/>
      <x:c r="AC103" s="27"/>
      <x:c r="AD103" s="27"/>
      <x:c r="AE103" s="27"/>
      <x:c r="AF103" s="27"/>
      <x:c r="AG103" s="27"/>
      <x:c r="AH103" s="27"/>
      <x:c r="AI103" s="27"/>
      <x:c r="AJ103" s="27"/>
      <x:c r="AK103" s="27"/>
      <x:c r="AL103" s="27"/>
      <x:c r="AM103" s="27"/>
      <x:c r="AN103" s="27"/>
      <x:c r="AO103" s="27"/>
      <x:c r="AP103" s="27"/>
      <x:c r="AQ103" s="27"/>
      <x:c r="AR103" s="27"/>
      <x:c r="AS103" s="27"/>
      <x:c r="AT103" s="27"/>
      <x:c r="AU103" s="27"/>
      <x:c r="AV103" s="27"/>
      <x:c r="AW103" s="27"/>
      <x:c r="AX103" s="27"/>
      <x:c r="AY103" s="27"/>
      <x:c r="AZ103" s="27"/>
    </x:row>
    <x:row r="104">
      <x:c r="A104" s="27"/>
      <x:c r="B104" s="27"/>
      <x:c r="C104" s="27"/>
      <x:c r="D104" s="27"/>
      <x:c r="E104" s="27"/>
      <x:c r="F104" s="27"/>
      <x:c r="G104" s="27"/>
      <x:c r="H104" s="27"/>
      <x:c r="I104" s="27"/>
      <x:c r="J104" s="27"/>
      <x:c r="K104" s="27"/>
      <x:c r="L104" s="27"/>
      <x:c r="M104" s="27"/>
      <x:c r="N104" s="27"/>
      <x:c r="O104" s="27"/>
      <x:c r="P104" s="27"/>
      <x:c r="Q104" s="27"/>
      <x:c r="R104" s="27"/>
      <x:c r="S104" s="27"/>
      <x:c r="T104" s="27"/>
      <x:c r="U104" s="27"/>
      <x:c r="V104" s="27"/>
      <x:c r="W104" s="27"/>
      <x:c r="X104" s="27"/>
      <x:c r="Y104" s="27"/>
      <x:c r="Z104" s="27"/>
      <x:c r="AA104" s="27"/>
      <x:c r="AB104" s="27"/>
      <x:c r="AC104" s="27"/>
      <x:c r="AD104" s="27"/>
      <x:c r="AE104" s="27"/>
      <x:c r="AF104" s="27"/>
      <x:c r="AG104" s="27"/>
      <x:c r="AH104" s="27"/>
      <x:c r="AI104" s="27"/>
      <x:c r="AJ104" s="27"/>
      <x:c r="AK104" s="27"/>
      <x:c r="AL104" s="27"/>
      <x:c r="AM104" s="27"/>
      <x:c r="AN104" s="27"/>
      <x:c r="AO104" s="27"/>
      <x:c r="AP104" s="27"/>
      <x:c r="AQ104" s="27"/>
      <x:c r="AR104" s="27"/>
      <x:c r="AS104" s="27"/>
      <x:c r="AT104" s="27"/>
      <x:c r="AU104" s="27"/>
      <x:c r="AV104" s="27"/>
      <x:c r="AW104" s="27"/>
      <x:c r="AX104" s="27"/>
      <x:c r="AY104" s="27"/>
      <x:c r="AZ104" s="27"/>
    </x:row>
    <x:row r="105">
      <x:c r="A105" s="27"/>
      <x:c r="B105" s="27"/>
      <x:c r="C105" s="27"/>
      <x:c r="D105" s="27"/>
      <x:c r="E105" s="27"/>
      <x:c r="F105" s="27"/>
      <x:c r="G105" s="27"/>
      <x:c r="H105" s="27"/>
      <x:c r="I105" s="27"/>
      <x:c r="J105" s="27"/>
      <x:c r="K105" s="27"/>
      <x:c r="L105" s="27"/>
      <x:c r="M105" s="27"/>
      <x:c r="N105" s="27"/>
      <x:c r="O105" s="27"/>
      <x:c r="P105" s="27"/>
      <x:c r="Q105" s="27"/>
      <x:c r="R105" s="27"/>
      <x:c r="S105" s="27"/>
      <x:c r="T105" s="27"/>
      <x:c r="U105" s="27"/>
      <x:c r="V105" s="27"/>
      <x:c r="W105" s="27"/>
      <x:c r="X105" s="27"/>
      <x:c r="Y105" s="27"/>
      <x:c r="Z105" s="27"/>
      <x:c r="AA105" s="27"/>
      <x:c r="AB105" s="27"/>
      <x:c r="AC105" s="27"/>
      <x:c r="AD105" s="27"/>
      <x:c r="AE105" s="27"/>
      <x:c r="AF105" s="27"/>
      <x:c r="AG105" s="27"/>
      <x:c r="AH105" s="27"/>
      <x:c r="AI105" s="27"/>
      <x:c r="AJ105" s="27"/>
      <x:c r="AK105" s="27"/>
      <x:c r="AL105" s="27"/>
      <x:c r="AM105" s="27"/>
      <x:c r="AN105" s="27"/>
      <x:c r="AO105" s="27"/>
      <x:c r="AP105" s="27"/>
      <x:c r="AQ105" s="27"/>
      <x:c r="AR105" s="27"/>
      <x:c r="AS105" s="27"/>
      <x:c r="AT105" s="27"/>
      <x:c r="AU105" s="27"/>
      <x:c r="AV105" s="27"/>
      <x:c r="AW105" s="27"/>
      <x:c r="AX105" s="27"/>
      <x:c r="AY105" s="27"/>
      <x:c r="AZ105" s="27"/>
    </x:row>
    <x:row r="106">
      <x:c r="A106" s="27"/>
      <x:c r="B106" s="27"/>
      <x:c r="C106" s="27"/>
      <x:c r="D106" s="27"/>
      <x:c r="E106" s="27"/>
      <x:c r="F106" s="27"/>
      <x:c r="G106" s="27"/>
      <x:c r="H106" s="27"/>
      <x:c r="I106" s="27"/>
      <x:c r="J106" s="27"/>
      <x:c r="K106" s="27"/>
      <x:c r="L106" s="27"/>
      <x:c r="M106" s="27"/>
      <x:c r="N106" s="27"/>
      <x:c r="O106" s="27"/>
      <x:c r="P106" s="27"/>
      <x:c r="Q106" s="27"/>
      <x:c r="R106" s="27"/>
      <x:c r="S106" s="27"/>
      <x:c r="T106" s="27"/>
      <x:c r="U106" s="27"/>
      <x:c r="V106" s="27"/>
      <x:c r="W106" s="27"/>
      <x:c r="X106" s="27"/>
      <x:c r="Y106" s="27"/>
      <x:c r="Z106" s="27"/>
      <x:c r="AA106" s="27"/>
      <x:c r="AB106" s="27"/>
      <x:c r="AC106" s="27"/>
      <x:c r="AD106" s="27"/>
      <x:c r="AE106" s="27"/>
      <x:c r="AF106" s="27"/>
      <x:c r="AG106" s="27"/>
      <x:c r="AH106" s="27"/>
      <x:c r="AI106" s="27"/>
      <x:c r="AJ106" s="27"/>
      <x:c r="AK106" s="27"/>
      <x:c r="AL106" s="27"/>
      <x:c r="AM106" s="27"/>
      <x:c r="AN106" s="27"/>
      <x:c r="AO106" s="27"/>
      <x:c r="AP106" s="27"/>
      <x:c r="AQ106" s="27"/>
      <x:c r="AR106" s="27"/>
      <x:c r="AS106" s="27"/>
      <x:c r="AT106" s="27"/>
      <x:c r="AU106" s="27"/>
      <x:c r="AV106" s="27"/>
      <x:c r="AW106" s="27"/>
      <x:c r="AX106" s="27"/>
      <x:c r="AY106" s="27"/>
      <x:c r="AZ106" s="27"/>
    </x:row>
    <x:row r="107">
      <x:c r="A107" s="27"/>
      <x:c r="B107" s="27"/>
      <x:c r="C107" s="27"/>
      <x:c r="D107" s="27"/>
      <x:c r="E107" s="27"/>
      <x:c r="F107" s="27"/>
      <x:c r="G107" s="27"/>
      <x:c r="H107" s="27"/>
      <x:c r="I107" s="27"/>
      <x:c r="J107" s="27"/>
      <x:c r="K107" s="27"/>
      <x:c r="L107" s="27"/>
      <x:c r="M107" s="27"/>
      <x:c r="N107" s="27"/>
      <x:c r="O107" s="27"/>
      <x:c r="P107" s="27"/>
      <x:c r="Q107" s="27"/>
      <x:c r="R107" s="27"/>
      <x:c r="S107" s="27"/>
      <x:c r="T107" s="27"/>
      <x:c r="U107" s="27"/>
      <x:c r="V107" s="27"/>
      <x:c r="W107" s="27"/>
      <x:c r="X107" s="27"/>
      <x:c r="Y107" s="27"/>
      <x:c r="Z107" s="27"/>
      <x:c r="AA107" s="27"/>
      <x:c r="AB107" s="27"/>
      <x:c r="AC107" s="27"/>
      <x:c r="AD107" s="27"/>
      <x:c r="AE107" s="27"/>
      <x:c r="AF107" s="27"/>
      <x:c r="AG107" s="27"/>
      <x:c r="AH107" s="27"/>
      <x:c r="AI107" s="27"/>
      <x:c r="AJ107" s="27"/>
      <x:c r="AK107" s="27"/>
      <x:c r="AL107" s="27"/>
      <x:c r="AM107" s="27"/>
      <x:c r="AN107" s="27"/>
      <x:c r="AO107" s="27"/>
      <x:c r="AP107" s="27"/>
      <x:c r="AQ107" s="27"/>
      <x:c r="AR107" s="27"/>
      <x:c r="AS107" s="27"/>
      <x:c r="AT107" s="27"/>
      <x:c r="AU107" s="27"/>
      <x:c r="AV107" s="27"/>
      <x:c r="AW107" s="27"/>
      <x:c r="AX107" s="27"/>
      <x:c r="AY107" s="27"/>
      <x:c r="AZ107" s="27"/>
    </x:row>
    <x:row r="108">
      <x:c r="A108" s="27"/>
      <x:c r="B108" s="27"/>
      <x:c r="C108" s="27"/>
      <x:c r="D108" s="27"/>
      <x:c r="E108" s="27"/>
      <x:c r="F108" s="27"/>
      <x:c r="G108" s="27"/>
      <x:c r="H108" s="27"/>
      <x:c r="I108" s="27"/>
      <x:c r="J108" s="27"/>
      <x:c r="K108" s="27"/>
      <x:c r="L108" s="27"/>
      <x:c r="M108" s="27"/>
      <x:c r="N108" s="27"/>
      <x:c r="O108" s="27"/>
      <x:c r="P108" s="27"/>
      <x:c r="Q108" s="27"/>
      <x:c r="R108" s="27"/>
      <x:c r="S108" s="27"/>
      <x:c r="T108" s="27"/>
      <x:c r="U108" s="27"/>
      <x:c r="V108" s="27"/>
      <x:c r="W108" s="27"/>
      <x:c r="X108" s="27"/>
      <x:c r="Y108" s="27"/>
      <x:c r="Z108" s="27"/>
      <x:c r="AA108" s="27"/>
      <x:c r="AB108" s="27"/>
      <x:c r="AC108" s="27"/>
      <x:c r="AD108" s="27"/>
      <x:c r="AE108" s="27"/>
      <x:c r="AF108" s="27"/>
      <x:c r="AG108" s="27"/>
      <x:c r="AH108" s="27"/>
      <x:c r="AI108" s="27"/>
      <x:c r="AJ108" s="27"/>
      <x:c r="AK108" s="27"/>
      <x:c r="AL108" s="27"/>
      <x:c r="AM108" s="27"/>
      <x:c r="AN108" s="27"/>
      <x:c r="AO108" s="27"/>
      <x:c r="AP108" s="27"/>
      <x:c r="AQ108" s="27"/>
      <x:c r="AR108" s="27"/>
      <x:c r="AS108" s="27"/>
      <x:c r="AT108" s="27"/>
      <x:c r="AU108" s="27"/>
      <x:c r="AV108" s="27"/>
      <x:c r="AW108" s="27"/>
      <x:c r="AX108" s="27"/>
      <x:c r="AY108" s="27"/>
      <x:c r="AZ108" s="27"/>
    </x:row>
    <x:row r="109">
      <x:c r="A109" s="27"/>
      <x:c r="B109" s="27"/>
      <x:c r="C109" s="27"/>
      <x:c r="D109" s="27"/>
      <x:c r="E109" s="27"/>
      <x:c r="F109" s="27"/>
      <x:c r="G109" s="27"/>
      <x:c r="H109" s="27"/>
      <x:c r="I109" s="27"/>
      <x:c r="J109" s="27"/>
      <x:c r="K109" s="27"/>
      <x:c r="L109" s="27"/>
      <x:c r="M109" s="27"/>
      <x:c r="N109" s="27"/>
      <x:c r="O109" s="27"/>
      <x:c r="P109" s="27"/>
      <x:c r="Q109" s="27"/>
      <x:c r="R109" s="27"/>
      <x:c r="S109" s="27"/>
      <x:c r="T109" s="27"/>
      <x:c r="U109" s="27"/>
      <x:c r="V109" s="27"/>
      <x:c r="W109" s="27"/>
      <x:c r="X109" s="27"/>
      <x:c r="Y109" s="27"/>
      <x:c r="Z109" s="27"/>
      <x:c r="AA109" s="27"/>
      <x:c r="AB109" s="27"/>
      <x:c r="AC109" s="27"/>
      <x:c r="AD109" s="27"/>
      <x:c r="AE109" s="27"/>
      <x:c r="AF109" s="27"/>
      <x:c r="AG109" s="27"/>
      <x:c r="AH109" s="27"/>
      <x:c r="AI109" s="27"/>
      <x:c r="AJ109" s="27"/>
      <x:c r="AK109" s="27"/>
      <x:c r="AL109" s="27"/>
      <x:c r="AM109" s="27"/>
      <x:c r="AN109" s="27"/>
      <x:c r="AO109" s="27"/>
      <x:c r="AP109" s="27"/>
      <x:c r="AQ109" s="27"/>
      <x:c r="AR109" s="27"/>
      <x:c r="AS109" s="27"/>
      <x:c r="AT109" s="27"/>
      <x:c r="AU109" s="27"/>
      <x:c r="AV109" s="27"/>
      <x:c r="AW109" s="27"/>
      <x:c r="AX109" s="27"/>
      <x:c r="AY109" s="27"/>
      <x:c r="AZ109" s="27"/>
    </x:row>
    <x:row r="110">
      <x:c r="A110" s="27"/>
      <x:c r="B110" s="27"/>
      <x:c r="C110" s="27"/>
      <x:c r="D110" s="27"/>
      <x:c r="E110" s="27"/>
      <x:c r="F110" s="27"/>
      <x:c r="G110" s="27"/>
      <x:c r="H110" s="27"/>
      <x:c r="I110" s="27"/>
      <x:c r="J110" s="27"/>
      <x:c r="K110" s="27"/>
      <x:c r="L110" s="27"/>
      <x:c r="M110" s="27"/>
      <x:c r="N110" s="27"/>
      <x:c r="O110" s="27"/>
      <x:c r="P110" s="27"/>
      <x:c r="Q110" s="27"/>
      <x:c r="R110" s="27"/>
      <x:c r="S110" s="27"/>
      <x:c r="T110" s="27"/>
      <x:c r="U110" s="27"/>
      <x:c r="V110" s="27"/>
      <x:c r="W110" s="27"/>
      <x:c r="X110" s="27"/>
      <x:c r="Y110" s="27"/>
      <x:c r="Z110" s="27"/>
      <x:c r="AA110" s="27"/>
      <x:c r="AB110" s="27"/>
      <x:c r="AC110" s="27"/>
      <x:c r="AD110" s="27"/>
      <x:c r="AE110" s="27"/>
      <x:c r="AF110" s="27"/>
      <x:c r="AG110" s="27"/>
      <x:c r="AH110" s="27"/>
      <x:c r="AI110" s="27"/>
      <x:c r="AJ110" s="27"/>
      <x:c r="AK110" s="27"/>
      <x:c r="AL110" s="27"/>
      <x:c r="AM110" s="27"/>
      <x:c r="AN110" s="27"/>
      <x:c r="AO110" s="27"/>
      <x:c r="AP110" s="27"/>
      <x:c r="AQ110" s="27"/>
      <x:c r="AR110" s="27"/>
      <x:c r="AS110" s="27"/>
      <x:c r="AT110" s="27"/>
      <x:c r="AU110" s="27"/>
      <x:c r="AV110" s="27"/>
      <x:c r="AW110" s="27"/>
      <x:c r="AX110" s="27"/>
      <x:c r="AY110" s="27"/>
      <x:c r="AZ110" s="27"/>
    </x:row>
    <x:row r="111">
      <x:c r="A111" s="27"/>
      <x:c r="B111" s="27"/>
      <x:c r="C111" s="27"/>
      <x:c r="D111" s="27"/>
      <x:c r="E111" s="27"/>
      <x:c r="F111" s="27"/>
      <x:c r="G111" s="27"/>
      <x:c r="H111" s="27"/>
      <x:c r="I111" s="27"/>
      <x:c r="J111" s="27"/>
      <x:c r="K111" s="27"/>
      <x:c r="L111" s="27"/>
      <x:c r="M111" s="27"/>
      <x:c r="N111" s="27"/>
      <x:c r="O111" s="27"/>
      <x:c r="P111" s="27"/>
      <x:c r="Q111" s="27"/>
      <x:c r="R111" s="27"/>
      <x:c r="S111" s="27"/>
      <x:c r="T111" s="27"/>
      <x:c r="U111" s="27"/>
      <x:c r="V111" s="27"/>
      <x:c r="W111" s="27"/>
      <x:c r="X111" s="27"/>
      <x:c r="Y111" s="27"/>
      <x:c r="Z111" s="27"/>
      <x:c r="AA111" s="27"/>
      <x:c r="AB111" s="27"/>
      <x:c r="AC111" s="27"/>
      <x:c r="AD111" s="27"/>
      <x:c r="AE111" s="27"/>
      <x:c r="AF111" s="27"/>
      <x:c r="AG111" s="27"/>
      <x:c r="AH111" s="27"/>
      <x:c r="AI111" s="27"/>
      <x:c r="AJ111" s="27"/>
      <x:c r="AK111" s="27"/>
      <x:c r="AL111" s="27"/>
      <x:c r="AM111" s="27"/>
      <x:c r="AN111" s="27"/>
      <x:c r="AO111" s="27"/>
      <x:c r="AP111" s="27"/>
      <x:c r="AQ111" s="27"/>
      <x:c r="AR111" s="27"/>
      <x:c r="AS111" s="27"/>
      <x:c r="AT111" s="27"/>
      <x:c r="AU111" s="27"/>
      <x:c r="AV111" s="27"/>
      <x:c r="AW111" s="27"/>
      <x:c r="AX111" s="27"/>
      <x:c r="AY111" s="27"/>
      <x:c r="AZ111" s="27"/>
    </x:row>
    <x:row r="112">
      <x:c r="A112" s="27"/>
      <x:c r="B112" s="27"/>
      <x:c r="C112" s="27"/>
      <x:c r="D112" s="27"/>
      <x:c r="E112" s="27"/>
      <x:c r="F112" s="27"/>
      <x:c r="G112" s="27"/>
      <x:c r="H112" s="27"/>
      <x:c r="I112" s="27"/>
      <x:c r="J112" s="27"/>
      <x:c r="K112" s="27"/>
      <x:c r="L112" s="27"/>
      <x:c r="M112" s="27"/>
      <x:c r="N112" s="27"/>
      <x:c r="O112" s="27"/>
      <x:c r="P112" s="27"/>
      <x:c r="Q112" s="27"/>
      <x:c r="R112" s="27"/>
      <x:c r="S112" s="27"/>
      <x:c r="T112" s="27"/>
      <x:c r="U112" s="27"/>
      <x:c r="V112" s="27"/>
      <x:c r="W112" s="27"/>
      <x:c r="X112" s="27"/>
      <x:c r="Y112" s="27"/>
      <x:c r="Z112" s="27"/>
      <x:c r="AA112" s="27"/>
      <x:c r="AB112" s="27"/>
      <x:c r="AC112" s="27"/>
      <x:c r="AD112" s="27"/>
      <x:c r="AE112" s="27"/>
      <x:c r="AF112" s="27"/>
      <x:c r="AG112" s="27"/>
      <x:c r="AH112" s="27"/>
      <x:c r="AI112" s="27"/>
      <x:c r="AJ112" s="27"/>
      <x:c r="AK112" s="27"/>
      <x:c r="AL112" s="27"/>
      <x:c r="AM112" s="27"/>
      <x:c r="AN112" s="27"/>
      <x:c r="AO112" s="27"/>
      <x:c r="AP112" s="27"/>
      <x:c r="AQ112" s="27"/>
      <x:c r="AR112" s="27"/>
      <x:c r="AS112" s="27"/>
      <x:c r="AT112" s="27"/>
      <x:c r="AU112" s="27"/>
      <x:c r="AV112" s="27"/>
      <x:c r="AW112" s="27"/>
      <x:c r="AX112" s="27"/>
      <x:c r="AY112" s="27"/>
      <x:c r="AZ112" s="27"/>
    </x:row>
    <x:row r="113">
      <x:c r="A113" s="27"/>
      <x:c r="B113" s="27"/>
      <x:c r="C113" s="27"/>
      <x:c r="D113" s="27"/>
      <x:c r="E113" s="27"/>
      <x:c r="F113" s="27"/>
      <x:c r="G113" s="27"/>
      <x:c r="H113" s="27"/>
      <x:c r="I113" s="27"/>
      <x:c r="J113" s="27"/>
      <x:c r="K113" s="27"/>
      <x:c r="L113" s="27"/>
      <x:c r="M113" s="27"/>
      <x:c r="N113" s="27"/>
      <x:c r="O113" s="27"/>
      <x:c r="P113" s="27"/>
      <x:c r="Q113" s="27"/>
      <x:c r="R113" s="27"/>
      <x:c r="S113" s="27"/>
      <x:c r="T113" s="27"/>
      <x:c r="U113" s="27"/>
      <x:c r="V113" s="27"/>
      <x:c r="W113" s="27"/>
      <x:c r="X113" s="27"/>
      <x:c r="Y113" s="27"/>
      <x:c r="Z113" s="27"/>
      <x:c r="AA113" s="27"/>
      <x:c r="AB113" s="27"/>
      <x:c r="AC113" s="27"/>
      <x:c r="AD113" s="27"/>
      <x:c r="AE113" s="27"/>
      <x:c r="AF113" s="27"/>
      <x:c r="AG113" s="27"/>
      <x:c r="AH113" s="27"/>
      <x:c r="AI113" s="27"/>
      <x:c r="AJ113" s="27"/>
      <x:c r="AK113" s="27"/>
      <x:c r="AL113" s="27"/>
      <x:c r="AM113" s="27"/>
      <x:c r="AN113" s="27"/>
      <x:c r="AO113" s="27"/>
      <x:c r="AP113" s="27"/>
      <x:c r="AQ113" s="27"/>
      <x:c r="AR113" s="27"/>
      <x:c r="AS113" s="27"/>
      <x:c r="AT113" s="27"/>
      <x:c r="AU113" s="27"/>
      <x:c r="AV113" s="27"/>
      <x:c r="AW113" s="27"/>
      <x:c r="AX113" s="27"/>
      <x:c r="AY113" s="27"/>
      <x:c r="AZ113" s="27"/>
    </x:row>
    <x:row r="114">
      <x:c r="A114" s="27"/>
      <x:c r="B114" s="27"/>
      <x:c r="C114" s="27"/>
      <x:c r="D114" s="27"/>
      <x:c r="E114" s="27"/>
      <x:c r="F114" s="27"/>
      <x:c r="G114" s="27"/>
      <x:c r="H114" s="27"/>
      <x:c r="I114" s="27"/>
      <x:c r="J114" s="27"/>
      <x:c r="K114" s="27"/>
      <x:c r="L114" s="27"/>
      <x:c r="M114" s="27"/>
      <x:c r="N114" s="27"/>
      <x:c r="O114" s="27"/>
      <x:c r="P114" s="27"/>
      <x:c r="Q114" s="27"/>
      <x:c r="R114" s="27"/>
      <x:c r="S114" s="27"/>
      <x:c r="T114" s="27"/>
      <x:c r="U114" s="27"/>
      <x:c r="V114" s="27"/>
      <x:c r="W114" s="27"/>
      <x:c r="X114" s="27"/>
      <x:c r="Y114" s="27"/>
      <x:c r="Z114" s="27"/>
      <x:c r="AA114" s="27"/>
      <x:c r="AB114" s="27"/>
      <x:c r="AC114" s="27"/>
      <x:c r="AD114" s="27"/>
      <x:c r="AE114" s="27"/>
      <x:c r="AF114" s="27"/>
      <x:c r="AG114" s="27"/>
      <x:c r="AH114" s="27"/>
      <x:c r="AI114" s="27"/>
      <x:c r="AJ114" s="27"/>
      <x:c r="AK114" s="27"/>
      <x:c r="AL114" s="27"/>
      <x:c r="AM114" s="27"/>
      <x:c r="AN114" s="27"/>
      <x:c r="AO114" s="27"/>
      <x:c r="AP114" s="27"/>
      <x:c r="AQ114" s="27"/>
      <x:c r="AR114" s="27"/>
      <x:c r="AS114" s="27"/>
      <x:c r="AT114" s="27"/>
      <x:c r="AU114" s="27"/>
      <x:c r="AV114" s="27"/>
      <x:c r="AW114" s="27"/>
      <x:c r="AX114" s="27"/>
      <x:c r="AY114" s="27"/>
      <x:c r="AZ114" s="27"/>
    </x:row>
    <x:row r="115">
      <x:c r="A115" s="27"/>
      <x:c r="B115" s="27"/>
      <x:c r="C115" s="27"/>
      <x:c r="D115" s="27"/>
      <x:c r="E115" s="27"/>
      <x:c r="F115" s="27"/>
      <x:c r="G115" s="27"/>
      <x:c r="H115" s="27"/>
      <x:c r="I115" s="27"/>
      <x:c r="J115" s="27"/>
      <x:c r="K115" s="27"/>
      <x:c r="L115" s="27"/>
      <x:c r="M115" s="27"/>
      <x:c r="N115" s="27"/>
      <x:c r="O115" s="27"/>
      <x:c r="P115" s="27"/>
      <x:c r="Q115" s="27"/>
      <x:c r="R115" s="27"/>
      <x:c r="S115" s="27"/>
      <x:c r="T115" s="27"/>
      <x:c r="U115" s="27"/>
      <x:c r="V115" s="27"/>
      <x:c r="W115" s="27"/>
      <x:c r="X115" s="27"/>
      <x:c r="Y115" s="27"/>
      <x:c r="Z115" s="27"/>
      <x:c r="AA115" s="27"/>
      <x:c r="AB115" s="27"/>
      <x:c r="AC115" s="27"/>
      <x:c r="AD115" s="27"/>
      <x:c r="AE115" s="27"/>
      <x:c r="AF115" s="27"/>
      <x:c r="AG115" s="27"/>
      <x:c r="AH115" s="27"/>
      <x:c r="AI115" s="27"/>
      <x:c r="AJ115" s="27"/>
      <x:c r="AK115" s="27"/>
      <x:c r="AL115" s="27"/>
      <x:c r="AM115" s="27"/>
      <x:c r="AN115" s="27"/>
      <x:c r="AO115" s="27"/>
      <x:c r="AP115" s="27"/>
      <x:c r="AQ115" s="27"/>
      <x:c r="AR115" s="27"/>
      <x:c r="AS115" s="27"/>
      <x:c r="AT115" s="27"/>
      <x:c r="AU115" s="27"/>
      <x:c r="AV115" s="27"/>
      <x:c r="AW115" s="27"/>
      <x:c r="AX115" s="27"/>
      <x:c r="AY115" s="27"/>
      <x:c r="AZ115" s="27"/>
    </x:row>
    <x:row r="116">
      <x:c r="A116" s="27"/>
      <x:c r="B116" s="27"/>
      <x:c r="C116" s="27"/>
      <x:c r="D116" s="27"/>
      <x:c r="E116" s="27"/>
      <x:c r="F116" s="27"/>
      <x:c r="G116" s="27"/>
      <x:c r="H116" s="27"/>
      <x:c r="I116" s="27"/>
      <x:c r="J116" s="27"/>
      <x:c r="K116" s="27"/>
      <x:c r="L116" s="27"/>
      <x:c r="M116" s="27"/>
      <x:c r="N116" s="27"/>
      <x:c r="O116" s="27"/>
      <x:c r="P116" s="27"/>
      <x:c r="Q116" s="27"/>
      <x:c r="R116" s="27"/>
      <x:c r="S116" s="27"/>
      <x:c r="T116" s="27"/>
      <x:c r="U116" s="27"/>
      <x:c r="V116" s="27"/>
      <x:c r="W116" s="27"/>
      <x:c r="X116" s="27"/>
      <x:c r="Y116" s="27"/>
      <x:c r="Z116" s="27"/>
      <x:c r="AA116" s="27"/>
      <x:c r="AB116" s="27"/>
      <x:c r="AC116" s="27"/>
      <x:c r="AD116" s="27"/>
      <x:c r="AE116" s="27"/>
      <x:c r="AF116" s="27"/>
      <x:c r="AG116" s="27"/>
      <x:c r="AH116" s="27"/>
      <x:c r="AI116" s="27"/>
      <x:c r="AJ116" s="27"/>
      <x:c r="AK116" s="27"/>
      <x:c r="AL116" s="27"/>
      <x:c r="AM116" s="27"/>
      <x:c r="AN116" s="27"/>
      <x:c r="AO116" s="27"/>
      <x:c r="AP116" s="27"/>
      <x:c r="AQ116" s="27"/>
      <x:c r="AR116" s="27"/>
      <x:c r="AS116" s="27"/>
      <x:c r="AT116" s="27"/>
      <x:c r="AU116" s="27"/>
      <x:c r="AV116" s="27"/>
      <x:c r="AW116" s="27"/>
      <x:c r="AX116" s="27"/>
      <x:c r="AY116" s="27"/>
      <x:c r="AZ116" s="27"/>
    </x:row>
    <x:row r="117">
      <x:c r="A117" s="27"/>
      <x:c r="B117" s="27"/>
      <x:c r="C117" s="27"/>
      <x:c r="D117" s="27"/>
      <x:c r="E117" s="27"/>
      <x:c r="F117" s="27"/>
      <x:c r="G117" s="27"/>
      <x:c r="H117" s="27"/>
      <x:c r="I117" s="27"/>
      <x:c r="J117" s="27"/>
      <x:c r="K117" s="27"/>
      <x:c r="L117" s="27"/>
      <x:c r="M117" s="27"/>
      <x:c r="N117" s="27"/>
      <x:c r="O117" s="27"/>
      <x:c r="P117" s="27"/>
      <x:c r="Q117" s="27"/>
      <x:c r="R117" s="27"/>
      <x:c r="S117" s="27"/>
      <x:c r="T117" s="27"/>
      <x:c r="U117" s="27"/>
      <x:c r="V117" s="27"/>
      <x:c r="W117" s="27"/>
      <x:c r="X117" s="27"/>
      <x:c r="Y117" s="27"/>
      <x:c r="Z117" s="27"/>
      <x:c r="AA117" s="27"/>
      <x:c r="AB117" s="27"/>
      <x:c r="AC117" s="27"/>
      <x:c r="AD117" s="27"/>
      <x:c r="AE117" s="27"/>
      <x:c r="AF117" s="27"/>
      <x:c r="AG117" s="27"/>
      <x:c r="AH117" s="27"/>
      <x:c r="AI117" s="27"/>
      <x:c r="AJ117" s="27"/>
      <x:c r="AK117" s="27"/>
      <x:c r="AL117" s="27"/>
      <x:c r="AM117" s="27"/>
      <x:c r="AN117" s="27"/>
      <x:c r="AO117" s="27"/>
      <x:c r="AP117" s="27"/>
      <x:c r="AQ117" s="27"/>
      <x:c r="AR117" s="27"/>
      <x:c r="AS117" s="27"/>
      <x:c r="AT117" s="27"/>
      <x:c r="AU117" s="27"/>
      <x:c r="AV117" s="27"/>
      <x:c r="AW117" s="27"/>
      <x:c r="AX117" s="27"/>
      <x:c r="AY117" s="27"/>
      <x:c r="AZ117" s="27"/>
    </x:row>
    <x:row r="118">
      <x:c r="A118" s="27"/>
      <x:c r="B118" s="27"/>
      <x:c r="C118" s="27"/>
      <x:c r="D118" s="27"/>
      <x:c r="E118" s="27"/>
      <x:c r="F118" s="27"/>
      <x:c r="G118" s="27"/>
      <x:c r="H118" s="27"/>
      <x:c r="I118" s="27"/>
      <x:c r="J118" s="27"/>
      <x:c r="K118" s="27"/>
      <x:c r="L118" s="27"/>
      <x:c r="M118" s="27"/>
      <x:c r="N118" s="27"/>
      <x:c r="O118" s="27"/>
      <x:c r="P118" s="27"/>
      <x:c r="Q118" s="27"/>
      <x:c r="R118" s="27"/>
      <x:c r="S118" s="27"/>
      <x:c r="T118" s="27"/>
      <x:c r="U118" s="27"/>
      <x:c r="V118" s="27"/>
      <x:c r="W118" s="27"/>
      <x:c r="X118" s="27"/>
      <x:c r="Y118" s="27"/>
      <x:c r="Z118" s="27"/>
      <x:c r="AA118" s="27"/>
      <x:c r="AB118" s="27"/>
      <x:c r="AC118" s="27"/>
      <x:c r="AD118" s="27"/>
      <x:c r="AE118" s="27"/>
      <x:c r="AF118" s="27"/>
      <x:c r="AG118" s="27"/>
      <x:c r="AH118" s="27"/>
      <x:c r="AI118" s="27"/>
      <x:c r="AJ118" s="27"/>
      <x:c r="AK118" s="27"/>
      <x:c r="AL118" s="27"/>
      <x:c r="AM118" s="27"/>
      <x:c r="AN118" s="27"/>
      <x:c r="AO118" s="27"/>
      <x:c r="AP118" s="27"/>
      <x:c r="AQ118" s="27"/>
      <x:c r="AR118" s="27"/>
      <x:c r="AS118" s="27"/>
      <x:c r="AT118" s="27"/>
      <x:c r="AU118" s="27"/>
      <x:c r="AV118" s="27"/>
      <x:c r="AW118" s="27"/>
      <x:c r="AX118" s="27"/>
      <x:c r="AY118" s="27"/>
      <x:c r="AZ118" s="27"/>
    </x:row>
    <x:row r="119">
      <x:c r="A119" s="27"/>
      <x:c r="B119" s="27"/>
      <x:c r="C119" s="27"/>
      <x:c r="D119" s="27"/>
      <x:c r="E119" s="27"/>
      <x:c r="F119" s="27"/>
      <x:c r="G119" s="27"/>
      <x:c r="H119" s="27"/>
      <x:c r="I119" s="27"/>
      <x:c r="J119" s="27"/>
      <x:c r="K119" s="27"/>
      <x:c r="L119" s="27"/>
      <x:c r="M119" s="27"/>
      <x:c r="N119" s="27"/>
      <x:c r="O119" s="27"/>
      <x:c r="P119" s="27"/>
      <x:c r="Q119" s="27"/>
      <x:c r="R119" s="27"/>
      <x:c r="S119" s="27"/>
      <x:c r="T119" s="27"/>
      <x:c r="U119" s="27"/>
      <x:c r="V119" s="27"/>
      <x:c r="W119" s="27"/>
      <x:c r="X119" s="27"/>
      <x:c r="Y119" s="27"/>
      <x:c r="Z119" s="27"/>
      <x:c r="AA119" s="27"/>
      <x:c r="AB119" s="27"/>
      <x:c r="AC119" s="27"/>
      <x:c r="AD119" s="27"/>
      <x:c r="AE119" s="27"/>
      <x:c r="AF119" s="27"/>
      <x:c r="AG119" s="27"/>
      <x:c r="AH119" s="27"/>
      <x:c r="AI119" s="27"/>
      <x:c r="AJ119" s="27"/>
      <x:c r="AK119" s="27"/>
      <x:c r="AL119" s="27"/>
      <x:c r="AM119" s="27"/>
      <x:c r="AN119" s="27"/>
      <x:c r="AO119" s="27"/>
      <x:c r="AP119" s="27"/>
      <x:c r="AQ119" s="27"/>
      <x:c r="AR119" s="27"/>
      <x:c r="AS119" s="27"/>
      <x:c r="AT119" s="27"/>
      <x:c r="AU119" s="27"/>
      <x:c r="AV119" s="27"/>
      <x:c r="AW119" s="27"/>
      <x:c r="AX119" s="27"/>
      <x:c r="AY119" s="27"/>
      <x:c r="AZ119" s="27"/>
    </x:row>
    <x:row r="120">
      <x:c r="A120" s="27"/>
      <x:c r="B120" s="27"/>
      <x:c r="C120" s="27"/>
      <x:c r="D120" s="27"/>
      <x:c r="E120" s="27"/>
      <x:c r="F120" s="27"/>
      <x:c r="G120" s="27"/>
      <x:c r="H120" s="27"/>
      <x:c r="I120" s="27"/>
      <x:c r="J120" s="27"/>
      <x:c r="K120" s="27"/>
      <x:c r="L120" s="27"/>
      <x:c r="M120" s="27"/>
      <x:c r="N120" s="27"/>
      <x:c r="O120" s="27"/>
      <x:c r="P120" s="27"/>
      <x:c r="Q120" s="27"/>
      <x:c r="R120" s="27"/>
      <x:c r="S120" s="27"/>
      <x:c r="T120" s="27"/>
      <x:c r="U120" s="27"/>
      <x:c r="V120" s="27"/>
      <x:c r="W120" s="27"/>
      <x:c r="X120" s="27"/>
      <x:c r="Y120" s="27"/>
      <x:c r="Z120" s="27"/>
      <x:c r="AA120" s="27"/>
      <x:c r="AB120" s="27"/>
      <x:c r="AC120" s="27"/>
      <x:c r="AD120" s="27"/>
      <x:c r="AE120" s="27"/>
      <x:c r="AF120" s="27"/>
      <x:c r="AG120" s="27"/>
      <x:c r="AH120" s="27"/>
      <x:c r="AI120" s="27"/>
      <x:c r="AJ120" s="27"/>
      <x:c r="AK120" s="27"/>
      <x:c r="AL120" s="27"/>
      <x:c r="AM120" s="27"/>
      <x:c r="AN120" s="27"/>
      <x:c r="AO120" s="27"/>
      <x:c r="AP120" s="27"/>
      <x:c r="AQ120" s="27"/>
      <x:c r="AR120" s="27"/>
      <x:c r="AS120" s="27"/>
      <x:c r="AT120" s="27"/>
      <x:c r="AU120" s="27"/>
      <x:c r="AV120" s="27"/>
      <x:c r="AW120" s="27"/>
      <x:c r="AX120" s="27"/>
      <x:c r="AY120" s="27"/>
      <x:c r="AZ120" s="27"/>
    </x:row>
    <x:row r="121">
      <x:c r="A121" s="27"/>
      <x:c r="B121" s="27"/>
      <x:c r="C121" s="27"/>
      <x:c r="D121" s="27"/>
      <x:c r="E121" s="27"/>
      <x:c r="F121" s="27"/>
      <x:c r="G121" s="27"/>
      <x:c r="H121" s="27"/>
      <x:c r="I121" s="27"/>
      <x:c r="J121" s="27"/>
      <x:c r="K121" s="27"/>
      <x:c r="L121" s="27"/>
      <x:c r="M121" s="27"/>
      <x:c r="N121" s="27"/>
      <x:c r="O121" s="27"/>
      <x:c r="P121" s="27"/>
      <x:c r="Q121" s="27"/>
      <x:c r="R121" s="27"/>
      <x:c r="S121" s="27"/>
      <x:c r="T121" s="27"/>
      <x:c r="U121" s="27"/>
      <x:c r="V121" s="27"/>
      <x:c r="W121" s="27"/>
      <x:c r="X121" s="27"/>
      <x:c r="Y121" s="27"/>
      <x:c r="Z121" s="27"/>
      <x:c r="AA121" s="27"/>
      <x:c r="AB121" s="27"/>
      <x:c r="AC121" s="27"/>
      <x:c r="AD121" s="27"/>
      <x:c r="AE121" s="27"/>
      <x:c r="AF121" s="27"/>
      <x:c r="AG121" s="27"/>
      <x:c r="AH121" s="27"/>
      <x:c r="AI121" s="27"/>
      <x:c r="AJ121" s="27"/>
      <x:c r="AK121" s="27"/>
      <x:c r="AL121" s="27"/>
      <x:c r="AM121" s="27"/>
      <x:c r="AN121" s="27"/>
      <x:c r="AO121" s="27"/>
      <x:c r="AP121" s="27"/>
      <x:c r="AQ121" s="27"/>
      <x:c r="AR121" s="27"/>
      <x:c r="AS121" s="27"/>
      <x:c r="AT121" s="27"/>
      <x:c r="AU121" s="27"/>
      <x:c r="AV121" s="27"/>
      <x:c r="AW121" s="27"/>
      <x:c r="AX121" s="27"/>
      <x:c r="AY121" s="27"/>
      <x:c r="AZ121" s="27"/>
    </x:row>
    <x:row r="122">
      <x:c r="A122" s="27"/>
      <x:c r="B122" s="27"/>
      <x:c r="C122" s="27"/>
      <x:c r="D122" s="27"/>
      <x:c r="E122" s="27"/>
      <x:c r="F122" s="27"/>
      <x:c r="G122" s="27"/>
      <x:c r="H122" s="27"/>
      <x:c r="I122" s="27"/>
      <x:c r="J122" s="27"/>
      <x:c r="K122" s="27"/>
      <x:c r="L122" s="27"/>
      <x:c r="M122" s="27"/>
      <x:c r="N122" s="27"/>
      <x:c r="O122" s="27"/>
      <x:c r="P122" s="27"/>
      <x:c r="Q122" s="27"/>
      <x:c r="R122" s="27"/>
      <x:c r="S122" s="27"/>
      <x:c r="T122" s="27"/>
      <x:c r="U122" s="27"/>
      <x:c r="V122" s="27"/>
      <x:c r="W122" s="27"/>
      <x:c r="X122" s="27"/>
      <x:c r="Y122" s="27"/>
      <x:c r="Z122" s="27"/>
      <x:c r="AA122" s="27"/>
      <x:c r="AB122" s="27"/>
      <x:c r="AC122" s="27"/>
      <x:c r="AD122" s="27"/>
      <x:c r="AE122" s="27"/>
      <x:c r="AF122" s="27"/>
      <x:c r="AG122" s="27"/>
      <x:c r="AH122" s="27"/>
      <x:c r="AI122" s="27"/>
      <x:c r="AJ122" s="27"/>
      <x:c r="AK122" s="27"/>
      <x:c r="AL122" s="27"/>
      <x:c r="AM122" s="27"/>
      <x:c r="AN122" s="27"/>
      <x:c r="AO122" s="27"/>
      <x:c r="AP122" s="27"/>
      <x:c r="AQ122" s="27"/>
      <x:c r="AR122" s="27"/>
      <x:c r="AS122" s="27"/>
      <x:c r="AT122" s="27"/>
      <x:c r="AU122" s="27"/>
      <x:c r="AV122" s="27"/>
      <x:c r="AW122" s="27"/>
      <x:c r="AX122" s="27"/>
      <x:c r="AY122" s="27"/>
      <x:c r="AZ122" s="27"/>
    </x:row>
    <x:row r="123">
      <x:c r="A123" s="27"/>
      <x:c r="B123" s="27"/>
      <x:c r="C123" s="27"/>
      <x:c r="D123" s="27"/>
      <x:c r="E123" s="27"/>
      <x:c r="F123" s="27"/>
      <x:c r="G123" s="27"/>
      <x:c r="H123" s="27"/>
      <x:c r="I123" s="27"/>
      <x:c r="J123" s="27"/>
      <x:c r="K123" s="27"/>
      <x:c r="L123" s="27"/>
      <x:c r="M123" s="27"/>
      <x:c r="N123" s="27"/>
      <x:c r="O123" s="27"/>
      <x:c r="P123" s="27"/>
      <x:c r="Q123" s="27"/>
      <x:c r="R123" s="27"/>
      <x:c r="S123" s="27"/>
      <x:c r="T123" s="27"/>
      <x:c r="U123" s="27"/>
      <x:c r="V123" s="27"/>
      <x:c r="W123" s="27"/>
      <x:c r="X123" s="27"/>
      <x:c r="Y123" s="27"/>
      <x:c r="Z123" s="27"/>
      <x:c r="AA123" s="27"/>
      <x:c r="AB123" s="27"/>
      <x:c r="AC123" s="27"/>
      <x:c r="AD123" s="27"/>
      <x:c r="AE123" s="27"/>
      <x:c r="AF123" s="27"/>
      <x:c r="AG123" s="27"/>
      <x:c r="AH123" s="27"/>
      <x:c r="AI123" s="27"/>
      <x:c r="AJ123" s="27"/>
      <x:c r="AK123" s="27"/>
      <x:c r="AL123" s="27"/>
      <x:c r="AM123" s="27"/>
      <x:c r="AN123" s="27"/>
      <x:c r="AO123" s="27"/>
      <x:c r="AP123" s="27"/>
      <x:c r="AQ123" s="27"/>
      <x:c r="AR123" s="27"/>
      <x:c r="AS123" s="27"/>
      <x:c r="AT123" s="27"/>
      <x:c r="AU123" s="27"/>
      <x:c r="AV123" s="27"/>
      <x:c r="AW123" s="27"/>
      <x:c r="AX123" s="27"/>
      <x:c r="AY123" s="27"/>
      <x:c r="AZ123" s="27"/>
    </x:row>
    <x:row r="124">
      <x:c r="A124" s="27"/>
      <x:c r="B124" s="27"/>
      <x:c r="C124" s="27"/>
      <x:c r="D124" s="27"/>
      <x:c r="E124" s="27"/>
      <x:c r="F124" s="27"/>
      <x:c r="G124" s="27"/>
      <x:c r="H124" s="27"/>
      <x:c r="I124" s="27"/>
      <x:c r="J124" s="27"/>
      <x:c r="K124" s="27"/>
      <x:c r="L124" s="27"/>
      <x:c r="M124" s="27"/>
      <x:c r="N124" s="27"/>
      <x:c r="O124" s="27"/>
      <x:c r="P124" s="27"/>
      <x:c r="Q124" s="27"/>
      <x:c r="R124" s="27"/>
      <x:c r="S124" s="27"/>
      <x:c r="T124" s="27"/>
      <x:c r="U124" s="27"/>
      <x:c r="V124" s="27"/>
      <x:c r="W124" s="27"/>
      <x:c r="X124" s="27"/>
      <x:c r="Y124" s="27"/>
      <x:c r="Z124" s="27"/>
      <x:c r="AA124" s="27"/>
      <x:c r="AB124" s="27"/>
      <x:c r="AC124" s="27"/>
      <x:c r="AD124" s="27"/>
      <x:c r="AE124" s="27"/>
      <x:c r="AF124" s="27"/>
      <x:c r="AG124" s="27"/>
      <x:c r="AH124" s="27"/>
      <x:c r="AI124" s="27"/>
      <x:c r="AJ124" s="27"/>
      <x:c r="AK124" s="27"/>
      <x:c r="AL124" s="27"/>
      <x:c r="AM124" s="27"/>
      <x:c r="AN124" s="27"/>
      <x:c r="AO124" s="27"/>
      <x:c r="AP124" s="27"/>
      <x:c r="AQ124" s="27"/>
      <x:c r="AR124" s="27"/>
      <x:c r="AS124" s="27"/>
      <x:c r="AT124" s="27"/>
      <x:c r="AU124" s="27"/>
      <x:c r="AV124" s="27"/>
      <x:c r="AW124" s="27"/>
      <x:c r="AX124" s="27"/>
      <x:c r="AY124" s="27"/>
      <x:c r="AZ124" s="27"/>
    </x:row>
    <x:row r="125">
      <x:c r="A125" s="27"/>
      <x:c r="B125" s="27"/>
      <x:c r="C125" s="27"/>
      <x:c r="D125" s="27"/>
      <x:c r="E125" s="27"/>
      <x:c r="F125" s="27"/>
      <x:c r="G125" s="27"/>
      <x:c r="H125" s="27"/>
      <x:c r="I125" s="27"/>
      <x:c r="J125" s="27"/>
      <x:c r="K125" s="27"/>
      <x:c r="L125" s="27"/>
      <x:c r="M125" s="27"/>
      <x:c r="N125" s="27"/>
      <x:c r="O125" s="27"/>
      <x:c r="P125" s="27"/>
      <x:c r="Q125" s="27"/>
      <x:c r="R125" s="27"/>
      <x:c r="S125" s="27"/>
      <x:c r="T125" s="27"/>
      <x:c r="U125" s="27"/>
      <x:c r="V125" s="27"/>
      <x:c r="W125" s="27"/>
      <x:c r="X125" s="27"/>
      <x:c r="Y125" s="27"/>
      <x:c r="Z125" s="27"/>
      <x:c r="AA125" s="27"/>
      <x:c r="AB125" s="27"/>
      <x:c r="AC125" s="27"/>
      <x:c r="AD125" s="27"/>
      <x:c r="AE125" s="27"/>
      <x:c r="AF125" s="27"/>
      <x:c r="AG125" s="27"/>
      <x:c r="AH125" s="27"/>
      <x:c r="AI125" s="27"/>
      <x:c r="AJ125" s="27"/>
      <x:c r="AK125" s="27"/>
      <x:c r="AL125" s="27"/>
      <x:c r="AM125" s="27"/>
      <x:c r="AN125" s="27"/>
      <x:c r="AO125" s="27"/>
      <x:c r="AP125" s="27"/>
      <x:c r="AQ125" s="27"/>
      <x:c r="AR125" s="27"/>
      <x:c r="AS125" s="27"/>
      <x:c r="AT125" s="27"/>
      <x:c r="AU125" s="27"/>
      <x:c r="AV125" s="27"/>
      <x:c r="AW125" s="27"/>
      <x:c r="AX125" s="27"/>
      <x:c r="AY125" s="27"/>
      <x:c r="AZ125" s="27"/>
    </x:row>
    <x:row r="126">
      <x:c r="A126" s="27"/>
      <x:c r="B126" s="27"/>
      <x:c r="C126" s="27"/>
      <x:c r="D126" s="27"/>
      <x:c r="E126" s="27"/>
      <x:c r="F126" s="27"/>
      <x:c r="G126" s="27"/>
      <x:c r="H126" s="27"/>
      <x:c r="I126" s="27"/>
      <x:c r="J126" s="27"/>
      <x:c r="K126" s="27"/>
      <x:c r="L126" s="27"/>
      <x:c r="M126" s="27"/>
      <x:c r="N126" s="27"/>
      <x:c r="O126" s="27"/>
      <x:c r="P126" s="27"/>
      <x:c r="Q126" s="27"/>
      <x:c r="R126" s="27"/>
      <x:c r="S126" s="27"/>
      <x:c r="T126" s="27"/>
      <x:c r="U126" s="27"/>
      <x:c r="V126" s="27"/>
      <x:c r="W126" s="27"/>
      <x:c r="X126" s="27"/>
      <x:c r="Y126" s="27"/>
      <x:c r="Z126" s="27"/>
      <x:c r="AA126" s="27"/>
      <x:c r="AB126" s="27"/>
      <x:c r="AC126" s="27"/>
      <x:c r="AD126" s="27"/>
      <x:c r="AE126" s="27"/>
      <x:c r="AF126" s="27"/>
      <x:c r="AG126" s="27"/>
      <x:c r="AH126" s="27"/>
      <x:c r="AI126" s="27"/>
      <x:c r="AJ126" s="27"/>
      <x:c r="AK126" s="27"/>
      <x:c r="AL126" s="27"/>
      <x:c r="AM126" s="27"/>
      <x:c r="AN126" s="27"/>
      <x:c r="AO126" s="27"/>
      <x:c r="AP126" s="27"/>
      <x:c r="AQ126" s="27"/>
      <x:c r="AR126" s="27"/>
      <x:c r="AS126" s="27"/>
      <x:c r="AT126" s="27"/>
      <x:c r="AU126" s="27"/>
      <x:c r="AV126" s="27"/>
      <x:c r="AW126" s="27"/>
      <x:c r="AX126" s="27"/>
      <x:c r="AY126" s="27"/>
      <x:c r="AZ126" s="27"/>
    </x:row>
    <x:row r="127">
      <x:c r="A127" s="27"/>
      <x:c r="B127" s="27"/>
      <x:c r="C127" s="27"/>
      <x:c r="D127" s="27"/>
      <x:c r="E127" s="27"/>
      <x:c r="F127" s="27"/>
      <x:c r="G127" s="27"/>
      <x:c r="H127" s="27"/>
      <x:c r="I127" s="27"/>
      <x:c r="J127" s="27"/>
      <x:c r="K127" s="27"/>
      <x:c r="L127" s="27"/>
      <x:c r="M127" s="27"/>
      <x:c r="N127" s="27"/>
      <x:c r="O127" s="27"/>
      <x:c r="P127" s="27"/>
      <x:c r="Q127" s="27"/>
      <x:c r="R127" s="27"/>
      <x:c r="S127" s="27"/>
      <x:c r="T127" s="27"/>
      <x:c r="U127" s="27"/>
      <x:c r="V127" s="27"/>
      <x:c r="W127" s="27"/>
      <x:c r="X127" s="27"/>
      <x:c r="Y127" s="27"/>
      <x:c r="Z127" s="27"/>
      <x:c r="AA127" s="27"/>
      <x:c r="AB127" s="27"/>
      <x:c r="AC127" s="27"/>
      <x:c r="AD127" s="27"/>
      <x:c r="AE127" s="27"/>
      <x:c r="AF127" s="27"/>
      <x:c r="AG127" s="27"/>
      <x:c r="AH127" s="27"/>
      <x:c r="AI127" s="27"/>
      <x:c r="AJ127" s="27"/>
      <x:c r="AK127" s="27"/>
      <x:c r="AL127" s="27"/>
      <x:c r="AM127" s="27"/>
      <x:c r="AN127" s="27"/>
      <x:c r="AO127" s="27"/>
      <x:c r="AP127" s="27"/>
      <x:c r="AQ127" s="27"/>
      <x:c r="AR127" s="27"/>
      <x:c r="AS127" s="27"/>
      <x:c r="AT127" s="27"/>
      <x:c r="AU127" s="27"/>
      <x:c r="AV127" s="27"/>
      <x:c r="AW127" s="27"/>
      <x:c r="AX127" s="27"/>
      <x:c r="AY127" s="27"/>
      <x:c r="AZ127" s="27"/>
    </x:row>
    <x:row r="128">
      <x:c r="A128" s="27"/>
      <x:c r="B128" s="27"/>
      <x:c r="C128" s="27"/>
      <x:c r="D128" s="27"/>
      <x:c r="E128" s="27"/>
      <x:c r="F128" s="27"/>
      <x:c r="G128" s="27"/>
      <x:c r="H128" s="27"/>
      <x:c r="I128" s="27"/>
      <x:c r="J128" s="27"/>
      <x:c r="K128" s="27"/>
      <x:c r="L128" s="27"/>
      <x:c r="M128" s="27"/>
      <x:c r="N128" s="27"/>
      <x:c r="O128" s="27"/>
      <x:c r="P128" s="27"/>
      <x:c r="Q128" s="27"/>
      <x:c r="R128" s="27"/>
      <x:c r="S128" s="27"/>
      <x:c r="T128" s="27"/>
      <x:c r="U128" s="27"/>
      <x:c r="V128" s="27"/>
      <x:c r="W128" s="27"/>
      <x:c r="X128" s="27"/>
      <x:c r="Y128" s="27"/>
      <x:c r="Z128" s="27"/>
      <x:c r="AA128" s="27"/>
      <x:c r="AB128" s="27"/>
      <x:c r="AC128" s="27"/>
      <x:c r="AD128" s="27"/>
      <x:c r="AE128" s="27"/>
      <x:c r="AF128" s="27"/>
      <x:c r="AG128" s="27"/>
      <x:c r="AH128" s="27"/>
      <x:c r="AI128" s="27"/>
      <x:c r="AJ128" s="27"/>
      <x:c r="AK128" s="27"/>
      <x:c r="AL128" s="27"/>
      <x:c r="AM128" s="27"/>
      <x:c r="AN128" s="27"/>
      <x:c r="AO128" s="27"/>
      <x:c r="AP128" s="27"/>
      <x:c r="AQ128" s="27"/>
      <x:c r="AR128" s="27"/>
      <x:c r="AS128" s="27"/>
      <x:c r="AT128" s="27"/>
      <x:c r="AU128" s="27"/>
      <x:c r="AV128" s="27"/>
      <x:c r="AW128" s="27"/>
      <x:c r="AX128" s="27"/>
      <x:c r="AY128" s="27"/>
      <x:c r="AZ128" s="27"/>
    </x:row>
    <x:row r="129">
      <x:c r="A129" s="27"/>
      <x:c r="B129" s="27"/>
      <x:c r="C129" s="27"/>
      <x:c r="D129" s="27"/>
      <x:c r="E129" s="27"/>
      <x:c r="F129" s="27"/>
      <x:c r="G129" s="27"/>
      <x:c r="H129" s="27"/>
      <x:c r="I129" s="27"/>
      <x:c r="J129" s="27"/>
      <x:c r="K129" s="27"/>
      <x:c r="L129" s="27"/>
      <x:c r="M129" s="27"/>
      <x:c r="N129" s="27"/>
      <x:c r="O129" s="27"/>
      <x:c r="P129" s="27"/>
      <x:c r="Q129" s="27"/>
      <x:c r="R129" s="27"/>
      <x:c r="S129" s="27"/>
      <x:c r="T129" s="27"/>
      <x:c r="U129" s="27"/>
      <x:c r="V129" s="27"/>
      <x:c r="W129" s="27"/>
      <x:c r="X129" s="27"/>
      <x:c r="Y129" s="27"/>
      <x:c r="Z129" s="27"/>
      <x:c r="AA129" s="27"/>
      <x:c r="AB129" s="27"/>
      <x:c r="AC129" s="27"/>
      <x:c r="AD129" s="27"/>
      <x:c r="AE129" s="27"/>
      <x:c r="AF129" s="27"/>
      <x:c r="AG129" s="27"/>
      <x:c r="AH129" s="27"/>
      <x:c r="AI129" s="27"/>
      <x:c r="AJ129" s="27"/>
      <x:c r="AK129" s="27"/>
      <x:c r="AL129" s="27"/>
      <x:c r="AM129" s="27"/>
      <x:c r="AN129" s="27"/>
      <x:c r="AO129" s="27"/>
      <x:c r="AP129" s="27"/>
      <x:c r="AQ129" s="27"/>
      <x:c r="AR129" s="27"/>
      <x:c r="AS129" s="27"/>
      <x:c r="AT129" s="27"/>
      <x:c r="AU129" s="27"/>
      <x:c r="AV129" s="27"/>
      <x:c r="AW129" s="27"/>
      <x:c r="AX129" s="27"/>
      <x:c r="AY129" s="27"/>
      <x:c r="AZ129" s="27"/>
    </x:row>
    <x:row r="130">
      <x:c r="A130" s="27"/>
      <x:c r="B130" s="27"/>
      <x:c r="C130" s="27"/>
      <x:c r="D130" s="27"/>
      <x:c r="E130" s="27"/>
      <x:c r="F130" s="27"/>
      <x:c r="G130" s="27"/>
      <x:c r="H130" s="27"/>
      <x:c r="I130" s="27"/>
      <x:c r="J130" s="27"/>
      <x:c r="K130" s="27"/>
      <x:c r="L130" s="27"/>
      <x:c r="M130" s="27"/>
      <x:c r="N130" s="27"/>
      <x:c r="O130" s="27"/>
      <x:c r="P130" s="27"/>
      <x:c r="Q130" s="27"/>
      <x:c r="R130" s="27"/>
      <x:c r="S130" s="27"/>
      <x:c r="T130" s="27"/>
      <x:c r="U130" s="27"/>
      <x:c r="V130" s="27"/>
      <x:c r="W130" s="27"/>
      <x:c r="X130" s="27"/>
      <x:c r="Y130" s="27"/>
      <x:c r="Z130" s="27"/>
      <x:c r="AA130" s="27"/>
      <x:c r="AB130" s="27"/>
      <x:c r="AC130" s="27"/>
      <x:c r="AD130" s="27"/>
      <x:c r="AE130" s="27"/>
      <x:c r="AF130" s="27"/>
      <x:c r="AG130" s="27"/>
      <x:c r="AH130" s="27"/>
      <x:c r="AI130" s="27"/>
      <x:c r="AJ130" s="27"/>
      <x:c r="AK130" s="27"/>
      <x:c r="AL130" s="27"/>
      <x:c r="AM130" s="27"/>
      <x:c r="AN130" s="27"/>
      <x:c r="AO130" s="27"/>
      <x:c r="AP130" s="27"/>
      <x:c r="AQ130" s="27"/>
      <x:c r="AR130" s="27"/>
      <x:c r="AS130" s="27"/>
      <x:c r="AT130" s="27"/>
      <x:c r="AU130" s="27"/>
      <x:c r="AV130" s="27"/>
      <x:c r="AW130" s="27"/>
      <x:c r="AX130" s="27"/>
      <x:c r="AY130" s="27"/>
      <x:c r="AZ130" s="27"/>
    </x:row>
    <x:row r="131">
      <x:c r="A131" s="27"/>
      <x:c r="B131" s="27"/>
      <x:c r="C131" s="27"/>
      <x:c r="D131" s="27"/>
      <x:c r="E131" s="27"/>
      <x:c r="F131" s="27"/>
      <x:c r="G131" s="27"/>
      <x:c r="H131" s="27"/>
      <x:c r="I131" s="27"/>
      <x:c r="J131" s="27"/>
      <x:c r="K131" s="27"/>
      <x:c r="L131" s="27"/>
      <x:c r="M131" s="27"/>
      <x:c r="N131" s="27"/>
      <x:c r="O131" s="27"/>
      <x:c r="P131" s="27"/>
      <x:c r="Q131" s="27"/>
      <x:c r="R131" s="27"/>
      <x:c r="S131" s="27"/>
      <x:c r="T131" s="27"/>
      <x:c r="U131" s="27"/>
      <x:c r="V131" s="27"/>
      <x:c r="W131" s="27"/>
      <x:c r="X131" s="27"/>
      <x:c r="Y131" s="27"/>
      <x:c r="Z131" s="27"/>
      <x:c r="AA131" s="27"/>
      <x:c r="AB131" s="27"/>
      <x:c r="AC131" s="27"/>
      <x:c r="AD131" s="27"/>
      <x:c r="AE131" s="27"/>
      <x:c r="AF131" s="27"/>
      <x:c r="AG131" s="27"/>
      <x:c r="AH131" s="27"/>
      <x:c r="AI131" s="27"/>
      <x:c r="AJ131" s="27"/>
      <x:c r="AK131" s="27"/>
      <x:c r="AL131" s="27"/>
      <x:c r="AM131" s="27"/>
      <x:c r="AN131" s="27"/>
      <x:c r="AO131" s="27"/>
      <x:c r="AP131" s="27"/>
      <x:c r="AQ131" s="27"/>
      <x:c r="AR131" s="27"/>
      <x:c r="AS131" s="27"/>
      <x:c r="AT131" s="27"/>
      <x:c r="AU131" s="27"/>
      <x:c r="AV131" s="27"/>
      <x:c r="AW131" s="27"/>
      <x:c r="AX131" s="27"/>
      <x:c r="AY131" s="27"/>
      <x:c r="AZ131" s="27"/>
    </x:row>
    <x:row r="132">
      <x:c r="A132" s="27"/>
      <x:c r="B132" s="27"/>
      <x:c r="C132" s="27"/>
      <x:c r="D132" s="27"/>
      <x:c r="E132" s="27"/>
      <x:c r="F132" s="27"/>
      <x:c r="G132" s="27"/>
      <x:c r="H132" s="27"/>
      <x:c r="I132" s="27"/>
      <x:c r="J132" s="27"/>
      <x:c r="K132" s="27"/>
      <x:c r="L132" s="27"/>
      <x:c r="M132" s="27"/>
      <x:c r="N132" s="27"/>
      <x:c r="O132" s="27"/>
      <x:c r="P132" s="27"/>
      <x:c r="Q132" s="27"/>
      <x:c r="R132" s="27"/>
      <x:c r="S132" s="27"/>
      <x:c r="T132" s="27"/>
      <x:c r="U132" s="27"/>
      <x:c r="V132" s="27"/>
      <x:c r="W132" s="27"/>
      <x:c r="X132" s="27"/>
      <x:c r="Y132" s="27"/>
      <x:c r="Z132" s="27"/>
      <x:c r="AA132" s="27"/>
      <x:c r="AB132" s="27"/>
      <x:c r="AC132" s="27"/>
      <x:c r="AD132" s="27"/>
      <x:c r="AE132" s="27"/>
      <x:c r="AF132" s="27"/>
      <x:c r="AG132" s="27"/>
      <x:c r="AH132" s="27"/>
      <x:c r="AI132" s="27"/>
      <x:c r="AJ132" s="27"/>
      <x:c r="AK132" s="27"/>
      <x:c r="AL132" s="27"/>
      <x:c r="AM132" s="27"/>
      <x:c r="AN132" s="27"/>
      <x:c r="AO132" s="27"/>
      <x:c r="AP132" s="27"/>
      <x:c r="AQ132" s="27"/>
      <x:c r="AR132" s="27"/>
      <x:c r="AS132" s="27"/>
      <x:c r="AT132" s="27"/>
      <x:c r="AU132" s="27"/>
      <x:c r="AV132" s="27"/>
      <x:c r="AW132" s="27"/>
      <x:c r="AX132" s="27"/>
      <x:c r="AY132" s="27"/>
      <x:c r="AZ132" s="27"/>
    </x:row>
    <x:row r="133">
      <x:c r="A133" s="27"/>
      <x:c r="B133" s="27"/>
      <x:c r="C133" s="27"/>
      <x:c r="D133" s="27"/>
      <x:c r="E133" s="27"/>
      <x:c r="F133" s="27"/>
      <x:c r="G133" s="27"/>
      <x:c r="H133" s="27"/>
      <x:c r="I133" s="27"/>
      <x:c r="J133" s="27"/>
      <x:c r="K133" s="27"/>
      <x:c r="L133" s="27"/>
      <x:c r="M133" s="27"/>
      <x:c r="N133" s="27"/>
      <x:c r="O133" s="27"/>
      <x:c r="P133" s="27"/>
      <x:c r="Q133" s="27"/>
      <x:c r="R133" s="27"/>
      <x:c r="S133" s="27"/>
      <x:c r="T133" s="27"/>
      <x:c r="U133" s="27"/>
      <x:c r="V133" s="27"/>
      <x:c r="W133" s="27"/>
      <x:c r="X133" s="27"/>
      <x:c r="Y133" s="27"/>
      <x:c r="Z133" s="27"/>
      <x:c r="AA133" s="27"/>
      <x:c r="AB133" s="27"/>
      <x:c r="AC133" s="27"/>
      <x:c r="AD133" s="27"/>
      <x:c r="AE133" s="27"/>
      <x:c r="AF133" s="27"/>
      <x:c r="AG133" s="27"/>
      <x:c r="AH133" s="27"/>
      <x:c r="AI133" s="27"/>
      <x:c r="AJ133" s="27"/>
      <x:c r="AK133" s="27"/>
      <x:c r="AL133" s="27"/>
      <x:c r="AM133" s="27"/>
      <x:c r="AN133" s="27"/>
      <x:c r="AO133" s="27"/>
      <x:c r="AP133" s="27"/>
      <x:c r="AQ133" s="27"/>
      <x:c r="AR133" s="27"/>
      <x:c r="AS133" s="27"/>
      <x:c r="AT133" s="27"/>
      <x:c r="AU133" s="27"/>
      <x:c r="AV133" s="27"/>
      <x:c r="AW133" s="27"/>
      <x:c r="AX133" s="27"/>
      <x:c r="AY133" s="27"/>
      <x:c r="AZ133" s="27"/>
    </x:row>
    <x:row r="134">
      <x:c r="A134" s="27"/>
      <x:c r="B134" s="27"/>
      <x:c r="C134" s="27"/>
      <x:c r="D134" s="27"/>
      <x:c r="E134" s="27"/>
      <x:c r="F134" s="27"/>
      <x:c r="G134" s="27"/>
      <x:c r="H134" s="27"/>
      <x:c r="I134" s="27"/>
      <x:c r="J134" s="27"/>
      <x:c r="K134" s="27"/>
      <x:c r="L134" s="27"/>
      <x:c r="M134" s="27"/>
      <x:c r="N134" s="27"/>
      <x:c r="O134" s="27"/>
      <x:c r="P134" s="27"/>
      <x:c r="Q134" s="27"/>
      <x:c r="R134" s="27"/>
      <x:c r="S134" s="27"/>
      <x:c r="T134" s="27"/>
      <x:c r="U134" s="27"/>
      <x:c r="V134" s="27"/>
      <x:c r="W134" s="27"/>
      <x:c r="X134" s="27"/>
      <x:c r="Y134" s="27"/>
      <x:c r="Z134" s="27"/>
      <x:c r="AA134" s="27"/>
      <x:c r="AB134" s="27"/>
      <x:c r="AC134" s="27"/>
      <x:c r="AD134" s="27"/>
      <x:c r="AE134" s="27"/>
      <x:c r="AF134" s="27"/>
      <x:c r="AG134" s="27"/>
      <x:c r="AH134" s="27"/>
      <x:c r="AI134" s="27"/>
      <x:c r="AJ134" s="27"/>
      <x:c r="AK134" s="27"/>
      <x:c r="AL134" s="27"/>
      <x:c r="AM134" s="27"/>
      <x:c r="AN134" s="27"/>
      <x:c r="AO134" s="27"/>
      <x:c r="AP134" s="27"/>
      <x:c r="AQ134" s="27"/>
      <x:c r="AR134" s="27"/>
      <x:c r="AS134" s="27"/>
      <x:c r="AT134" s="27"/>
      <x:c r="AU134" s="27"/>
      <x:c r="AV134" s="27"/>
      <x:c r="AW134" s="27"/>
      <x:c r="AX134" s="27"/>
      <x:c r="AY134" s="27"/>
      <x:c r="AZ134" s="27"/>
    </x:row>
    <x:row r="135">
      <x:c r="A135" s="27"/>
      <x:c r="B135" s="27"/>
      <x:c r="C135" s="27"/>
      <x:c r="D135" s="27"/>
      <x:c r="E135" s="27"/>
      <x:c r="F135" s="27"/>
      <x:c r="G135" s="27"/>
      <x:c r="H135" s="27"/>
      <x:c r="I135" s="27"/>
      <x:c r="J135" s="27"/>
      <x:c r="K135" s="27"/>
      <x:c r="L135" s="27"/>
      <x:c r="M135" s="27"/>
      <x:c r="N135" s="27"/>
      <x:c r="O135" s="27"/>
      <x:c r="P135" s="27"/>
      <x:c r="Q135" s="27"/>
      <x:c r="R135" s="27"/>
      <x:c r="S135" s="27"/>
      <x:c r="T135" s="27"/>
      <x:c r="U135" s="27"/>
      <x:c r="V135" s="27"/>
      <x:c r="W135" s="27"/>
      <x:c r="X135" s="27"/>
      <x:c r="Y135" s="27"/>
      <x:c r="Z135" s="27"/>
      <x:c r="AA135" s="27"/>
      <x:c r="AB135" s="27"/>
      <x:c r="AC135" s="27"/>
      <x:c r="AD135" s="27"/>
      <x:c r="AE135" s="27"/>
      <x:c r="AF135" s="27"/>
      <x:c r="AG135" s="27"/>
      <x:c r="AH135" s="27"/>
      <x:c r="AI135" s="27"/>
      <x:c r="AJ135" s="27"/>
      <x:c r="AK135" s="27"/>
      <x:c r="AL135" s="27"/>
      <x:c r="AM135" s="27"/>
      <x:c r="AN135" s="27"/>
      <x:c r="AO135" s="27"/>
      <x:c r="AP135" s="27"/>
      <x:c r="AQ135" s="27"/>
      <x:c r="AR135" s="27"/>
      <x:c r="AS135" s="27"/>
      <x:c r="AT135" s="27"/>
      <x:c r="AU135" s="27"/>
      <x:c r="AV135" s="27"/>
      <x:c r="AW135" s="27"/>
      <x:c r="AX135" s="27"/>
      <x:c r="AY135" s="27"/>
      <x:c r="AZ135" s="27"/>
    </x:row>
    <x:row r="136">
      <x:c r="A136" s="27"/>
      <x:c r="B136" s="27"/>
      <x:c r="C136" s="27"/>
      <x:c r="D136" s="27"/>
      <x:c r="E136" s="27"/>
      <x:c r="F136" s="27"/>
      <x:c r="G136" s="27"/>
      <x:c r="H136" s="27"/>
      <x:c r="I136" s="27"/>
      <x:c r="J136" s="27"/>
      <x:c r="K136" s="27"/>
      <x:c r="L136" s="27"/>
      <x:c r="M136" s="27"/>
      <x:c r="N136" s="27"/>
      <x:c r="O136" s="27"/>
      <x:c r="P136" s="27"/>
      <x:c r="Q136" s="27"/>
      <x:c r="R136" s="27"/>
      <x:c r="S136" s="27"/>
      <x:c r="T136" s="27"/>
      <x:c r="U136" s="27"/>
      <x:c r="V136" s="27"/>
      <x:c r="W136" s="27"/>
      <x:c r="X136" s="27"/>
      <x:c r="Y136" s="27"/>
      <x:c r="Z136" s="27"/>
      <x:c r="AA136" s="27"/>
      <x:c r="AB136" s="27"/>
      <x:c r="AC136" s="27"/>
      <x:c r="AD136" s="27"/>
      <x:c r="AE136" s="27"/>
      <x:c r="AF136" s="27"/>
      <x:c r="AG136" s="27"/>
      <x:c r="AH136" s="27"/>
      <x:c r="AI136" s="27"/>
      <x:c r="AJ136" s="27"/>
      <x:c r="AK136" s="27"/>
      <x:c r="AL136" s="27"/>
      <x:c r="AM136" s="27"/>
      <x:c r="AN136" s="27"/>
      <x:c r="AO136" s="27"/>
      <x:c r="AP136" s="27"/>
      <x:c r="AQ136" s="27"/>
      <x:c r="AR136" s="27"/>
      <x:c r="AS136" s="27"/>
      <x:c r="AT136" s="27"/>
      <x:c r="AU136" s="27"/>
      <x:c r="AV136" s="27"/>
      <x:c r="AW136" s="27"/>
      <x:c r="AX136" s="27"/>
      <x:c r="AY136" s="27"/>
      <x:c r="AZ136" s="27"/>
    </x:row>
    <x:row r="137">
      <x:c r="A137" s="27"/>
      <x:c r="B137" s="27"/>
      <x:c r="C137" s="27"/>
      <x:c r="D137" s="27"/>
      <x:c r="E137" s="27"/>
      <x:c r="F137" s="27"/>
      <x:c r="G137" s="27"/>
      <x:c r="H137" s="27"/>
      <x:c r="I137" s="27"/>
      <x:c r="J137" s="27"/>
      <x:c r="K137" s="27"/>
      <x:c r="L137" s="27"/>
      <x:c r="M137" s="27"/>
      <x:c r="N137" s="27"/>
      <x:c r="O137" s="27"/>
      <x:c r="P137" s="27"/>
      <x:c r="Q137" s="27"/>
      <x:c r="R137" s="27"/>
      <x:c r="S137" s="27"/>
      <x:c r="T137" s="27"/>
      <x:c r="U137" s="27"/>
      <x:c r="V137" s="27"/>
      <x:c r="W137" s="27"/>
      <x:c r="X137" s="27"/>
      <x:c r="Y137" s="27"/>
      <x:c r="Z137" s="27"/>
      <x:c r="AA137" s="27"/>
      <x:c r="AB137" s="27"/>
      <x:c r="AC137" s="27"/>
      <x:c r="AD137" s="27"/>
      <x:c r="AE137" s="27"/>
      <x:c r="AF137" s="27"/>
      <x:c r="AG137" s="27"/>
      <x:c r="AH137" s="27"/>
      <x:c r="AI137" s="27"/>
      <x:c r="AJ137" s="27"/>
      <x:c r="AK137" s="27"/>
      <x:c r="AL137" s="27"/>
      <x:c r="AM137" s="27"/>
      <x:c r="AN137" s="27"/>
      <x:c r="AO137" s="27"/>
      <x:c r="AP137" s="27"/>
      <x:c r="AQ137" s="27"/>
      <x:c r="AR137" s="27"/>
      <x:c r="AS137" s="27"/>
      <x:c r="AT137" s="27"/>
      <x:c r="AU137" s="27"/>
      <x:c r="AV137" s="27"/>
      <x:c r="AW137" s="27"/>
      <x:c r="AX137" s="27"/>
      <x:c r="AY137" s="27"/>
      <x:c r="AZ137" s="27"/>
    </x:row>
    <x:row r="138">
      <x:c r="A138" s="27"/>
      <x:c r="B138" s="27"/>
      <x:c r="C138" s="27"/>
      <x:c r="D138" s="27"/>
      <x:c r="E138" s="27"/>
      <x:c r="F138" s="27"/>
      <x:c r="G138" s="27"/>
      <x:c r="H138" s="27"/>
      <x:c r="I138" s="27"/>
      <x:c r="J138" s="27"/>
      <x:c r="K138" s="27"/>
      <x:c r="L138" s="27"/>
      <x:c r="M138" s="27"/>
      <x:c r="N138" s="27"/>
      <x:c r="O138" s="27"/>
      <x:c r="P138" s="27"/>
      <x:c r="Q138" s="27"/>
      <x:c r="R138" s="27"/>
      <x:c r="S138" s="27"/>
      <x:c r="T138" s="27"/>
      <x:c r="U138" s="27"/>
      <x:c r="V138" s="27"/>
      <x:c r="W138" s="27"/>
      <x:c r="X138" s="27"/>
      <x:c r="Y138" s="27"/>
      <x:c r="Z138" s="27"/>
      <x:c r="AA138" s="27"/>
      <x:c r="AB138" s="27"/>
      <x:c r="AC138" s="27"/>
      <x:c r="AD138" s="27"/>
      <x:c r="AE138" s="27"/>
      <x:c r="AF138" s="27"/>
      <x:c r="AG138" s="27"/>
      <x:c r="AH138" s="27"/>
      <x:c r="AI138" s="27"/>
      <x:c r="AJ138" s="27"/>
      <x:c r="AK138" s="27"/>
      <x:c r="AL138" s="27"/>
      <x:c r="AM138" s="27"/>
      <x:c r="AN138" s="27"/>
      <x:c r="AO138" s="27"/>
      <x:c r="AP138" s="27"/>
      <x:c r="AQ138" s="27"/>
      <x:c r="AR138" s="27"/>
      <x:c r="AS138" s="27"/>
      <x:c r="AT138" s="27"/>
      <x:c r="AU138" s="27"/>
      <x:c r="AV138" s="27"/>
      <x:c r="AW138" s="27"/>
      <x:c r="AX138" s="27"/>
      <x:c r="AY138" s="27"/>
      <x:c r="AZ138" s="27"/>
    </x:row>
    <x:row r="139">
      <x:c r="A139" s="27"/>
      <x:c r="B139" s="27"/>
      <x:c r="C139" s="27"/>
      <x:c r="D139" s="27"/>
      <x:c r="E139" s="27"/>
      <x:c r="F139" s="27"/>
      <x:c r="G139" s="27"/>
      <x:c r="H139" s="27"/>
      <x:c r="I139" s="27"/>
      <x:c r="J139" s="27"/>
      <x:c r="K139" s="27"/>
      <x:c r="L139" s="27"/>
      <x:c r="M139" s="27"/>
      <x:c r="N139" s="27"/>
      <x:c r="O139" s="27"/>
      <x:c r="P139" s="27"/>
      <x:c r="Q139" s="27"/>
      <x:c r="R139" s="27"/>
      <x:c r="S139" s="27"/>
      <x:c r="T139" s="27"/>
      <x:c r="U139" s="27"/>
      <x:c r="V139" s="27"/>
      <x:c r="W139" s="27"/>
      <x:c r="X139" s="27"/>
      <x:c r="Y139" s="27"/>
      <x:c r="Z139" s="27"/>
      <x:c r="AA139" s="27"/>
      <x:c r="AB139" s="27"/>
      <x:c r="AC139" s="27"/>
      <x:c r="AD139" s="27"/>
      <x:c r="AE139" s="27"/>
      <x:c r="AF139" s="27"/>
      <x:c r="AG139" s="27"/>
      <x:c r="AH139" s="27"/>
      <x:c r="AI139" s="27"/>
      <x:c r="AJ139" s="27"/>
      <x:c r="AK139" s="27"/>
      <x:c r="AL139" s="27"/>
      <x:c r="AM139" s="27"/>
      <x:c r="AN139" s="27"/>
      <x:c r="AO139" s="27"/>
      <x:c r="AP139" s="27"/>
      <x:c r="AQ139" s="27"/>
      <x:c r="AR139" s="27"/>
      <x:c r="AS139" s="27"/>
      <x:c r="AT139" s="27"/>
      <x:c r="AU139" s="27"/>
      <x:c r="AV139" s="27"/>
      <x:c r="AW139" s="27"/>
      <x:c r="AX139" s="27"/>
      <x:c r="AY139" s="27"/>
      <x:c r="AZ139" s="27"/>
    </x:row>
    <x:row r="140">
      <x:c r="A140" s="27"/>
      <x:c r="B140" s="27"/>
      <x:c r="C140" s="27"/>
      <x:c r="D140" s="27"/>
      <x:c r="E140" s="27"/>
      <x:c r="F140" s="27"/>
      <x:c r="G140" s="27"/>
      <x:c r="H140" s="27"/>
      <x:c r="I140" s="27"/>
      <x:c r="J140" s="27"/>
      <x:c r="K140" s="27"/>
      <x:c r="L140" s="27"/>
      <x:c r="M140" s="27"/>
      <x:c r="N140" s="27"/>
      <x:c r="O140" s="27"/>
      <x:c r="P140" s="27"/>
      <x:c r="Q140" s="27"/>
      <x:c r="R140" s="27"/>
      <x:c r="S140" s="27"/>
      <x:c r="T140" s="27"/>
      <x:c r="U140" s="27"/>
      <x:c r="V140" s="27"/>
      <x:c r="W140" s="27"/>
      <x:c r="X140" s="27"/>
      <x:c r="Y140" s="27"/>
      <x:c r="Z140" s="27"/>
      <x:c r="AA140" s="27"/>
      <x:c r="AB140" s="27"/>
      <x:c r="AC140" s="27"/>
      <x:c r="AD140" s="27"/>
      <x:c r="AE140" s="27"/>
      <x:c r="AF140" s="27"/>
      <x:c r="AG140" s="27"/>
      <x:c r="AH140" s="27"/>
      <x:c r="AI140" s="27"/>
      <x:c r="AJ140" s="27"/>
      <x:c r="AK140" s="27"/>
      <x:c r="AL140" s="27"/>
      <x:c r="AM140" s="27"/>
      <x:c r="AN140" s="27"/>
      <x:c r="AO140" s="27"/>
      <x:c r="AP140" s="27"/>
      <x:c r="AQ140" s="27"/>
      <x:c r="AR140" s="27"/>
      <x:c r="AS140" s="27"/>
      <x:c r="AT140" s="27"/>
      <x:c r="AU140" s="27"/>
      <x:c r="AV140" s="27"/>
      <x:c r="AW140" s="27"/>
      <x:c r="AX140" s="27"/>
      <x:c r="AY140" s="27"/>
      <x:c r="AZ140" s="27"/>
    </x:row>
    <x:row r="141">
      <x:c r="A141" s="27"/>
      <x:c r="B141" s="27"/>
      <x:c r="C141" s="27"/>
      <x:c r="D141" s="27"/>
      <x:c r="E141" s="27"/>
      <x:c r="F141" s="27"/>
      <x:c r="G141" s="27"/>
      <x:c r="H141" s="27"/>
      <x:c r="I141" s="27"/>
      <x:c r="J141" s="27"/>
      <x:c r="K141" s="27"/>
      <x:c r="L141" s="27"/>
      <x:c r="M141" s="27"/>
      <x:c r="N141" s="27"/>
      <x:c r="O141" s="27"/>
      <x:c r="P141" s="27"/>
      <x:c r="Q141" s="27"/>
      <x:c r="R141" s="27"/>
      <x:c r="S141" s="27"/>
      <x:c r="T141" s="27"/>
      <x:c r="U141" s="27"/>
      <x:c r="V141" s="27"/>
      <x:c r="W141" s="27"/>
      <x:c r="X141" s="27"/>
      <x:c r="Y141" s="27"/>
      <x:c r="Z141" s="27"/>
      <x:c r="AA141" s="27"/>
      <x:c r="AB141" s="27"/>
      <x:c r="AC141" s="27"/>
      <x:c r="AD141" s="27"/>
      <x:c r="AE141" s="27"/>
      <x:c r="AF141" s="27"/>
      <x:c r="AG141" s="27"/>
      <x:c r="AH141" s="27"/>
      <x:c r="AI141" s="27"/>
      <x:c r="AJ141" s="27"/>
      <x:c r="AK141" s="27"/>
      <x:c r="AL141" s="27"/>
      <x:c r="AM141" s="27"/>
      <x:c r="AN141" s="27"/>
      <x:c r="AO141" s="27"/>
      <x:c r="AP141" s="27"/>
      <x:c r="AQ141" s="27"/>
      <x:c r="AR141" s="27"/>
      <x:c r="AS141" s="27"/>
      <x:c r="AT141" s="27"/>
      <x:c r="AU141" s="27"/>
      <x:c r="AV141" s="27"/>
      <x:c r="AW141" s="27"/>
      <x:c r="AX141" s="27"/>
      <x:c r="AY141" s="27"/>
      <x:c r="AZ141" s="27"/>
    </x:row>
    <x:row r="142">
      <x:c r="A142" s="27"/>
      <x:c r="B142" s="27"/>
      <x:c r="C142" s="27"/>
      <x:c r="D142" s="27"/>
      <x:c r="E142" s="27"/>
      <x:c r="F142" s="27"/>
      <x:c r="G142" s="27"/>
      <x:c r="H142" s="27"/>
      <x:c r="I142" s="27"/>
      <x:c r="J142" s="27"/>
      <x:c r="K142" s="27"/>
      <x:c r="L142" s="27"/>
      <x:c r="M142" s="27"/>
      <x:c r="N142" s="27"/>
      <x:c r="O142" s="27"/>
      <x:c r="P142" s="27"/>
      <x:c r="Q142" s="27"/>
      <x:c r="R142" s="27"/>
      <x:c r="S142" s="27"/>
      <x:c r="T142" s="27"/>
      <x:c r="U142" s="27"/>
      <x:c r="V142" s="27"/>
      <x:c r="W142" s="27"/>
      <x:c r="X142" s="27"/>
      <x:c r="Y142" s="27"/>
      <x:c r="Z142" s="27"/>
      <x:c r="AA142" s="27"/>
      <x:c r="AB142" s="27"/>
      <x:c r="AC142" s="27"/>
      <x:c r="AD142" s="27"/>
      <x:c r="AE142" s="27"/>
      <x:c r="AF142" s="27"/>
      <x:c r="AG142" s="27"/>
      <x:c r="AH142" s="27"/>
      <x:c r="AI142" s="27"/>
      <x:c r="AJ142" s="27"/>
      <x:c r="AK142" s="27"/>
      <x:c r="AL142" s="27"/>
      <x:c r="AM142" s="27"/>
      <x:c r="AN142" s="27"/>
      <x:c r="AO142" s="27"/>
      <x:c r="AP142" s="27"/>
      <x:c r="AQ142" s="27"/>
      <x:c r="AR142" s="27"/>
      <x:c r="AS142" s="27"/>
      <x:c r="AT142" s="27"/>
      <x:c r="AU142" s="27"/>
      <x:c r="AV142" s="27"/>
      <x:c r="AW142" s="27"/>
      <x:c r="AX142" s="27"/>
      <x:c r="AY142" s="27"/>
      <x:c r="AZ142" s="27"/>
    </x:row>
    <x:row r="143">
      <x:c r="A143" s="27"/>
      <x:c r="B143" s="27"/>
      <x:c r="C143" s="27"/>
      <x:c r="D143" s="27"/>
      <x:c r="E143" s="27"/>
      <x:c r="F143" s="27"/>
      <x:c r="G143" s="27"/>
      <x:c r="H143" s="27"/>
      <x:c r="I143" s="27"/>
      <x:c r="J143" s="27"/>
      <x:c r="K143" s="27"/>
      <x:c r="L143" s="27"/>
      <x:c r="M143" s="27"/>
      <x:c r="N143" s="27"/>
      <x:c r="O143" s="27"/>
      <x:c r="P143" s="27"/>
      <x:c r="Q143" s="27"/>
      <x:c r="R143" s="27"/>
      <x:c r="S143" s="27"/>
      <x:c r="T143" s="27"/>
      <x:c r="U143" s="27"/>
      <x:c r="V143" s="27"/>
      <x:c r="W143" s="27"/>
      <x:c r="X143" s="27"/>
      <x:c r="Y143" s="27"/>
      <x:c r="Z143" s="27"/>
      <x:c r="AA143" s="27"/>
      <x:c r="AB143" s="27"/>
      <x:c r="AC143" s="27"/>
      <x:c r="AD143" s="27"/>
      <x:c r="AE143" s="27"/>
      <x:c r="AF143" s="27"/>
      <x:c r="AG143" s="27"/>
      <x:c r="AH143" s="27"/>
      <x:c r="AI143" s="27"/>
      <x:c r="AJ143" s="27"/>
      <x:c r="AK143" s="27"/>
      <x:c r="AL143" s="27"/>
      <x:c r="AM143" s="27"/>
      <x:c r="AN143" s="27"/>
      <x:c r="AO143" s="27"/>
      <x:c r="AP143" s="27"/>
      <x:c r="AQ143" s="27"/>
      <x:c r="AR143" s="27"/>
      <x:c r="AS143" s="27"/>
      <x:c r="AT143" s="27"/>
      <x:c r="AU143" s="27"/>
      <x:c r="AV143" s="27"/>
      <x:c r="AW143" s="27"/>
      <x:c r="AX143" s="27"/>
      <x:c r="AY143" s="27"/>
      <x:c r="AZ143" s="27"/>
    </x:row>
    <x:row r="144">
      <x:c r="A144" s="27"/>
      <x:c r="B144" s="27"/>
      <x:c r="C144" s="27"/>
      <x:c r="D144" s="27"/>
      <x:c r="E144" s="27"/>
      <x:c r="F144" s="27"/>
      <x:c r="G144" s="27"/>
      <x:c r="H144" s="27"/>
      <x:c r="I144" s="27"/>
      <x:c r="J144" s="27"/>
      <x:c r="K144" s="27"/>
      <x:c r="L144" s="27"/>
      <x:c r="M144" s="27"/>
      <x:c r="N144" s="27"/>
      <x:c r="O144" s="27"/>
      <x:c r="P144" s="27"/>
      <x:c r="Q144" s="27"/>
      <x:c r="R144" s="27"/>
      <x:c r="S144" s="27"/>
      <x:c r="T144" s="27"/>
      <x:c r="U144" s="27"/>
      <x:c r="V144" s="27"/>
      <x:c r="W144" s="27"/>
      <x:c r="X144" s="27"/>
      <x:c r="Y144" s="27"/>
      <x:c r="Z144" s="27"/>
      <x:c r="AA144" s="27"/>
      <x:c r="AB144" s="27"/>
      <x:c r="AC144" s="27"/>
      <x:c r="AD144" s="27"/>
      <x:c r="AE144" s="27"/>
      <x:c r="AF144" s="27"/>
      <x:c r="AG144" s="27"/>
      <x:c r="AH144" s="27"/>
      <x:c r="AI144" s="27"/>
      <x:c r="AJ144" s="27"/>
      <x:c r="AK144" s="27"/>
      <x:c r="AL144" s="27"/>
      <x:c r="AM144" s="27"/>
      <x:c r="AN144" s="27"/>
      <x:c r="AO144" s="27"/>
      <x:c r="AP144" s="27"/>
      <x:c r="AQ144" s="27"/>
      <x:c r="AR144" s="27"/>
      <x:c r="AS144" s="27"/>
      <x:c r="AT144" s="27"/>
      <x:c r="AU144" s="27"/>
      <x:c r="AV144" s="27"/>
      <x:c r="AW144" s="27"/>
      <x:c r="AX144" s="27"/>
      <x:c r="AY144" s="27"/>
      <x:c r="AZ144" s="27"/>
    </x:row>
    <x:row r="145">
      <x:c r="A145" s="27"/>
      <x:c r="B145" s="27"/>
      <x:c r="C145" s="27"/>
      <x:c r="D145" s="27"/>
      <x:c r="E145" s="27"/>
      <x:c r="F145" s="27"/>
      <x:c r="G145" s="27"/>
      <x:c r="H145" s="27"/>
      <x:c r="I145" s="27"/>
      <x:c r="J145" s="27"/>
      <x:c r="K145" s="27"/>
      <x:c r="L145" s="27"/>
      <x:c r="M145" s="27"/>
      <x:c r="N145" s="27"/>
      <x:c r="O145" s="27"/>
      <x:c r="P145" s="27"/>
      <x:c r="Q145" s="27"/>
      <x:c r="R145" s="27"/>
      <x:c r="S145" s="27"/>
      <x:c r="T145" s="27"/>
      <x:c r="U145" s="27"/>
      <x:c r="V145" s="27"/>
      <x:c r="W145" s="27"/>
      <x:c r="X145" s="27"/>
      <x:c r="Y145" s="27"/>
      <x:c r="Z145" s="27"/>
      <x:c r="AA145" s="27"/>
      <x:c r="AB145" s="27"/>
      <x:c r="AC145" s="27"/>
      <x:c r="AD145" s="27"/>
      <x:c r="AE145" s="27"/>
      <x:c r="AF145" s="27"/>
      <x:c r="AG145" s="27"/>
      <x:c r="AH145" s="27"/>
      <x:c r="AI145" s="27"/>
      <x:c r="AJ145" s="27"/>
      <x:c r="AK145" s="27"/>
      <x:c r="AL145" s="27"/>
      <x:c r="AM145" s="27"/>
      <x:c r="AN145" s="27"/>
      <x:c r="AO145" s="27"/>
      <x:c r="AP145" s="27"/>
      <x:c r="AQ145" s="27"/>
      <x:c r="AR145" s="27"/>
      <x:c r="AS145" s="27"/>
      <x:c r="AT145" s="27"/>
      <x:c r="AU145" s="27"/>
      <x:c r="AV145" s="27"/>
      <x:c r="AW145" s="27"/>
      <x:c r="AX145" s="27"/>
      <x:c r="AY145" s="27"/>
      <x:c r="AZ145" s="27"/>
    </x:row>
    <x:row r="146">
      <x:c r="A146" s="27"/>
      <x:c r="B146" s="27"/>
      <x:c r="C146" s="27"/>
      <x:c r="D146" s="27"/>
      <x:c r="E146" s="27"/>
      <x:c r="F146" s="27"/>
      <x:c r="G146" s="27"/>
      <x:c r="H146" s="27"/>
      <x:c r="I146" s="27"/>
      <x:c r="J146" s="27"/>
      <x:c r="K146" s="27"/>
      <x:c r="L146" s="27"/>
      <x:c r="M146" s="27"/>
      <x:c r="N146" s="27"/>
      <x:c r="O146" s="27"/>
      <x:c r="P146" s="27"/>
      <x:c r="Q146" s="27"/>
      <x:c r="R146" s="27"/>
      <x:c r="S146" s="27"/>
      <x:c r="T146" s="27"/>
      <x:c r="U146" s="27"/>
      <x:c r="V146" s="27"/>
      <x:c r="W146" s="27"/>
      <x:c r="X146" s="27"/>
      <x:c r="Y146" s="27"/>
      <x:c r="Z146" s="27"/>
      <x:c r="AA146" s="27"/>
      <x:c r="AB146" s="27"/>
      <x:c r="AC146" s="27"/>
      <x:c r="AD146" s="27"/>
      <x:c r="AE146" s="27"/>
      <x:c r="AF146" s="27"/>
      <x:c r="AG146" s="27"/>
      <x:c r="AH146" s="27"/>
      <x:c r="AI146" s="27"/>
      <x:c r="AJ146" s="27"/>
      <x:c r="AK146" s="27"/>
      <x:c r="AL146" s="27"/>
      <x:c r="AM146" s="27"/>
      <x:c r="AN146" s="27"/>
      <x:c r="AO146" s="27"/>
      <x:c r="AP146" s="27"/>
      <x:c r="AQ146" s="27"/>
      <x:c r="AR146" s="27"/>
      <x:c r="AS146" s="27"/>
      <x:c r="AT146" s="27"/>
      <x:c r="AU146" s="27"/>
      <x:c r="AV146" s="27"/>
      <x:c r="AW146" s="27"/>
      <x:c r="AX146" s="27"/>
      <x:c r="AY146" s="27"/>
      <x:c r="AZ146" s="27"/>
    </x:row>
    <x:row r="147">
      <x:c r="A147" s="27"/>
      <x:c r="B147" s="27"/>
      <x:c r="C147" s="27"/>
      <x:c r="D147" s="27"/>
      <x:c r="E147" s="27"/>
      <x:c r="F147" s="27"/>
      <x:c r="G147" s="27"/>
      <x:c r="H147" s="27"/>
      <x:c r="I147" s="27"/>
      <x:c r="J147" s="27"/>
      <x:c r="K147" s="27"/>
      <x:c r="L147" s="27"/>
      <x:c r="M147" s="27"/>
      <x:c r="N147" s="27"/>
      <x:c r="O147" s="27"/>
      <x:c r="P147" s="27"/>
      <x:c r="Q147" s="27"/>
      <x:c r="R147" s="27"/>
      <x:c r="S147" s="27"/>
      <x:c r="T147" s="27"/>
      <x:c r="U147" s="27"/>
      <x:c r="V147" s="27"/>
      <x:c r="W147" s="27"/>
      <x:c r="X147" s="27"/>
      <x:c r="Y147" s="27"/>
      <x:c r="Z147" s="27"/>
      <x:c r="AA147" s="27"/>
      <x:c r="AB147" s="27"/>
      <x:c r="AC147" s="27"/>
      <x:c r="AD147" s="27"/>
      <x:c r="AE147" s="27"/>
      <x:c r="AF147" s="27"/>
      <x:c r="AG147" s="27"/>
      <x:c r="AH147" s="27"/>
      <x:c r="AI147" s="27"/>
      <x:c r="AJ147" s="27"/>
      <x:c r="AK147" s="27"/>
      <x:c r="AL147" s="27"/>
      <x:c r="AM147" s="27"/>
      <x:c r="AN147" s="27"/>
      <x:c r="AO147" s="27"/>
      <x:c r="AP147" s="27"/>
      <x:c r="AQ147" s="27"/>
      <x:c r="AR147" s="27"/>
      <x:c r="AS147" s="27"/>
      <x:c r="AT147" s="27"/>
      <x:c r="AU147" s="27"/>
      <x:c r="AV147" s="27"/>
      <x:c r="AW147" s="27"/>
      <x:c r="AX147" s="27"/>
      <x:c r="AY147" s="27"/>
      <x:c r="AZ147" s="27"/>
    </x:row>
    <x:row r="148">
      <x:c r="A148" s="27"/>
      <x:c r="B148" s="27"/>
      <x:c r="C148" s="27"/>
      <x:c r="D148" s="27"/>
      <x:c r="E148" s="27"/>
      <x:c r="F148" s="27"/>
      <x:c r="G148" s="27"/>
      <x:c r="H148" s="27"/>
      <x:c r="I148" s="27"/>
      <x:c r="J148" s="27"/>
      <x:c r="K148" s="27"/>
      <x:c r="L148" s="27"/>
      <x:c r="M148" s="27"/>
      <x:c r="N148" s="27"/>
      <x:c r="O148" s="27"/>
      <x:c r="P148" s="27"/>
      <x:c r="Q148" s="27"/>
      <x:c r="R148" s="27"/>
      <x:c r="S148" s="27"/>
      <x:c r="T148" s="27"/>
      <x:c r="U148" s="27"/>
      <x:c r="V148" s="27"/>
      <x:c r="W148" s="27"/>
      <x:c r="X148" s="27"/>
      <x:c r="Y148" s="27"/>
      <x:c r="Z148" s="27"/>
      <x:c r="AA148" s="27"/>
      <x:c r="AB148" s="27"/>
      <x:c r="AC148" s="27"/>
      <x:c r="AD148" s="27"/>
      <x:c r="AE148" s="27"/>
      <x:c r="AF148" s="27"/>
      <x:c r="AG148" s="27"/>
      <x:c r="AH148" s="27"/>
      <x:c r="AI148" s="27"/>
      <x:c r="AJ148" s="27"/>
      <x:c r="AK148" s="27"/>
      <x:c r="AL148" s="27"/>
      <x:c r="AM148" s="27"/>
      <x:c r="AN148" s="27"/>
      <x:c r="AO148" s="27"/>
      <x:c r="AP148" s="27"/>
      <x:c r="AQ148" s="27"/>
      <x:c r="AR148" s="27"/>
      <x:c r="AS148" s="27"/>
      <x:c r="AT148" s="27"/>
      <x:c r="AU148" s="27"/>
      <x:c r="AV148" s="27"/>
      <x:c r="AW148" s="27"/>
      <x:c r="AX148" s="27"/>
      <x:c r="AY148" s="27"/>
      <x:c r="AZ148" s="27"/>
    </x:row>
    <x:row r="149">
      <x:c r="A149" s="27"/>
      <x:c r="B149" s="27"/>
      <x:c r="C149" s="27"/>
      <x:c r="D149" s="27"/>
      <x:c r="E149" s="27"/>
      <x:c r="F149" s="27"/>
      <x:c r="G149" s="27"/>
      <x:c r="H149" s="27"/>
      <x:c r="I149" s="27"/>
      <x:c r="J149" s="27"/>
      <x:c r="K149" s="27"/>
      <x:c r="L149" s="27"/>
      <x:c r="M149" s="27"/>
      <x:c r="N149" s="27"/>
      <x:c r="O149" s="27"/>
      <x:c r="P149" s="27"/>
      <x:c r="Q149" s="27"/>
      <x:c r="R149" s="27"/>
      <x:c r="S149" s="27"/>
      <x:c r="T149" s="27"/>
      <x:c r="U149" s="27"/>
      <x:c r="V149" s="27"/>
      <x:c r="W149" s="27"/>
      <x:c r="X149" s="27"/>
      <x:c r="Y149" s="27"/>
      <x:c r="Z149" s="27"/>
      <x:c r="AA149" s="27"/>
      <x:c r="AB149" s="27"/>
      <x:c r="AC149" s="27"/>
      <x:c r="AD149" s="27"/>
      <x:c r="AE149" s="27"/>
      <x:c r="AF149" s="27"/>
      <x:c r="AG149" s="27"/>
      <x:c r="AH149" s="27"/>
      <x:c r="AI149" s="27"/>
      <x:c r="AJ149" s="27"/>
      <x:c r="AK149" s="27"/>
      <x:c r="AL149" s="27"/>
      <x:c r="AM149" s="27"/>
      <x:c r="AN149" s="27"/>
      <x:c r="AO149" s="27"/>
      <x:c r="AP149" s="27"/>
      <x:c r="AQ149" s="27"/>
      <x:c r="AR149" s="27"/>
      <x:c r="AS149" s="27"/>
      <x:c r="AT149" s="27"/>
      <x:c r="AU149" s="27"/>
      <x:c r="AV149" s="27"/>
      <x:c r="AW149" s="27"/>
      <x:c r="AX149" s="27"/>
      <x:c r="AY149" s="27"/>
      <x:c r="AZ149" s="27"/>
    </x:row>
    <x:row r="150">
      <x:c r="A150" s="27"/>
      <x:c r="B150" s="27"/>
      <x:c r="C150" s="27"/>
      <x:c r="D150" s="27"/>
      <x:c r="E150" s="27"/>
      <x:c r="F150" s="27"/>
      <x:c r="G150" s="27"/>
      <x:c r="H150" s="27"/>
      <x:c r="I150" s="27"/>
      <x:c r="J150" s="27"/>
      <x:c r="K150" s="27"/>
      <x:c r="L150" s="27"/>
      <x:c r="M150" s="27"/>
      <x:c r="N150" s="27"/>
      <x:c r="O150" s="27"/>
      <x:c r="P150" s="27"/>
      <x:c r="Q150" s="27"/>
      <x:c r="R150" s="27"/>
      <x:c r="S150" s="27"/>
      <x:c r="T150" s="27"/>
      <x:c r="U150" s="27"/>
      <x:c r="V150" s="27"/>
      <x:c r="W150" s="27"/>
      <x:c r="X150" s="27"/>
      <x:c r="Y150" s="27"/>
      <x:c r="Z150" s="27"/>
      <x:c r="AA150" s="27"/>
      <x:c r="AB150" s="27"/>
      <x:c r="AC150" s="27"/>
      <x:c r="AD150" s="27"/>
      <x:c r="AE150" s="27"/>
      <x:c r="AF150" s="27"/>
      <x:c r="AG150" s="27"/>
      <x:c r="AH150" s="27"/>
      <x:c r="AI150" s="27"/>
      <x:c r="AJ150" s="27"/>
      <x:c r="AK150" s="27"/>
      <x:c r="AL150" s="27"/>
      <x:c r="AM150" s="27"/>
      <x:c r="AN150" s="27"/>
      <x:c r="AO150" s="27"/>
      <x:c r="AP150" s="27"/>
      <x:c r="AQ150" s="27"/>
      <x:c r="AR150" s="27"/>
      <x:c r="AS150" s="27"/>
      <x:c r="AT150" s="27"/>
      <x:c r="AU150" s="27"/>
      <x:c r="AV150" s="27"/>
      <x:c r="AW150" s="27"/>
      <x:c r="AX150" s="27"/>
      <x:c r="AY150" s="27"/>
      <x:c r="AZ150" s="27"/>
    </x:row>
    <x:row r="151">
      <x:c r="A151" s="27"/>
      <x:c r="B151" s="27"/>
      <x:c r="C151" s="27"/>
      <x:c r="D151" s="27"/>
      <x:c r="E151" s="27"/>
      <x:c r="F151" s="27"/>
      <x:c r="G151" s="27"/>
      <x:c r="H151" s="27"/>
      <x:c r="I151" s="27"/>
      <x:c r="J151" s="27"/>
      <x:c r="K151" s="27"/>
      <x:c r="L151" s="27"/>
      <x:c r="M151" s="27"/>
      <x:c r="N151" s="27"/>
      <x:c r="O151" s="27"/>
      <x:c r="P151" s="27"/>
      <x:c r="Q151" s="27"/>
      <x:c r="R151" s="27"/>
      <x:c r="S151" s="27"/>
      <x:c r="T151" s="27"/>
      <x:c r="U151" s="27"/>
      <x:c r="V151" s="27"/>
      <x:c r="W151" s="27"/>
      <x:c r="X151" s="27"/>
      <x:c r="Y151" s="27"/>
      <x:c r="Z151" s="27"/>
      <x:c r="AA151" s="27"/>
      <x:c r="AB151" s="27"/>
      <x:c r="AC151" s="27"/>
      <x:c r="AD151" s="27"/>
      <x:c r="AE151" s="27"/>
      <x:c r="AF151" s="27"/>
      <x:c r="AG151" s="27"/>
      <x:c r="AH151" s="27"/>
      <x:c r="AI151" s="27"/>
      <x:c r="AJ151" s="27"/>
      <x:c r="AK151" s="27"/>
      <x:c r="AL151" s="27"/>
      <x:c r="AM151" s="27"/>
      <x:c r="AN151" s="27"/>
      <x:c r="AO151" s="27"/>
      <x:c r="AP151" s="27"/>
      <x:c r="AQ151" s="27"/>
      <x:c r="AR151" s="27"/>
      <x:c r="AS151" s="27"/>
      <x:c r="AT151" s="27"/>
      <x:c r="AU151" s="27"/>
      <x:c r="AV151" s="27"/>
      <x:c r="AW151" s="27"/>
      <x:c r="AX151" s="27"/>
      <x:c r="AY151" s="27"/>
      <x:c r="AZ151" s="27"/>
    </x:row>
    <x:row r="152">
      <x:c r="A152" s="27"/>
      <x:c r="B152" s="27"/>
      <x:c r="C152" s="27"/>
      <x:c r="D152" s="27"/>
      <x:c r="E152" s="27"/>
      <x:c r="F152" s="27"/>
      <x:c r="G152" s="27"/>
      <x:c r="H152" s="27"/>
      <x:c r="I152" s="27"/>
      <x:c r="J152" s="27"/>
      <x:c r="K152" s="27"/>
      <x:c r="L152" s="27"/>
      <x:c r="M152" s="27"/>
      <x:c r="N152" s="27"/>
      <x:c r="O152" s="27"/>
      <x:c r="P152" s="27"/>
      <x:c r="Q152" s="27"/>
      <x:c r="R152" s="27"/>
      <x:c r="S152" s="27"/>
      <x:c r="T152" s="27"/>
      <x:c r="U152" s="27"/>
      <x:c r="V152" s="27"/>
      <x:c r="W152" s="27"/>
      <x:c r="X152" s="27"/>
      <x:c r="Y152" s="27"/>
      <x:c r="Z152" s="27"/>
      <x:c r="AA152" s="27"/>
      <x:c r="AB152" s="27"/>
      <x:c r="AC152" s="27"/>
      <x:c r="AD152" s="27"/>
      <x:c r="AE152" s="27"/>
      <x:c r="AF152" s="27"/>
      <x:c r="AG152" s="27"/>
      <x:c r="AH152" s="27"/>
      <x:c r="AI152" s="27"/>
      <x:c r="AJ152" s="27"/>
      <x:c r="AK152" s="27"/>
      <x:c r="AL152" s="27"/>
      <x:c r="AM152" s="27"/>
      <x:c r="AN152" s="27"/>
      <x:c r="AO152" s="27"/>
      <x:c r="AP152" s="27"/>
      <x:c r="AQ152" s="27"/>
      <x:c r="AR152" s="27"/>
      <x:c r="AS152" s="27"/>
      <x:c r="AT152" s="27"/>
      <x:c r="AU152" s="27"/>
      <x:c r="AV152" s="27"/>
      <x:c r="AW152" s="27"/>
      <x:c r="AX152" s="27"/>
      <x:c r="AY152" s="27"/>
      <x:c r="AZ152" s="27"/>
    </x:row>
    <x:row r="153">
      <x:c r="A153" s="27"/>
      <x:c r="B153" s="27"/>
      <x:c r="C153" s="27"/>
      <x:c r="D153" s="27"/>
      <x:c r="E153" s="27"/>
      <x:c r="F153" s="27"/>
      <x:c r="G153" s="27"/>
      <x:c r="H153" s="27"/>
      <x:c r="I153" s="27"/>
      <x:c r="J153" s="27"/>
      <x:c r="K153" s="27"/>
      <x:c r="L153" s="27"/>
      <x:c r="M153" s="27"/>
      <x:c r="N153" s="27"/>
      <x:c r="O153" s="27"/>
      <x:c r="P153" s="27"/>
      <x:c r="Q153" s="27"/>
      <x:c r="R153" s="27"/>
      <x:c r="S153" s="27"/>
      <x:c r="T153" s="27"/>
      <x:c r="U153" s="27"/>
      <x:c r="V153" s="27"/>
      <x:c r="W153" s="27"/>
      <x:c r="X153" s="27"/>
      <x:c r="Y153" s="27"/>
      <x:c r="Z153" s="27"/>
      <x:c r="AA153" s="27"/>
      <x:c r="AB153" s="27"/>
      <x:c r="AC153" s="27"/>
      <x:c r="AD153" s="27"/>
      <x:c r="AE153" s="27"/>
      <x:c r="AF153" s="27"/>
      <x:c r="AG153" s="27"/>
      <x:c r="AH153" s="27"/>
      <x:c r="AI153" s="27"/>
      <x:c r="AJ153" s="27"/>
      <x:c r="AK153" s="27"/>
      <x:c r="AL153" s="27"/>
      <x:c r="AM153" s="27"/>
      <x:c r="AN153" s="27"/>
      <x:c r="AO153" s="27"/>
      <x:c r="AP153" s="27"/>
      <x:c r="AQ153" s="27"/>
      <x:c r="AR153" s="27"/>
      <x:c r="AS153" s="27"/>
      <x:c r="AT153" s="27"/>
      <x:c r="AU153" s="27"/>
      <x:c r="AV153" s="27"/>
      <x:c r="AW153" s="27"/>
      <x:c r="AX153" s="27"/>
      <x:c r="AY153" s="27"/>
      <x:c r="AZ153" s="27"/>
    </x:row>
    <x:row r="154">
      <x:c r="A154" s="27"/>
      <x:c r="B154" s="27"/>
      <x:c r="C154" s="27"/>
      <x:c r="D154" s="27"/>
      <x:c r="E154" s="27"/>
      <x:c r="F154" s="27"/>
      <x:c r="G154" s="27"/>
      <x:c r="H154" s="27"/>
      <x:c r="I154" s="27"/>
      <x:c r="J154" s="27"/>
      <x:c r="K154" s="27"/>
      <x:c r="L154" s="27"/>
      <x:c r="M154" s="27"/>
      <x:c r="N154" s="27"/>
      <x:c r="O154" s="27"/>
      <x:c r="P154" s="27"/>
      <x:c r="Q154" s="27"/>
      <x:c r="R154" s="27"/>
      <x:c r="S154" s="27"/>
      <x:c r="T154" s="27"/>
      <x:c r="U154" s="27"/>
      <x:c r="V154" s="27"/>
      <x:c r="W154" s="27"/>
      <x:c r="X154" s="27"/>
      <x:c r="Y154" s="27"/>
      <x:c r="Z154" s="27"/>
      <x:c r="AA154" s="27"/>
      <x:c r="AB154" s="27"/>
      <x:c r="AC154" s="27"/>
      <x:c r="AD154" s="27"/>
      <x:c r="AE154" s="27"/>
      <x:c r="AF154" s="27"/>
      <x:c r="AG154" s="27"/>
      <x:c r="AH154" s="27"/>
      <x:c r="AI154" s="27"/>
      <x:c r="AJ154" s="27"/>
      <x:c r="AK154" s="27"/>
      <x:c r="AL154" s="27"/>
      <x:c r="AM154" s="27"/>
      <x:c r="AN154" s="27"/>
      <x:c r="AO154" s="27"/>
      <x:c r="AP154" s="27"/>
      <x:c r="AQ154" s="27"/>
      <x:c r="AR154" s="27"/>
      <x:c r="AS154" s="27"/>
      <x:c r="AT154" s="27"/>
      <x:c r="AU154" s="27"/>
      <x:c r="AV154" s="27"/>
      <x:c r="AW154" s="27"/>
      <x:c r="AX154" s="27"/>
      <x:c r="AY154" s="27"/>
      <x:c r="AZ154" s="27"/>
    </x:row>
    <x:row r="155">
      <x:c r="A155" s="27"/>
      <x:c r="B155" s="27"/>
      <x:c r="C155" s="27"/>
      <x:c r="D155" s="27"/>
      <x:c r="E155" s="27"/>
      <x:c r="F155" s="27"/>
      <x:c r="G155" s="27"/>
      <x:c r="H155" s="27"/>
      <x:c r="I155" s="27"/>
      <x:c r="J155" s="27"/>
      <x:c r="K155" s="27"/>
      <x:c r="L155" s="27"/>
      <x:c r="M155" s="27"/>
      <x:c r="N155" s="27"/>
      <x:c r="O155" s="27"/>
      <x:c r="P155" s="27"/>
      <x:c r="Q155" s="27"/>
      <x:c r="R155" s="27"/>
      <x:c r="S155" s="27"/>
      <x:c r="T155" s="27"/>
      <x:c r="U155" s="27"/>
      <x:c r="V155" s="27"/>
      <x:c r="W155" s="27"/>
      <x:c r="X155" s="27"/>
      <x:c r="Y155" s="27"/>
      <x:c r="Z155" s="27"/>
      <x:c r="AA155" s="27"/>
      <x:c r="AB155" s="27"/>
      <x:c r="AC155" s="27"/>
      <x:c r="AD155" s="27"/>
      <x:c r="AE155" s="27"/>
      <x:c r="AF155" s="27"/>
      <x:c r="AG155" s="27"/>
      <x:c r="AH155" s="27"/>
      <x:c r="AI155" s="27"/>
      <x:c r="AJ155" s="27"/>
      <x:c r="AK155" s="27"/>
      <x:c r="AL155" s="27"/>
      <x:c r="AM155" s="27"/>
      <x:c r="AN155" s="27"/>
      <x:c r="AO155" s="27"/>
      <x:c r="AP155" s="27"/>
      <x:c r="AQ155" s="27"/>
      <x:c r="AR155" s="27"/>
      <x:c r="AS155" s="27"/>
      <x:c r="AT155" s="27"/>
      <x:c r="AU155" s="27"/>
      <x:c r="AV155" s="27"/>
      <x:c r="AW155" s="27"/>
      <x:c r="AX155" s="27"/>
      <x:c r="AY155" s="27"/>
      <x:c r="AZ155" s="27"/>
    </x:row>
    <x:row r="156">
      <x:c r="A156" s="27"/>
      <x:c r="B156" s="27"/>
      <x:c r="C156" s="27"/>
      <x:c r="D156" s="27"/>
      <x:c r="E156" s="27"/>
      <x:c r="F156" s="27"/>
      <x:c r="G156" s="27"/>
      <x:c r="H156" s="27"/>
      <x:c r="I156" s="27"/>
      <x:c r="J156" s="27"/>
      <x:c r="K156" s="27"/>
      <x:c r="L156" s="27"/>
      <x:c r="M156" s="27"/>
      <x:c r="N156" s="27"/>
      <x:c r="O156" s="27"/>
      <x:c r="P156" s="27"/>
      <x:c r="Q156" s="27"/>
      <x:c r="R156" s="27"/>
      <x:c r="S156" s="27"/>
      <x:c r="T156" s="27"/>
      <x:c r="U156" s="27"/>
      <x:c r="V156" s="27"/>
      <x:c r="W156" s="27"/>
      <x:c r="X156" s="27"/>
      <x:c r="Y156" s="27"/>
      <x:c r="Z156" s="27"/>
      <x:c r="AA156" s="27"/>
      <x:c r="AB156" s="27"/>
      <x:c r="AC156" s="27"/>
      <x:c r="AD156" s="27"/>
      <x:c r="AE156" s="27"/>
      <x:c r="AF156" s="27"/>
      <x:c r="AG156" s="27"/>
      <x:c r="AH156" s="27"/>
      <x:c r="AI156" s="27"/>
      <x:c r="AJ156" s="27"/>
      <x:c r="AK156" s="27"/>
      <x:c r="AL156" s="27"/>
      <x:c r="AM156" s="27"/>
      <x:c r="AN156" s="27"/>
      <x:c r="AO156" s="27"/>
      <x:c r="AP156" s="27"/>
      <x:c r="AQ156" s="27"/>
      <x:c r="AR156" s="27"/>
      <x:c r="AS156" s="27"/>
      <x:c r="AT156" s="27"/>
      <x:c r="AU156" s="27"/>
      <x:c r="AV156" s="27"/>
      <x:c r="AW156" s="27"/>
      <x:c r="AX156" s="27"/>
      <x:c r="AY156" s="27"/>
      <x:c r="AZ156" s="27"/>
    </x:row>
    <x:row r="157">
      <x:c r="A157" s="27"/>
      <x:c r="B157" s="27"/>
      <x:c r="C157" s="27"/>
      <x:c r="D157" s="27"/>
      <x:c r="E157" s="27"/>
      <x:c r="F157" s="27"/>
      <x:c r="G157" s="27"/>
      <x:c r="H157" s="27"/>
      <x:c r="I157" s="27"/>
      <x:c r="J157" s="27"/>
      <x:c r="K157" s="27"/>
      <x:c r="L157" s="27"/>
      <x:c r="M157" s="27"/>
      <x:c r="N157" s="27"/>
      <x:c r="O157" s="27"/>
      <x:c r="P157" s="27"/>
      <x:c r="Q157" s="27"/>
      <x:c r="R157" s="27"/>
      <x:c r="S157" s="27"/>
      <x:c r="T157" s="27"/>
      <x:c r="U157" s="27"/>
      <x:c r="V157" s="27"/>
      <x:c r="W157" s="27"/>
      <x:c r="X157" s="27"/>
      <x:c r="Y157" s="27"/>
      <x:c r="Z157" s="27"/>
      <x:c r="AA157" s="27"/>
      <x:c r="AB157" s="27"/>
      <x:c r="AC157" s="27"/>
      <x:c r="AD157" s="27"/>
      <x:c r="AE157" s="27"/>
      <x:c r="AF157" s="27"/>
      <x:c r="AG157" s="27"/>
      <x:c r="AH157" s="27"/>
      <x:c r="AI157" s="27"/>
      <x:c r="AJ157" s="27"/>
      <x:c r="AK157" s="27"/>
      <x:c r="AL157" s="27"/>
      <x:c r="AM157" s="27"/>
      <x:c r="AN157" s="27"/>
      <x:c r="AO157" s="27"/>
      <x:c r="AP157" s="27"/>
      <x:c r="AQ157" s="27"/>
      <x:c r="AR157" s="27"/>
      <x:c r="AS157" s="27"/>
      <x:c r="AT157" s="27"/>
      <x:c r="AU157" s="27"/>
      <x:c r="AV157" s="27"/>
      <x:c r="AW157" s="27"/>
      <x:c r="AX157" s="27"/>
      <x:c r="AY157" s="27"/>
      <x:c r="AZ157" s="27"/>
    </x:row>
    <x:row r="158">
      <x:c r="A158" s="27"/>
      <x:c r="B158" s="27"/>
      <x:c r="C158" s="27"/>
      <x:c r="D158" s="27"/>
      <x:c r="E158" s="27"/>
      <x:c r="F158" s="27"/>
      <x:c r="G158" s="27"/>
      <x:c r="H158" s="27"/>
      <x:c r="I158" s="27"/>
      <x:c r="J158" s="27"/>
      <x:c r="K158" s="27"/>
      <x:c r="L158" s="27"/>
      <x:c r="M158" s="27"/>
      <x:c r="N158" s="27"/>
      <x:c r="O158" s="27"/>
      <x:c r="P158" s="27"/>
      <x:c r="Q158" s="27"/>
      <x:c r="R158" s="27"/>
      <x:c r="S158" s="27"/>
      <x:c r="T158" s="27"/>
      <x:c r="U158" s="27"/>
      <x:c r="V158" s="27"/>
      <x:c r="W158" s="27"/>
      <x:c r="X158" s="27"/>
      <x:c r="Y158" s="27"/>
      <x:c r="Z158" s="27"/>
      <x:c r="AA158" s="27"/>
      <x:c r="AB158" s="27"/>
      <x:c r="AC158" s="27"/>
      <x:c r="AD158" s="27"/>
      <x:c r="AE158" s="27"/>
      <x:c r="AF158" s="27"/>
      <x:c r="AG158" s="27"/>
      <x:c r="AH158" s="27"/>
      <x:c r="AI158" s="27"/>
      <x:c r="AJ158" s="27"/>
      <x:c r="AK158" s="27"/>
      <x:c r="AL158" s="27"/>
      <x:c r="AM158" s="27"/>
      <x:c r="AN158" s="27"/>
      <x:c r="AO158" s="27"/>
      <x:c r="AP158" s="27"/>
      <x:c r="AQ158" s="27"/>
      <x:c r="AR158" s="27"/>
      <x:c r="AS158" s="27"/>
      <x:c r="AT158" s="27"/>
      <x:c r="AU158" s="27"/>
      <x:c r="AV158" s="27"/>
      <x:c r="AW158" s="27"/>
      <x:c r="AX158" s="27"/>
      <x:c r="AY158" s="27"/>
      <x:c r="AZ158" s="27"/>
    </x:row>
    <x:row r="159">
      <x:c r="A159" s="27"/>
      <x:c r="B159" s="27"/>
      <x:c r="C159" s="27"/>
      <x:c r="D159" s="27"/>
      <x:c r="E159" s="27"/>
      <x:c r="F159" s="27"/>
      <x:c r="G159" s="27"/>
      <x:c r="H159" s="27"/>
      <x:c r="I159" s="27"/>
      <x:c r="J159" s="27"/>
      <x:c r="K159" s="27"/>
      <x:c r="L159" s="27"/>
      <x:c r="M159" s="27"/>
      <x:c r="N159" s="27"/>
      <x:c r="O159" s="27"/>
      <x:c r="P159" s="27"/>
      <x:c r="Q159" s="27"/>
      <x:c r="R159" s="27"/>
      <x:c r="S159" s="27"/>
      <x:c r="T159" s="27"/>
      <x:c r="U159" s="27"/>
      <x:c r="V159" s="27"/>
      <x:c r="W159" s="27"/>
      <x:c r="X159" s="27"/>
      <x:c r="Y159" s="27"/>
      <x:c r="Z159" s="27"/>
      <x:c r="AA159" s="27"/>
      <x:c r="AB159" s="27"/>
      <x:c r="AC159" s="27"/>
      <x:c r="AD159" s="27"/>
      <x:c r="AE159" s="27"/>
      <x:c r="AF159" s="27"/>
      <x:c r="AG159" s="27"/>
      <x:c r="AH159" s="27"/>
      <x:c r="AI159" s="27"/>
      <x:c r="AJ159" s="27"/>
      <x:c r="AK159" s="27"/>
      <x:c r="AL159" s="27"/>
      <x:c r="AM159" s="27"/>
      <x:c r="AN159" s="27"/>
      <x:c r="AO159" s="27"/>
      <x:c r="AP159" s="27"/>
      <x:c r="AQ159" s="27"/>
      <x:c r="AR159" s="27"/>
      <x:c r="AS159" s="27"/>
      <x:c r="AT159" s="27"/>
      <x:c r="AU159" s="27"/>
      <x:c r="AV159" s="27"/>
      <x:c r="AW159" s="27"/>
      <x:c r="AX159" s="27"/>
      <x:c r="AY159" s="27"/>
      <x:c r="AZ159" s="27"/>
    </x:row>
    <x:row r="160">
      <x:c r="A160" s="27"/>
      <x:c r="B160" s="27"/>
      <x:c r="C160" s="27"/>
      <x:c r="D160" s="27"/>
      <x:c r="E160" s="27"/>
      <x:c r="F160" s="27"/>
      <x:c r="G160" s="27"/>
      <x:c r="H160" s="27"/>
      <x:c r="I160" s="27"/>
      <x:c r="J160" s="27"/>
      <x:c r="K160" s="27"/>
      <x:c r="L160" s="27"/>
      <x:c r="M160" s="27"/>
      <x:c r="N160" s="27"/>
      <x:c r="O160" s="27"/>
      <x:c r="P160" s="27"/>
      <x:c r="Q160" s="27"/>
      <x:c r="R160" s="27"/>
      <x:c r="S160" s="27"/>
      <x:c r="T160" s="27"/>
      <x:c r="U160" s="27"/>
      <x:c r="V160" s="27"/>
      <x:c r="W160" s="27"/>
      <x:c r="X160" s="27"/>
      <x:c r="Y160" s="27"/>
      <x:c r="Z160" s="27"/>
      <x:c r="AA160" s="27"/>
      <x:c r="AB160" s="27"/>
      <x:c r="AC160" s="27"/>
      <x:c r="AD160" s="27"/>
      <x:c r="AE160" s="27"/>
      <x:c r="AF160" s="27"/>
      <x:c r="AG160" s="27"/>
      <x:c r="AH160" s="27"/>
      <x:c r="AI160" s="27"/>
      <x:c r="AJ160" s="27"/>
      <x:c r="AK160" s="27"/>
      <x:c r="AL160" s="27"/>
      <x:c r="AM160" s="27"/>
      <x:c r="AN160" s="27"/>
      <x:c r="AO160" s="27"/>
      <x:c r="AP160" s="27"/>
      <x:c r="AQ160" s="27"/>
      <x:c r="AR160" s="27"/>
      <x:c r="AS160" s="27"/>
      <x:c r="AT160" s="27"/>
      <x:c r="AU160" s="27"/>
      <x:c r="AV160" s="27"/>
      <x:c r="AW160" s="27"/>
      <x:c r="AX160" s="27"/>
      <x:c r="AY160" s="27"/>
      <x:c r="AZ160" s="27"/>
    </x:row>
    <x:row r="161">
      <x:c r="A161" s="27"/>
      <x:c r="B161" s="27"/>
      <x:c r="C161" s="27"/>
      <x:c r="D161" s="27"/>
      <x:c r="E161" s="27"/>
      <x:c r="F161" s="27"/>
      <x:c r="G161" s="27"/>
      <x:c r="H161" s="27"/>
      <x:c r="I161" s="27"/>
      <x:c r="J161" s="27"/>
      <x:c r="K161" s="27"/>
      <x:c r="L161" s="27"/>
      <x:c r="M161" s="27"/>
      <x:c r="N161" s="27"/>
      <x:c r="O161" s="27"/>
      <x:c r="P161" s="27"/>
      <x:c r="Q161" s="27"/>
      <x:c r="R161" s="27"/>
      <x:c r="S161" s="27"/>
      <x:c r="T161" s="27"/>
      <x:c r="U161" s="27"/>
      <x:c r="V161" s="27"/>
      <x:c r="W161" s="27"/>
      <x:c r="X161" s="27"/>
      <x:c r="Y161" s="27"/>
      <x:c r="Z161" s="27"/>
      <x:c r="AA161" s="27"/>
      <x:c r="AB161" s="27"/>
      <x:c r="AC161" s="27"/>
      <x:c r="AD161" s="27"/>
      <x:c r="AE161" s="27"/>
      <x:c r="AF161" s="27"/>
      <x:c r="AG161" s="27"/>
      <x:c r="AH161" s="27"/>
      <x:c r="AI161" s="27"/>
      <x:c r="AJ161" s="27"/>
      <x:c r="AK161" s="27"/>
      <x:c r="AL161" s="27"/>
      <x:c r="AM161" s="27"/>
      <x:c r="AN161" s="27"/>
      <x:c r="AO161" s="27"/>
      <x:c r="AP161" s="27"/>
      <x:c r="AQ161" s="27"/>
      <x:c r="AR161" s="27"/>
      <x:c r="AS161" s="27"/>
      <x:c r="AT161" s="27"/>
      <x:c r="AU161" s="27"/>
      <x:c r="AV161" s="27"/>
      <x:c r="AW161" s="27"/>
      <x:c r="AX161" s="27"/>
      <x:c r="AY161" s="27"/>
      <x:c r="AZ161" s="27"/>
    </x:row>
    <x:row r="162">
      <x:c r="A162" s="27"/>
      <x:c r="B162" s="27"/>
      <x:c r="C162" s="27"/>
      <x:c r="D162" s="27"/>
      <x:c r="E162" s="27"/>
      <x:c r="F162" s="27"/>
      <x:c r="G162" s="27"/>
      <x:c r="H162" s="27"/>
      <x:c r="I162" s="27"/>
      <x:c r="J162" s="27"/>
      <x:c r="K162" s="27"/>
      <x:c r="L162" s="27"/>
      <x:c r="M162" s="27"/>
      <x:c r="N162" s="27"/>
      <x:c r="O162" s="27"/>
      <x:c r="P162" s="27"/>
      <x:c r="Q162" s="27"/>
      <x:c r="R162" s="27"/>
      <x:c r="S162" s="27"/>
      <x:c r="T162" s="27"/>
      <x:c r="U162" s="27"/>
      <x:c r="V162" s="27"/>
      <x:c r="W162" s="27"/>
      <x:c r="X162" s="27"/>
      <x:c r="Y162" s="27"/>
      <x:c r="Z162" s="27"/>
      <x:c r="AA162" s="27"/>
      <x:c r="AB162" s="27"/>
      <x:c r="AC162" s="27"/>
      <x:c r="AD162" s="27"/>
      <x:c r="AE162" s="27"/>
      <x:c r="AF162" s="27"/>
      <x:c r="AG162" s="27"/>
      <x:c r="AH162" s="27"/>
      <x:c r="AI162" s="27"/>
      <x:c r="AJ162" s="27"/>
      <x:c r="AK162" s="27"/>
      <x:c r="AL162" s="27"/>
      <x:c r="AM162" s="27"/>
      <x:c r="AN162" s="27"/>
      <x:c r="AO162" s="27"/>
      <x:c r="AP162" s="27"/>
      <x:c r="AQ162" s="27"/>
      <x:c r="AR162" s="27"/>
      <x:c r="AS162" s="27"/>
      <x:c r="AT162" s="27"/>
      <x:c r="AU162" s="27"/>
      <x:c r="AV162" s="27"/>
      <x:c r="AW162" s="27"/>
      <x:c r="AX162" s="27"/>
      <x:c r="AY162" s="27"/>
      <x:c r="AZ162" s="27"/>
    </x:row>
    <x:row r="163">
      <x:c r="A163" s="27"/>
      <x:c r="B163" s="27"/>
      <x:c r="C163" s="27"/>
      <x:c r="D163" s="27"/>
      <x:c r="E163" s="27"/>
      <x:c r="F163" s="27"/>
      <x:c r="G163" s="27"/>
      <x:c r="H163" s="27"/>
      <x:c r="I163" s="27"/>
      <x:c r="J163" s="27"/>
      <x:c r="K163" s="27"/>
      <x:c r="L163" s="27"/>
      <x:c r="M163" s="27"/>
      <x:c r="N163" s="27"/>
      <x:c r="O163" s="27"/>
      <x:c r="P163" s="27"/>
      <x:c r="Q163" s="27"/>
      <x:c r="R163" s="27"/>
      <x:c r="S163" s="27"/>
      <x:c r="T163" s="27"/>
      <x:c r="U163" s="27"/>
      <x:c r="V163" s="27"/>
      <x:c r="W163" s="27"/>
      <x:c r="X163" s="27"/>
      <x:c r="Y163" s="27"/>
      <x:c r="Z163" s="27"/>
      <x:c r="AA163" s="27"/>
      <x:c r="AB163" s="27"/>
      <x:c r="AC163" s="27"/>
      <x:c r="AD163" s="27"/>
      <x:c r="AE163" s="27"/>
      <x:c r="AF163" s="27"/>
      <x:c r="AG163" s="27"/>
      <x:c r="AH163" s="27"/>
      <x:c r="AI163" s="27"/>
      <x:c r="AJ163" s="27"/>
      <x:c r="AK163" s="27"/>
      <x:c r="AL163" s="27"/>
      <x:c r="AM163" s="27"/>
      <x:c r="AN163" s="27"/>
      <x:c r="AO163" s="27"/>
      <x:c r="AP163" s="27"/>
      <x:c r="AQ163" s="27"/>
      <x:c r="AR163" s="27"/>
      <x:c r="AS163" s="27"/>
      <x:c r="AT163" s="27"/>
      <x:c r="AU163" s="27"/>
      <x:c r="AV163" s="27"/>
      <x:c r="AW163" s="27"/>
      <x:c r="AX163" s="27"/>
      <x:c r="AY163" s="27"/>
      <x:c r="AZ163" s="27"/>
    </x:row>
    <x:row r="164">
      <x:c r="A164" s="27"/>
      <x:c r="B164" s="27"/>
      <x:c r="C164" s="27"/>
      <x:c r="D164" s="27"/>
      <x:c r="E164" s="27"/>
      <x:c r="F164" s="27"/>
      <x:c r="G164" s="27"/>
      <x:c r="H164" s="27"/>
      <x:c r="I164" s="27"/>
      <x:c r="J164" s="27"/>
      <x:c r="K164" s="27"/>
      <x:c r="L164" s="27"/>
      <x:c r="M164" s="27"/>
      <x:c r="N164" s="27"/>
      <x:c r="O164" s="27"/>
      <x:c r="P164" s="27"/>
      <x:c r="Q164" s="27"/>
      <x:c r="R164" s="27"/>
      <x:c r="S164" s="27"/>
      <x:c r="T164" s="27"/>
      <x:c r="U164" s="27"/>
      <x:c r="V164" s="27"/>
      <x:c r="W164" s="27"/>
      <x:c r="X164" s="27"/>
      <x:c r="Y164" s="27"/>
      <x:c r="Z164" s="27"/>
      <x:c r="AA164" s="27"/>
      <x:c r="AB164" s="27"/>
      <x:c r="AC164" s="27"/>
      <x:c r="AD164" s="27"/>
      <x:c r="AE164" s="27"/>
      <x:c r="AF164" s="27"/>
      <x:c r="AG164" s="27"/>
      <x:c r="AH164" s="27"/>
      <x:c r="AI164" s="27"/>
      <x:c r="AJ164" s="27"/>
      <x:c r="AK164" s="27"/>
      <x:c r="AL164" s="27"/>
      <x:c r="AM164" s="27"/>
      <x:c r="AN164" s="27"/>
      <x:c r="AO164" s="27"/>
      <x:c r="AP164" s="27"/>
      <x:c r="AQ164" s="27"/>
      <x:c r="AR164" s="27"/>
      <x:c r="AS164" s="27"/>
      <x:c r="AT164" s="27"/>
      <x:c r="AU164" s="27"/>
      <x:c r="AV164" s="27"/>
      <x:c r="AW164" s="27"/>
      <x:c r="AX164" s="27"/>
      <x:c r="AY164" s="27"/>
      <x:c r="AZ164" s="27"/>
    </x:row>
    <x:row r="165">
      <x:c r="A165" s="27"/>
      <x:c r="B165" s="27"/>
      <x:c r="C165" s="27"/>
      <x:c r="D165" s="27"/>
      <x:c r="E165" s="27"/>
      <x:c r="F165" s="27"/>
      <x:c r="G165" s="27"/>
      <x:c r="H165" s="27"/>
      <x:c r="I165" s="27"/>
      <x:c r="J165" s="27"/>
      <x:c r="K165" s="27"/>
      <x:c r="L165" s="27"/>
      <x:c r="M165" s="27"/>
      <x:c r="N165" s="27"/>
      <x:c r="O165" s="27"/>
      <x:c r="P165" s="27"/>
      <x:c r="Q165" s="27"/>
      <x:c r="R165" s="27"/>
      <x:c r="S165" s="27"/>
      <x:c r="T165" s="27"/>
      <x:c r="U165" s="27"/>
      <x:c r="V165" s="27"/>
      <x:c r="W165" s="27"/>
      <x:c r="X165" s="27"/>
      <x:c r="Y165" s="27"/>
      <x:c r="Z165" s="27"/>
      <x:c r="AA165" s="27"/>
      <x:c r="AB165" s="27"/>
      <x:c r="AC165" s="27"/>
      <x:c r="AD165" s="27"/>
      <x:c r="AE165" s="27"/>
      <x:c r="AF165" s="27"/>
      <x:c r="AG165" s="27"/>
      <x:c r="AH165" s="27"/>
      <x:c r="AI165" s="27"/>
      <x:c r="AJ165" s="27"/>
      <x:c r="AK165" s="27"/>
      <x:c r="AL165" s="27"/>
      <x:c r="AM165" s="27"/>
      <x:c r="AN165" s="27"/>
      <x:c r="AO165" s="27"/>
      <x:c r="AP165" s="27"/>
      <x:c r="AQ165" s="27"/>
      <x:c r="AR165" s="27"/>
      <x:c r="AS165" s="27"/>
      <x:c r="AT165" s="27"/>
      <x:c r="AU165" s="27"/>
      <x:c r="AV165" s="27"/>
      <x:c r="AW165" s="27"/>
      <x:c r="AX165" s="27"/>
      <x:c r="AY165" s="27"/>
      <x:c r="AZ165" s="27"/>
    </x:row>
    <x:row r="166">
      <x:c r="A166" s="27"/>
      <x:c r="B166" s="27"/>
      <x:c r="C166" s="27"/>
      <x:c r="D166" s="27"/>
      <x:c r="E166" s="27"/>
      <x:c r="F166" s="27"/>
      <x:c r="G166" s="27"/>
      <x:c r="H166" s="27"/>
      <x:c r="I166" s="27"/>
      <x:c r="J166" s="27"/>
      <x:c r="K166" s="27"/>
      <x:c r="L166" s="27"/>
      <x:c r="M166" s="27"/>
      <x:c r="N166" s="27"/>
      <x:c r="O166" s="27"/>
      <x:c r="P166" s="27"/>
      <x:c r="Q166" s="27"/>
      <x:c r="R166" s="27"/>
      <x:c r="S166" s="27"/>
      <x:c r="T166" s="27"/>
      <x:c r="U166" s="27"/>
      <x:c r="V166" s="27"/>
      <x:c r="W166" s="27"/>
      <x:c r="X166" s="27"/>
      <x:c r="Y166" s="27"/>
      <x:c r="Z166" s="27"/>
      <x:c r="AA166" s="27"/>
      <x:c r="AB166" s="27"/>
      <x:c r="AC166" s="27"/>
      <x:c r="AD166" s="27"/>
      <x:c r="AE166" s="27"/>
      <x:c r="AF166" s="27"/>
      <x:c r="AG166" s="27"/>
      <x:c r="AH166" s="27"/>
      <x:c r="AI166" s="27"/>
      <x:c r="AJ166" s="27"/>
      <x:c r="AK166" s="27"/>
      <x:c r="AL166" s="27"/>
      <x:c r="AM166" s="27"/>
      <x:c r="AN166" s="27"/>
      <x:c r="AO166" s="27"/>
      <x:c r="AP166" s="27"/>
      <x:c r="AQ166" s="27"/>
      <x:c r="AR166" s="27"/>
      <x:c r="AS166" s="27"/>
      <x:c r="AT166" s="27"/>
      <x:c r="AU166" s="27"/>
      <x:c r="AV166" s="27"/>
      <x:c r="AW166" s="27"/>
      <x:c r="AX166" s="27"/>
      <x:c r="AY166" s="27"/>
      <x:c r="AZ166" s="27"/>
    </x:row>
    <x:row r="167">
      <x:c r="A167" s="27"/>
      <x:c r="B167" s="27"/>
      <x:c r="C167" s="27"/>
      <x:c r="D167" s="27"/>
      <x:c r="E167" s="27"/>
      <x:c r="F167" s="27"/>
      <x:c r="G167" s="27"/>
      <x:c r="H167" s="27"/>
      <x:c r="I167" s="27"/>
      <x:c r="J167" s="27"/>
      <x:c r="K167" s="27"/>
      <x:c r="L167" s="27"/>
      <x:c r="M167" s="27"/>
      <x:c r="N167" s="27"/>
      <x:c r="O167" s="27"/>
      <x:c r="P167" s="27"/>
      <x:c r="Q167" s="27"/>
      <x:c r="R167" s="27"/>
      <x:c r="S167" s="27"/>
      <x:c r="T167" s="27"/>
      <x:c r="U167" s="27"/>
      <x:c r="V167" s="27"/>
      <x:c r="W167" s="27"/>
      <x:c r="X167" s="27"/>
      <x:c r="Y167" s="27"/>
      <x:c r="Z167" s="27"/>
      <x:c r="AA167" s="27"/>
      <x:c r="AB167" s="27"/>
      <x:c r="AC167" s="27"/>
      <x:c r="AD167" s="27"/>
      <x:c r="AE167" s="27"/>
      <x:c r="AF167" s="27"/>
      <x:c r="AG167" s="27"/>
      <x:c r="AH167" s="27"/>
      <x:c r="AI167" s="27"/>
      <x:c r="AJ167" s="27"/>
      <x:c r="AK167" s="27"/>
      <x:c r="AL167" s="27"/>
      <x:c r="AM167" s="27"/>
      <x:c r="AN167" s="27"/>
      <x:c r="AO167" s="27"/>
      <x:c r="AP167" s="27"/>
      <x:c r="AQ167" s="27"/>
      <x:c r="AR167" s="27"/>
      <x:c r="AS167" s="27"/>
      <x:c r="AT167" s="27"/>
      <x:c r="AU167" s="27"/>
      <x:c r="AV167" s="27"/>
      <x:c r="AW167" s="27"/>
      <x:c r="AX167" s="27"/>
      <x:c r="AY167" s="27"/>
      <x:c r="AZ167" s="27"/>
    </x:row>
    <x:row r="168">
      <x:c r="A168" s="27"/>
      <x:c r="B168" s="27"/>
      <x:c r="C168" s="27"/>
      <x:c r="D168" s="27"/>
      <x:c r="E168" s="27"/>
      <x:c r="F168" s="27"/>
      <x:c r="G168" s="27"/>
      <x:c r="H168" s="27"/>
      <x:c r="I168" s="27"/>
      <x:c r="J168" s="27"/>
      <x:c r="K168" s="27"/>
      <x:c r="L168" s="27"/>
      <x:c r="M168" s="27"/>
      <x:c r="N168" s="27"/>
      <x:c r="O168" s="27"/>
      <x:c r="P168" s="27"/>
      <x:c r="Q168" s="27"/>
      <x:c r="R168" s="27"/>
      <x:c r="S168" s="27"/>
      <x:c r="T168" s="27"/>
      <x:c r="U168" s="27"/>
      <x:c r="V168" s="27"/>
      <x:c r="W168" s="27"/>
      <x:c r="X168" s="27"/>
      <x:c r="Y168" s="27"/>
      <x:c r="Z168" s="27"/>
      <x:c r="AA168" s="27"/>
      <x:c r="AB168" s="27"/>
      <x:c r="AC168" s="27"/>
      <x:c r="AD168" s="27"/>
      <x:c r="AE168" s="27"/>
      <x:c r="AF168" s="27"/>
      <x:c r="AG168" s="27"/>
      <x:c r="AH168" s="27"/>
      <x:c r="AI168" s="27"/>
      <x:c r="AJ168" s="27"/>
      <x:c r="AK168" s="27"/>
      <x:c r="AL168" s="27"/>
      <x:c r="AM168" s="27"/>
      <x:c r="AN168" s="27"/>
      <x:c r="AO168" s="27"/>
      <x:c r="AP168" s="27"/>
      <x:c r="AQ168" s="27"/>
      <x:c r="AR168" s="27"/>
      <x:c r="AS168" s="27"/>
      <x:c r="AT168" s="27"/>
      <x:c r="AU168" s="27"/>
      <x:c r="AV168" s="27"/>
      <x:c r="AW168" s="27"/>
      <x:c r="AX168" s="27"/>
      <x:c r="AY168" s="27"/>
      <x:c r="AZ168" s="27"/>
    </x:row>
    <x:row r="169">
      <x:c r="A169" s="27"/>
      <x:c r="B169" s="27"/>
      <x:c r="C169" s="27"/>
      <x:c r="D169" s="27"/>
      <x:c r="E169" s="27"/>
      <x:c r="F169" s="27"/>
      <x:c r="G169" s="27"/>
      <x:c r="H169" s="27"/>
      <x:c r="I169" s="27"/>
      <x:c r="J169" s="27"/>
      <x:c r="K169" s="27"/>
      <x:c r="L169" s="27"/>
      <x:c r="M169" s="27"/>
      <x:c r="N169" s="27"/>
      <x:c r="O169" s="27"/>
      <x:c r="P169" s="27"/>
      <x:c r="Q169" s="27"/>
      <x:c r="R169" s="27"/>
      <x:c r="S169" s="27"/>
      <x:c r="T169" s="27"/>
      <x:c r="U169" s="27"/>
      <x:c r="V169" s="27"/>
      <x:c r="W169" s="27"/>
      <x:c r="X169" s="27"/>
      <x:c r="Y169" s="27"/>
      <x:c r="Z169" s="27"/>
      <x:c r="AA169" s="27"/>
      <x:c r="AB169" s="27"/>
      <x:c r="AC169" s="27"/>
      <x:c r="AD169" s="27"/>
      <x:c r="AE169" s="27"/>
      <x:c r="AF169" s="27"/>
      <x:c r="AG169" s="27"/>
      <x:c r="AH169" s="27"/>
      <x:c r="AI169" s="27"/>
      <x:c r="AJ169" s="27"/>
      <x:c r="AK169" s="27"/>
      <x:c r="AL169" s="27"/>
      <x:c r="AM169" s="27"/>
      <x:c r="AN169" s="27"/>
      <x:c r="AO169" s="27"/>
      <x:c r="AP169" s="27"/>
      <x:c r="AQ169" s="27"/>
      <x:c r="AR169" s="27"/>
      <x:c r="AS169" s="27"/>
      <x:c r="AT169" s="27"/>
      <x:c r="AU169" s="27"/>
      <x:c r="AV169" s="27"/>
      <x:c r="AW169" s="27"/>
      <x:c r="AX169" s="27"/>
      <x:c r="AY169" s="27"/>
      <x:c r="AZ169" s="27"/>
    </x:row>
    <x:row r="170">
      <x:c r="A170" s="27"/>
      <x:c r="B170" s="27"/>
      <x:c r="C170" s="27"/>
      <x:c r="D170" s="27"/>
      <x:c r="E170" s="27"/>
      <x:c r="F170" s="27"/>
      <x:c r="G170" s="27"/>
      <x:c r="H170" s="27"/>
      <x:c r="I170" s="27"/>
      <x:c r="J170" s="27"/>
      <x:c r="K170" s="27"/>
      <x:c r="L170" s="27"/>
      <x:c r="M170" s="27"/>
      <x:c r="N170" s="27"/>
      <x:c r="O170" s="27"/>
      <x:c r="P170" s="27"/>
      <x:c r="Q170" s="27"/>
      <x:c r="R170" s="27"/>
      <x:c r="S170" s="27"/>
      <x:c r="T170" s="27"/>
      <x:c r="U170" s="27"/>
      <x:c r="V170" s="27"/>
      <x:c r="W170" s="27"/>
      <x:c r="X170" s="27"/>
      <x:c r="Y170" s="27"/>
      <x:c r="Z170" s="27"/>
      <x:c r="AA170" s="27"/>
      <x:c r="AB170" s="27"/>
      <x:c r="AC170" s="27"/>
      <x:c r="AD170" s="27"/>
      <x:c r="AE170" s="27"/>
      <x:c r="AF170" s="27"/>
      <x:c r="AG170" s="27"/>
      <x:c r="AH170" s="27"/>
      <x:c r="AI170" s="27"/>
      <x:c r="AJ170" s="27"/>
      <x:c r="AK170" s="27"/>
      <x:c r="AL170" s="27"/>
      <x:c r="AM170" s="27"/>
      <x:c r="AN170" s="27"/>
      <x:c r="AO170" s="27"/>
      <x:c r="AP170" s="27"/>
      <x:c r="AQ170" s="27"/>
      <x:c r="AR170" s="27"/>
      <x:c r="AS170" s="27"/>
      <x:c r="AT170" s="27"/>
      <x:c r="AU170" s="27"/>
      <x:c r="AV170" s="27"/>
      <x:c r="AW170" s="27"/>
      <x:c r="AX170" s="27"/>
      <x:c r="AY170" s="27"/>
      <x:c r="AZ170" s="27"/>
    </x:row>
    <x:row r="171">
      <x:c r="A171" s="27"/>
      <x:c r="B171" s="27"/>
      <x:c r="C171" s="27"/>
      <x:c r="D171" s="27"/>
      <x:c r="E171" s="27"/>
      <x:c r="F171" s="27"/>
      <x:c r="G171" s="27"/>
      <x:c r="H171" s="27"/>
      <x:c r="I171" s="27"/>
      <x:c r="J171" s="27"/>
      <x:c r="K171" s="27"/>
      <x:c r="L171" s="27"/>
      <x:c r="M171" s="27"/>
      <x:c r="N171" s="27"/>
      <x:c r="O171" s="27"/>
      <x:c r="P171" s="27"/>
      <x:c r="Q171" s="27"/>
      <x:c r="R171" s="27"/>
      <x:c r="S171" s="27"/>
      <x:c r="T171" s="27"/>
      <x:c r="U171" s="27"/>
      <x:c r="V171" s="27"/>
      <x:c r="W171" s="27"/>
      <x:c r="X171" s="27"/>
      <x:c r="Y171" s="27"/>
      <x:c r="Z171" s="27"/>
      <x:c r="AA171" s="27"/>
      <x:c r="AB171" s="27"/>
      <x:c r="AC171" s="27"/>
      <x:c r="AD171" s="27"/>
      <x:c r="AE171" s="27"/>
      <x:c r="AF171" s="27"/>
      <x:c r="AG171" s="27"/>
      <x:c r="AH171" s="27"/>
      <x:c r="AI171" s="27"/>
      <x:c r="AJ171" s="27"/>
      <x:c r="AK171" s="27"/>
      <x:c r="AL171" s="27"/>
      <x:c r="AM171" s="27"/>
      <x:c r="AN171" s="27"/>
      <x:c r="AO171" s="27"/>
      <x:c r="AP171" s="27"/>
      <x:c r="AQ171" s="27"/>
      <x:c r="AR171" s="27"/>
      <x:c r="AS171" s="27"/>
      <x:c r="AT171" s="27"/>
      <x:c r="AU171" s="27"/>
      <x:c r="AV171" s="27"/>
      <x:c r="AW171" s="27"/>
      <x:c r="AX171" s="27"/>
      <x:c r="AY171" s="27"/>
      <x:c r="AZ171" s="27"/>
    </x:row>
    <x:row r="172">
      <x:c r="A172" s="27"/>
      <x:c r="B172" s="27"/>
      <x:c r="C172" s="27"/>
      <x:c r="D172" s="27"/>
      <x:c r="E172" s="27"/>
      <x:c r="F172" s="27"/>
      <x:c r="G172" s="27"/>
      <x:c r="H172" s="27"/>
      <x:c r="I172" s="27"/>
      <x:c r="J172" s="27"/>
      <x:c r="K172" s="27"/>
      <x:c r="L172" s="27"/>
      <x:c r="M172" s="27"/>
      <x:c r="N172" s="27"/>
      <x:c r="O172" s="27"/>
      <x:c r="P172" s="27"/>
      <x:c r="Q172" s="27"/>
      <x:c r="R172" s="27"/>
      <x:c r="S172" s="27"/>
      <x:c r="T172" s="27"/>
      <x:c r="U172" s="27"/>
      <x:c r="V172" s="27"/>
      <x:c r="W172" s="27"/>
      <x:c r="X172" s="27"/>
      <x:c r="Y172" s="27"/>
      <x:c r="Z172" s="27"/>
      <x:c r="AA172" s="27"/>
      <x:c r="AB172" s="27"/>
      <x:c r="AC172" s="27"/>
      <x:c r="AD172" s="27"/>
      <x:c r="AE172" s="27"/>
      <x:c r="AF172" s="27"/>
      <x:c r="AG172" s="27"/>
      <x:c r="AH172" s="27"/>
      <x:c r="AI172" s="27"/>
      <x:c r="AJ172" s="27"/>
      <x:c r="AK172" s="27"/>
      <x:c r="AL172" s="27"/>
      <x:c r="AM172" s="27"/>
      <x:c r="AN172" s="27"/>
      <x:c r="AO172" s="27"/>
      <x:c r="AP172" s="27"/>
      <x:c r="AQ172" s="27"/>
      <x:c r="AR172" s="27"/>
      <x:c r="AS172" s="27"/>
      <x:c r="AT172" s="27"/>
      <x:c r="AU172" s="27"/>
      <x:c r="AV172" s="27"/>
      <x:c r="AW172" s="27"/>
      <x:c r="AX172" s="27"/>
      <x:c r="AY172" s="27"/>
      <x:c r="AZ172" s="27"/>
    </x:row>
    <x:row r="173">
      <x:c r="A173" s="27"/>
      <x:c r="B173" s="27"/>
      <x:c r="C173" s="27"/>
      <x:c r="D173" s="27"/>
      <x:c r="E173" s="27"/>
      <x:c r="F173" s="27"/>
      <x:c r="G173" s="27"/>
      <x:c r="H173" s="27"/>
      <x:c r="I173" s="27"/>
      <x:c r="J173" s="27"/>
      <x:c r="K173" s="27"/>
      <x:c r="L173" s="27"/>
      <x:c r="M173" s="27"/>
      <x:c r="N173" s="27"/>
      <x:c r="O173" s="27"/>
      <x:c r="P173" s="27"/>
      <x:c r="Q173" s="27"/>
      <x:c r="R173" s="27"/>
      <x:c r="S173" s="27"/>
      <x:c r="T173" s="27"/>
      <x:c r="U173" s="27"/>
      <x:c r="V173" s="27"/>
      <x:c r="W173" s="27"/>
      <x:c r="X173" s="27"/>
      <x:c r="Y173" s="27"/>
      <x:c r="Z173" s="27"/>
      <x:c r="AA173" s="27"/>
      <x:c r="AB173" s="27"/>
      <x:c r="AC173" s="27"/>
      <x:c r="AD173" s="27"/>
      <x:c r="AE173" s="27"/>
      <x:c r="AF173" s="27"/>
      <x:c r="AG173" s="27"/>
      <x:c r="AH173" s="27"/>
      <x:c r="AI173" s="27"/>
      <x:c r="AJ173" s="27"/>
      <x:c r="AK173" s="27"/>
      <x:c r="AL173" s="27"/>
      <x:c r="AM173" s="27"/>
      <x:c r="AN173" s="27"/>
      <x:c r="AO173" s="27"/>
      <x:c r="AP173" s="27"/>
      <x:c r="AQ173" s="27"/>
      <x:c r="AR173" s="27"/>
      <x:c r="AS173" s="27"/>
      <x:c r="AT173" s="27"/>
      <x:c r="AU173" s="27"/>
      <x:c r="AV173" s="27"/>
      <x:c r="AW173" s="27"/>
      <x:c r="AX173" s="27"/>
      <x:c r="AY173" s="27"/>
      <x:c r="AZ173" s="27"/>
    </x:row>
    <x:row r="174">
      <x:c r="A174" s="27"/>
      <x:c r="B174" s="27"/>
      <x:c r="C174" s="27"/>
      <x:c r="D174" s="27"/>
      <x:c r="E174" s="27"/>
      <x:c r="F174" s="27"/>
      <x:c r="G174" s="27"/>
      <x:c r="H174" s="27"/>
      <x:c r="I174" s="27"/>
      <x:c r="J174" s="27"/>
      <x:c r="K174" s="27"/>
      <x:c r="L174" s="27"/>
      <x:c r="M174" s="27"/>
      <x:c r="N174" s="27"/>
      <x:c r="O174" s="27"/>
      <x:c r="P174" s="27"/>
      <x:c r="Q174" s="27"/>
      <x:c r="R174" s="27"/>
      <x:c r="S174" s="27"/>
      <x:c r="T174" s="27"/>
      <x:c r="U174" s="27"/>
      <x:c r="V174" s="27"/>
      <x:c r="W174" s="27"/>
      <x:c r="X174" s="27"/>
      <x:c r="Y174" s="27"/>
      <x:c r="Z174" s="27"/>
      <x:c r="AA174" s="27"/>
      <x:c r="AB174" s="27"/>
      <x:c r="AC174" s="27"/>
      <x:c r="AD174" s="27"/>
      <x:c r="AE174" s="27"/>
      <x:c r="AF174" s="27"/>
      <x:c r="AG174" s="27"/>
      <x:c r="AH174" s="27"/>
      <x:c r="AI174" s="27"/>
      <x:c r="AJ174" s="27"/>
      <x:c r="AK174" s="27"/>
      <x:c r="AL174" s="27"/>
      <x:c r="AM174" s="27"/>
      <x:c r="AN174" s="27"/>
      <x:c r="AO174" s="27"/>
      <x:c r="AP174" s="27"/>
      <x:c r="AQ174" s="27"/>
      <x:c r="AR174" s="27"/>
      <x:c r="AS174" s="27"/>
      <x:c r="AT174" s="27"/>
      <x:c r="AU174" s="27"/>
      <x:c r="AV174" s="27"/>
      <x:c r="AW174" s="27"/>
      <x:c r="AX174" s="27"/>
      <x:c r="AY174" s="27"/>
      <x:c r="AZ174" s="27"/>
    </x:row>
    <x:row r="175">
      <x:c r="A175" s="27"/>
      <x:c r="B175" s="27"/>
      <x:c r="C175" s="27"/>
      <x:c r="D175" s="27"/>
      <x:c r="E175" s="27"/>
      <x:c r="F175" s="27"/>
      <x:c r="G175" s="27"/>
      <x:c r="H175" s="27"/>
      <x:c r="I175" s="27"/>
      <x:c r="J175" s="27"/>
      <x:c r="K175" s="27"/>
      <x:c r="L175" s="27"/>
      <x:c r="M175" s="27"/>
      <x:c r="N175" s="27"/>
      <x:c r="O175" s="27"/>
      <x:c r="P175" s="27"/>
      <x:c r="Q175" s="27"/>
      <x:c r="R175" s="27"/>
      <x:c r="S175" s="27"/>
      <x:c r="T175" s="27"/>
      <x:c r="U175" s="27"/>
      <x:c r="V175" s="27"/>
      <x:c r="W175" s="27"/>
      <x:c r="X175" s="27"/>
      <x:c r="Y175" s="27"/>
      <x:c r="Z175" s="27"/>
      <x:c r="AA175" s="27"/>
      <x:c r="AB175" s="27"/>
      <x:c r="AC175" s="27"/>
      <x:c r="AD175" s="27"/>
      <x:c r="AE175" s="27"/>
      <x:c r="AF175" s="27"/>
      <x:c r="AG175" s="27"/>
      <x:c r="AH175" s="27"/>
      <x:c r="AI175" s="27"/>
      <x:c r="AJ175" s="27"/>
      <x:c r="AK175" s="27"/>
      <x:c r="AL175" s="27"/>
      <x:c r="AM175" s="27"/>
      <x:c r="AN175" s="27"/>
      <x:c r="AO175" s="27"/>
      <x:c r="AP175" s="27"/>
      <x:c r="AQ175" s="27"/>
      <x:c r="AR175" s="27"/>
      <x:c r="AS175" s="27"/>
      <x:c r="AT175" s="27"/>
      <x:c r="AU175" s="27"/>
      <x:c r="AV175" s="27"/>
      <x:c r="AW175" s="27"/>
      <x:c r="AX175" s="27"/>
      <x:c r="AY175" s="27"/>
      <x:c r="AZ175" s="27"/>
    </x:row>
    <x:row r="176">
      <x:c r="A176" s="27"/>
      <x:c r="B176" s="27"/>
      <x:c r="C176" s="27"/>
      <x:c r="D176" s="27"/>
      <x:c r="E176" s="27"/>
      <x:c r="F176" s="27"/>
      <x:c r="G176" s="27"/>
      <x:c r="H176" s="27"/>
      <x:c r="I176" s="27"/>
      <x:c r="J176" s="27"/>
      <x:c r="K176" s="27"/>
      <x:c r="L176" s="27"/>
      <x:c r="M176" s="27"/>
      <x:c r="N176" s="27"/>
      <x:c r="O176" s="27"/>
      <x:c r="P176" s="27"/>
      <x:c r="Q176" s="27"/>
      <x:c r="R176" s="27"/>
      <x:c r="S176" s="27"/>
      <x:c r="T176" s="27"/>
      <x:c r="U176" s="27"/>
      <x:c r="V176" s="27"/>
      <x:c r="W176" s="27"/>
      <x:c r="X176" s="27"/>
      <x:c r="Y176" s="27"/>
      <x:c r="Z176" s="27"/>
      <x:c r="AA176" s="27"/>
      <x:c r="AB176" s="27"/>
      <x:c r="AC176" s="27"/>
      <x:c r="AD176" s="27"/>
      <x:c r="AE176" s="27"/>
      <x:c r="AF176" s="27"/>
      <x:c r="AG176" s="27"/>
      <x:c r="AH176" s="27"/>
      <x:c r="AI176" s="27"/>
      <x:c r="AJ176" s="27"/>
      <x:c r="AK176" s="27"/>
      <x:c r="AL176" s="27"/>
      <x:c r="AM176" s="27"/>
      <x:c r="AN176" s="27"/>
      <x:c r="AO176" s="27"/>
      <x:c r="AP176" s="27"/>
      <x:c r="AQ176" s="27"/>
      <x:c r="AR176" s="27"/>
      <x:c r="AS176" s="27"/>
      <x:c r="AT176" s="27"/>
      <x:c r="AU176" s="27"/>
      <x:c r="AV176" s="27"/>
      <x:c r="AW176" s="27"/>
      <x:c r="AX176" s="27"/>
      <x:c r="AY176" s="27"/>
      <x:c r="AZ176" s="27"/>
    </x:row>
    <x:row r="177">
      <x:c r="A177" s="27"/>
      <x:c r="B177" s="27"/>
      <x:c r="C177" s="27"/>
      <x:c r="D177" s="27"/>
      <x:c r="E177" s="27"/>
      <x:c r="F177" s="27"/>
      <x:c r="G177" s="27"/>
      <x:c r="H177" s="27"/>
      <x:c r="I177" s="27"/>
      <x:c r="J177" s="27"/>
      <x:c r="K177" s="27"/>
      <x:c r="L177" s="27"/>
      <x:c r="M177" s="27"/>
      <x:c r="N177" s="27"/>
      <x:c r="O177" s="27"/>
      <x:c r="P177" s="27"/>
      <x:c r="Q177" s="27"/>
      <x:c r="R177" s="27"/>
      <x:c r="S177" s="27"/>
      <x:c r="T177" s="27"/>
      <x:c r="U177" s="27"/>
      <x:c r="V177" s="27"/>
      <x:c r="W177" s="27"/>
      <x:c r="X177" s="27"/>
      <x:c r="Y177" s="27"/>
      <x:c r="Z177" s="27"/>
      <x:c r="AA177" s="27"/>
      <x:c r="AB177" s="27"/>
      <x:c r="AC177" s="27"/>
      <x:c r="AD177" s="27"/>
      <x:c r="AE177" s="27"/>
      <x:c r="AF177" s="27"/>
      <x:c r="AG177" s="27"/>
      <x:c r="AH177" s="27"/>
      <x:c r="AI177" s="27"/>
      <x:c r="AJ177" s="27"/>
      <x:c r="AK177" s="27"/>
      <x:c r="AL177" s="27"/>
      <x:c r="AM177" s="27"/>
      <x:c r="AN177" s="27"/>
      <x:c r="AO177" s="27"/>
      <x:c r="AP177" s="27"/>
      <x:c r="AQ177" s="27"/>
      <x:c r="AR177" s="27"/>
      <x:c r="AS177" s="27"/>
      <x:c r="AT177" s="27"/>
      <x:c r="AU177" s="27"/>
      <x:c r="AV177" s="27"/>
      <x:c r="AW177" s="27"/>
      <x:c r="AX177" s="27"/>
      <x:c r="AY177" s="27"/>
      <x:c r="AZ177" s="27"/>
    </x:row>
    <x:row r="178">
      <x:c r="A178" s="27"/>
      <x:c r="B178" s="27"/>
      <x:c r="C178" s="27"/>
      <x:c r="D178" s="27"/>
      <x:c r="E178" s="27"/>
      <x:c r="F178" s="27"/>
      <x:c r="G178" s="27"/>
      <x:c r="H178" s="27"/>
      <x:c r="I178" s="27"/>
      <x:c r="J178" s="27"/>
      <x:c r="K178" s="27"/>
      <x:c r="L178" s="27"/>
      <x:c r="M178" s="27"/>
      <x:c r="N178" s="27"/>
      <x:c r="O178" s="27"/>
      <x:c r="P178" s="27"/>
      <x:c r="Q178" s="27"/>
      <x:c r="R178" s="27"/>
      <x:c r="S178" s="27"/>
      <x:c r="T178" s="27"/>
      <x:c r="U178" s="27"/>
      <x:c r="V178" s="27"/>
      <x:c r="W178" s="27"/>
      <x:c r="X178" s="27"/>
      <x:c r="Y178" s="27"/>
      <x:c r="Z178" s="27"/>
      <x:c r="AA178" s="27"/>
      <x:c r="AB178" s="27"/>
      <x:c r="AC178" s="27"/>
      <x:c r="AD178" s="27"/>
      <x:c r="AE178" s="27"/>
      <x:c r="AF178" s="27"/>
      <x:c r="AG178" s="27"/>
      <x:c r="AH178" s="27"/>
      <x:c r="AI178" s="27"/>
      <x:c r="AJ178" s="27"/>
      <x:c r="AK178" s="27"/>
      <x:c r="AL178" s="27"/>
      <x:c r="AM178" s="27"/>
      <x:c r="AN178" s="27"/>
      <x:c r="AO178" s="27"/>
      <x:c r="AP178" s="27"/>
      <x:c r="AQ178" s="27"/>
      <x:c r="AR178" s="27"/>
      <x:c r="AS178" s="27"/>
      <x:c r="AT178" s="27"/>
      <x:c r="AU178" s="27"/>
      <x:c r="AV178" s="27"/>
      <x:c r="AW178" s="27"/>
      <x:c r="AX178" s="27"/>
      <x:c r="AY178" s="27"/>
      <x:c r="AZ178" s="27"/>
    </x:row>
    <x:row r="179">
      <x:c r="A179" s="27"/>
      <x:c r="B179" s="27"/>
      <x:c r="C179" s="27"/>
      <x:c r="D179" s="27"/>
      <x:c r="E179" s="27"/>
      <x:c r="F179" s="27"/>
      <x:c r="G179" s="27"/>
      <x:c r="H179" s="27"/>
      <x:c r="I179" s="27"/>
      <x:c r="J179" s="27"/>
      <x:c r="K179" s="27"/>
      <x:c r="L179" s="27"/>
      <x:c r="M179" s="27"/>
      <x:c r="N179" s="27"/>
      <x:c r="O179" s="27"/>
      <x:c r="P179" s="27"/>
      <x:c r="Q179" s="27"/>
      <x:c r="R179" s="27"/>
      <x:c r="S179" s="27"/>
      <x:c r="T179" s="27"/>
      <x:c r="U179" s="27"/>
      <x:c r="V179" s="27"/>
      <x:c r="W179" s="27"/>
      <x:c r="X179" s="27"/>
      <x:c r="Y179" s="27"/>
      <x:c r="Z179" s="27"/>
      <x:c r="AA179" s="27"/>
      <x:c r="AB179" s="27"/>
      <x:c r="AC179" s="27"/>
      <x:c r="AD179" s="27"/>
      <x:c r="AE179" s="27"/>
      <x:c r="AF179" s="27"/>
      <x:c r="AG179" s="27"/>
      <x:c r="AH179" s="27"/>
      <x:c r="AI179" s="27"/>
      <x:c r="AJ179" s="27"/>
      <x:c r="AK179" s="27"/>
      <x:c r="AL179" s="27"/>
      <x:c r="AM179" s="27"/>
      <x:c r="AN179" s="27"/>
      <x:c r="AO179" s="27"/>
      <x:c r="AP179" s="27"/>
      <x:c r="AQ179" s="27"/>
      <x:c r="AR179" s="27"/>
      <x:c r="AS179" s="27"/>
      <x:c r="AT179" s="27"/>
      <x:c r="AU179" s="27"/>
      <x:c r="AV179" s="27"/>
      <x:c r="AW179" s="27"/>
      <x:c r="AX179" s="27"/>
      <x:c r="AY179" s="27"/>
      <x:c r="AZ179" s="27"/>
    </x:row>
    <x:row r="180">
      <x:c r="A180" s="27"/>
      <x:c r="B180" s="27"/>
      <x:c r="C180" s="27"/>
      <x:c r="D180" s="27"/>
      <x:c r="E180" s="27"/>
      <x:c r="F180" s="27"/>
      <x:c r="G180" s="27"/>
      <x:c r="H180" s="27"/>
      <x:c r="I180" s="27"/>
      <x:c r="J180" s="27"/>
      <x:c r="K180" s="27"/>
      <x:c r="L180" s="27"/>
      <x:c r="M180" s="27"/>
      <x:c r="N180" s="27"/>
      <x:c r="O180" s="27"/>
      <x:c r="P180" s="27"/>
      <x:c r="Q180" s="27"/>
      <x:c r="R180" s="27"/>
      <x:c r="S180" s="27"/>
      <x:c r="T180" s="27"/>
      <x:c r="U180" s="27"/>
      <x:c r="V180" s="27"/>
      <x:c r="W180" s="27"/>
      <x:c r="X180" s="27"/>
      <x:c r="Y180" s="27"/>
      <x:c r="Z180" s="27"/>
      <x:c r="AA180" s="27"/>
      <x:c r="AB180" s="27"/>
      <x:c r="AC180" s="27"/>
      <x:c r="AD180" s="27"/>
      <x:c r="AE180" s="27"/>
      <x:c r="AF180" s="27"/>
      <x:c r="AG180" s="27"/>
      <x:c r="AH180" s="27"/>
      <x:c r="AI180" s="27"/>
      <x:c r="AJ180" s="27"/>
      <x:c r="AK180" s="27"/>
      <x:c r="AL180" s="27"/>
      <x:c r="AM180" s="27"/>
      <x:c r="AN180" s="27"/>
      <x:c r="AO180" s="27"/>
      <x:c r="AP180" s="27"/>
      <x:c r="AQ180" s="27"/>
      <x:c r="AR180" s="27"/>
      <x:c r="AS180" s="27"/>
      <x:c r="AT180" s="27"/>
      <x:c r="AU180" s="27"/>
      <x:c r="AV180" s="27"/>
      <x:c r="AW180" s="27"/>
      <x:c r="AX180" s="27"/>
      <x:c r="AY180" s="27"/>
      <x:c r="AZ180" s="27"/>
    </x:row>
    <x:row r="181">
      <x:c r="A181" s="27"/>
      <x:c r="B181" s="27"/>
      <x:c r="C181" s="27"/>
      <x:c r="D181" s="27"/>
      <x:c r="E181" s="27"/>
      <x:c r="F181" s="27"/>
      <x:c r="G181" s="27"/>
      <x:c r="H181" s="27"/>
      <x:c r="I181" s="27"/>
      <x:c r="J181" s="27"/>
      <x:c r="K181" s="27"/>
      <x:c r="L181" s="27"/>
      <x:c r="M181" s="27"/>
      <x:c r="N181" s="27"/>
      <x:c r="O181" s="27"/>
      <x:c r="P181" s="27"/>
      <x:c r="Q181" s="27"/>
      <x:c r="R181" s="27"/>
      <x:c r="S181" s="27"/>
      <x:c r="T181" s="27"/>
      <x:c r="U181" s="27"/>
      <x:c r="V181" s="27"/>
      <x:c r="W181" s="27"/>
      <x:c r="X181" s="27"/>
      <x:c r="Y181" s="27"/>
      <x:c r="Z181" s="27"/>
      <x:c r="AA181" s="27"/>
      <x:c r="AB181" s="27"/>
      <x:c r="AC181" s="27"/>
      <x:c r="AD181" s="27"/>
      <x:c r="AE181" s="27"/>
      <x:c r="AF181" s="27"/>
      <x:c r="AG181" s="27"/>
      <x:c r="AH181" s="27"/>
      <x:c r="AI181" s="27"/>
      <x:c r="AJ181" s="27"/>
      <x:c r="AK181" s="27"/>
      <x:c r="AL181" s="27"/>
      <x:c r="AM181" s="27"/>
      <x:c r="AN181" s="27"/>
      <x:c r="AO181" s="27"/>
      <x:c r="AP181" s="27"/>
      <x:c r="AQ181" s="27"/>
      <x:c r="AR181" s="27"/>
      <x:c r="AS181" s="27"/>
      <x:c r="AT181" s="27"/>
      <x:c r="AU181" s="27"/>
      <x:c r="AV181" s="27"/>
      <x:c r="AW181" s="27"/>
      <x:c r="AX181" s="27"/>
      <x:c r="AY181" s="27"/>
      <x:c r="AZ181" s="27"/>
    </x:row>
    <x:row r="182">
      <x:c r="A182" s="27"/>
      <x:c r="B182" s="27"/>
      <x:c r="C182" s="27"/>
      <x:c r="D182" s="27"/>
      <x:c r="E182" s="27"/>
      <x:c r="F182" s="27"/>
      <x:c r="G182" s="27"/>
      <x:c r="H182" s="27"/>
      <x:c r="I182" s="27"/>
      <x:c r="J182" s="27"/>
      <x:c r="K182" s="27"/>
      <x:c r="L182" s="27"/>
      <x:c r="M182" s="27"/>
      <x:c r="N182" s="27"/>
      <x:c r="O182" s="27"/>
      <x:c r="P182" s="27"/>
      <x:c r="Q182" s="27"/>
      <x:c r="R182" s="27"/>
      <x:c r="S182" s="27"/>
      <x:c r="T182" s="27"/>
      <x:c r="U182" s="27"/>
      <x:c r="V182" s="27"/>
      <x:c r="W182" s="27"/>
      <x:c r="X182" s="27"/>
      <x:c r="Y182" s="27"/>
      <x:c r="Z182" s="27"/>
      <x:c r="AA182" s="27"/>
      <x:c r="AB182" s="27"/>
      <x:c r="AC182" s="27"/>
      <x:c r="AD182" s="27"/>
      <x:c r="AE182" s="27"/>
      <x:c r="AF182" s="27"/>
      <x:c r="AG182" s="27"/>
      <x:c r="AH182" s="27"/>
      <x:c r="AI182" s="27"/>
      <x:c r="AJ182" s="27"/>
      <x:c r="AK182" s="27"/>
      <x:c r="AL182" s="27"/>
      <x:c r="AM182" s="27"/>
      <x:c r="AN182" s="27"/>
      <x:c r="AO182" s="27"/>
      <x:c r="AP182" s="27"/>
      <x:c r="AQ182" s="27"/>
      <x:c r="AR182" s="27"/>
      <x:c r="AS182" s="27"/>
      <x:c r="AT182" s="27"/>
      <x:c r="AU182" s="27"/>
      <x:c r="AV182" s="27"/>
      <x:c r="AW182" s="27"/>
      <x:c r="AX182" s="27"/>
      <x:c r="AY182" s="27"/>
      <x:c r="AZ182" s="27"/>
    </x:row>
    <x:row r="183">
      <x:c r="A183" s="27"/>
      <x:c r="B183" s="27"/>
      <x:c r="C183" s="27"/>
      <x:c r="D183" s="27"/>
      <x:c r="E183" s="27"/>
      <x:c r="F183" s="27"/>
      <x:c r="G183" s="27"/>
      <x:c r="H183" s="27"/>
      <x:c r="I183" s="27"/>
      <x:c r="J183" s="27"/>
      <x:c r="K183" s="27"/>
      <x:c r="L183" s="27"/>
      <x:c r="M183" s="27"/>
      <x:c r="N183" s="27"/>
      <x:c r="O183" s="27"/>
      <x:c r="P183" s="27"/>
      <x:c r="Q183" s="27"/>
      <x:c r="R183" s="27"/>
      <x:c r="S183" s="27"/>
      <x:c r="T183" s="27"/>
      <x:c r="U183" s="27"/>
      <x:c r="V183" s="27"/>
      <x:c r="W183" s="27"/>
      <x:c r="X183" s="27"/>
      <x:c r="Y183" s="27"/>
      <x:c r="Z183" s="27"/>
      <x:c r="AA183" s="27"/>
      <x:c r="AB183" s="27"/>
      <x:c r="AC183" s="27"/>
      <x:c r="AD183" s="27"/>
      <x:c r="AE183" s="27"/>
      <x:c r="AF183" s="27"/>
      <x:c r="AG183" s="27"/>
      <x:c r="AH183" s="27"/>
      <x:c r="AI183" s="27"/>
      <x:c r="AJ183" s="27"/>
      <x:c r="AK183" s="27"/>
      <x:c r="AL183" s="27"/>
      <x:c r="AM183" s="27"/>
      <x:c r="AN183" s="27"/>
      <x:c r="AO183" s="27"/>
      <x:c r="AP183" s="27"/>
      <x:c r="AQ183" s="27"/>
      <x:c r="AR183" s="27"/>
      <x:c r="AS183" s="27"/>
      <x:c r="AT183" s="27"/>
      <x:c r="AU183" s="27"/>
      <x:c r="AV183" s="27"/>
      <x:c r="AW183" s="27"/>
      <x:c r="AX183" s="27"/>
      <x:c r="AY183" s="27"/>
      <x:c r="AZ183" s="27"/>
    </x:row>
    <x:row r="184">
      <x:c r="A184" s="27"/>
      <x:c r="B184" s="27"/>
      <x:c r="C184" s="27"/>
      <x:c r="D184" s="27"/>
      <x:c r="E184" s="27"/>
      <x:c r="F184" s="27"/>
      <x:c r="G184" s="27"/>
      <x:c r="H184" s="27"/>
      <x:c r="I184" s="27"/>
      <x:c r="J184" s="27"/>
      <x:c r="K184" s="27"/>
      <x:c r="L184" s="27"/>
      <x:c r="M184" s="27"/>
      <x:c r="N184" s="27"/>
      <x:c r="O184" s="27"/>
      <x:c r="P184" s="27"/>
      <x:c r="Q184" s="27"/>
      <x:c r="R184" s="27"/>
      <x:c r="S184" s="27"/>
      <x:c r="T184" s="27"/>
      <x:c r="U184" s="27"/>
      <x:c r="V184" s="27"/>
      <x:c r="W184" s="27"/>
      <x:c r="X184" s="27"/>
      <x:c r="Y184" s="27"/>
      <x:c r="Z184" s="27"/>
      <x:c r="AA184" s="27"/>
      <x:c r="AB184" s="27"/>
      <x:c r="AC184" s="27"/>
      <x:c r="AD184" s="27"/>
      <x:c r="AE184" s="27"/>
      <x:c r="AF184" s="27"/>
      <x:c r="AG184" s="27"/>
      <x:c r="AH184" s="27"/>
      <x:c r="AI184" s="27"/>
      <x:c r="AJ184" s="27"/>
      <x:c r="AK184" s="27"/>
      <x:c r="AL184" s="27"/>
      <x:c r="AM184" s="27"/>
      <x:c r="AN184" s="27"/>
      <x:c r="AO184" s="27"/>
      <x:c r="AP184" s="27"/>
      <x:c r="AQ184" s="27"/>
      <x:c r="AR184" s="27"/>
      <x:c r="AS184" s="27"/>
      <x:c r="AT184" s="27"/>
      <x:c r="AU184" s="27"/>
      <x:c r="AV184" s="27"/>
      <x:c r="AW184" s="27"/>
      <x:c r="AX184" s="27"/>
      <x:c r="AY184" s="27"/>
      <x:c r="AZ184" s="27"/>
    </x:row>
    <x:row r="185">
      <x:c r="A185" s="27"/>
      <x:c r="B185" s="27"/>
      <x:c r="C185" s="27"/>
      <x:c r="D185" s="27"/>
      <x:c r="E185" s="27"/>
      <x:c r="F185" s="27"/>
      <x:c r="G185" s="27"/>
      <x:c r="H185" s="27"/>
      <x:c r="I185" s="27"/>
      <x:c r="J185" s="27"/>
      <x:c r="K185" s="27"/>
      <x:c r="L185" s="27"/>
      <x:c r="M185" s="27"/>
      <x:c r="N185" s="27"/>
      <x:c r="O185" s="27"/>
      <x:c r="P185" s="27"/>
      <x:c r="Q185" s="27"/>
      <x:c r="R185" s="27"/>
      <x:c r="S185" s="27"/>
      <x:c r="T185" s="27"/>
      <x:c r="U185" s="27"/>
      <x:c r="V185" s="27"/>
      <x:c r="W185" s="27"/>
      <x:c r="X185" s="27"/>
      <x:c r="Y185" s="27"/>
      <x:c r="Z185" s="27"/>
      <x:c r="AA185" s="27"/>
      <x:c r="AB185" s="27"/>
      <x:c r="AC185" s="27"/>
      <x:c r="AD185" s="27"/>
      <x:c r="AE185" s="27"/>
      <x:c r="AF185" s="27"/>
      <x:c r="AG185" s="27"/>
      <x:c r="AH185" s="27"/>
      <x:c r="AI185" s="27"/>
      <x:c r="AJ185" s="27"/>
      <x:c r="AK185" s="27"/>
      <x:c r="AL185" s="27"/>
      <x:c r="AM185" s="27"/>
      <x:c r="AN185" s="27"/>
      <x:c r="AO185" s="27"/>
      <x:c r="AP185" s="27"/>
      <x:c r="AQ185" s="27"/>
      <x:c r="AR185" s="27"/>
      <x:c r="AS185" s="27"/>
      <x:c r="AT185" s="27"/>
      <x:c r="AU185" s="27"/>
      <x:c r="AV185" s="27"/>
      <x:c r="AW185" s="27"/>
      <x:c r="AX185" s="27"/>
      <x:c r="AY185" s="27"/>
      <x:c r="AZ185" s="27"/>
    </x:row>
    <x:row r="186">
      <x:c r="A186" s="27"/>
      <x:c r="B186" s="27"/>
      <x:c r="C186" s="27"/>
      <x:c r="D186" s="27"/>
      <x:c r="E186" s="27"/>
      <x:c r="F186" s="27"/>
      <x:c r="G186" s="27"/>
      <x:c r="H186" s="27"/>
      <x:c r="I186" s="27"/>
      <x:c r="J186" s="27"/>
      <x:c r="K186" s="27"/>
      <x:c r="L186" s="27"/>
      <x:c r="M186" s="27"/>
      <x:c r="N186" s="27"/>
      <x:c r="O186" s="27"/>
      <x:c r="P186" s="27"/>
      <x:c r="Q186" s="27"/>
      <x:c r="R186" s="27"/>
      <x:c r="S186" s="27"/>
      <x:c r="T186" s="27"/>
      <x:c r="U186" s="27"/>
      <x:c r="V186" s="27"/>
      <x:c r="W186" s="27"/>
      <x:c r="X186" s="27"/>
      <x:c r="Y186" s="27"/>
      <x:c r="Z186" s="27"/>
      <x:c r="AA186" s="27"/>
      <x:c r="AB186" s="27"/>
      <x:c r="AC186" s="27"/>
      <x:c r="AD186" s="27"/>
      <x:c r="AE186" s="27"/>
      <x:c r="AF186" s="27"/>
      <x:c r="AG186" s="27"/>
      <x:c r="AH186" s="27"/>
      <x:c r="AI186" s="27"/>
      <x:c r="AJ186" s="27"/>
      <x:c r="AK186" s="27"/>
      <x:c r="AL186" s="27"/>
      <x:c r="AM186" s="27"/>
      <x:c r="AN186" s="27"/>
      <x:c r="AO186" s="27"/>
      <x:c r="AP186" s="27"/>
      <x:c r="AQ186" s="27"/>
      <x:c r="AR186" s="27"/>
      <x:c r="AS186" s="27"/>
      <x:c r="AT186" s="27"/>
      <x:c r="AU186" s="27"/>
      <x:c r="AV186" s="27"/>
      <x:c r="AW186" s="27"/>
      <x:c r="AX186" s="27"/>
      <x:c r="AY186" s="27"/>
      <x:c r="AZ186" s="27"/>
    </x:row>
    <x:row r="187">
      <x:c r="A187" s="27"/>
      <x:c r="B187" s="27"/>
      <x:c r="C187" s="27"/>
      <x:c r="D187" s="27"/>
      <x:c r="E187" s="27"/>
      <x:c r="F187" s="27"/>
      <x:c r="G187" s="27"/>
      <x:c r="H187" s="27"/>
      <x:c r="I187" s="27"/>
      <x:c r="J187" s="27"/>
      <x:c r="K187" s="27"/>
      <x:c r="L187" s="27"/>
      <x:c r="M187" s="27"/>
      <x:c r="N187" s="27"/>
      <x:c r="O187" s="27"/>
      <x:c r="P187" s="27"/>
      <x:c r="Q187" s="27"/>
      <x:c r="R187" s="27"/>
      <x:c r="S187" s="27"/>
      <x:c r="T187" s="27"/>
      <x:c r="U187" s="27"/>
      <x:c r="V187" s="27"/>
      <x:c r="W187" s="27"/>
      <x:c r="X187" s="27"/>
      <x:c r="Y187" s="27"/>
      <x:c r="Z187" s="27"/>
      <x:c r="AA187" s="27"/>
      <x:c r="AB187" s="27"/>
      <x:c r="AC187" s="27"/>
      <x:c r="AD187" s="27"/>
      <x:c r="AE187" s="27"/>
      <x:c r="AF187" s="27"/>
      <x:c r="AG187" s="27"/>
      <x:c r="AH187" s="27"/>
      <x:c r="AI187" s="27"/>
      <x:c r="AJ187" s="27"/>
      <x:c r="AK187" s="27"/>
      <x:c r="AL187" s="27"/>
      <x:c r="AM187" s="27"/>
      <x:c r="AN187" s="27"/>
      <x:c r="AO187" s="27"/>
      <x:c r="AP187" s="27"/>
      <x:c r="AQ187" s="27"/>
      <x:c r="AR187" s="27"/>
      <x:c r="AS187" s="27"/>
      <x:c r="AT187" s="27"/>
      <x:c r="AU187" s="27"/>
      <x:c r="AV187" s="27"/>
      <x:c r="AW187" s="27"/>
      <x:c r="AX187" s="27"/>
      <x:c r="AY187" s="27"/>
      <x:c r="AZ187" s="27"/>
    </x:row>
    <x:row r="188">
      <x:c r="A188" s="27"/>
      <x:c r="B188" s="27"/>
      <x:c r="C188" s="27"/>
      <x:c r="D188" s="27"/>
      <x:c r="E188" s="27"/>
      <x:c r="F188" s="27"/>
      <x:c r="G188" s="27"/>
      <x:c r="H188" s="27"/>
      <x:c r="I188" s="27"/>
      <x:c r="J188" s="27"/>
      <x:c r="K188" s="27"/>
      <x:c r="L188" s="27"/>
      <x:c r="M188" s="27"/>
      <x:c r="N188" s="27"/>
      <x:c r="O188" s="27"/>
      <x:c r="P188" s="27"/>
      <x:c r="Q188" s="27"/>
      <x:c r="R188" s="27"/>
      <x:c r="S188" s="27"/>
      <x:c r="T188" s="27"/>
      <x:c r="U188" s="27"/>
      <x:c r="V188" s="27"/>
      <x:c r="W188" s="27"/>
      <x:c r="X188" s="27"/>
      <x:c r="Y188" s="27"/>
      <x:c r="Z188" s="27"/>
      <x:c r="AA188" s="27"/>
      <x:c r="AB188" s="27"/>
      <x:c r="AC188" s="27"/>
      <x:c r="AD188" s="27"/>
      <x:c r="AE188" s="27"/>
      <x:c r="AF188" s="27"/>
      <x:c r="AG188" s="27"/>
      <x:c r="AH188" s="27"/>
      <x:c r="AI188" s="27"/>
      <x:c r="AJ188" s="27"/>
      <x:c r="AK188" s="27"/>
      <x:c r="AL188" s="27"/>
      <x:c r="AM188" s="27"/>
      <x:c r="AN188" s="27"/>
      <x:c r="AO188" s="27"/>
      <x:c r="AP188" s="27"/>
      <x:c r="AQ188" s="27"/>
      <x:c r="AR188" s="27"/>
      <x:c r="AS188" s="27"/>
      <x:c r="AT188" s="27"/>
      <x:c r="AU188" s="27"/>
      <x:c r="AV188" s="27"/>
      <x:c r="AW188" s="27"/>
      <x:c r="AX188" s="27"/>
      <x:c r="AY188" s="27"/>
      <x:c r="AZ188" s="27"/>
    </x:row>
    <x:row r="189">
      <x:c r="A189" s="27"/>
      <x:c r="B189" s="27"/>
      <x:c r="C189" s="27"/>
      <x:c r="D189" s="27"/>
      <x:c r="E189" s="27"/>
      <x:c r="F189" s="27"/>
      <x:c r="G189" s="27"/>
      <x:c r="H189" s="27"/>
      <x:c r="I189" s="27"/>
      <x:c r="J189" s="27"/>
      <x:c r="K189" s="27"/>
      <x:c r="L189" s="27"/>
      <x:c r="M189" s="27"/>
      <x:c r="N189" s="27"/>
      <x:c r="O189" s="27"/>
      <x:c r="P189" s="27"/>
      <x:c r="Q189" s="27"/>
      <x:c r="R189" s="27"/>
      <x:c r="S189" s="27"/>
      <x:c r="T189" s="27"/>
      <x:c r="U189" s="27"/>
      <x:c r="V189" s="27"/>
      <x:c r="W189" s="27"/>
      <x:c r="X189" s="27"/>
      <x:c r="Y189" s="27"/>
      <x:c r="Z189" s="27"/>
      <x:c r="AA189" s="27"/>
      <x:c r="AB189" s="27"/>
      <x:c r="AC189" s="27"/>
      <x:c r="AD189" s="27"/>
      <x:c r="AE189" s="27"/>
      <x:c r="AF189" s="27"/>
      <x:c r="AG189" s="27"/>
      <x:c r="AH189" s="27"/>
      <x:c r="AI189" s="27"/>
      <x:c r="AJ189" s="27"/>
      <x:c r="AK189" s="27"/>
      <x:c r="AL189" s="27"/>
      <x:c r="AM189" s="27"/>
      <x:c r="AN189" s="27"/>
      <x:c r="AO189" s="27"/>
      <x:c r="AP189" s="27"/>
      <x:c r="AQ189" s="27"/>
      <x:c r="AR189" s="27"/>
      <x:c r="AS189" s="27"/>
      <x:c r="AT189" s="27"/>
      <x:c r="AU189" s="27"/>
      <x:c r="AV189" s="27"/>
      <x:c r="AW189" s="27"/>
      <x:c r="AX189" s="27"/>
      <x:c r="AY189" s="27"/>
      <x:c r="AZ189" s="27"/>
    </x:row>
    <x:row r="190">
      <x:c r="A190" s="27"/>
      <x:c r="B190" s="27"/>
      <x:c r="C190" s="27"/>
      <x:c r="D190" s="27"/>
      <x:c r="E190" s="27"/>
      <x:c r="F190" s="27"/>
      <x:c r="G190" s="27"/>
      <x:c r="H190" s="27"/>
      <x:c r="I190" s="27"/>
      <x:c r="J190" s="27"/>
      <x:c r="K190" s="27"/>
      <x:c r="L190" s="27"/>
      <x:c r="M190" s="27"/>
      <x:c r="N190" s="27"/>
      <x:c r="O190" s="27"/>
      <x:c r="P190" s="27"/>
      <x:c r="Q190" s="27"/>
      <x:c r="R190" s="27"/>
      <x:c r="S190" s="27"/>
      <x:c r="T190" s="27"/>
      <x:c r="U190" s="27"/>
      <x:c r="V190" s="27"/>
      <x:c r="W190" s="27"/>
      <x:c r="X190" s="27"/>
      <x:c r="Y190" s="27"/>
      <x:c r="Z190" s="27"/>
      <x:c r="AA190" s="27"/>
      <x:c r="AB190" s="27"/>
      <x:c r="AC190" s="27"/>
      <x:c r="AD190" s="27"/>
      <x:c r="AE190" s="27"/>
      <x:c r="AF190" s="27"/>
      <x:c r="AG190" s="27"/>
      <x:c r="AH190" s="27"/>
      <x:c r="AI190" s="27"/>
      <x:c r="AJ190" s="27"/>
      <x:c r="AK190" s="27"/>
      <x:c r="AL190" s="27"/>
      <x:c r="AM190" s="27"/>
      <x:c r="AN190" s="27"/>
      <x:c r="AO190" s="27"/>
      <x:c r="AP190" s="27"/>
      <x:c r="AQ190" s="27"/>
      <x:c r="AR190" s="27"/>
      <x:c r="AS190" s="27"/>
      <x:c r="AT190" s="27"/>
      <x:c r="AU190" s="27"/>
      <x:c r="AV190" s="27"/>
      <x:c r="AW190" s="27"/>
      <x:c r="AX190" s="27"/>
      <x:c r="AY190" s="27"/>
      <x:c r="AZ190" s="27"/>
    </x:row>
    <x:row r="191">
      <x:c r="A191" s="27"/>
      <x:c r="B191" s="27"/>
      <x:c r="C191" s="27"/>
      <x:c r="D191" s="27"/>
      <x:c r="E191" s="27"/>
      <x:c r="F191" s="27"/>
      <x:c r="G191" s="27"/>
      <x:c r="H191" s="27"/>
      <x:c r="I191" s="27"/>
      <x:c r="J191" s="27"/>
      <x:c r="K191" s="27"/>
      <x:c r="L191" s="27"/>
      <x:c r="M191" s="27"/>
      <x:c r="N191" s="27"/>
      <x:c r="O191" s="27"/>
      <x:c r="P191" s="27"/>
      <x:c r="Q191" s="27"/>
      <x:c r="R191" s="27"/>
      <x:c r="S191" s="27"/>
      <x:c r="T191" s="27"/>
      <x:c r="U191" s="27"/>
      <x:c r="V191" s="27"/>
      <x:c r="W191" s="27"/>
      <x:c r="X191" s="27"/>
      <x:c r="Y191" s="27"/>
      <x:c r="Z191" s="27"/>
      <x:c r="AA191" s="27"/>
      <x:c r="AB191" s="27"/>
      <x:c r="AC191" s="27"/>
      <x:c r="AD191" s="27"/>
      <x:c r="AE191" s="27"/>
      <x:c r="AF191" s="27"/>
      <x:c r="AG191" s="27"/>
      <x:c r="AH191" s="27"/>
      <x:c r="AI191" s="27"/>
      <x:c r="AJ191" s="27"/>
      <x:c r="AK191" s="27"/>
      <x:c r="AL191" s="27"/>
      <x:c r="AM191" s="27"/>
      <x:c r="AN191" s="27"/>
      <x:c r="AO191" s="27"/>
      <x:c r="AP191" s="27"/>
      <x:c r="AQ191" s="27"/>
      <x:c r="AR191" s="27"/>
      <x:c r="AS191" s="27"/>
      <x:c r="AT191" s="27"/>
      <x:c r="AU191" s="27"/>
      <x:c r="AV191" s="27"/>
      <x:c r="AW191" s="27"/>
      <x:c r="AX191" s="27"/>
      <x:c r="AY191" s="27"/>
      <x:c r="AZ191" s="27"/>
    </x:row>
    <x:row r="192">
      <x:c r="A192" s="27"/>
      <x:c r="B192" s="27"/>
      <x:c r="C192" s="27"/>
      <x:c r="D192" s="27"/>
      <x:c r="E192" s="27"/>
      <x:c r="F192" s="27"/>
      <x:c r="G192" s="27"/>
      <x:c r="H192" s="27"/>
      <x:c r="I192" s="27"/>
      <x:c r="J192" s="27"/>
      <x:c r="K192" s="27"/>
      <x:c r="L192" s="27"/>
      <x:c r="M192" s="27"/>
      <x:c r="N192" s="27"/>
      <x:c r="O192" s="27"/>
      <x:c r="P192" s="27"/>
      <x:c r="Q192" s="27"/>
      <x:c r="R192" s="27"/>
      <x:c r="S192" s="27"/>
      <x:c r="T192" s="27"/>
      <x:c r="U192" s="27"/>
      <x:c r="V192" s="27"/>
      <x:c r="W192" s="27"/>
      <x:c r="X192" s="27"/>
      <x:c r="Y192" s="27"/>
      <x:c r="Z192" s="27"/>
      <x:c r="AA192" s="27"/>
      <x:c r="AB192" s="27"/>
      <x:c r="AC192" s="27"/>
      <x:c r="AD192" s="27"/>
      <x:c r="AE192" s="27"/>
      <x:c r="AF192" s="27"/>
      <x:c r="AG192" s="27"/>
      <x:c r="AH192" s="27"/>
      <x:c r="AI192" s="27"/>
      <x:c r="AJ192" s="27"/>
      <x:c r="AK192" s="27"/>
      <x:c r="AL192" s="27"/>
      <x:c r="AM192" s="27"/>
      <x:c r="AN192" s="27"/>
      <x:c r="AO192" s="27"/>
      <x:c r="AP192" s="27"/>
      <x:c r="AQ192" s="27"/>
      <x:c r="AR192" s="27"/>
      <x:c r="AS192" s="27"/>
      <x:c r="AT192" s="27"/>
      <x:c r="AU192" s="27"/>
      <x:c r="AV192" s="27"/>
      <x:c r="AW192" s="27"/>
      <x:c r="AX192" s="27"/>
      <x:c r="AY192" s="27"/>
      <x:c r="AZ192" s="27"/>
    </x:row>
    <x:row r="193">
      <x:c r="A193" s="27"/>
      <x:c r="B193" s="27"/>
      <x:c r="C193" s="27"/>
      <x:c r="D193" s="27"/>
      <x:c r="E193" s="27"/>
      <x:c r="F193" s="27"/>
      <x:c r="G193" s="27"/>
      <x:c r="H193" s="27"/>
      <x:c r="I193" s="27"/>
      <x:c r="J193" s="27"/>
      <x:c r="K193" s="27"/>
      <x:c r="L193" s="27"/>
      <x:c r="M193" s="27"/>
      <x:c r="N193" s="27"/>
      <x:c r="O193" s="27"/>
      <x:c r="P193" s="27"/>
      <x:c r="Q193" s="27"/>
      <x:c r="R193" s="27"/>
      <x:c r="S193" s="27"/>
      <x:c r="T193" s="27"/>
      <x:c r="U193" s="27"/>
      <x:c r="V193" s="27"/>
      <x:c r="W193" s="27"/>
      <x:c r="X193" s="27"/>
      <x:c r="Y193" s="27"/>
      <x:c r="Z193" s="27"/>
      <x:c r="AA193" s="27"/>
      <x:c r="AB193" s="27"/>
      <x:c r="AC193" s="27"/>
      <x:c r="AD193" s="27"/>
      <x:c r="AE193" s="27"/>
      <x:c r="AF193" s="27"/>
      <x:c r="AG193" s="27"/>
      <x:c r="AH193" s="27"/>
      <x:c r="AI193" s="27"/>
      <x:c r="AJ193" s="27"/>
      <x:c r="AK193" s="27"/>
      <x:c r="AL193" s="27"/>
      <x:c r="AM193" s="27"/>
      <x:c r="AN193" s="27"/>
      <x:c r="AO193" s="27"/>
      <x:c r="AP193" s="27"/>
      <x:c r="AQ193" s="27"/>
      <x:c r="AR193" s="27"/>
      <x:c r="AS193" s="27"/>
      <x:c r="AT193" s="27"/>
      <x:c r="AU193" s="27"/>
      <x:c r="AV193" s="27"/>
      <x:c r="AW193" s="27"/>
      <x:c r="AX193" s="27"/>
      <x:c r="AY193" s="27"/>
      <x:c r="AZ193" s="27"/>
    </x:row>
    <x:row r="194">
      <x:c r="A194" s="27"/>
      <x:c r="B194" s="27"/>
      <x:c r="C194" s="27"/>
      <x:c r="D194" s="27"/>
      <x:c r="E194" s="27"/>
      <x:c r="F194" s="27"/>
      <x:c r="G194" s="27"/>
      <x:c r="H194" s="27"/>
      <x:c r="I194" s="27"/>
      <x:c r="J194" s="27"/>
      <x:c r="K194" s="27"/>
      <x:c r="L194" s="27"/>
      <x:c r="M194" s="27"/>
      <x:c r="N194" s="27"/>
      <x:c r="O194" s="27"/>
      <x:c r="P194" s="27"/>
      <x:c r="Q194" s="27"/>
      <x:c r="R194" s="27"/>
      <x:c r="S194" s="27"/>
      <x:c r="T194" s="27"/>
      <x:c r="U194" s="27"/>
      <x:c r="V194" s="27"/>
      <x:c r="W194" s="27"/>
      <x:c r="X194" s="27"/>
      <x:c r="Y194" s="27"/>
      <x:c r="Z194" s="27"/>
      <x:c r="AA194" s="27"/>
      <x:c r="AB194" s="27"/>
      <x:c r="AC194" s="27"/>
      <x:c r="AD194" s="27"/>
      <x:c r="AE194" s="27"/>
      <x:c r="AF194" s="27"/>
      <x:c r="AG194" s="27"/>
      <x:c r="AH194" s="27"/>
      <x:c r="AI194" s="27"/>
      <x:c r="AJ194" s="27"/>
      <x:c r="AK194" s="27"/>
      <x:c r="AL194" s="27"/>
      <x:c r="AM194" s="27"/>
      <x:c r="AN194" s="27"/>
      <x:c r="AO194" s="27"/>
      <x:c r="AP194" s="27"/>
      <x:c r="AQ194" s="27"/>
      <x:c r="AR194" s="27"/>
      <x:c r="AS194" s="27"/>
      <x:c r="AT194" s="27"/>
      <x:c r="AU194" s="27"/>
      <x:c r="AV194" s="27"/>
      <x:c r="AW194" s="27"/>
      <x:c r="AX194" s="27"/>
      <x:c r="AY194" s="27"/>
      <x:c r="AZ194" s="27"/>
    </x:row>
    <x:row r="195">
      <x:c r="A195" s="27"/>
      <x:c r="B195" s="27"/>
      <x:c r="C195" s="27"/>
      <x:c r="D195" s="27"/>
      <x:c r="E195" s="27"/>
      <x:c r="F195" s="27"/>
      <x:c r="G195" s="27"/>
      <x:c r="H195" s="27"/>
      <x:c r="I195" s="27"/>
      <x:c r="J195" s="27"/>
      <x:c r="K195" s="27"/>
      <x:c r="L195" s="27"/>
      <x:c r="M195" s="27"/>
      <x:c r="N195" s="27"/>
      <x:c r="O195" s="27"/>
      <x:c r="P195" s="27"/>
      <x:c r="Q195" s="27"/>
      <x:c r="R195" s="27"/>
      <x:c r="S195" s="27"/>
      <x:c r="T195" s="27"/>
      <x:c r="U195" s="27"/>
      <x:c r="V195" s="27"/>
      <x:c r="W195" s="27"/>
      <x:c r="X195" s="27"/>
      <x:c r="Y195" s="27"/>
      <x:c r="Z195" s="27"/>
      <x:c r="AA195" s="27"/>
      <x:c r="AB195" s="27"/>
      <x:c r="AC195" s="27"/>
      <x:c r="AD195" s="27"/>
      <x:c r="AE195" s="27"/>
      <x:c r="AF195" s="27"/>
      <x:c r="AG195" s="27"/>
      <x:c r="AH195" s="27"/>
      <x:c r="AI195" s="27"/>
      <x:c r="AJ195" s="27"/>
      <x:c r="AK195" s="27"/>
      <x:c r="AL195" s="27"/>
      <x:c r="AM195" s="27"/>
      <x:c r="AN195" s="27"/>
      <x:c r="AO195" s="27"/>
      <x:c r="AP195" s="27"/>
      <x:c r="AQ195" s="27"/>
      <x:c r="AR195" s="27"/>
      <x:c r="AS195" s="27"/>
      <x:c r="AT195" s="27"/>
      <x:c r="AU195" s="27"/>
      <x:c r="AV195" s="27"/>
      <x:c r="AW195" s="27"/>
      <x:c r="AX195" s="27"/>
      <x:c r="AY195" s="27"/>
      <x:c r="AZ195" s="27"/>
    </x:row>
    <x:row r="196">
      <x:c r="A196" s="27"/>
      <x:c r="B196" s="27"/>
      <x:c r="C196" s="27"/>
      <x:c r="D196" s="27"/>
      <x:c r="E196" s="27"/>
      <x:c r="F196" s="27"/>
      <x:c r="G196" s="27"/>
      <x:c r="H196" s="27"/>
      <x:c r="I196" s="27"/>
      <x:c r="J196" s="27"/>
      <x:c r="K196" s="27"/>
      <x:c r="L196" s="27"/>
      <x:c r="M196" s="27"/>
      <x:c r="N196" s="27"/>
      <x:c r="O196" s="27"/>
      <x:c r="P196" s="27"/>
      <x:c r="Q196" s="27"/>
      <x:c r="R196" s="27"/>
      <x:c r="S196" s="27"/>
      <x:c r="T196" s="27"/>
      <x:c r="U196" s="27"/>
      <x:c r="V196" s="27"/>
      <x:c r="W196" s="27"/>
      <x:c r="X196" s="27"/>
      <x:c r="Y196" s="27"/>
      <x:c r="Z196" s="27"/>
      <x:c r="AA196" s="27"/>
      <x:c r="AB196" s="27"/>
      <x:c r="AC196" s="27"/>
      <x:c r="AD196" s="27"/>
      <x:c r="AE196" s="27"/>
      <x:c r="AF196" s="27"/>
      <x:c r="AG196" s="27"/>
      <x:c r="AH196" s="27"/>
      <x:c r="AI196" s="27"/>
      <x:c r="AJ196" s="27"/>
      <x:c r="AK196" s="27"/>
      <x:c r="AL196" s="27"/>
      <x:c r="AM196" s="27"/>
      <x:c r="AN196" s="27"/>
      <x:c r="AO196" s="27"/>
      <x:c r="AP196" s="27"/>
      <x:c r="AQ196" s="27"/>
      <x:c r="AR196" s="27"/>
      <x:c r="AS196" s="27"/>
      <x:c r="AT196" s="27"/>
      <x:c r="AU196" s="27"/>
      <x:c r="AV196" s="27"/>
      <x:c r="AW196" s="27"/>
      <x:c r="AX196" s="27"/>
      <x:c r="AY196" s="27"/>
      <x:c r="AZ196" s="27"/>
    </x:row>
    <x:row r="197">
      <x:c r="A197" s="27"/>
      <x:c r="B197" s="27"/>
      <x:c r="C197" s="27"/>
      <x:c r="D197" s="27"/>
      <x:c r="E197" s="27"/>
      <x:c r="F197" s="27"/>
      <x:c r="G197" s="27"/>
      <x:c r="H197" s="27"/>
      <x:c r="I197" s="27"/>
      <x:c r="J197" s="27"/>
      <x:c r="K197" s="27"/>
      <x:c r="L197" s="27"/>
      <x:c r="M197" s="27"/>
      <x:c r="N197" s="27"/>
      <x:c r="O197" s="27"/>
      <x:c r="P197" s="27"/>
      <x:c r="Q197" s="27"/>
      <x:c r="R197" s="27"/>
      <x:c r="S197" s="27"/>
      <x:c r="T197" s="27"/>
      <x:c r="U197" s="27"/>
      <x:c r="V197" s="27"/>
      <x:c r="W197" s="27"/>
      <x:c r="X197" s="27"/>
      <x:c r="Y197" s="27"/>
      <x:c r="Z197" s="27"/>
      <x:c r="AA197" s="27"/>
      <x:c r="AB197" s="27"/>
      <x:c r="AC197" s="27"/>
      <x:c r="AD197" s="27"/>
      <x:c r="AE197" s="27"/>
      <x:c r="AF197" s="27"/>
      <x:c r="AG197" s="27"/>
      <x:c r="AH197" s="27"/>
      <x:c r="AI197" s="27"/>
      <x:c r="AJ197" s="27"/>
      <x:c r="AK197" s="27"/>
      <x:c r="AL197" s="27"/>
      <x:c r="AM197" s="27"/>
      <x:c r="AN197" s="27"/>
      <x:c r="AO197" s="27"/>
      <x:c r="AP197" s="27"/>
      <x:c r="AQ197" s="27"/>
      <x:c r="AR197" s="27"/>
      <x:c r="AS197" s="27"/>
      <x:c r="AT197" s="27"/>
      <x:c r="AU197" s="27"/>
      <x:c r="AV197" s="27"/>
      <x:c r="AW197" s="27"/>
      <x:c r="AX197" s="27"/>
      <x:c r="AY197" s="27"/>
      <x:c r="AZ197" s="27"/>
    </x:row>
    <x:row r="198">
      <x:c r="A198" s="27"/>
      <x:c r="B198" s="27"/>
      <x:c r="C198" s="27"/>
      <x:c r="D198" s="27"/>
      <x:c r="E198" s="27"/>
      <x:c r="F198" s="27"/>
      <x:c r="G198" s="27"/>
      <x:c r="H198" s="27"/>
      <x:c r="I198" s="27"/>
      <x:c r="J198" s="27"/>
      <x:c r="K198" s="27"/>
      <x:c r="L198" s="27"/>
      <x:c r="M198" s="27"/>
      <x:c r="N198" s="27"/>
      <x:c r="O198" s="27"/>
      <x:c r="P198" s="27"/>
      <x:c r="Q198" s="27"/>
      <x:c r="R198" s="27"/>
      <x:c r="S198" s="27"/>
      <x:c r="T198" s="27"/>
      <x:c r="U198" s="27"/>
      <x:c r="V198" s="27"/>
      <x:c r="W198" s="27"/>
      <x:c r="X198" s="27"/>
      <x:c r="Y198" s="27"/>
      <x:c r="Z198" s="27"/>
      <x:c r="AA198" s="27"/>
      <x:c r="AB198" s="27"/>
      <x:c r="AC198" s="27"/>
      <x:c r="AD198" s="27"/>
      <x:c r="AE198" s="27"/>
      <x:c r="AF198" s="27"/>
      <x:c r="AG198" s="27"/>
      <x:c r="AH198" s="27"/>
      <x:c r="AI198" s="27"/>
      <x:c r="AJ198" s="27"/>
      <x:c r="AK198" s="27"/>
      <x:c r="AL198" s="27"/>
      <x:c r="AM198" s="27"/>
      <x:c r="AN198" s="27"/>
      <x:c r="AO198" s="27"/>
      <x:c r="AP198" s="27"/>
      <x:c r="AQ198" s="27"/>
      <x:c r="AR198" s="27"/>
      <x:c r="AS198" s="27"/>
      <x:c r="AT198" s="27"/>
      <x:c r="AU198" s="27"/>
      <x:c r="AV198" s="27"/>
      <x:c r="AW198" s="27"/>
      <x:c r="AX198" s="27"/>
      <x:c r="AY198" s="27"/>
      <x:c r="AZ198" s="27"/>
    </x:row>
    <x:row r="199">
      <x:c r="A199" s="27"/>
      <x:c r="B199" s="27"/>
      <x:c r="C199" s="27"/>
      <x:c r="D199" s="27"/>
      <x:c r="E199" s="27"/>
      <x:c r="F199" s="27"/>
      <x:c r="G199" s="27"/>
      <x:c r="H199" s="27"/>
      <x:c r="I199" s="27"/>
      <x:c r="J199" s="27"/>
      <x:c r="K199" s="27"/>
      <x:c r="L199" s="27"/>
      <x:c r="M199" s="27"/>
      <x:c r="N199" s="27"/>
      <x:c r="O199" s="27"/>
      <x:c r="P199" s="27"/>
      <x:c r="Q199" s="27"/>
      <x:c r="R199" s="27"/>
      <x:c r="S199" s="27"/>
      <x:c r="T199" s="27"/>
      <x:c r="U199" s="27"/>
      <x:c r="V199" s="27"/>
      <x:c r="W199" s="27"/>
      <x:c r="X199" s="27"/>
      <x:c r="Y199" s="27"/>
      <x:c r="Z199" s="27"/>
      <x:c r="AA199" s="27"/>
      <x:c r="AB199" s="27"/>
      <x:c r="AC199" s="27"/>
      <x:c r="AD199" s="27"/>
      <x:c r="AE199" s="27"/>
      <x:c r="AF199" s="27"/>
      <x:c r="AG199" s="27"/>
      <x:c r="AH199" s="27"/>
      <x:c r="AI199" s="27"/>
      <x:c r="AJ199" s="27"/>
      <x:c r="AK199" s="27"/>
      <x:c r="AL199" s="27"/>
      <x:c r="AM199" s="27"/>
      <x:c r="AN199" s="27"/>
      <x:c r="AO199" s="27"/>
      <x:c r="AP199" s="27"/>
      <x:c r="AQ199" s="27"/>
      <x:c r="AR199" s="27"/>
      <x:c r="AS199" s="27"/>
      <x:c r="AT199" s="27"/>
      <x:c r="AU199" s="27"/>
      <x:c r="AV199" s="27"/>
      <x:c r="AW199" s="27"/>
      <x:c r="AX199" s="27"/>
      <x:c r="AY199" s="27"/>
      <x:c r="AZ199" s="27"/>
    </x:row>
    <x:row r="200">
      <x:c r="A200" s="27"/>
      <x:c r="B200" s="27"/>
      <x:c r="C200" s="27"/>
      <x:c r="D200" s="27"/>
      <x:c r="E200" s="27"/>
      <x:c r="F200" s="27"/>
      <x:c r="G200" s="27"/>
      <x:c r="H200" s="27"/>
      <x:c r="I200" s="27"/>
      <x:c r="J200" s="27"/>
      <x:c r="K200" s="27"/>
      <x:c r="L200" s="27"/>
      <x:c r="M200" s="27"/>
      <x:c r="N200" s="27"/>
      <x:c r="O200" s="27"/>
      <x:c r="P200" s="27"/>
      <x:c r="Q200" s="27"/>
      <x:c r="R200" s="27"/>
      <x:c r="S200" s="27"/>
      <x:c r="T200" s="27"/>
      <x:c r="U200" s="27"/>
      <x:c r="V200" s="27"/>
      <x:c r="W200" s="27"/>
      <x:c r="X200" s="27"/>
      <x:c r="Y200" s="27"/>
      <x:c r="Z200" s="27"/>
      <x:c r="AA200" s="27"/>
      <x:c r="AB200" s="27"/>
      <x:c r="AC200" s="27"/>
      <x:c r="AD200" s="27"/>
      <x:c r="AE200" s="27"/>
      <x:c r="AF200" s="27"/>
      <x:c r="AG200" s="27"/>
      <x:c r="AH200" s="27"/>
      <x:c r="AI200" s="27"/>
      <x:c r="AJ200" s="27"/>
      <x:c r="AK200" s="27"/>
      <x:c r="AL200" s="27"/>
      <x:c r="AM200" s="27"/>
      <x:c r="AN200" s="27"/>
      <x:c r="AO200" s="27"/>
      <x:c r="AP200" s="27"/>
      <x:c r="AQ200" s="27"/>
      <x:c r="AR200" s="27"/>
      <x:c r="AS200" s="27"/>
      <x:c r="AT200" s="27"/>
      <x:c r="AU200" s="27"/>
      <x:c r="AV200" s="27"/>
      <x:c r="AW200" s="27"/>
      <x:c r="AX200" s="27"/>
      <x:c r="AY200" s="27"/>
      <x:c r="AZ200" s="27"/>
    </x:row>
  </x:sheetData>
  <x:mergeCells>
    <x:mergeCell ref="A1:I1"/>
  </x:mergeCells>
  <x:pageMargins left="0.7" right="0.7" top="0.75" bottom="0.75" header="0.3" footer="0.3"/>
</x:worksheet>
</file>

<file path=xl/worksheets/sheet15.xml><?xml version="1.0" encoding="utf-8"?>
<x:worksheet xmlns:x="http://schemas.openxmlformats.org/spreadsheetml/2006/main">
  <x:sheetFormatPr defaultRowHeight="15"/>
  <x:cols>
    <x:col min="1" max="1" width="14" hidden="0" customWidth="1"/>
    <x:col min="2" max="2" width="24" hidden="0" customWidth="1"/>
    <x:col min="3" max="3" width="9" hidden="0" customWidth="1"/>
    <x:col min="4" max="4" width="24" hidden="0" customWidth="1"/>
    <x:col min="5" max="5" width="14" hidden="0" customWidth="1"/>
    <x:col min="6" max="6" width="14" hidden="0" customWidth="1"/>
    <x:col min="7" max="7" width="18" hidden="0" customWidth="1"/>
    <x:col min="8" max="8" width="20" hidden="0" customWidth="1"/>
  </x:cols>
  <x:sheetData>
    <x:row r="1" ht="28" customHeight="1">
      <x:c r="A1" s="110" t="str">
        <x:v>Operation Pancake — TE Vertical Threat Model v1.2 Research</x:v>
      </x:c>
      <x:c r="B1" s="110"/>
      <x:c r="C1" s="110"/>
      <x:c r="D1" s="110"/>
      <x:c r="E1" s="110"/>
      <x:c r="F1" s="110"/>
      <x:c r="G1" s="110"/>
      <x:c r="H1" s="110"/>
      <x:c r="I1" s="110"/>
      <x:c r="J1" s="110"/>
      <x:c r="K1" s="110"/>
      <x:c r="L1" s="110"/>
    </x:row>
    <x:row r="2" ht="44" customHeight="1">
      <x:c r="A2" s="113" t="str">
        <x:v>Methodology guardrail: candidate architecture and coefficients were selected using ONLY the nine frozen-v1.1 failure pairs. The validation subset was kept player-disjoint and was evaluated only after the candidate was frozen.</x:v>
      </x:c>
      <x:c r="B2" s="113"/>
      <x:c r="C2" s="113"/>
      <x:c r="D2" s="113"/>
      <x:c r="E2" s="113"/>
      <x:c r="F2" s="113"/>
      <x:c r="G2" s="113"/>
      <x:c r="H2" s="113"/>
      <x:c r="I2" s="113"/>
      <x:c r="J2" s="113"/>
      <x:c r="K2" s="113"/>
      <x:c r="L2" s="113"/>
    </x:row>
    <x:row r="4">
      <x:c r="A4" s="116" t="str">
        <x:v>Model</x:v>
      </x:c>
      <x:c r="B4" s="116" t="str">
        <x:v>Architecture</x:v>
      </x:c>
      <x:c r="C4" s="116" t="str">
        <x:v>CIT Coeff</x:v>
      </x:c>
      <x:c r="D4" s="116" t="str">
        <x:v>Blocking Coeff</x:v>
      </x:c>
      <x:c r="E4" s="116" t="str">
        <x:v>Research Fixed</x:v>
      </x:c>
      <x:c r="F4" s="116" t="str">
        <x:v>Validation Accuracy</x:v>
      </x:c>
      <x:c r="G4" s="116" t="str">
        <x:v>All-VT Accuracy</x:v>
      </x:c>
      <x:c r="H4" s="116" t="str">
        <x:v>Decision</x:v>
      </x:c>
    </x:row>
    <x:row r="5">
      <x:c r="A5" s="16" t="str">
        <x:v>v1.1 historical</x:v>
      </x:c>
      <x:c r="B5" s="16" t="str">
        <x:v>M19 Vertical</x:v>
      </x:c>
      <x:c r="C5" s="49" t="n">
        <x:v>0</x:v>
      </x:c>
      <x:c r="D5" s="49" t="n">
        <x:v>0</x:v>
      </x:c>
      <x:c r="E5" s="16" t="str">
        <x:v>0/9</x:v>
      </x:c>
      <x:c r="F5" s="16" t="str">
        <x:v>17/17 (100.0%)</x:v>
      </x:c>
      <x:c r="G5" s="16" t="str">
        <x:v>131/140 (93.6%)</x:v>
      </x:c>
      <x:c r="H5" s="16" t="str">
        <x:v>KEEP as current predictive model</x:v>
      </x:c>
    </x:row>
    <x:row r="6">
      <x:c r="A6" s="16" t="str">
        <x:v>v1.2 research</x:v>
      </x:c>
      <x:c r="B6" s="16" t="str">
        <x:v>CIT + Blocking</x:v>
      </x:c>
      <x:c r="C6" s="49" t="n">
        <x:v>0.4</x:v>
      </x:c>
      <x:c r="D6" s="49" t="n">
        <x:v>0.4</x:v>
      </x:c>
      <x:c r="E6" s="16" t="str">
        <x:v>9/9</x:v>
      </x:c>
      <x:c r="F6" s="16" t="str">
        <x:v>13/17 (76.5%)</x:v>
      </x:c>
      <x:c r="G6" s="16" t="str">
        <x:v>116/140 (82.9%)</x:v>
      </x:c>
      <x:c r="H6" s="16" t="str">
        <x:v>REJECTED — research explanation, not replacement model</x:v>
      </x:c>
    </x:row>
    <x:row r="9">
      <x:c r="A9" s="118" t="str">
        <x:v>What the Nine Failures Actually Tell Us</x:v>
      </x:c>
      <x:c r="B9" s="118"/>
      <x:c r="C9" s="118"/>
      <x:c r="D9" s="118"/>
      <x:c r="E9" s="118"/>
      <x:c r="F9" s="118"/>
      <x:c r="G9" s="118"/>
      <x:c r="H9" s="118"/>
      <x:c r="I9" s="118"/>
      <x:c r="J9" s="118"/>
      <x:c r="K9" s="118"/>
      <x:c r="L9" s="118"/>
    </x:row>
    <x:row r="10">
      <x:c r="A10" s="16" t="str">
        <x:v>The failure set contains two distinct mechanisms. Mason Mini and Jaleel Skinner show that v1.1 over-rewards a speed/route profile when Catch in Traffic is weak; raising CIT importance fixes those comparisons. Jelani Thurman shows the opposite problem: his route/receiving profile is weak, but his unusually strong blocking profile is incompatible with an 80-level score; a blocking-value term is needed to explain him. Therefore the failures support a broader VT architecture than Madden 19's receiving-heavy prior.</x:v>
      </x:c>
      <x:c r="B10" s="16"/>
      <x:c r="C10" s="16"/>
      <x:c r="D10" s="16"/>
      <x:c r="E10" s="16"/>
      <x:c r="F10" s="16"/>
      <x:c r="G10" s="16"/>
      <x:c r="H10" s="16"/>
      <x:c r="I10" s="16"/>
      <x:c r="J10" s="16"/>
      <x:c r="K10" s="16"/>
      <x:c r="L10" s="16"/>
    </x:row>
    <x:row r="11">
      <x:c r="A11" s="16"/>
      <x:c r="B11" s="16"/>
      <x:c r="C11" s="16"/>
      <x:c r="D11" s="16"/>
      <x:c r="E11" s="16"/>
      <x:c r="F11" s="16"/>
      <x:c r="G11" s="16"/>
      <x:c r="H11" s="16"/>
      <x:c r="I11" s="16"/>
      <x:c r="J11" s="16"/>
      <x:c r="K11" s="16"/>
      <x:c r="L11" s="16"/>
    </x:row>
    <x:row r="12">
      <x:c r="A12" s="16"/>
      <x:c r="B12" s="16"/>
      <x:c r="C12" s="16"/>
      <x:c r="D12" s="16"/>
      <x:c r="E12" s="16"/>
      <x:c r="F12" s="16"/>
      <x:c r="G12" s="16"/>
      <x:c r="H12" s="16"/>
      <x:c r="I12" s="16"/>
      <x:c r="J12" s="16"/>
      <x:c r="K12" s="16"/>
      <x:c r="L12" s="16"/>
    </x:row>
    <x:row r="13">
      <x:c r="A13" s="16"/>
      <x:c r="B13" s="16"/>
      <x:c r="C13" s="16"/>
      <x:c r="D13" s="16"/>
      <x:c r="E13" s="16"/>
      <x:c r="F13" s="16"/>
      <x:c r="G13" s="16"/>
      <x:c r="H13" s="16"/>
      <x:c r="I13" s="16"/>
      <x:c r="J13" s="16"/>
      <x:c r="K13" s="16"/>
      <x:c r="L13" s="16"/>
    </x:row>
    <x:row r="16">
      <x:c r="A16" s="120" t="str">
        <x:v>Research Architecture</x:v>
      </x:c>
      <x:c r="B16" s="120" t="str">
        <x:v>CIT Coeff</x:v>
      </x:c>
      <x:c r="C16" s="120" t="str">
        <x:v>Blocking Coeff</x:v>
      </x:c>
      <x:c r="D16" s="120" t="str">
        <x:v>Failures Fixed</x:v>
      </x:c>
      <x:c r="E16" s="120" t="str">
        <x:v>Research Total</x:v>
      </x:c>
      <x:c r="F16" s="120" t="str">
        <x:v>Validation Correct</x:v>
      </x:c>
      <x:c r="G16" s="120" t="str">
        <x:v>Validation Total</x:v>
      </x:c>
      <x:c r="H16" s="120" t="str">
        <x:v>Validation Accuracy</x:v>
      </x:c>
    </x:row>
    <x:row r="17">
      <x:c r="A17" t="str">
        <x:v>CIT only</x:v>
      </x:c>
      <x:c r="B17" s="46" t="n">
        <x:v>0.196</x:v>
      </x:c>
      <x:c r="C17" s="46" t="n">
        <x:v>0</x:v>
      </x:c>
      <x:c r="D17" t="n">
        <x:v>5</x:v>
      </x:c>
      <x:c r="E17" t="n">
        <x:v>9</x:v>
      </x:c>
      <x:c r="F17" t="n">
        <x:v>11</x:v>
      </x:c>
      <x:c r="G17" t="n">
        <x:v>17</x:v>
      </x:c>
      <x:c r="H17" s="74" t="n">
        <x:v>0.6470588235294118</x:v>
      </x:c>
    </x:row>
    <x:row r="18">
      <x:c r="A18" t="str">
        <x:v>Blocking only</x:v>
      </x:c>
      <x:c r="B18" s="46" t="n">
        <x:v>0</x:v>
      </x:c>
      <x:c r="C18" s="46" t="n">
        <x:v>0.289</x:v>
      </x:c>
      <x:c r="D18" t="n">
        <x:v>7</x:v>
      </x:c>
      <x:c r="E18" t="n">
        <x:v>9</x:v>
      </x:c>
      <x:c r="F18" t="n">
        <x:v>16</x:v>
      </x:c>
      <x:c r="G18" t="n">
        <x:v>17</x:v>
      </x:c>
      <x:c r="H18" s="74" t="n">
        <x:v>0.9411764705882353</x:v>
      </x:c>
    </x:row>
    <x:row r="19">
      <x:c r="A19" t="str">
        <x:v>CIT + Blocking</x:v>
      </x:c>
      <x:c r="B19" s="46" t="n">
        <x:v>0.4</x:v>
      </x:c>
      <x:c r="C19" s="46" t="n">
        <x:v>0.4</x:v>
      </x:c>
      <x:c r="D19" t="n">
        <x:v>9</x:v>
      </x:c>
      <x:c r="E19" t="n">
        <x:v>9</x:v>
      </x:c>
      <x:c r="F19" t="n">
        <x:v>13</x:v>
      </x:c>
      <x:c r="G19" t="n">
        <x:v>17</x:v>
      </x:c>
      <x:c r="H19" s="74" t="n">
        <x:v>0.7647058823529411</x:v>
      </x:c>
    </x:row>
    <x:row r="22">
      <x:c r="A22" s="122" t="str">
        <x:v>Higher OVR</x:v>
      </x:c>
      <x:c r="B22" s="122" t="str">
        <x:v>OVR</x:v>
      </x:c>
      <x:c r="C22" s="122" t="str">
        <x:v>Lower OVR</x:v>
      </x:c>
      <x:c r="D22" s="122" t="str">
        <x:v>OVR</x:v>
      </x:c>
      <x:c r="E22" s="122" t="str">
        <x:v>v1.1 Margin</x:v>
      </x:c>
      <x:c r="F22" s="122" t="str">
        <x:v>v1.2 Margin</x:v>
      </x:c>
      <x:c r="G22" s="122" t="str">
        <x:v>v1.2 Result</x:v>
      </x:c>
    </x:row>
    <x:row r="23">
      <x:c r="A23" t="str">
        <x:v>Keyan Burnett</x:v>
      </x:c>
      <x:c r="B23" t="n">
        <x:v>82</x:v>
      </x:c>
      <x:c r="C23" t="str">
        <x:v>Mason Mini</x:v>
      </x:c>
      <x:c r="D23" t="n">
        <x:v>81</x:v>
      </x:c>
      <x:c r="E23" s="46" t="n">
        <x:v>-0.10204081632653583</x:v>
      </x:c>
      <x:c r="F23" s="46" t="n">
        <x:v>5.16195918367346</x:v>
      </x:c>
      <x:c r="G23" t="str">
        <x:v>FIXED</x:v>
      </x:c>
    </x:row>
    <x:row r="24">
      <x:c r="A24" t="str">
        <x:v>Luke Reynolds</x:v>
      </x:c>
      <x:c r="B24" t="n">
        <x:v>82</x:v>
      </x:c>
      <x:c r="C24" t="str">
        <x:v>Mason Mini</x:v>
      </x:c>
      <x:c r="D24" t="n">
        <x:v>81</x:v>
      </x:c>
      <x:c r="E24" s="46" t="n">
        <x:v>-0.9387755102040813</x:v>
      </x:c>
      <x:c r="F24" s="46" t="n">
        <x:v>3.8452244897959105</x:v>
      </x:c>
      <x:c r="G24" t="str">
        <x:v>FIXED</x:v>
      </x:c>
    </x:row>
    <x:row r="25">
      <x:c r="A25" t="str">
        <x:v>Luke Reynolds</x:v>
      </x:c>
      <x:c r="B25" t="n">
        <x:v>82</x:v>
      </x:c>
      <x:c r="C25" t="str">
        <x:v>Jaleel Skinner</x:v>
      </x:c>
      <x:c r="D25" t="n">
        <x:v>81</x:v>
      </x:c>
      <x:c r="E25" s="46" t="n">
        <x:v>-0.22448979591835894</x:v>
      </x:c>
      <x:c r="F25" s="46" t="n">
        <x:v>10.159510204081641</x:v>
      </x:c>
      <x:c r="G25" t="str">
        <x:v>FIXED</x:v>
      </x:c>
    </x:row>
    <x:row r="26">
      <x:c r="A26" t="str">
        <x:v>Jelani Thurman</x:v>
      </x:c>
      <x:c r="B26" t="n">
        <x:v>81</x:v>
      </x:c>
      <x:c r="C26" t="str">
        <x:v>Peter Clarke</x:v>
      </x:c>
      <x:c r="D26" t="n">
        <x:v>80</x:v>
      </x:c>
      <x:c r="E26" s="46" t="n">
        <x:v>-0.36734693877551194</x:v>
      </x:c>
      <x:c r="F26" s="46" t="n">
        <x:v>1.9606530612244768</x:v>
      </x:c>
      <x:c r="G26" t="str">
        <x:v>FIXED</x:v>
      </x:c>
    </x:row>
    <x:row r="27">
      <x:c r="A27" t="str">
        <x:v>Jelani Thurman</x:v>
      </x:c>
      <x:c r="B27" t="n">
        <x:v>81</x:v>
      </x:c>
      <x:c r="C27" t="str">
        <x:v>Matt Wagner</x:v>
      </x:c>
      <x:c r="D27" t="n">
        <x:v>80</x:v>
      </x:c>
      <x:c r="E27" s="46" t="n">
        <x:v>-0.7551020408163254</x:v>
      </x:c>
      <x:c r="F27" s="46" t="n">
        <x:v>1.3088979591836676</x:v>
      </x:c>
      <x:c r="G27" t="str">
        <x:v>FIXED</x:v>
      </x:c>
    </x:row>
    <x:row r="28">
      <x:c r="A28" t="str">
        <x:v>Jelani Thurman</x:v>
      </x:c>
      <x:c r="B28" t="n">
        <x:v>81</x:v>
      </x:c>
      <x:c r="C28" t="str">
        <x:v>Vernon Davis</x:v>
      </x:c>
      <x:c r="D28" t="n">
        <x:v>80</x:v>
      </x:c>
      <x:c r="E28" s="46" t="n">
        <x:v>-0.11224489795918657</x:v>
      </x:c>
      <x:c r="F28" s="46" t="n">
        <x:v>4.127755102040808</x:v>
      </x:c>
      <x:c r="G28" t="str">
        <x:v>FIXED</x:v>
      </x:c>
    </x:row>
    <x:row r="29">
      <x:c r="A29" t="str">
        <x:v>Jelani Thurman</x:v>
      </x:c>
      <x:c r="B29" t="n">
        <x:v>81</x:v>
      </x:c>
      <x:c r="C29" t="str">
        <x:v>Preston Howard</x:v>
      </x:c>
      <x:c r="D29" t="n">
        <x:v>80</x:v>
      </x:c>
      <x:c r="E29" s="46" t="n">
        <x:v>-0.9795918367346985</x:v>
      </x:c>
      <x:c r="F29" s="46" t="n">
        <x:v>3.2564081632652915</x:v>
      </x:c>
      <x:c r="G29" t="str">
        <x:v>FIXED</x:v>
      </x:c>
    </x:row>
    <x:row r="30">
      <x:c r="A30" t="str">
        <x:v>Jelani Thurman</x:v>
      </x:c>
      <x:c r="B30" t="n">
        <x:v>81</x:v>
      </x:c>
      <x:c r="C30" t="str">
        <x:v>Randy Pittman Jr.</x:v>
      </x:c>
      <x:c r="D30" t="n">
        <x:v>80</x:v>
      </x:c>
      <x:c r="E30" s="46" t="n">
        <x:v>-0.08163265306123435</x:v>
      </x:c>
      <x:c r="F30" s="46" t="n">
        <x:v>3.6343673469387596</x:v>
      </x:c>
      <x:c r="G30" t="str">
        <x:v>FIXED</x:v>
      </x:c>
    </x:row>
    <x:row r="31">
      <x:c r="A31" t="str">
        <x:v>Jelani Thurman</x:v>
      </x:c>
      <x:c r="B31" t="n">
        <x:v>81</x:v>
      </x:c>
      <x:c r="C31" t="str">
        <x:v>Hunter Tipton</x:v>
      </x:c>
      <x:c r="D31" t="n">
        <x:v>80</x:v>
      </x:c>
      <x:c r="E31" s="46" t="n">
        <x:v>-0.7857142857142918</x:v>
      </x:c>
      <x:c r="F31" s="46" t="n">
        <x:v>0.7022857142856935</x:v>
      </x:c>
      <x:c r="G31" t="str">
        <x:v>FIXED</x:v>
      </x:c>
    </x:row>
    <x:row r="34">
      <x:c r="A34" s="124" t="str">
        <x:v>Independent Validation — Players Never Used in Failure Research</x:v>
      </x:c>
      <x:c r="B34" s="124"/>
      <x:c r="C34" s="124"/>
      <x:c r="D34" s="124"/>
      <x:c r="E34" s="124"/>
      <x:c r="F34" s="124"/>
      <x:c r="G34" s="124"/>
      <x:c r="H34" s="124"/>
      <x:c r="I34" s="124"/>
      <x:c r="J34" s="124"/>
      <x:c r="K34" s="124"/>
      <x:c r="L34" s="124"/>
    </x:row>
    <x:row r="35">
      <x:c r="A35" s="126" t="str">
        <x:v>Card_ID</x:v>
      </x:c>
      <x:c r="B35" s="126" t="str">
        <x:v>Player</x:v>
      </x:c>
      <x:c r="C35" s="126" t="str">
        <x:v>OVR</x:v>
      </x:c>
      <x:c r="D35" s="126" t="str">
        <x:v>Program</x:v>
      </x:c>
      <x:c r="E35" s="126" t="str">
        <x:v>v1.1 Score</x:v>
      </x:c>
      <x:c r="F35" s="126" t="str">
        <x:v>v1.2 Score</x:v>
      </x:c>
      <x:c r="G35" s="126" t="str">
        <x:v>Research Leakage?</x:v>
      </x:c>
    </x:row>
    <x:row r="36">
      <x:c r="A36" t="str">
        <x:v>TE-0002</x:v>
      </x:c>
      <x:c r="B36" t="str">
        <x:v>Kaelan Chudzinski</x:v>
      </x:c>
      <x:c r="C36" t="n">
        <x:v>85</x:v>
      </x:c>
      <x:c r="D36" t="str">
        <x:v>Standouts</x:v>
      </x:c>
      <x:c r="E36" s="46" t="n">
        <x:v>80.64285714285714</x:v>
      </x:c>
      <x:c r="F36" s="46" t="n">
        <x:v>83.45485714285714</x:v>
      </x:c>
      <x:c r="G36" t="str">
        <x:v>NO</x:v>
      </x:c>
    </x:row>
    <x:row r="37">
      <x:c r="A37" t="str">
        <x:v>TE-0014</x:v>
      </x:c>
      <x:c r="B37" t="str">
        <x:v>Benjamin Brahmer</x:v>
      </x:c>
      <x:c r="C37" t="n">
        <x:v>84</x:v>
      </x:c>
      <x:c r="D37" t="str">
        <x:v>Platinum Rare</x:v>
      </x:c>
      <x:c r="E37" s="46" t="n">
        <x:v>79.60204081632654</x:v>
      </x:c>
      <x:c r="F37" s="46" t="n">
        <x:v>82.86604081632653</x:v>
      </x:c>
      <x:c r="G37" t="str">
        <x:v>NO</x:v>
      </x:c>
    </x:row>
    <x:row r="38">
      <x:c r="A38" t="str">
        <x:v>TE-0017</x:v>
      </x:c>
      <x:c r="B38" t="str">
        <x:v>Luke Hasz</x:v>
      </x:c>
      <x:c r="C38" t="n">
        <x:v>84</x:v>
      </x:c>
      <x:c r="D38" t="str">
        <x:v>Core Rare</x:v>
      </x:c>
      <x:c r="E38" s="46" t="n">
        <x:v>79.91836734693878</x:v>
      </x:c>
      <x:c r="F38" s="46" t="n">
        <x:v>81.56636734693878</x:v>
      </x:c>
      <x:c r="G38" t="str">
        <x:v>NO</x:v>
      </x:c>
    </x:row>
    <x:row r="39">
      <x:c r="A39" t="str">
        <x:v>TE-0019</x:v>
      </x:c>
      <x:c r="B39" t="str">
        <x:v>Dylan Wade</x:v>
      </x:c>
      <x:c r="C39" t="n">
        <x:v>84</x:v>
      </x:c>
      <x:c r="D39" t="str">
        <x:v>Platinum Rare</x:v>
      </x:c>
      <x:c r="E39" s="46" t="n">
        <x:v>79.58163265306122</x:v>
      </x:c>
      <x:c r="F39" s="46" t="n">
        <x:v>79.98563265306123</x:v>
      </x:c>
      <x:c r="G39" t="str">
        <x:v>NO</x:v>
      </x:c>
    </x:row>
    <x:row r="40">
      <x:c r="A40" t="str">
        <x:v>TE-0022</x:v>
      </x:c>
      <x:c r="B40" t="str">
        <x:v>Kaelan Chudzinski</x:v>
      </x:c>
      <x:c r="C40" t="n">
        <x:v>83</x:v>
      </x:c>
      <x:c r="D40" t="str">
        <x:v>Platinum Rare</x:v>
      </x:c>
      <x:c r="E40" s="46" t="n">
        <x:v>78.83673469387755</x:v>
      </x:c>
      <x:c r="F40" s="46" t="n">
        <x:v>81.98873469387755</x:v>
      </x:c>
      <x:c r="G40" t="str">
        <x:v>NO</x:v>
      </x:c>
    </x:row>
    <x:row r="41">
      <x:c r="A41" t="str">
        <x:v>TE-0025</x:v>
      </x:c>
      <x:c r="B41" t="str">
        <x:v>Jeremiah Hasley</x:v>
      </x:c>
      <x:c r="C41" t="n">
        <x:v>83</x:v>
      </x:c>
      <x:c r="D41" t="str">
        <x:v>Platinum Rare</x:v>
      </x:c>
      <x:c r="E41" s="46" t="n">
        <x:v>79.15306122448979</x:v>
      </x:c>
      <x:c r="F41" s="46" t="n">
        <x:v>82.15306122448979</x:v>
      </x:c>
      <x:c r="G41" t="str">
        <x:v>NO</x:v>
      </x:c>
    </x:row>
    <x:row r="42">
      <x:c r="A42" t="str">
        <x:v>TE-0034</x:v>
      </x:c>
      <x:c r="B42" t="str">
        <x:v>Elija Lofton</x:v>
      </x:c>
      <x:c r="C42" t="n">
        <x:v>82</x:v>
      </x:c>
      <x:c r="D42" t="str">
        <x:v>Platinum Rare</x:v>
      </x:c>
      <x:c r="E42" s="46" t="n">
        <x:v>78.51020408163265</x:v>
      </x:c>
      <x:c r="F42" s="46" t="n">
        <x:v>75.73420408163265</x:v>
      </x:c>
      <x:c r="G42" t="str">
        <x:v>NO</x:v>
      </x:c>
    </x:row>
    <x:row r="45">
      <x:c r="A45" s="128" t="str">
        <x:v>Decision</x:v>
      </x:c>
      <x:c r="B45" s="128"/>
      <x:c r="C45" s="128"/>
      <x:c r="D45" s="128"/>
      <x:c r="E45" s="128"/>
      <x:c r="F45" s="128"/>
      <x:c r="G45" s="128"/>
      <x:c r="H45" s="128"/>
      <x:c r="I45" s="128"/>
      <x:c r="J45" s="128"/>
      <x:c r="K45" s="128"/>
      <x:c r="L45" s="128"/>
    </x:row>
    <x:row r="46">
      <x:c r="A46" s="16" t="str">
        <x:v>v1.2 research candidate = v1.1 + 0.400×(CIT−75) + 0.400×(M19 Blocking Score−75). It fixes 9/9 research failures, but independent validation changes from 17/17 under v1.1 to 13/17 under v1.2. Therefore v1.2 is rejected — research explanation, not replacement model. The research result is still valuable: it identifies CIT underweighting and missing blocking-value treatment as the two main causes of the v1.1 inversions.</x:v>
      </x:c>
      <x:c r="B46" s="16"/>
      <x:c r="C46" s="16"/>
      <x:c r="D46" s="16"/>
      <x:c r="E46" s="16"/>
      <x:c r="F46" s="16"/>
      <x:c r="G46" s="16"/>
      <x:c r="H46" s="16"/>
      <x:c r="I46" s="16"/>
      <x:c r="J46" s="16"/>
      <x:c r="K46" s="16"/>
      <x:c r="L46" s="16"/>
    </x:row>
    <x:row r="47">
      <x:c r="A47" s="16"/>
      <x:c r="B47" s="16"/>
      <x:c r="C47" s="16"/>
      <x:c r="D47" s="16"/>
      <x:c r="E47" s="16"/>
      <x:c r="F47" s="16"/>
      <x:c r="G47" s="16"/>
      <x:c r="H47" s="16"/>
      <x:c r="I47" s="16"/>
      <x:c r="J47" s="16"/>
      <x:c r="K47" s="16"/>
      <x:c r="L47" s="16"/>
    </x:row>
    <x:row r="48">
      <x:c r="A48" s="16"/>
      <x:c r="B48" s="16"/>
      <x:c r="C48" s="16"/>
      <x:c r="D48" s="16"/>
      <x:c r="E48" s="16"/>
      <x:c r="F48" s="16"/>
      <x:c r="G48" s="16"/>
      <x:c r="H48" s="16"/>
      <x:c r="I48" s="16"/>
      <x:c r="J48" s="16"/>
      <x:c r="K48" s="16"/>
      <x:c r="L48" s="16"/>
    </x:row>
    <x:row r="49">
      <x:c r="A49" s="16"/>
      <x:c r="B49" s="16"/>
      <x:c r="C49" s="16"/>
      <x:c r="D49" s="16"/>
      <x:c r="E49" s="16"/>
      <x:c r="F49" s="16"/>
      <x:c r="G49" s="16"/>
      <x:c r="H49" s="16"/>
      <x:c r="I49" s="16"/>
      <x:c r="J49" s="16"/>
      <x:c r="K49" s="16"/>
      <x:c r="L49" s="16"/>
    </x:row>
  </x:sheetData>
  <x:mergeCells>
    <x:mergeCell ref="A1:L1"/>
    <x:mergeCell ref="A2:L2"/>
    <x:mergeCell ref="A9:L9"/>
    <x:mergeCell ref="A10:L13"/>
    <x:mergeCell ref="A34:L34"/>
    <x:mergeCell ref="A45:L45"/>
    <x:mergeCell ref="A46:L49"/>
  </x:mergeCells>
  <x:pageMargins left="0.7" right="0.7" top="0.75" bottom="0.75" header="0.3" footer="0.3"/>
</x:worksheet>
</file>

<file path=xl/worksheets/sheet16.xml><?xml version="1.0" encoding="utf-8"?>
<x:worksheet xmlns:x="http://schemas.openxmlformats.org/spreadsheetml/2006/main">
  <x:sheetFormatPr defaultRowHeight="15"/>
  <x:cols>
    <x:col min="1" max="1" width="26" hidden="0" customWidth="1"/>
    <x:col min="2" max="2" width="9" hidden="0" customWidth="1"/>
    <x:col min="3" max="3" width="24" hidden="0" customWidth="1"/>
    <x:col min="4" max="4" width="14" hidden="0" customWidth="1"/>
    <x:col min="5" max="5" width="26" hidden="0" customWidth="1"/>
    <x:col min="6" max="6" width="9" hidden="0" customWidth="1"/>
    <x:col min="7" max="7" width="24" hidden="0" customWidth="1"/>
    <x:col min="8" max="8" width="14" hidden="0" customWidth="1"/>
    <x:col min="9" max="9" width="14" hidden="0" customWidth="1"/>
  </x:cols>
  <x:sheetData>
    <x:row r="1" ht="28" customHeight="1">
      <x:c r="A1" s="132" t="str">
        <x:v>Operation Pancake — TE Vertical Threat Model v1.3</x:v>
      </x:c>
      <x:c r="B1" s="132"/>
      <x:c r="C1" s="132"/>
      <x:c r="D1" s="132"/>
      <x:c r="E1" s="132"/>
      <x:c r="F1" s="132"/>
      <x:c r="G1" s="132"/>
      <x:c r="H1" s="132"/>
      <x:c r="I1" s="132"/>
      <x:c r="J1" s="132"/>
      <x:c r="K1" s="132"/>
      <x:c r="L1" s="132"/>
    </x:row>
    <x:row r="2" ht="44" customHeight="1">
      <x:c r="A2" s="135" t="str">
        <x:v>v1.1 and rejected v1.2 are preserved unchanged. v1.3 was selected using only the nine v1.1 failure pairs. The player-disjoint validation subset was not consulted until after the v1.3 weights were frozen.</x:v>
      </x:c>
      <x:c r="B2" s="135"/>
      <x:c r="C2" s="135"/>
      <x:c r="D2" s="135"/>
      <x:c r="E2" s="135"/>
      <x:c r="F2" s="135"/>
      <x:c r="G2" s="135"/>
      <x:c r="H2" s="135"/>
      <x:c r="I2" s="135"/>
      <x:c r="J2" s="135"/>
      <x:c r="K2" s="135"/>
      <x:c r="L2" s="135"/>
    </x:row>
    <x:row r="4">
      <x:c r="A4" s="138" t="str">
        <x:v>Model</x:v>
      </x:c>
      <x:c r="B4" s="138" t="str">
        <x:v>Formula / Architecture</x:v>
      </x:c>
      <x:c r="C4" s="138" t="str">
        <x:v>Research Failures Fixed</x:v>
      </x:c>
      <x:c r="D4" s="138" t="str">
        <x:v>Validation</x:v>
      </x:c>
      <x:c r="E4" s="138" t="str">
        <x:v>All VT Pairs</x:v>
      </x:c>
      <x:c r="F4" s="138" t="str">
        <x:v>Accuracy</x:v>
      </x:c>
      <x:c r="G4" s="138" t="str">
        <x:v>Decision</x:v>
      </x:c>
      <x:c r="H4" s="138" t="str">
        <x:v>Status</x:v>
      </x:c>
    </x:row>
    <x:row r="5">
      <x:c r="A5" s="16" t="str">
        <x:v>v1.1</x:v>
      </x:c>
      <x:c r="B5" s="16" t="str">
        <x:v>M19 Vertical; ELU omitted / 98 visible weight points</x:v>
      </x:c>
      <x:c r="C5" s="16" t="str">
        <x:v>0 / 9</x:v>
      </x:c>
      <x:c r="D5" s="16" t="str">
        <x:v>17/17</x:v>
      </x:c>
      <x:c r="E5" s="16" t="str">
        <x:v>131/140</x:v>
      </x:c>
      <x:c r="F5" s="75" t="n">
        <x:v>0.9357142857142857</x:v>
      </x:c>
      <x:c r="G5" s="16" t="str">
        <x:v>Historical baseline</x:v>
      </x:c>
      <x:c r="H5" s="16" t="str">
        <x:v>KEEP</x:v>
      </x:c>
    </x:row>
    <x:row r="6">
      <x:c r="A6" s="16" t="str">
        <x:v>v1.2</x:v>
      </x:c>
      <x:c r="B6" s="16" t="str">
        <x:v>CIT + blocking research correction (rejected)</x:v>
      </x:c>
      <x:c r="C6" s="16" t="str">
        <x:v>9 / 9</x:v>
      </x:c>
      <x:c r="D6" s="16" t="str">
        <x:v>13/17</x:v>
      </x:c>
      <x:c r="E6" s="16" t="str">
        <x:v>116/140</x:v>
      </x:c>
      <x:c r="F6" s="75" t="n">
        <x:v>0.8285714285714286</x:v>
      </x:c>
      <x:c r="G6" s="16" t="str">
        <x:v>Overfit failure research</x:v>
      </x:c>
      <x:c r="H6" s="16" t="str">
        <x:v>REJECTED</x:v>
      </x:c>
    </x:row>
    <x:row r="7">
      <x:c r="A7" s="16" t="str">
        <x:v>v1.3</x:v>
      </x:c>
      <x:c r="B7" s="16" t="str">
        <x:v>M19 VT weights + 2 LBK + 3 IBL; weighted average over 103 visible weight points</x:v>
      </x:c>
      <x:c r="C7" s="16" t="str">
        <x:v>7 / 9</x:v>
      </x:c>
      <x:c r="D7" s="16" t="str">
        <x:v>17/17</x:v>
      </x:c>
      <x:c r="E7" s="16" t="str">
        <x:v>138/140</x:v>
      </x:c>
      <x:c r="F7" s="75" t="n">
        <x:v>0.9857142857142858</x:v>
      </x:c>
      <x:c r="G7" s="16" t="str">
        <x:v>Best current predictive VT model</x:v>
      </x:c>
      <x:c r="H7" s="16" t="str">
        <x:v>PROMOTE / FREEZE</x:v>
      </x:c>
    </x:row>
    <x:row r="10">
      <x:c r="A10" s="140" t="str">
        <x:v>Research-Only Architecture Comparison — Validation Hidden</x:v>
      </x:c>
      <x:c r="B10" s="140"/>
      <x:c r="C10" s="140"/>
      <x:c r="D10" s="140"/>
      <x:c r="E10" s="140"/>
      <x:c r="F10" s="140"/>
      <x:c r="G10" s="140"/>
      <x:c r="H10" s="140"/>
      <x:c r="I10" s="140"/>
      <x:c r="J10" s="140"/>
      <x:c r="K10" s="140"/>
      <x:c r="L10" s="140"/>
    </x:row>
    <x:row r="11">
      <x:c r="A11" s="142" t="str">
        <x:v>Candidate</x:v>
      </x:c>
      <x:c r="B11" s="142" t="str">
        <x:v>Weight Changes</x:v>
      </x:c>
      <x:c r="C11" s="142" t="str">
        <x:v>Added Weight</x:v>
      </x:c>
      <x:c r="D11" s="142" t="str">
        <x:v>Failures Fixed</x:v>
      </x:c>
      <x:c r="E11" s="142" t="str">
        <x:v>Research Total</x:v>
      </x:c>
      <x:c r="F11" s="142" t="str">
        <x:v>Minimum Margin</x:v>
      </x:c>
      <x:c r="G11" s="142" t="str">
        <x:v>Sum of Margins</x:v>
      </x:c>
    </x:row>
    <x:row r="12">
      <x:c r="A12" t="str">
        <x:v>Broad all-blocking +1</x:v>
      </x:c>
      <x:c r="B12" t="str">
        <x:v>RBK+1, RBF+1, RBP+1, PBK+1, PBF+1, PBP+1, LBK+1, IBL+1</x:v>
      </x:c>
      <x:c r="C12" t="n">
        <x:v>8</x:v>
      </x:c>
      <x:c r="D12" t="n">
        <x:v>5</x:v>
      </x:c>
      <x:c r="E12" t="n">
        <x:v>9</x:v>
      </x:c>
      <x:c r="F12" s="46" t="n">
        <x:v>-0.7830188679245396</x:v>
      </x:c>
      <x:c r="G12" s="46" t="n">
        <x:v>1.9528301886792008</x:v>
      </x:c>
    </x:row>
    <x:row r="13">
      <x:c r="A13" t="str">
        <x:v>IBL +2</x:v>
      </x:c>
      <x:c r="B13" t="str">
        <x:v>IBL+2</x:v>
      </x:c>
      <x:c r="C13" t="n">
        <x:v>2</x:v>
      </x:c>
      <x:c r="D13" t="n">
        <x:v>3</x:v>
      </x:c>
      <x:c r="E13" t="n">
        <x:v>9</x:v>
      </x:c>
      <x:c r="F13" s="46" t="n">
        <x:v>-0.7199999999999989</x:v>
      </x:c>
      <x:c r="G13" s="46" t="n">
        <x:v>-1.819999999999979</x:v>
      </x:c>
    </x:row>
    <x:row r="14">
      <x:c r="A14" t="str">
        <x:v>LBK +2</x:v>
      </x:c>
      <x:c r="B14" t="str">
        <x:v>LBK+2</x:v>
      </x:c>
      <x:c r="C14" t="n">
        <x:v>2</x:v>
      </x:c>
      <x:c r="D14" t="n">
        <x:v>4</x:v>
      </x:c>
      <x:c r="E14" t="n">
        <x:v>9</x:v>
      </x:c>
      <x:c r="F14" s="46" t="n">
        <x:v>-0.8799999999999955</x:v>
      </x:c>
      <x:c r="G14" s="46" t="n">
        <x:v>-1.3599999999999994</x:v>
      </x:c>
    </x:row>
    <x:row r="15">
      <x:c r="A15" t="str">
        <x:v>LBK +4</x:v>
      </x:c>
      <x:c r="B15" t="str">
        <x:v>LBK+4</x:v>
      </x:c>
      <x:c r="C15" t="n">
        <x:v>4</x:v>
      </x:c>
      <x:c r="D15" t="n">
        <x:v>6</x:v>
      </x:c>
      <x:c r="E15" t="n">
        <x:v>9</x:v>
      </x:c>
      <x:c r="F15" s="46" t="n">
        <x:v>-0.8235294117646959</x:v>
      </x:c>
      <x:c r="G15" s="46" t="n">
        <x:v>1.5098039215686185</x:v>
      </x:c>
    </x:row>
    <x:row r="16">
      <x:c r="A16" t="str">
        <x:v>LBK +2 / IBL +1</x:v>
      </x:c>
      <x:c r="B16" t="str">
        <x:v>LBK+2, IBL+1</x:v>
      </x:c>
      <x:c r="C16" t="n">
        <x:v>3</x:v>
      </x:c>
      <x:c r="D16" t="n">
        <x:v>5</x:v>
      </x:c>
      <x:c r="E16" t="n">
        <x:v>9</x:v>
      </x:c>
      <x:c r="F16" s="46" t="n">
        <x:v>-0.7623762376237693</x:v>
      </x:c>
      <x:c r="G16" s="46" t="n">
        <x:v>-0.13861386138616183</x:v>
      </x:c>
    </x:row>
    <x:row r="17">
      <x:c r="A17" t="str">
        <x:v>LBK +2 / IBL +3</x:v>
      </x:c>
      <x:c r="B17" t="str">
        <x:v>LBK+2, IBL+3</x:v>
      </x:c>
      <x:c r="C17" t="n">
        <x:v>5</x:v>
      </x:c>
      <x:c r="D17" t="n">
        <x:v>7</x:v>
      </x:c>
      <x:c r="E17" t="n">
        <x:v>9</x:v>
      </x:c>
      <x:c r="F17" s="46" t="n">
        <x:v>-0.533980582524265</x:v>
      </x:c>
      <x:c r="G17" s="46" t="n">
        <x:v>2.2330097087378675</x:v>
      </x:c>
    </x:row>
    <x:row r="18">
      <x:c r="A18" t="str">
        <x:v>LBK +3 / IBL +2</x:v>
      </x:c>
      <x:c r="B18" t="str">
        <x:v>LBK+3, IBL+2</x:v>
      </x:c>
      <x:c r="C18" t="n">
        <x:v>5</x:v>
      </x:c>
      <x:c r="D18" t="n">
        <x:v>7</x:v>
      </x:c>
      <x:c r="E18" t="n">
        <x:v>9</x:v>
      </x:c>
      <x:c r="F18" s="46" t="n">
        <x:v>-0.6213592233009706</x:v>
      </x:c>
      <x:c r="G18" s="46" t="n">
        <x:v>2.4563106796116756</x:v>
      </x:c>
    </x:row>
    <x:row r="21">
      <x:c r="A21" s="144" t="str">
        <x:v>Which Blocking Attributes Explain the v1.1 Failures?</x:v>
      </x:c>
      <x:c r="B21" s="144"/>
      <x:c r="C21" s="144"/>
      <x:c r="D21" s="144"/>
      <x:c r="E21" s="144"/>
      <x:c r="F21" s="144"/>
      <x:c r="G21" s="144"/>
      <x:c r="H21" s="144"/>
      <x:c r="I21" s="144"/>
      <x:c r="J21" s="144"/>
      <x:c r="K21" s="144"/>
      <x:c r="L21" s="144"/>
    </x:row>
    <x:row r="22">
      <x:c r="A22" s="146" t="str">
        <x:v>Attribute</x:v>
      </x:c>
      <x:c r="B22" s="146" t="str">
        <x:v>Avg Higher−Lower</x:v>
      </x:c>
      <x:c r="C22" s="146" t="str">
        <x:v>Higher &gt; Lower</x:v>
      </x:c>
      <x:c r="D22" s="146" t="str">
        <x:v>Higher &lt; Lower</x:v>
      </x:c>
      <x:c r="E22" s="146" t="str">
        <x:v>Min Diff</x:v>
      </x:c>
      <x:c r="F22" s="146" t="str">
        <x:v>Max Diff</x:v>
      </x:c>
      <x:c r="G22" s="146" t="str">
        <x:v>v1.1 Treatment</x:v>
      </x:c>
    </x:row>
    <x:row r="23">
      <x:c r="A23" t="str">
        <x:v>LBK</x:v>
      </x:c>
      <x:c r="B23" s="147" t="n">
        <x:v>16.11111111111111</x:v>
      </x:c>
      <x:c r="C23" t="n">
        <x:v>9</x:v>
      </x:c>
      <x:c r="D23" t="n">
        <x:v>0</x:v>
      </x:c>
      <x:c r="E23" t="n">
        <x:v>2</x:v>
      </x:c>
      <x:c r="F23" t="n">
        <x:v>39</x:v>
      </x:c>
      <x:c r="G23" t="str">
        <x:v>Not in v1.1</x:v>
      </x:c>
    </x:row>
    <x:row r="24">
      <x:c r="A24" t="str">
        <x:v>IBL</x:v>
      </x:c>
      <x:c r="B24" s="147" t="n">
        <x:v>13.555555555555555</x:v>
      </x:c>
      <x:c r="C24" t="n">
        <x:v>9</x:v>
      </x:c>
      <x:c r="D24" t="n">
        <x:v>0</x:v>
      </x:c>
      <x:c r="E24" t="n">
        <x:v>1</x:v>
      </x:c>
      <x:c r="F24" t="n">
        <x:v>21</x:v>
      </x:c>
      <x:c r="G24" t="str">
        <x:v>Not in v1.1</x:v>
      </x:c>
    </x:row>
    <x:row r="25">
      <x:c r="A25" t="str">
        <x:v>PBK</x:v>
      </x:c>
      <x:c r="B25" s="147" t="n">
        <x:v>8.88888888888889</x:v>
      </x:c>
      <x:c r="C25" t="n">
        <x:v>8</x:v>
      </x:c>
      <x:c r="D25" t="n">
        <x:v>1</x:v>
      </x:c>
      <x:c r="E25" t="n">
        <x:v>-16</x:v>
      </x:c>
      <x:c r="F25" t="n">
        <x:v>21</x:v>
      </x:c>
      <x:c r="G25" t="str">
        <x:v>v1.1 weight 2</x:v>
      </x:c>
    </x:row>
    <x:row r="26">
      <x:c r="A26" t="str">
        <x:v>RBP</x:v>
      </x:c>
      <x:c r="B26" s="147" t="n">
        <x:v>9.88888888888889</x:v>
      </x:c>
      <x:c r="C26" t="n">
        <x:v>7</x:v>
      </x:c>
      <x:c r="D26" t="n">
        <x:v>2</x:v>
      </x:c>
      <x:c r="E26" t="n">
        <x:v>-9</x:v>
      </x:c>
      <x:c r="F26" t="n">
        <x:v>24</x:v>
      </x:c>
      <x:c r="G26" t="str">
        <x:v>v1.1 weight 3</x:v>
      </x:c>
    </x:row>
    <x:row r="27">
      <x:c r="A27" t="str">
        <x:v>RBK</x:v>
      </x:c>
      <x:c r="B27" s="147" t="n">
        <x:v>6.111111111111111</x:v>
      </x:c>
      <x:c r="C27" t="n">
        <x:v>7</x:v>
      </x:c>
      <x:c r="D27" t="n">
        <x:v>2</x:v>
      </x:c>
      <x:c r="E27" t="n">
        <x:v>-4</x:v>
      </x:c>
      <x:c r="F27" t="n">
        <x:v>17</x:v>
      </x:c>
      <x:c r="G27" t="str">
        <x:v>v1.1 weight 3</x:v>
      </x:c>
    </x:row>
    <x:row r="28">
      <x:c r="A28" t="str">
        <x:v>STR</x:v>
      </x:c>
      <x:c r="B28" s="147" t="n">
        <x:v>4.444444444444445</x:v>
      </x:c>
      <x:c r="C28" t="n">
        <x:v>7</x:v>
      </x:c>
      <x:c r="D28" t="n">
        <x:v>2</x:v>
      </x:c>
      <x:c r="E28" t="n">
        <x:v>-13</x:v>
      </x:c>
      <x:c r="F28" t="n">
        <x:v>16</x:v>
      </x:c>
      <x:c r="G28" t="str">
        <x:v>Not in v1.1</x:v>
      </x:c>
    </x:row>
    <x:row r="29">
      <x:c r="A29" t="str">
        <x:v>PBF</x:v>
      </x:c>
      <x:c r="B29" s="147" t="n">
        <x:v>6.777777777777778</x:v>
      </x:c>
      <x:c r="C29" t="n">
        <x:v>6</x:v>
      </x:c>
      <x:c r="D29" t="n">
        <x:v>1</x:v>
      </x:c>
      <x:c r="E29" t="n">
        <x:v>-7</x:v>
      </x:c>
      <x:c r="F29" t="n">
        <x:v>17</x:v>
      </x:c>
      <x:c r="G29" t="str">
        <x:v>v1.1 weight 1</x:v>
      </x:c>
    </x:row>
    <x:row r="30">
      <x:c r="A30" t="str">
        <x:v>PBP</x:v>
      </x:c>
      <x:c r="B30" s="147" t="n">
        <x:v>5.555555555555555</x:v>
      </x:c>
      <x:c r="C30" t="n">
        <x:v>6</x:v>
      </x:c>
      <x:c r="D30" t="n">
        <x:v>2</x:v>
      </x:c>
      <x:c r="E30" t="n">
        <x:v>-8</x:v>
      </x:c>
      <x:c r="F30" t="n">
        <x:v>19</x:v>
      </x:c>
      <x:c r="G30" t="str">
        <x:v>v1.1 weight 1</x:v>
      </x:c>
    </x:row>
    <x:row r="31">
      <x:c r="A31" t="str">
        <x:v>RBF</x:v>
      </x:c>
      <x:c r="B31" s="147" t="n">
        <x:v>3.4444444444444446</x:v>
      </x:c>
      <x:c r="C31" t="n">
        <x:v>5</x:v>
      </x:c>
      <x:c r="D31" t="n">
        <x:v>4</x:v>
      </x:c>
      <x:c r="E31" t="n">
        <x:v>-11</x:v>
      </x:c>
      <x:c r="F31" t="n">
        <x:v>20</x:v>
      </x:c>
      <x:c r="G31" t="str">
        <x:v>v1.1 weight 3</x:v>
      </x:c>
    </x:row>
    <x:row r="34">
      <x:c r="A34" s="149" t="str">
        <x:v>Nine v1.1 Failure Pairs Under Frozen v1.3</x:v>
      </x:c>
      <x:c r="B34" s="149"/>
      <x:c r="C34" s="149"/>
      <x:c r="D34" s="149"/>
      <x:c r="E34" s="149"/>
      <x:c r="F34" s="149"/>
      <x:c r="G34" s="149"/>
      <x:c r="H34" s="149"/>
      <x:c r="I34" s="149"/>
      <x:c r="J34" s="149"/>
      <x:c r="K34" s="149"/>
      <x:c r="L34" s="149"/>
    </x:row>
    <x:row r="35">
      <x:c r="A35" s="151" t="str">
        <x:v>Higher OVR Card</x:v>
      </x:c>
      <x:c r="B35" s="151" t="str">
        <x:v>OVR</x:v>
      </x:c>
      <x:c r="C35" s="151" t="str">
        <x:v>Lower OVR Card</x:v>
      </x:c>
      <x:c r="D35" s="151" t="str">
        <x:v>OVR</x:v>
      </x:c>
      <x:c r="E35" s="151" t="str">
        <x:v>v1.1 Margin</x:v>
      </x:c>
      <x:c r="F35" s="151" t="str">
        <x:v>v1.3 Margin</x:v>
      </x:c>
      <x:c r="G35" s="151" t="str">
        <x:v>Result</x:v>
      </x:c>
    </x:row>
    <x:row r="36">
      <x:c r="A36" t="str">
        <x:v>Keyan Burnett</x:v>
      </x:c>
      <x:c r="B36" t="n">
        <x:v>82</x:v>
      </x:c>
      <x:c r="C36" t="str">
        <x:v>Mason Mini</x:v>
      </x:c>
      <x:c r="D36" t="n">
        <x:v>81</x:v>
      </x:c>
      <x:c r="E36" s="46" t="n">
        <x:v>-0.10204081632653583</x:v>
      </x:c>
      <x:c r="F36" s="46" t="n">
        <x:v>0.42718446601941196</x:v>
      </x:c>
      <x:c r="G36" t="str">
        <x:v>FIXED</x:v>
      </x:c>
    </x:row>
    <x:row r="37">
      <x:c r="A37" t="str">
        <x:v>Luke Reynolds</x:v>
      </x:c>
      <x:c r="B37" t="n">
        <x:v>82</x:v>
      </x:c>
      <x:c r="C37" t="str">
        <x:v>Mason Mini</x:v>
      </x:c>
      <x:c r="D37" t="n">
        <x:v>81</x:v>
      </x:c>
      <x:c r="E37" s="46" t="n">
        <x:v>-0.9387755102040813</x:v>
      </x:c>
      <x:c r="F37" s="46" t="n">
        <x:v>-0.533980582524265</x:v>
      </x:c>
      <x:c r="G37" t="str">
        <x:v>REMAINS</x:v>
      </x:c>
    </x:row>
    <x:row r="38">
      <x:c r="A38" t="str">
        <x:v>Luke Reynolds</x:v>
      </x:c>
      <x:c r="B38" t="n">
        <x:v>82</x:v>
      </x:c>
      <x:c r="C38" t="str">
        <x:v>Jaleel Skinner</x:v>
      </x:c>
      <x:c r="D38" t="n">
        <x:v>81</x:v>
      </x:c>
      <x:c r="E38" s="46" t="n">
        <x:v>-0.22448979591835894</x:v>
      </x:c>
      <x:c r="F38" s="46" t="n">
        <x:v>0.16504854368932342</x:v>
      </x:c>
      <x:c r="G38" t="str">
        <x:v>FIXED</x:v>
      </x:c>
    </x:row>
    <x:row r="39">
      <x:c r="A39" t="str">
        <x:v>Jelani Thurman</x:v>
      </x:c>
      <x:c r="B39" t="n">
        <x:v>81</x:v>
      </x:c>
      <x:c r="C39" t="str">
        <x:v>Peter Clarke</x:v>
      </x:c>
      <x:c r="D39" t="n">
        <x:v>80</x:v>
      </x:c>
      <x:c r="E39" s="46" t="n">
        <x:v>-0.36734693877551194</x:v>
      </x:c>
      <x:c r="F39" s="46" t="n">
        <x:v>0.3786407766990294</x:v>
      </x:c>
      <x:c r="G39" t="str">
        <x:v>FIXED</x:v>
      </x:c>
    </x:row>
    <x:row r="40">
      <x:c r="A40" t="str">
        <x:v>Jelani Thurman</x:v>
      </x:c>
      <x:c r="B40" t="n">
        <x:v>81</x:v>
      </x:c>
      <x:c r="C40" t="str">
        <x:v>Matt Wagner</x:v>
      </x:c>
      <x:c r="D40" t="n">
        <x:v>80</x:v>
      </x:c>
      <x:c r="E40" s="46" t="n">
        <x:v>-0.7551020408163254</x:v>
      </x:c>
      <x:c r="F40" s="46" t="n">
        <x:v>0.11650485436892666</x:v>
      </x:c>
      <x:c r="G40" t="str">
        <x:v>FIXED</x:v>
      </x:c>
    </x:row>
    <x:row r="41">
      <x:c r="A41" t="str">
        <x:v>Jelani Thurman</x:v>
      </x:c>
      <x:c r="B41" t="n">
        <x:v>81</x:v>
      </x:c>
      <x:c r="C41" t="str">
        <x:v>Vernon Davis</x:v>
      </x:c>
      <x:c r="D41" t="n">
        <x:v>80</x:v>
      </x:c>
      <x:c r="E41" s="46" t="n">
        <x:v>-0.11224489795918657</x:v>
      </x:c>
      <x:c r="F41" s="46" t="n">
        <x:v>0.6699029126213532</x:v>
      </x:c>
      <x:c r="G41" t="str">
        <x:v>FIXED</x:v>
      </x:c>
    </x:row>
    <x:row r="42">
      <x:c r="A42" t="str">
        <x:v>Jelani Thurman</x:v>
      </x:c>
      <x:c r="B42" t="n">
        <x:v>81</x:v>
      </x:c>
      <x:c r="C42" t="str">
        <x:v>Preston Howard</x:v>
      </x:c>
      <x:c r="D42" t="n">
        <x:v>80</x:v>
      </x:c>
      <x:c r="E42" s="46" t="n">
        <x:v>-0.9795918367346985</x:v>
      </x:c>
      <x:c r="F42" s="46" t="n">
        <x:v>0.01941747572816155</x:v>
      </x:c>
      <x:c r="G42" t="str">
        <x:v>FIXED</x:v>
      </x:c>
    </x:row>
    <x:row r="43">
      <x:c r="A43" t="str">
        <x:v>Jelani Thurman</x:v>
      </x:c>
      <x:c r="B43" t="n">
        <x:v>81</x:v>
      </x:c>
      <x:c r="C43" t="str">
        <x:v>Randy Pittman Jr.</x:v>
      </x:c>
      <x:c r="D43" t="n">
        <x:v>80</x:v>
      </x:c>
      <x:c r="E43" s="46" t="n">
        <x:v>-0.08163265306123435</x:v>
      </x:c>
      <x:c r="F43" s="46" t="n">
        <x:v>1.291262135922338</x:v>
      </x:c>
      <x:c r="G43" t="str">
        <x:v>FIXED</x:v>
      </x:c>
    </x:row>
    <x:row r="44">
      <x:c r="A44" t="str">
        <x:v>Jelani Thurman</x:v>
      </x:c>
      <x:c r="B44" t="n">
        <x:v>81</x:v>
      </x:c>
      <x:c r="C44" t="str">
        <x:v>Hunter Tipton</x:v>
      </x:c>
      <x:c r="D44" t="n">
        <x:v>80</x:v>
      </x:c>
      <x:c r="E44" s="46" t="n">
        <x:v>-0.7857142857142918</x:v>
      </x:c>
      <x:c r="F44" s="46" t="n">
        <x:v>-0.30097087378641163</x:v>
      </x:c>
      <x:c r="G44" t="str">
        <x:v>REMAINS</x:v>
      </x:c>
    </x:row>
    <x:row r="47">
      <x:c r="A47" s="153" t="str">
        <x:v>Independent Validation — Opened Only After v1.3 Freeze</x:v>
      </x:c>
      <x:c r="B47" s="153"/>
      <x:c r="C47" s="153"/>
      <x:c r="D47" s="153"/>
      <x:c r="E47" s="153"/>
      <x:c r="F47" s="153"/>
      <x:c r="G47" s="153"/>
      <x:c r="H47" s="153"/>
      <x:c r="I47" s="153"/>
      <x:c r="J47" s="153"/>
      <x:c r="K47" s="153"/>
      <x:c r="L47" s="153"/>
    </x:row>
    <x:row r="48">
      <x:c r="A48" s="155" t="str">
        <x:v>Card_ID</x:v>
      </x:c>
      <x:c r="B48" s="155" t="str">
        <x:v>Player</x:v>
      </x:c>
      <x:c r="C48" s="155" t="str">
        <x:v>OVR</x:v>
      </x:c>
      <x:c r="D48" s="155" t="str">
        <x:v>Program</x:v>
      </x:c>
      <x:c r="E48" s="155" t="str">
        <x:v>v1.1 Score</x:v>
      </x:c>
      <x:c r="F48" s="155" t="str">
        <x:v>v1.3 Score</x:v>
      </x:c>
      <x:c r="G48" s="155" t="str">
        <x:v>Research Leakage?</x:v>
      </x:c>
    </x:row>
    <x:row r="49">
      <x:c r="A49" t="str">
        <x:v>TE-0002</x:v>
      </x:c>
      <x:c r="B49" t="str">
        <x:v>Kaelan Chudzinski</x:v>
      </x:c>
      <x:c r="C49" t="n">
        <x:v>85</x:v>
      </x:c>
      <x:c r="D49" t="str">
        <x:v>Standouts</x:v>
      </x:c>
      <x:c r="E49" s="46" t="n">
        <x:v>80.64285714285714</x:v>
      </x:c>
      <x:c r="F49" s="46" t="n">
        <x:v>80.45631067961165</x:v>
      </x:c>
      <x:c r="G49" t="str">
        <x:v>NO</x:v>
      </x:c>
    </x:row>
    <x:row r="50">
      <x:c r="A50" t="str">
        <x:v>TE-0014</x:v>
      </x:c>
      <x:c r="B50" t="str">
        <x:v>Benjamin Brahmer</x:v>
      </x:c>
      <x:c r="C50" t="n">
        <x:v>84</x:v>
      </x:c>
      <x:c r="D50" t="str">
        <x:v>Platinum Rare</x:v>
      </x:c>
      <x:c r="E50" s="46" t="n">
        <x:v>79.60204081632654</x:v>
      </x:c>
      <x:c r="F50" s="46" t="n">
        <x:v>79.46601941747574</x:v>
      </x:c>
      <x:c r="G50" t="str">
        <x:v>NO</x:v>
      </x:c>
    </x:row>
    <x:row r="51">
      <x:c r="A51" t="str">
        <x:v>TE-0017</x:v>
      </x:c>
      <x:c r="B51" t="str">
        <x:v>Luke Hasz</x:v>
      </x:c>
      <x:c r="C51" t="n">
        <x:v>84</x:v>
      </x:c>
      <x:c r="D51" t="str">
        <x:v>Core Rare</x:v>
      </x:c>
      <x:c r="E51" s="46" t="n">
        <x:v>79.91836734693878</x:v>
      </x:c>
      <x:c r="F51" s="46" t="n">
        <x:v>79.41747572815534</x:v>
      </x:c>
      <x:c r="G51" t="str">
        <x:v>NO</x:v>
      </x:c>
    </x:row>
    <x:row r="52">
      <x:c r="A52" t="str">
        <x:v>TE-0019</x:v>
      </x:c>
      <x:c r="B52" t="str">
        <x:v>Dylan Wade</x:v>
      </x:c>
      <x:c r="C52" t="n">
        <x:v>84</x:v>
      </x:c>
      <x:c r="D52" t="str">
        <x:v>Platinum Rare</x:v>
      </x:c>
      <x:c r="E52" s="46" t="n">
        <x:v>79.58163265306122</x:v>
      </x:c>
      <x:c r="F52" s="46" t="n">
        <x:v>79</x:v>
      </x:c>
      <x:c r="G52" t="str">
        <x:v>NO</x:v>
      </x:c>
    </x:row>
    <x:row r="53">
      <x:c r="A53" t="str">
        <x:v>TE-0022</x:v>
      </x:c>
      <x:c r="B53" t="str">
        <x:v>Kaelan Chudzinski</x:v>
      </x:c>
      <x:c r="C53" t="n">
        <x:v>83</x:v>
      </x:c>
      <x:c r="D53" t="str">
        <x:v>Platinum Rare</x:v>
      </x:c>
      <x:c r="E53" s="46" t="n">
        <x:v>78.83673469387755</x:v>
      </x:c>
      <x:c r="F53" s="46" t="n">
        <x:v>78.2135922330097</x:v>
      </x:c>
      <x:c r="G53" t="str">
        <x:v>NO</x:v>
      </x:c>
    </x:row>
    <x:row r="54">
      <x:c r="A54" t="str">
        <x:v>TE-0025</x:v>
      </x:c>
      <x:c r="B54" t="str">
        <x:v>Jeremiah Hasley</x:v>
      </x:c>
      <x:c r="C54" t="n">
        <x:v>83</x:v>
      </x:c>
      <x:c r="D54" t="str">
        <x:v>Platinum Rare</x:v>
      </x:c>
      <x:c r="E54" s="46" t="n">
        <x:v>79.15306122448979</x:v>
      </x:c>
      <x:c r="F54" s="46" t="n">
        <x:v>78.59223300970874</x:v>
      </x:c>
      <x:c r="G54" t="str">
        <x:v>NO</x:v>
      </x:c>
    </x:row>
    <x:row r="55">
      <x:c r="A55" t="str">
        <x:v>TE-0034</x:v>
      </x:c>
      <x:c r="B55" t="str">
        <x:v>Elija Lofton</x:v>
      </x:c>
      <x:c r="C55" t="n">
        <x:v>82</x:v>
      </x:c>
      <x:c r="D55" t="str">
        <x:v>Platinum Rare</x:v>
      </x:c>
      <x:c r="E55" s="46" t="n">
        <x:v>78.51020408163265</x:v>
      </x:c>
      <x:c r="F55" s="46" t="n">
        <x:v>77.60194174757281</x:v>
      </x:c>
      <x:c r="G55" t="str">
        <x:v>NO</x:v>
      </x:c>
    </x:row>
    <x:row r="58">
      <x:c r="A58" s="157" t="str">
        <x:v>Remaining v1.3 Cross-OVR Inversions — Do Not Refit Yet</x:v>
      </x:c>
      <x:c r="B58" s="157"/>
      <x:c r="C58" s="157"/>
      <x:c r="D58" s="157"/>
      <x:c r="E58" s="157"/>
      <x:c r="F58" s="157"/>
      <x:c r="G58" s="157"/>
      <x:c r="H58" s="157"/>
      <x:c r="I58" s="157"/>
      <x:c r="J58" s="157"/>
      <x:c r="K58" s="157"/>
      <x:c r="L58" s="157"/>
    </x:row>
    <x:row r="59">
      <x:c r="A59" s="159" t="str">
        <x:v>Higher OVR Card</x:v>
      </x:c>
      <x:c r="B59" s="159" t="str">
        <x:v>OVR</x:v>
      </x:c>
      <x:c r="C59" s="159" t="str">
        <x:v>Program</x:v>
      </x:c>
      <x:c r="D59" s="159" t="str">
        <x:v>v1.3 Score</x:v>
      </x:c>
      <x:c r="E59" s="159" t="str">
        <x:v>Lower OVR Card</x:v>
      </x:c>
      <x:c r="F59" s="159" t="str">
        <x:v>OVR</x:v>
      </x:c>
      <x:c r="G59" s="159" t="str">
        <x:v>Program</x:v>
      </x:c>
      <x:c r="H59" s="159" t="str">
        <x:v>v1.3 Score</x:v>
      </x:c>
      <x:c r="I59" s="159" t="str">
        <x:v>Inversion</x:v>
      </x:c>
    </x:row>
    <x:row r="60">
      <x:c r="A60" t="str">
        <x:v>Luke Reynolds</x:v>
      </x:c>
      <x:c r="B60" t="n">
        <x:v>82</x:v>
      </x:c>
      <x:c r="C60" t="str">
        <x:v>Core Rare</x:v>
      </x:c>
      <x:c r="D60" s="46" t="n">
        <x:v>76.57281553398059</x:v>
      </x:c>
      <x:c r="E60" s="46" t="str">
        <x:v>Mason Mini</x:v>
      </x:c>
      <x:c r="F60" s="46" t="n">
        <x:v>81</x:v>
      </x:c>
      <x:c r="G60" s="46" t="str">
        <x:v>Platinum Rare</x:v>
      </x:c>
      <x:c r="H60" s="46" t="n">
        <x:v>77.10679611650485</x:v>
      </x:c>
      <x:c r="I60" s="46" t="n">
        <x:v>0.533980582524265</x:v>
      </x:c>
    </x:row>
    <x:row r="61">
      <x:c r="A61" t="str">
        <x:v>Jelani Thurman</x:v>
      </x:c>
      <x:c r="B61" t="n">
        <x:v>81</x:v>
      </x:c>
      <x:c r="C61" t="str">
        <x:v>Core Rare</x:v>
      </x:c>
      <x:c r="D61" s="46" t="n">
        <x:v>75.8252427184466</x:v>
      </x:c>
      <x:c r="E61" s="46" t="str">
        <x:v>Hunter Tipton</x:v>
      </x:c>
      <x:c r="F61" s="46" t="n">
        <x:v>80</x:v>
      </x:c>
      <x:c r="G61" s="46" t="str">
        <x:v>Core Rare</x:v>
      </x:c>
      <x:c r="H61" s="46" t="n">
        <x:v>76.12621359223301</x:v>
      </x:c>
      <x:c r="I61" s="46" t="n">
        <x:v>0.30097087378641163</x:v>
      </x:c>
    </x:row>
    <x:row r="64">
      <x:c r="A64" s="160" t="str">
        <x:v>v1.3 Interpretation</x:v>
      </x:c>
      <x:c r="B64" s="160"/>
      <x:c r="C64" s="160"/>
      <x:c r="D64" s="160"/>
      <x:c r="E64" s="160"/>
      <x:c r="F64" s="160"/>
      <x:c r="G64" s="160"/>
      <x:c r="H64" s="160"/>
      <x:c r="I64" s="160"/>
      <x:c r="J64" s="160"/>
      <x:c r="K64" s="160"/>
      <x:c r="L64" s="160"/>
    </x:row>
    <x:row r="65">
      <x:c r="A65" s="16" t="str">
        <x:v>The research failure set points specifically to Lead Block and Impact Blocking. Both are absent from the historical Madden 19 VT weights, yet in all nine failure pairs the higher-OVR TE has higher LBK and higher IBL. The smallest EA-style integer change that repairs seven of nine failures is +2 LBK and +3 IBL. After freezing that model, the untouched player-disjoint validation remains perfect at 17/17, while overall VT cross-OVR ordering improves from 131/140 under v1.1 to 138/140 under v1.3. Only two inversions remain: Luke Reynolds 82 vs Mason Mini 81, and Jelani Thurman 81 vs Hunter Tipton 80. Those two should be treated as targeted future research cases rather than reasons to refit v1.3 now.</x:v>
      </x:c>
      <x:c r="B65" s="16"/>
      <x:c r="C65" s="16"/>
      <x:c r="D65" s="16"/>
      <x:c r="E65" s="16"/>
      <x:c r="F65" s="16"/>
      <x:c r="G65" s="16"/>
      <x:c r="H65" s="16"/>
      <x:c r="I65" s="16"/>
      <x:c r="J65" s="16"/>
      <x:c r="K65" s="16"/>
      <x:c r="L65" s="16"/>
    </x:row>
    <x:row r="66">
      <x:c r="A66" s="16"/>
      <x:c r="B66" s="16"/>
      <x:c r="C66" s="16"/>
      <x:c r="D66" s="16"/>
      <x:c r="E66" s="16"/>
      <x:c r="F66" s="16"/>
      <x:c r="G66" s="16"/>
      <x:c r="H66" s="16"/>
      <x:c r="I66" s="16"/>
      <x:c r="J66" s="16"/>
      <x:c r="K66" s="16"/>
      <x:c r="L66" s="16"/>
    </x:row>
    <x:row r="67">
      <x:c r="A67" s="16"/>
      <x:c r="B67" s="16"/>
      <x:c r="C67" s="16"/>
      <x:c r="D67" s="16"/>
      <x:c r="E67" s="16"/>
      <x:c r="F67" s="16"/>
      <x:c r="G67" s="16"/>
      <x:c r="H67" s="16"/>
      <x:c r="I67" s="16"/>
      <x:c r="J67" s="16"/>
      <x:c r="K67" s="16"/>
      <x:c r="L67" s="16"/>
    </x:row>
    <x:row r="68">
      <x:c r="A68" s="16"/>
      <x:c r="B68" s="16"/>
      <x:c r="C68" s="16"/>
      <x:c r="D68" s="16"/>
      <x:c r="E68" s="16"/>
      <x:c r="F68" s="16"/>
      <x:c r="G68" s="16"/>
      <x:c r="H68" s="16"/>
      <x:c r="I68" s="16"/>
      <x:c r="J68" s="16"/>
      <x:c r="K68" s="16"/>
      <x:c r="L68" s="16"/>
    </x:row>
    <x:row r="69">
      <x:c r="A69" s="16"/>
      <x:c r="B69" s="16"/>
      <x:c r="C69" s="16"/>
      <x:c r="D69" s="16"/>
      <x:c r="E69" s="16"/>
      <x:c r="F69" s="16"/>
      <x:c r="G69" s="16"/>
      <x:c r="H69" s="16"/>
      <x:c r="I69" s="16"/>
      <x:c r="J69" s="16"/>
      <x:c r="K69" s="16"/>
      <x:c r="L69" s="16"/>
    </x:row>
  </x:sheetData>
  <x:mergeCells>
    <x:mergeCell ref="A1:L1"/>
    <x:mergeCell ref="A2:L2"/>
    <x:mergeCell ref="A10:L10"/>
    <x:mergeCell ref="A21:L21"/>
    <x:mergeCell ref="A34:L34"/>
    <x:mergeCell ref="A47:L47"/>
    <x:mergeCell ref="A58:L58"/>
    <x:mergeCell ref="A64:L64"/>
    <x:mergeCell ref="A65:L69"/>
  </x:mergeCells>
  <x:pageMargins left="0.7" right="0.7" top="0.75" bottom="0.75" header="0.3" footer="0.3"/>
</x:worksheet>
</file>

<file path=xl/worksheets/sheet17.xml><?xml version="1.0" encoding="utf-8"?>
<x:worksheet xmlns:x="http://schemas.openxmlformats.org/spreadsheetml/2006/main">
  <x:sheetFormatPr defaultRowHeight="15"/>
  <x:cols>
    <x:col min="1" max="1" width="12" hidden="0" customWidth="1"/>
    <x:col min="2" max="2" width="24" hidden="0" customWidth="1"/>
    <x:col min="3" max="3" width="8" hidden="0" customWidth="1"/>
    <x:col min="4" max="4" width="24" hidden="0" customWidth="1"/>
    <x:col min="5" max="5" width="8" hidden="0" customWidth="1"/>
    <x:col min="6" max="6" width="16" hidden="0" customWidth="1"/>
    <x:col min="7" max="7" width="12" hidden="0" customWidth="1"/>
    <x:col min="8" max="8" width="12" hidden="0" customWidth="1"/>
    <x:col min="9" max="9" width="12" hidden="0" customWidth="1"/>
    <x:col min="10" max="10" width="18" hidden="0" customWidth="1"/>
  </x:cols>
  <x:sheetData>
    <x:row r="1" ht="28" customHeight="1">
      <x:c r="A1" s="164" t="str">
        <x:v>Operation Pancake — TE Vertical Threat Architecture Investigation</x:v>
      </x:c>
      <x:c r="B1" s="164"/>
      <x:c r="C1" s="164"/>
      <x:c r="D1" s="164"/>
      <x:c r="E1" s="164"/>
      <x:c r="F1" s="164"/>
      <x:c r="G1" s="164"/>
      <x:c r="H1" s="164"/>
      <x:c r="I1" s="164"/>
      <x:c r="J1" s="164"/>
    </x:row>
    <x:row r="2" ht="40" customHeight="1">
      <x:c r="A2" s="167" t="str">
        <x:v>Frozen VT v1.3 is not modified in this phase. The two remaining inversions are used only to generate explanations; every hypothesis is checked against the broader TE controls.</x:v>
      </x:c>
      <x:c r="B2" s="167"/>
      <x:c r="C2" s="167"/>
      <x:c r="D2" s="167"/>
      <x:c r="E2" s="167"/>
      <x:c r="F2" s="167"/>
      <x:c r="G2" s="167"/>
      <x:c r="H2" s="167"/>
      <x:c r="I2" s="167"/>
      <x:c r="J2" s="167"/>
    </x:row>
    <x:row r="4">
      <x:c r="A4" s="170" t="str">
        <x:v>Case</x:v>
      </x:c>
      <x:c r="B4" s="170" t="str">
        <x:v>Higher OVR</x:v>
      </x:c>
      <x:c r="C4" s="170" t="str">
        <x:v>OVR</x:v>
      </x:c>
      <x:c r="D4" s="170" t="str">
        <x:v>v1.3 Score</x:v>
      </x:c>
      <x:c r="E4" s="170" t="str">
        <x:v>Lower OVR</x:v>
      </x:c>
      <x:c r="F4" s="170" t="str">
        <x:v>OVR</x:v>
      </x:c>
      <x:c r="G4" s="170" t="str">
        <x:v>v1.3 Score</x:v>
      </x:c>
      <x:c r="H4" s="170" t="str">
        <x:v>Margin</x:v>
      </x:c>
      <x:c r="I4" s="170" t="str">
        <x:v>Strongest Clue</x:v>
      </x:c>
      <x:c r="J4" s="170" t="str">
        <x:v>Current Explanation</x:v>
      </x:c>
    </x:row>
    <x:row r="5">
      <x:c r="A5" s="16" t="str">
        <x:v>A</x:v>
      </x:c>
      <x:c r="B5" s="16" t="str">
        <x:v>Luke Reynolds</x:v>
      </x:c>
      <x:c r="C5" s="16" t="n">
        <x:v>82</x:v>
      </x:c>
      <x:c r="D5" s="49" t="n">
        <x:v>76.57281553398059</x:v>
      </x:c>
      <x:c r="E5" s="49" t="str">
        <x:v>Mason Mini</x:v>
      </x:c>
      <x:c r="F5" s="49" t="n">
        <x:v>81</x:v>
      </x:c>
      <x:c r="G5" s="49" t="n">
        <x:v>77.10679611650485</x:v>
      </x:c>
      <x:c r="H5" s="49" t="n">
        <x:v>-0.533980582524265</x:v>
      </x:c>
      <x:c r="I5" s="16" t="str">
        <x:v>Luke +13 CIT/+11 IBL, but Mason +13 STR/+7 AWR/+6 MRR/+11 RLS/+14 BTK.</x:v>
      </x:c>
      <x:c r="J5" s="16" t="str">
        <x:v>Not determinable from current visible attributes. Simple CIT/blocking/threshold fixes do not generalize; likely exact receiving weights or another input differ from v1.3.</x:v>
      </x:c>
    </x:row>
    <x:row r="6">
      <x:c r="A6" s="16" t="str">
        <x:v>B</x:v>
      </x:c>
      <x:c r="B6" s="16" t="str">
        <x:v>Jelani Thurman</x:v>
      </x:c>
      <x:c r="C6" s="16" t="n">
        <x:v>81</x:v>
      </x:c>
      <x:c r="D6" s="49" t="n">
        <x:v>75.8252427184466</x:v>
      </x:c>
      <x:c r="E6" s="49" t="str">
        <x:v>Hunter Tipton</x:v>
      </x:c>
      <x:c r="F6" s="49" t="n">
        <x:v>80</x:v>
      </x:c>
      <x:c r="G6" s="49" t="n">
        <x:v>76.12621359223301</x:v>
      </x:c>
      <x:c r="H6" s="49" t="n">
        <x:v>-0.30097087378641163</x:v>
      </x:c>
      <x:c r="I6" s="16" t="str">
        <x:v>Jelani +14 IBL/+12 STR/+9 RBP and beats Hunter under both Possession and Blocking scores.</x:v>
      </x:c>
      <x:c r="J6" s="16" t="str">
        <x:v>Strong evidence v1.3 still under-credits some non-receiving positional value. STR, COD or additional IBL can each repair this case post-hoc, but none has prospective proof.</x:v>
      </x:c>
    </x:row>
    <x:row r="9">
      <x:c r="A9" s="172" t="str">
        <x:v>Hypothesis Register — Tested Without Changing Frozen v1.3</x:v>
      </x:c>
      <x:c r="B9" s="172"/>
      <x:c r="C9" s="172"/>
      <x:c r="D9" s="172"/>
      <x:c r="E9" s="172"/>
      <x:c r="F9" s="172"/>
      <x:c r="G9" s="172"/>
      <x:c r="H9" s="172"/>
      <x:c r="I9" s="172"/>
      <x:c r="J9" s="172"/>
    </x:row>
    <x:row r="10">
      <x:c r="A10" s="175" t="str">
        <x:v>ID</x:v>
      </x:c>
      <x:c r="B10" s="175" t="str">
        <x:v>Hypothesis</x:v>
      </x:c>
      <x:c r="C10" s="175" t="str">
        <x:v>Diagnostic Formula</x:v>
      </x:c>
      <x:c r="D10" s="175" t="str">
        <x:v>Correct Pairs</x:v>
      </x:c>
      <x:c r="E10" s="175" t="str">
        <x:v>Total Pairs</x:v>
      </x:c>
      <x:c r="F10" s="175" t="str">
        <x:v>Accuracy</x:v>
      </x:c>
      <x:c r="G10" s="175" t="str">
        <x:v>Luke/Mason</x:v>
      </x:c>
      <x:c r="H10" s="175" t="str">
        <x:v>Jelani/Hunter</x:v>
      </x:c>
      <x:c r="I10" s="175" t="str">
        <x:v>Remaining Inversions</x:v>
      </x:c>
      <x:c r="J10" s="175" t="str">
        <x:v>Result</x:v>
      </x:c>
    </x:row>
    <x:row r="11">
      <x:c r="A11" s="16" t="str">
        <x:v>H1</x:v>
      </x:c>
      <x:c r="B11" s="16" t="str">
        <x:v>Frozen v1.3 baseline</x:v>
      </x:c>
      <x:c r="C11" s="16" t="str">
        <x:v>v1.3 unchanged</x:v>
      </x:c>
      <x:c r="D11" s="16" t="n">
        <x:v>138</x:v>
      </x:c>
      <x:c r="E11" s="16" t="n">
        <x:v>140</x:v>
      </x:c>
      <x:c r="F11" s="75" t="n">
        <x:v>0.9857142857142858</x:v>
      </x:c>
      <x:c r="G11" s="16" t="str">
        <x:v>MISS</x:v>
      </x:c>
      <x:c r="H11" s="16" t="str">
        <x:v>MISS</x:v>
      </x:c>
      <x:c r="I11" s="16" t="n">
        <x:v>2</x:v>
      </x:c>
      <x:c r="J11" s="16" t="str">
        <x:v>CONTROL</x:v>
      </x:c>
    </x:row>
    <x:row r="12">
      <x:c r="A12" s="16" t="str">
        <x:v>H2</x:v>
      </x:c>
      <x:c r="B12" s="16" t="str">
        <x:v>Program/card modifier</x:v>
      </x:c>
      <x:c r="C12" s="16" t="str">
        <x:v>Program identity directly changes OVR score</x:v>
      </x:c>
      <x:c r="D12" s="16" t="n">
        <x:v>138</x:v>
      </x:c>
      <x:c r="E12" s="16" t="n">
        <x:v>140</x:v>
      </x:c>
      <x:c r="F12" s="75" t="n">
        <x:v>0.9857142857142858</x:v>
      </x:c>
      <x:c r="G12" s="16" t="str">
        <x:v>MISS</x:v>
      </x:c>
      <x:c r="H12" s="16" t="str">
        <x:v>MISS</x:v>
      </x:c>
      <x:c r="I12" s="16" t="n">
        <x:v>2</x:v>
      </x:c>
      <x:c r="J12" s="16" t="str">
        <x:v>REJECTED AS GENERAL CAUSE</x:v>
      </x:c>
    </x:row>
    <x:row r="13">
      <x:c r="A13" s="16" t="str">
        <x:v>H3</x:v>
      </x:c>
      <x:c r="B13" s="16" t="str">
        <x:v>Simple rounding / threshold only</x:v>
      </x:c>
      <x:c r="C13" s="16" t="str">
        <x:v>A monotonic final rounding step alone explains the two inversions</x:v>
      </x:c>
      <x:c r="D13" s="16" t="n">
        <x:v>138</x:v>
      </x:c>
      <x:c r="E13" s="16" t="n">
        <x:v>140</x:v>
      </x:c>
      <x:c r="F13" s="75" t="n">
        <x:v>0.9857142857142858</x:v>
      </x:c>
      <x:c r="G13" s="16" t="str">
        <x:v>MISS</x:v>
      </x:c>
      <x:c r="H13" s="16" t="str">
        <x:v>MISS</x:v>
      </x:c>
      <x:c r="I13" s="16" t="n">
        <x:v>2</x:v>
      </x:c>
      <x:c r="J13" s="16" t="str">
        <x:v>REJECTED AS SOLE CAUSE</x:v>
      </x:c>
    </x:row>
    <x:row r="14">
      <x:c r="A14" s="16" t="str">
        <x:v>H4</x:v>
      </x:c>
      <x:c r="B14" s="16" t="str">
        <x:v>Max-of-archetypes</x:v>
      </x:c>
      <x:c r="C14" s="16" t="str">
        <x:v>Use max(v1.3, Possession, Blocking)</x:v>
      </x:c>
      <x:c r="D14" s="16" t="n">
        <x:v>134</x:v>
      </x:c>
      <x:c r="E14" s="16" t="n">
        <x:v>140</x:v>
      </x:c>
      <x:c r="F14" s="75" t="n">
        <x:v>0.9571428571428572</x:v>
      </x:c>
      <x:c r="G14" s="16" t="str">
        <x:v>MISS</x:v>
      </x:c>
      <x:c r="H14" s="16" t="str">
        <x:v>PASS</x:v>
      </x:c>
      <x:c r="I14" s="16" t="n">
        <x:v>6</x:v>
      </x:c>
      <x:c r="J14" s="16" t="str">
        <x:v>REJECTED</x:v>
      </x:c>
    </x:row>
    <x:row r="15">
      <x:c r="A15" s="16" t="str">
        <x:v>H5</x:v>
      </x:c>
      <x:c r="B15" s="16" t="str">
        <x:v>Large shared blocking component</x:v>
      </x:c>
      <x:c r="C15" s="16" t="str">
        <x:v>75% v1.3 + 25% Blocking</x:v>
      </x:c>
      <x:c r="D15" s="16" t="n">
        <x:v>127</x:v>
      </x:c>
      <x:c r="E15" s="16" t="n">
        <x:v>140</x:v>
      </x:c>
      <x:c r="F15" s="75" t="n">
        <x:v>0.9071428571428571</x:v>
      </x:c>
      <x:c r="G15" s="16" t="str">
        <x:v>MISS</x:v>
      </x:c>
      <x:c r="H15" s="16" t="str">
        <x:v>PASS</x:v>
      </x:c>
      <x:c r="I15" s="16" t="n">
        <x:v>13</x:v>
      </x:c>
      <x:c r="J15" s="16" t="str">
        <x:v>REJECTED</x:v>
      </x:c>
    </x:row>
    <x:row r="16">
      <x:c r="A16" s="16" t="str">
        <x:v>H6</x:v>
      </x:c>
      <x:c r="B16" s="16" t="str">
        <x:v>Tiny shared blocking component</x:v>
      </x:c>
      <x:c r="C16" s="16" t="str">
        <x:v>98% v1.3 + 2% Blocking</x:v>
      </x:c>
      <x:c r="D16" s="16" t="n">
        <x:v>138</x:v>
      </x:c>
      <x:c r="E16" s="16" t="n">
        <x:v>140</x:v>
      </x:c>
      <x:c r="F16" s="75" t="n">
        <x:v>0.9857142857142858</x:v>
      </x:c>
      <x:c r="G16" s="16" t="str">
        <x:v>MISS</x:v>
      </x:c>
      <x:c r="H16" s="16" t="str">
        <x:v>MISS</x:v>
      </x:c>
      <x:c r="I16" s="16" t="n">
        <x:v>2</x:v>
      </x:c>
      <x:c r="J16" s="16" t="str">
        <x:v>NEUTRAL / INSUFFICIENT</x:v>
      </x:c>
    </x:row>
    <x:row r="17">
      <x:c r="A17" s="16" t="str">
        <x:v>H7</x:v>
      </x:c>
      <x:c r="B17" s="16" t="str">
        <x:v>Low-CIT nonlinear penalty</x:v>
      </x:c>
      <x:c r="C17" s="16" t="str">
        <x:v>v1.3 − 0.15×max(0,75−CIT)</x:v>
      </x:c>
      <x:c r="D17" s="16" t="n">
        <x:v>131</x:v>
      </x:c>
      <x:c r="E17" s="16" t="n">
        <x:v>140</x:v>
      </x:c>
      <x:c r="F17" s="75" t="n">
        <x:v>0.9357142857142857</x:v>
      </x:c>
      <x:c r="G17" s="16" t="str">
        <x:v>PASS</x:v>
      </x:c>
      <x:c r="H17" s="16" t="str">
        <x:v>MISS</x:v>
      </x:c>
      <x:c r="I17" s="16" t="n">
        <x:v>9</x:v>
      </x:c>
      <x:c r="J17" s="16" t="str">
        <x:v>REJECTED</x:v>
      </x:c>
    </x:row>
    <x:row r="18">
      <x:c r="A18" s="16" t="str">
        <x:v>H8</x:v>
      </x:c>
      <x:c r="B18" s="16" t="str">
        <x:v>STR as missing positional value</x:v>
      </x:c>
      <x:c r="C18" s="16" t="str">
        <x:v>Add diagnostic STR weight +3</x:v>
      </x:c>
      <x:c r="D18" s="16" t="n">
        <x:v>139</x:v>
      </x:c>
      <x:c r="E18" s="16" t="n">
        <x:v>140</x:v>
      </x:c>
      <x:c r="F18" s="75" t="n">
        <x:v>0.9928571428571429</x:v>
      </x:c>
      <x:c r="G18" s="16" t="str">
        <x:v>MISS</x:v>
      </x:c>
      <x:c r="H18" s="16" t="str">
        <x:v>PASS</x:v>
      </x:c>
      <x:c r="I18" s="16" t="n">
        <x:v>1</x:v>
      </x:c>
      <x:c r="J18" s="16" t="str">
        <x:v>SUPPORTED DIAGNOSTIC; NOT PROMOTED</x:v>
      </x:c>
    </x:row>
    <x:row r="19">
      <x:c r="A19" s="16" t="str">
        <x:v>H9</x:v>
      </x:c>
      <x:c r="B19" s="16" t="str">
        <x:v>COD as modern Elusiveness replacement</x:v>
      </x:c>
      <x:c r="C19" s="16" t="str">
        <x:v>Add diagnostic COD weight +4</x:v>
      </x:c>
      <x:c r="D19" s="16" t="n">
        <x:v>139</x:v>
      </x:c>
      <x:c r="E19" s="16" t="n">
        <x:v>140</x:v>
      </x:c>
      <x:c r="F19" s="75" t="n">
        <x:v>0.9928571428571429</x:v>
      </x:c>
      <x:c r="G19" s="16" t="str">
        <x:v>MISS</x:v>
      </x:c>
      <x:c r="H19" s="16" t="str">
        <x:v>PASS</x:v>
      </x:c>
      <x:c r="I19" s="16" t="n">
        <x:v>1</x:v>
      </x:c>
      <x:c r="J19" s="16" t="str">
        <x:v>SUPPORTED DIAGNOSTIC; NOT PROMOTED</x:v>
      </x:c>
    </x:row>
    <x:row r="20">
      <x:c r="A20" s="16" t="str">
        <x:v>H10</x:v>
      </x:c>
      <x:c r="B20" s="16" t="str">
        <x:v>More IBL than v1.3</x:v>
      </x:c>
      <x:c r="C20" s="16" t="str">
        <x:v>Add diagnostic +6 additional IBL weight</x:v>
      </x:c>
      <x:c r="D20" s="16" t="n">
        <x:v>139</x:v>
      </x:c>
      <x:c r="E20" s="16" t="n">
        <x:v>140</x:v>
      </x:c>
      <x:c r="F20" s="75" t="n">
        <x:v>0.9928571428571429</x:v>
      </x:c>
      <x:c r="G20" s="16" t="str">
        <x:v>PASS</x:v>
      </x:c>
      <x:c r="H20" s="16" t="str">
        <x:v>PASS</x:v>
      </x:c>
      <x:c r="I20" s="16" t="n">
        <x:v>1</x:v>
      </x:c>
      <x:c r="J20" s="16" t="str">
        <x:v>SUPPORTED DIAGNOSTIC; NOT PROMOTED</x:v>
      </x:c>
    </x:row>
    <x:row r="23">
      <x:c r="A23" s="177" t="str">
        <x:v>v1.3 Score Bands and Rounding/Threshold Test</x:v>
      </x:c>
      <x:c r="B23" s="177"/>
      <x:c r="C23" s="177"/>
      <x:c r="D23" s="177"/>
      <x:c r="E23" s="177"/>
      <x:c r="F23" s="177"/>
      <x:c r="G23" s="177"/>
      <x:c r="H23" s="177"/>
      <x:c r="I23" s="177"/>
      <x:c r="J23" s="177"/>
    </x:row>
    <x:row r="24">
      <x:c r="A24" s="179" t="str">
        <x:v>OVR</x:v>
      </x:c>
      <x:c r="B24" s="179" t="str">
        <x:v>VT Cards</x:v>
      </x:c>
      <x:c r="C24" s="179" t="str">
        <x:v>Min v1.3</x:v>
      </x:c>
      <x:c r="D24" s="179" t="str">
        <x:v>Max v1.3</x:v>
      </x:c>
      <x:c r="E24" s="179" t="str">
        <x:v>Overlap with Prior OVR</x:v>
      </x:c>
    </x:row>
    <x:row r="25">
      <x:c r="A25" t="n">
        <x:v>80</x:v>
      </x:c>
      <x:c r="B25" t="n">
        <x:v>7</x:v>
      </x:c>
      <x:c r="C25" s="46" t="n">
        <x:v>74.53398058252426</x:v>
      </x:c>
      <x:c r="D25" s="46" t="n">
        <x:v>76.12621359223301</x:v>
      </x:c>
      <x:c r="E25" s="46"/>
    </x:row>
    <x:row r="26">
      <x:c r="A26" t="n">
        <x:v>81</x:v>
      </x:c>
      <x:c r="B26" t="n">
        <x:v>3</x:v>
      </x:c>
      <x:c r="C26" s="46" t="n">
        <x:v>75.8252427184466</x:v>
      </x:c>
      <x:c r="D26" s="46" t="n">
        <x:v>77.10679611650485</x:v>
      </x:c>
      <x:c r="E26" s="46" t="n">
        <x:v>0.30097087378641163</x:v>
      </x:c>
    </x:row>
    <x:row r="27">
      <x:c r="A27" t="n">
        <x:v>82</x:v>
      </x:c>
      <x:c r="B27" t="n">
        <x:v>3</x:v>
      </x:c>
      <x:c r="C27" s="46" t="n">
        <x:v>76.57281553398059</x:v>
      </x:c>
      <x:c r="D27" s="46" t="n">
        <x:v>77.60194174757281</x:v>
      </x:c>
      <x:c r="E27" s="46" t="n">
        <x:v>0.533980582524265</x:v>
      </x:c>
    </x:row>
    <x:row r="28">
      <x:c r="A28" t="n">
        <x:v>83</x:v>
      </x:c>
      <x:c r="B28" t="n">
        <x:v>2</x:v>
      </x:c>
      <x:c r="C28" s="46" t="n">
        <x:v>78.2135922330097</x:v>
      </x:c>
      <x:c r="D28" s="46" t="n">
        <x:v>78.59223300970874</x:v>
      </x:c>
      <x:c r="E28" s="46" t="n">
        <x:v>-0.6116504854368969</x:v>
      </x:c>
    </x:row>
    <x:row r="29">
      <x:c r="A29" t="n">
        <x:v>84</x:v>
      </x:c>
      <x:c r="B29" t="n">
        <x:v>3</x:v>
      </x:c>
      <x:c r="C29" s="46" t="n">
        <x:v>79</x:v>
      </x:c>
      <x:c r="D29" s="46" t="n">
        <x:v>79.46601941747574</x:v>
      </x:c>
      <x:c r="E29" s="46" t="n">
        <x:v>-0.4077669902912646</x:v>
      </x:c>
    </x:row>
    <x:row r="30">
      <x:c r="A30" t="n">
        <x:v>85</x:v>
      </x:c>
      <x:c r="B30" t="n">
        <x:v>1</x:v>
      </x:c>
      <x:c r="C30" s="46" t="n">
        <x:v>80.45631067961165</x:v>
      </x:c>
      <x:c r="D30" s="46" t="n">
        <x:v>80.45631067961165</x:v>
      </x:c>
      <x:c r="E30" s="46" t="n">
        <x:v>-0.9902912621359121</x:v>
      </x:c>
    </x:row>
    <x:row r="31">
      <x:c r="A31" s="16" t="str">
        <x:v>The only v1.3 band overlaps are 80→81 (0.301) and 81→82 (0.534), exactly the two residual inversions. A monotonic rounding/curve step cannot by itself make a lower v1.3 score map to a higher OVR; another input, weight, or modifier is required.</x:v>
      </x:c>
      <x:c r="B31" s="16"/>
      <x:c r="C31" s="16"/>
      <x:c r="D31" s="16"/>
      <x:c r="E31" s="16"/>
      <x:c r="F31" s="16"/>
      <x:c r="G31" s="16"/>
      <x:c r="H31" s="16"/>
      <x:c r="I31" s="16"/>
      <x:c r="J31" s="16"/>
    </x:row>
    <x:row r="32">
      <x:c r="A32" s="16"/>
      <x:c r="B32" s="16"/>
      <x:c r="C32" s="16"/>
      <x:c r="D32" s="16"/>
      <x:c r="E32" s="16"/>
      <x:c r="F32" s="16"/>
      <x:c r="G32" s="16"/>
      <x:c r="H32" s="16"/>
      <x:c r="I32" s="16"/>
      <x:c r="J32" s="16"/>
    </x:row>
    <x:row r="33">
      <x:c r="A33" s="16"/>
      <x:c r="B33" s="16"/>
      <x:c r="C33" s="16"/>
      <x:c r="D33" s="16"/>
      <x:c r="E33" s="16"/>
      <x:c r="F33" s="16"/>
      <x:c r="G33" s="16"/>
      <x:c r="H33" s="16"/>
      <x:c r="I33" s="16"/>
      <x:c r="J33" s="16"/>
    </x:row>
    <x:row r="35">
      <x:c r="A35" s="181" t="str">
        <x:v>Program / Card-Version Controls</x:v>
      </x:c>
      <x:c r="B35" s="181"/>
      <x:c r="C35" s="181"/>
      <x:c r="D35" s="181"/>
      <x:c r="E35" s="181"/>
      <x:c r="F35" s="181"/>
      <x:c r="G35" s="181"/>
      <x:c r="H35" s="181"/>
      <x:c r="I35" s="181"/>
      <x:c r="J35" s="181"/>
    </x:row>
    <x:row r="36">
      <x:c r="A36" s="184" t="str">
        <x:v>Player</x:v>
      </x:c>
      <x:c r="B36" s="184" t="str">
        <x:v>OVR</x:v>
      </x:c>
      <x:c r="C36" s="184" t="str">
        <x:v>Programs</x:v>
      </x:c>
      <x:c r="D36" s="184" t="str">
        <x:v>Versions</x:v>
      </x:c>
      <x:c r="E36" s="184" t="str">
        <x:v>Distinct Rating Profiles</x:v>
      </x:c>
      <x:c r="F36" s="184" t="str">
        <x:v>Finding</x:v>
      </x:c>
    </x:row>
    <x:row r="37">
      <x:c r="A37" s="16" t="str">
        <x:v>Jamari Johnson</x:v>
      </x:c>
      <x:c r="B37" s="16" t="n">
        <x:v>85</x:v>
      </x:c>
      <x:c r="C37" s="16" t="str">
        <x:v>Platinum Rare | Core Rare</x:v>
      </x:c>
      <x:c r="D37" s="16" t="n">
        <x:v>2</x:v>
      </x:c>
      <x:c r="E37" s="16" t="n">
        <x:v>1</x:v>
      </x:c>
      <x:c r="F37" s="16" t="str">
        <x:v>IDENTICAL RATINGS ACROSS PROGRAMS</x:v>
      </x:c>
    </x:row>
    <x:row r="38">
      <x:c r="A38" s="16" t="str">
        <x:v>Hunter Tipton</x:v>
      </x:c>
      <x:c r="B38" s="16" t="n">
        <x:v>80</x:v>
      </x:c>
      <x:c r="C38" s="16" t="str">
        <x:v>Cornerstones | Core Rare</x:v>
      </x:c>
      <x:c r="D38" s="16" t="n">
        <x:v>2</x:v>
      </x:c>
      <x:c r="E38" s="16" t="n">
        <x:v>2</x:v>
      </x:c>
      <x:c r="F38" s="16" t="str">
        <x:v>DIFFERENT RATINGS, SAME OVR</x:v>
      </x:c>
    </x:row>
    <x:row r="39">
      <x:c r="A39" s="16" t="str">
        <x:v>Walker Lyons</x:v>
      </x:c>
      <x:c r="B39" s="16" t="n">
        <x:v>80</x:v>
      </x:c>
      <x:c r="C39" s="16" t="str">
        <x:v>Platinum Rare | Core Rare</x:v>
      </x:c>
      <x:c r="D39" s="16" t="n">
        <x:v>2</x:v>
      </x:c>
      <x:c r="E39" s="16" t="n">
        <x:v>1</x:v>
      </x:c>
      <x:c r="F39" s="16" t="str">
        <x:v>IDENTICAL RATINGS ACROSS PROGRAMS</x:v>
      </x:c>
    </x:row>
    <x:row r="40">
      <x:c r="A40" s="16" t="str">
        <x:v>Ty Washington</x:v>
      </x:c>
      <x:c r="B40" s="16" t="n">
        <x:v>80</x:v>
      </x:c>
      <x:c r="C40" s="16" t="str">
        <x:v>Core Rare | Platinum Rare</x:v>
      </x:c>
      <x:c r="D40" s="16" t="n">
        <x:v>2</x:v>
      </x:c>
      <x:c r="E40" s="16" t="n">
        <x:v>1</x:v>
      </x:c>
      <x:c r="F40" s="16" t="str">
        <x:v>IDENTICAL RATINGS ACROSS PROGRAMS</x:v>
      </x:c>
    </x:row>
    <x:row r="41">
      <x:c r="A41" s="16" t="str">
        <x:v>Program identity is not supported as an OVR input. Jamari Johnson and Ty Washington have identical ratings/OVR across different program labels, while Jelani Thurman and Hunter Tipton are both Core Rare yet still form a residual inversion. Program versions can redistribute attributes at the same OVR, but there is no evidence of a direct program bonus.</x:v>
      </x:c>
      <x:c r="B41" s="16"/>
      <x:c r="C41" s="16"/>
      <x:c r="D41" s="16"/>
      <x:c r="E41" s="16"/>
      <x:c r="F41" s="16"/>
      <x:c r="G41" s="16"/>
      <x:c r="H41" s="16"/>
      <x:c r="I41" s="16"/>
      <x:c r="J41" s="16"/>
    </x:row>
    <x:row r="42">
      <x:c r="A42" s="16"/>
      <x:c r="B42" s="16"/>
      <x:c r="C42" s="16"/>
      <x:c r="D42" s="16"/>
      <x:c r="E42" s="16"/>
      <x:c r="F42" s="16"/>
      <x:c r="G42" s="16"/>
      <x:c r="H42" s="16"/>
      <x:c r="I42" s="16"/>
      <x:c r="J42" s="16"/>
    </x:row>
    <x:row r="43">
      <x:c r="A43" s="16"/>
      <x:c r="B43" s="16"/>
      <x:c r="C43" s="16"/>
      <x:c r="D43" s="16"/>
      <x:c r="E43" s="16"/>
      <x:c r="F43" s="16"/>
      <x:c r="G43" s="16"/>
      <x:c r="H43" s="16"/>
      <x:c r="I43" s="16"/>
      <x:c r="J43" s="16"/>
    </x:row>
    <x:row r="45">
      <x:c r="A45" s="186" t="str">
        <x:v>Shared TE Positional Component Test</x:v>
      </x:c>
      <x:c r="B45" s="186"/>
      <x:c r="C45" s="186"/>
      <x:c r="D45" s="186"/>
      <x:c r="E45" s="186"/>
      <x:c r="F45" s="186"/>
      <x:c r="G45" s="186"/>
      <x:c r="H45" s="186"/>
      <x:c r="I45" s="186"/>
      <x:c r="J45" s="186"/>
    </x:row>
    <x:row r="46">
      <x:c r="A46" s="188" t="str">
        <x:v>Blocking Mix</x:v>
      </x:c>
      <x:c r="B46" s="188" t="str">
        <x:v>Archetype</x:v>
      </x:c>
      <x:c r="C46" s="188" t="str">
        <x:v>Correct Pairs</x:v>
      </x:c>
      <x:c r="D46" s="188" t="str">
        <x:v>Total Pairs</x:v>
      </x:c>
      <x:c r="E46" s="188" t="str">
        <x:v>Accuracy</x:v>
      </x:c>
    </x:row>
    <x:row r="47">
      <x:c r="A47" s="189" t="n">
        <x:v>0</x:v>
      </x:c>
      <x:c r="B47" t="str">
        <x:v>Gritty Possession</x:v>
      </x:c>
      <x:c r="C47" t="n">
        <x:v>97</x:v>
      </x:c>
      <x:c r="D47" t="n">
        <x:v>98</x:v>
      </x:c>
      <x:c r="E47" s="74" t="n">
        <x:v>0.9897959183673469</x:v>
      </x:c>
    </x:row>
    <x:row r="48">
      <x:c r="A48" s="189" t="n">
        <x:v>0</x:v>
      </x:c>
      <x:c r="B48" t="str">
        <x:v>Vertical Threat</x:v>
      </x:c>
      <x:c r="C48" t="n">
        <x:v>138</x:v>
      </x:c>
      <x:c r="D48" t="n">
        <x:v>140</x:v>
      </x:c>
      <x:c r="E48" s="74" t="n">
        <x:v>0.9857142857142858</x:v>
      </x:c>
    </x:row>
    <x:row r="49">
      <x:c r="A49" s="189" t="n">
        <x:v>0</x:v>
      </x:c>
      <x:c r="B49" t="str">
        <x:v>Physical Route Runner</x:v>
      </x:c>
      <x:c r="C49" t="n">
        <x:v>404</x:v>
      </x:c>
      <x:c r="D49" t="n">
        <x:v>404</x:v>
      </x:c>
      <x:c r="E49" s="74" t="n">
        <x:v>1</x:v>
      </x:c>
    </x:row>
    <x:row r="50">
      <x:c r="A50" s="189" t="n">
        <x:v>0.02</x:v>
      </x:c>
      <x:c r="B50" t="str">
        <x:v>Gritty Possession</x:v>
      </x:c>
      <x:c r="C50" t="n">
        <x:v>97</x:v>
      </x:c>
      <x:c r="D50" t="n">
        <x:v>98</x:v>
      </x:c>
      <x:c r="E50" s="74" t="n">
        <x:v>0.9897959183673469</x:v>
      </x:c>
    </x:row>
    <x:row r="51">
      <x:c r="A51" s="189" t="n">
        <x:v>0.02</x:v>
      </x:c>
      <x:c r="B51" t="str">
        <x:v>Vertical Threat</x:v>
      </x:c>
      <x:c r="C51" t="n">
        <x:v>138</x:v>
      </x:c>
      <x:c r="D51" t="n">
        <x:v>140</x:v>
      </x:c>
      <x:c r="E51" s="74" t="n">
        <x:v>0.9857142857142858</x:v>
      </x:c>
    </x:row>
    <x:row r="52">
      <x:c r="A52" s="189" t="n">
        <x:v>0.02</x:v>
      </x:c>
      <x:c r="B52" t="str">
        <x:v>Physical Route Runner</x:v>
      </x:c>
      <x:c r="C52" t="n">
        <x:v>404</x:v>
      </x:c>
      <x:c r="D52" t="n">
        <x:v>404</x:v>
      </x:c>
      <x:c r="E52" s="74" t="n">
        <x:v>1</x:v>
      </x:c>
    </x:row>
    <x:row r="53">
      <x:c r="A53" s="189" t="n">
        <x:v>0.05</x:v>
      </x:c>
      <x:c r="B53" t="str">
        <x:v>Gritty Possession</x:v>
      </x:c>
      <x:c r="C53" t="n">
        <x:v>98</x:v>
      </x:c>
      <x:c r="D53" t="n">
        <x:v>98</x:v>
      </x:c>
      <x:c r="E53" s="74" t="n">
        <x:v>1</x:v>
      </x:c>
    </x:row>
    <x:row r="54">
      <x:c r="A54" s="189" t="n">
        <x:v>0.05</x:v>
      </x:c>
      <x:c r="B54" t="str">
        <x:v>Vertical Threat</x:v>
      </x:c>
      <x:c r="C54" t="n">
        <x:v>137</x:v>
      </x:c>
      <x:c r="D54" t="n">
        <x:v>140</x:v>
      </x:c>
      <x:c r="E54" s="74" t="n">
        <x:v>0.9785714285714285</x:v>
      </x:c>
    </x:row>
    <x:row r="55">
      <x:c r="A55" s="189" t="n">
        <x:v>0.05</x:v>
      </x:c>
      <x:c r="B55" t="str">
        <x:v>Physical Route Runner</x:v>
      </x:c>
      <x:c r="C55" t="n">
        <x:v>404</x:v>
      </x:c>
      <x:c r="D55" t="n">
        <x:v>404</x:v>
      </x:c>
      <x:c r="E55" s="74" t="n">
        <x:v>1</x:v>
      </x:c>
    </x:row>
    <x:row r="56">
      <x:c r="A56" s="189" t="n">
        <x:v>0.1</x:v>
      </x:c>
      <x:c r="B56" t="str">
        <x:v>Gritty Possession</x:v>
      </x:c>
      <x:c r="C56" t="n">
        <x:v>98</x:v>
      </x:c>
      <x:c r="D56" t="n">
        <x:v>98</x:v>
      </x:c>
      <x:c r="E56" s="74" t="n">
        <x:v>1</x:v>
      </x:c>
    </x:row>
    <x:row r="57">
      <x:c r="A57" s="189" t="n">
        <x:v>0.1</x:v>
      </x:c>
      <x:c r="B57" t="str">
        <x:v>Vertical Threat</x:v>
      </x:c>
      <x:c r="C57" t="n">
        <x:v>136</x:v>
      </x:c>
      <x:c r="D57" t="n">
        <x:v>140</x:v>
      </x:c>
      <x:c r="E57" s="74" t="n">
        <x:v>0.9714285714285714</x:v>
      </x:c>
    </x:row>
    <x:row r="58">
      <x:c r="A58" s="189" t="n">
        <x:v>0.1</x:v>
      </x:c>
      <x:c r="B58" t="str">
        <x:v>Physical Route Runner</x:v>
      </x:c>
      <x:c r="C58" t="n">
        <x:v>398</x:v>
      </x:c>
      <x:c r="D58" t="n">
        <x:v>404</x:v>
      </x:c>
      <x:c r="E58" s="74" t="n">
        <x:v>0.9851485148514851</x:v>
      </x:c>
    </x:row>
    <x:row r="59">
      <x:c r="A59" s="189" t="n">
        <x:v>0.15</x:v>
      </x:c>
      <x:c r="B59" t="str">
        <x:v>Gritty Possession</x:v>
      </x:c>
      <x:c r="C59" t="n">
        <x:v>98</x:v>
      </x:c>
      <x:c r="D59" t="n">
        <x:v>98</x:v>
      </x:c>
      <x:c r="E59" s="74" t="n">
        <x:v>1</x:v>
      </x:c>
    </x:row>
    <x:row r="60">
      <x:c r="A60" s="189" t="n">
        <x:v>0.15</x:v>
      </x:c>
      <x:c r="B60" t="str">
        <x:v>Vertical Threat</x:v>
      </x:c>
      <x:c r="C60" t="n">
        <x:v>132</x:v>
      </x:c>
      <x:c r="D60" t="n">
        <x:v>140</x:v>
      </x:c>
      <x:c r="E60" s="74" t="n">
        <x:v>0.9428571428571428</x:v>
      </x:c>
    </x:row>
    <x:row r="61">
      <x:c r="A61" s="189" t="n">
        <x:v>0.15</x:v>
      </x:c>
      <x:c r="B61" t="str">
        <x:v>Physical Route Runner</x:v>
      </x:c>
      <x:c r="C61" t="n">
        <x:v>388</x:v>
      </x:c>
      <x:c r="D61" t="n">
        <x:v>404</x:v>
      </x:c>
      <x:c r="E61" s="74" t="n">
        <x:v>0.9603960396039604</x:v>
      </x:c>
    </x:row>
    <x:row r="62">
      <x:c r="A62" s="16" t="str">
        <x:v>Evidence supports a SMALL shared positional-competency idea, not a separate large universal blocking score. Gritty already assigns LBK/IBL weight (2/4); Physical Route Runner inherits some through its Possession blend; v1.3 improves Vertical Threat by adding LBK/IBL (2/3). A tiny 2% universal blocking mix changes no current archetype ordering, but 5–15% begins to damage VT/PRR accuracy. Max-of-archetypes and 25% blocking-blend tests also fail. Current confidence: MODERATE that EA embeds small position-wide competency weights inside each archetype formula; LOW that it uses a separate universal/max score.</x:v>
      </x:c>
      <x:c r="B62" s="16"/>
      <x:c r="C62" s="16"/>
      <x:c r="D62" s="16"/>
      <x:c r="E62" s="16"/>
      <x:c r="F62" s="16"/>
      <x:c r="G62" s="16"/>
      <x:c r="H62" s="16"/>
      <x:c r="I62" s="16"/>
      <x:c r="J62" s="16"/>
    </x:row>
    <x:row r="63">
      <x:c r="A63" s="16"/>
      <x:c r="B63" s="16"/>
      <x:c r="C63" s="16"/>
      <x:c r="D63" s="16"/>
      <x:c r="E63" s="16"/>
      <x:c r="F63" s="16"/>
      <x:c r="G63" s="16"/>
      <x:c r="H63" s="16"/>
      <x:c r="I63" s="16"/>
      <x:c r="J63" s="16"/>
    </x:row>
    <x:row r="64">
      <x:c r="A64" s="16"/>
      <x:c r="B64" s="16"/>
      <x:c r="C64" s="16"/>
      <x:c r="D64" s="16"/>
      <x:c r="E64" s="16"/>
      <x:c r="F64" s="16"/>
      <x:c r="G64" s="16"/>
      <x:c r="H64" s="16"/>
      <x:c r="I64" s="16"/>
      <x:c r="J64" s="16"/>
    </x:row>
    <x:row r="65">
      <x:c r="A65" s="16"/>
      <x:c r="B65" s="16"/>
      <x:c r="C65" s="16"/>
      <x:c r="D65" s="16"/>
      <x:c r="E65" s="16"/>
      <x:c r="F65" s="16"/>
      <x:c r="G65" s="16"/>
      <x:c r="H65" s="16"/>
      <x:c r="I65" s="16"/>
      <x:c r="J65" s="16"/>
    </x:row>
    <x:row r="66">
      <x:c r="A66" s="16"/>
      <x:c r="B66" s="16"/>
      <x:c r="C66" s="16"/>
      <x:c r="D66" s="16"/>
      <x:c r="E66" s="16"/>
      <x:c r="F66" s="16"/>
      <x:c r="G66" s="16"/>
      <x:c r="H66" s="16"/>
      <x:c r="I66" s="16"/>
      <x:c r="J66" s="16"/>
    </x:row>
    <x:row r="68">
      <x:c r="A68" s="190" t="str">
        <x:v>Every Available Attribute — Residual Pair Comparison</x:v>
      </x:c>
      <x:c r="B68" s="190"/>
      <x:c r="C68" s="190"/>
      <x:c r="D68" s="190"/>
      <x:c r="E68" s="190"/>
      <x:c r="F68" s="190"/>
      <x:c r="G68" s="190"/>
      <x:c r="H68" s="190"/>
      <x:c r="I68" s="190"/>
      <x:c r="J68" s="190"/>
    </x:row>
    <x:row r="69">
      <x:c r="A69" s="169" t="str">
        <x:v>Case</x:v>
      </x:c>
      <x:c r="B69" s="169" t="str">
        <x:v>Higher Card</x:v>
      </x:c>
      <x:c r="C69" s="169" t="str">
        <x:v>OVR</x:v>
      </x:c>
      <x:c r="D69" s="169" t="str">
        <x:v>Lower Card</x:v>
      </x:c>
      <x:c r="E69" s="169" t="str">
        <x:v>OVR</x:v>
      </x:c>
      <x:c r="F69" s="169" t="str">
        <x:v>Attribute</x:v>
      </x:c>
      <x:c r="G69" s="169" t="str">
        <x:v>Higher</x:v>
      </x:c>
      <x:c r="H69" s="169" t="str">
        <x:v>Lower</x:v>
      </x:c>
      <x:c r="I69" s="169" t="str">
        <x:v>Difference</x:v>
      </x:c>
      <x:c r="J69" s="169" t="str">
        <x:v>v1.3 Treatment</x:v>
      </x:c>
    </x:row>
    <x:row r="70">
      <x:c r="A70" t="str">
        <x:v>Residual A</x:v>
      </x:c>
      <x:c r="B70" t="str">
        <x:v>Luke Reynolds</x:v>
      </x:c>
      <x:c r="C70" t="n">
        <x:v>82</x:v>
      </x:c>
      <x:c r="D70" t="str">
        <x:v>Mason Mini</x:v>
      </x:c>
      <x:c r="E70" t="n">
        <x:v>81</x:v>
      </x:c>
      <x:c r="F70" t="str">
        <x:v>SPD</x:v>
      </x:c>
      <x:c r="G70" t="n">
        <x:v>84</x:v>
      </x:c>
      <x:c r="H70" t="n">
        <x:v>84</x:v>
      </x:c>
      <x:c r="I70" t="n">
        <x:v>0</x:v>
      </x:c>
      <x:c r="J70" t="str">
        <x:v>IN v1.3</x:v>
      </x:c>
    </x:row>
    <x:row r="71">
      <x:c r="A71" t="str">
        <x:v>Residual A</x:v>
      </x:c>
      <x:c r="B71" t="str">
        <x:v>Luke Reynolds</x:v>
      </x:c>
      <x:c r="C71" t="n">
        <x:v>82</x:v>
      </x:c>
      <x:c r="D71" t="str">
        <x:v>Mason Mini</x:v>
      </x:c>
      <x:c r="E71" t="n">
        <x:v>81</x:v>
      </x:c>
      <x:c r="F71" t="str">
        <x:v>ACC</x:v>
      </x:c>
      <x:c r="G71" t="n">
        <x:v>84</x:v>
      </x:c>
      <x:c r="H71" t="n">
        <x:v>81</x:v>
      </x:c>
      <x:c r="I71" t="n">
        <x:v>3</x:v>
      </x:c>
      <x:c r="J71" t="str">
        <x:v>IN v1.3</x:v>
      </x:c>
    </x:row>
    <x:row r="72">
      <x:c r="A72" t="str">
        <x:v>Residual A</x:v>
      </x:c>
      <x:c r="B72" t="str">
        <x:v>Luke Reynolds</x:v>
      </x:c>
      <x:c r="C72" t="n">
        <x:v>82</x:v>
      </x:c>
      <x:c r="D72" t="str">
        <x:v>Mason Mini</x:v>
      </x:c>
      <x:c r="E72" t="n">
        <x:v>81</x:v>
      </x:c>
      <x:c r="F72" t="str">
        <x:v>AGI</x:v>
      </x:c>
      <x:c r="G72" t="n">
        <x:v>77</x:v>
      </x:c>
      <x:c r="H72" t="n">
        <x:v>79</x:v>
      </x:c>
      <x:c r="I72" t="n">
        <x:v>-2</x:v>
      </x:c>
      <x:c r="J72" t="str">
        <x:v>IN v1.3</x:v>
      </x:c>
    </x:row>
    <x:row r="73">
      <x:c r="A73" t="str">
        <x:v>Residual A</x:v>
      </x:c>
      <x:c r="B73" t="str">
        <x:v>Luke Reynolds</x:v>
      </x:c>
      <x:c r="C73" t="n">
        <x:v>82</x:v>
      </x:c>
      <x:c r="D73" t="str">
        <x:v>Mason Mini</x:v>
      </x:c>
      <x:c r="E73" t="n">
        <x:v>81</x:v>
      </x:c>
      <x:c r="F73" t="str">
        <x:v>AWR</x:v>
      </x:c>
      <x:c r="G73" t="n">
        <x:v>75</x:v>
      </x:c>
      <x:c r="H73" t="n">
        <x:v>82</x:v>
      </x:c>
      <x:c r="I73" t="n">
        <x:v>-7</x:v>
      </x:c>
      <x:c r="J73" t="str">
        <x:v>IN v1.3</x:v>
      </x:c>
    </x:row>
    <x:row r="74">
      <x:c r="A74" t="str">
        <x:v>Residual A</x:v>
      </x:c>
      <x:c r="B74" t="str">
        <x:v>Luke Reynolds</x:v>
      </x:c>
      <x:c r="C74" t="n">
        <x:v>82</x:v>
      </x:c>
      <x:c r="D74" t="str">
        <x:v>Mason Mini</x:v>
      </x:c>
      <x:c r="E74" t="n">
        <x:v>81</x:v>
      </x:c>
      <x:c r="F74" t="str">
        <x:v>STR</x:v>
      </x:c>
      <x:c r="G74" t="n">
        <x:v>64</x:v>
      </x:c>
      <x:c r="H74" t="n">
        <x:v>77</x:v>
      </x:c>
      <x:c r="I74" t="n">
        <x:v>-13</x:v>
      </x:c>
      <x:c r="J74" t="str">
        <x:v>OMITTED</x:v>
      </x:c>
    </x:row>
    <x:row r="75">
      <x:c r="A75" t="str">
        <x:v>Residual A</x:v>
      </x:c>
      <x:c r="B75" t="str">
        <x:v>Luke Reynolds</x:v>
      </x:c>
      <x:c r="C75" t="n">
        <x:v>82</x:v>
      </x:c>
      <x:c r="D75" t="str">
        <x:v>Mason Mini</x:v>
      </x:c>
      <x:c r="E75" t="n">
        <x:v>81</x:v>
      </x:c>
      <x:c r="F75" t="str">
        <x:v>JMP</x:v>
      </x:c>
      <x:c r="G75" t="n">
        <x:v>81</x:v>
      </x:c>
      <x:c r="H75" t="n">
        <x:v>76</x:v>
      </x:c>
      <x:c r="I75" t="n">
        <x:v>5</x:v>
      </x:c>
      <x:c r="J75" t="str">
        <x:v>IN v1.3</x:v>
      </x:c>
    </x:row>
    <x:row r="76">
      <x:c r="A76" t="str">
        <x:v>Residual A</x:v>
      </x:c>
      <x:c r="B76" t="str">
        <x:v>Luke Reynolds</x:v>
      </x:c>
      <x:c r="C76" t="n">
        <x:v>82</x:v>
      </x:c>
      <x:c r="D76" t="str">
        <x:v>Mason Mini</x:v>
      </x:c>
      <x:c r="E76" t="n">
        <x:v>81</x:v>
      </x:c>
      <x:c r="F76" t="str">
        <x:v>TGH</x:v>
      </x:c>
      <x:c r="G76" t="n">
        <x:v>80</x:v>
      </x:c>
      <x:c r="H76" t="n">
        <x:v>81</x:v>
      </x:c>
      <x:c r="I76" t="n">
        <x:v>-1</x:v>
      </x:c>
      <x:c r="J76" t="str">
        <x:v>OMITTED</x:v>
      </x:c>
    </x:row>
    <x:row r="77">
      <x:c r="A77" t="str">
        <x:v>Residual A</x:v>
      </x:c>
      <x:c r="B77" t="str">
        <x:v>Luke Reynolds</x:v>
      </x:c>
      <x:c r="C77" t="n">
        <x:v>82</x:v>
      </x:c>
      <x:c r="D77" t="str">
        <x:v>Mason Mini</x:v>
      </x:c>
      <x:c r="E77" t="n">
        <x:v>81</x:v>
      </x:c>
      <x:c r="F77" t="str">
        <x:v>CTH</x:v>
      </x:c>
      <x:c r="G77" t="n">
        <x:v>82</x:v>
      </x:c>
      <x:c r="H77" t="n">
        <x:v>84</x:v>
      </x:c>
      <x:c r="I77" t="n">
        <x:v>-2</x:v>
      </x:c>
      <x:c r="J77" t="str">
        <x:v>IN v1.3</x:v>
      </x:c>
    </x:row>
    <x:row r="78">
      <x:c r="A78" t="str">
        <x:v>Residual A</x:v>
      </x:c>
      <x:c r="B78" t="str">
        <x:v>Luke Reynolds</x:v>
      </x:c>
      <x:c r="C78" t="n">
        <x:v>82</x:v>
      </x:c>
      <x:c r="D78" t="str">
        <x:v>Mason Mini</x:v>
      </x:c>
      <x:c r="E78" t="n">
        <x:v>81</x:v>
      </x:c>
      <x:c r="F78" t="str">
        <x:v>CIT</x:v>
      </x:c>
      <x:c r="G78" t="n">
        <x:v>81</x:v>
      </x:c>
      <x:c r="H78" t="n">
        <x:v>68</x:v>
      </x:c>
      <x:c r="I78" t="n">
        <x:v>13</x:v>
      </x:c>
      <x:c r="J78" t="str">
        <x:v>IN v1.3</x:v>
      </x:c>
    </x:row>
    <x:row r="79">
      <x:c r="A79" t="str">
        <x:v>Residual A</x:v>
      </x:c>
      <x:c r="B79" t="str">
        <x:v>Luke Reynolds</x:v>
      </x:c>
      <x:c r="C79" t="n">
        <x:v>82</x:v>
      </x:c>
      <x:c r="D79" t="str">
        <x:v>Mason Mini</x:v>
      </x:c>
      <x:c r="E79" t="n">
        <x:v>81</x:v>
      </x:c>
      <x:c r="F79" t="str">
        <x:v>SRR</x:v>
      </x:c>
      <x:c r="G79" t="n">
        <x:v>81</x:v>
      </x:c>
      <x:c r="H79" t="n">
        <x:v>78</x:v>
      </x:c>
      <x:c r="I79" t="n">
        <x:v>3</x:v>
      </x:c>
      <x:c r="J79" t="str">
        <x:v>IN v1.3</x:v>
      </x:c>
    </x:row>
    <x:row r="80">
      <x:c r="A80" t="str">
        <x:v>Residual A</x:v>
      </x:c>
      <x:c r="B80" t="str">
        <x:v>Luke Reynolds</x:v>
      </x:c>
      <x:c r="C80" t="n">
        <x:v>82</x:v>
      </x:c>
      <x:c r="D80" t="str">
        <x:v>Mason Mini</x:v>
      </x:c>
      <x:c r="E80" t="n">
        <x:v>81</x:v>
      </x:c>
      <x:c r="F80" t="str">
        <x:v>MRR</x:v>
      </x:c>
      <x:c r="G80" t="n">
        <x:v>78</x:v>
      </x:c>
      <x:c r="H80" t="n">
        <x:v>84</x:v>
      </x:c>
      <x:c r="I80" t="n">
        <x:v>-6</x:v>
      </x:c>
      <x:c r="J80" t="str">
        <x:v>IN v1.3</x:v>
      </x:c>
    </x:row>
    <x:row r="81">
      <x:c r="A81" t="str">
        <x:v>Residual A</x:v>
      </x:c>
      <x:c r="B81" t="str">
        <x:v>Luke Reynolds</x:v>
      </x:c>
      <x:c r="C81" t="n">
        <x:v>82</x:v>
      </x:c>
      <x:c r="D81" t="str">
        <x:v>Mason Mini</x:v>
      </x:c>
      <x:c r="E81" t="n">
        <x:v>81</x:v>
      </x:c>
      <x:c r="F81" t="str">
        <x:v>DRR</x:v>
      </x:c>
      <x:c r="G81" t="n">
        <x:v>81</x:v>
      </x:c>
      <x:c r="H81" t="n">
        <x:v>72</x:v>
      </x:c>
      <x:c r="I81" t="n">
        <x:v>9</x:v>
      </x:c>
      <x:c r="J81" t="str">
        <x:v>IN v1.3</x:v>
      </x:c>
    </x:row>
    <x:row r="82">
      <x:c r="A82" t="str">
        <x:v>Residual A</x:v>
      </x:c>
      <x:c r="B82" t="str">
        <x:v>Luke Reynolds</x:v>
      </x:c>
      <x:c r="C82" t="n">
        <x:v>82</x:v>
      </x:c>
      <x:c r="D82" t="str">
        <x:v>Mason Mini</x:v>
      </x:c>
      <x:c r="E82" t="n">
        <x:v>81</x:v>
      </x:c>
      <x:c r="F82" t="str">
        <x:v>SPC</x:v>
      </x:c>
      <x:c r="G82" t="n">
        <x:v>81</x:v>
      </x:c>
      <x:c r="H82" t="n">
        <x:v>83</x:v>
      </x:c>
      <x:c r="I82" t="n">
        <x:v>-2</x:v>
      </x:c>
      <x:c r="J82" t="str">
        <x:v>IN v1.3</x:v>
      </x:c>
    </x:row>
    <x:row r="83">
      <x:c r="A83" t="str">
        <x:v>Residual A</x:v>
      </x:c>
      <x:c r="B83" t="str">
        <x:v>Luke Reynolds</x:v>
      </x:c>
      <x:c r="C83" t="n">
        <x:v>82</x:v>
      </x:c>
      <x:c r="D83" t="str">
        <x:v>Mason Mini</x:v>
      </x:c>
      <x:c r="E83" t="n">
        <x:v>81</x:v>
      </x:c>
      <x:c r="F83" t="str">
        <x:v>RLS</x:v>
      </x:c>
      <x:c r="G83" t="n">
        <x:v>66</x:v>
      </x:c>
      <x:c r="H83" t="n">
        <x:v>77</x:v>
      </x:c>
      <x:c r="I83" t="n">
        <x:v>-11</x:v>
      </x:c>
      <x:c r="J83" t="str">
        <x:v>IN v1.3</x:v>
      </x:c>
    </x:row>
    <x:row r="84">
      <x:c r="A84" t="str">
        <x:v>Residual A</x:v>
      </x:c>
      <x:c r="B84" t="str">
        <x:v>Luke Reynolds</x:v>
      </x:c>
      <x:c r="C84" t="n">
        <x:v>82</x:v>
      </x:c>
      <x:c r="D84" t="str">
        <x:v>Mason Mini</x:v>
      </x:c>
      <x:c r="E84" t="n">
        <x:v>81</x:v>
      </x:c>
      <x:c r="F84" t="str">
        <x:v>CAR</x:v>
      </x:c>
      <x:c r="G84" t="n">
        <x:v>65</x:v>
      </x:c>
      <x:c r="H84" t="n">
        <x:v>72</x:v>
      </x:c>
      <x:c r="I84" t="n">
        <x:v>-7</x:v>
      </x:c>
      <x:c r="J84" t="str">
        <x:v>OMITTED</x:v>
      </x:c>
    </x:row>
    <x:row r="85">
      <x:c r="A85" t="str">
        <x:v>Residual A</x:v>
      </x:c>
      <x:c r="B85" t="str">
        <x:v>Luke Reynolds</x:v>
      </x:c>
      <x:c r="C85" t="n">
        <x:v>82</x:v>
      </x:c>
      <x:c r="D85" t="str">
        <x:v>Mason Mini</x:v>
      </x:c>
      <x:c r="E85" t="n">
        <x:v>81</x:v>
      </x:c>
      <x:c r="F85" t="str">
        <x:v>BCV</x:v>
      </x:c>
      <x:c r="G85" t="n">
        <x:v>71</x:v>
      </x:c>
      <x:c r="H85" t="n">
        <x:v>83</x:v>
      </x:c>
      <x:c r="I85" t="n">
        <x:v>-12</x:v>
      </x:c>
      <x:c r="J85" t="str">
        <x:v>IN v1.3</x:v>
      </x:c>
    </x:row>
    <x:row r="86">
      <x:c r="A86" t="str">
        <x:v>Residual A</x:v>
      </x:c>
      <x:c r="B86" t="str">
        <x:v>Luke Reynolds</x:v>
      </x:c>
      <x:c r="C86" t="n">
        <x:v>82</x:v>
      </x:c>
      <x:c r="D86" t="str">
        <x:v>Mason Mini</x:v>
      </x:c>
      <x:c r="E86" t="n">
        <x:v>81</x:v>
      </x:c>
      <x:c r="F86" t="str">
        <x:v>JKM</x:v>
      </x:c>
      <x:c r="G86" t="n">
        <x:v>68</x:v>
      </x:c>
      <x:c r="H86" t="n">
        <x:v>76</x:v>
      </x:c>
      <x:c r="I86" t="n">
        <x:v>-8</x:v>
      </x:c>
      <x:c r="J86" t="str">
        <x:v>OMITTED</x:v>
      </x:c>
    </x:row>
    <x:row r="87">
      <x:c r="A87" t="str">
        <x:v>Residual A</x:v>
      </x:c>
      <x:c r="B87" t="str">
        <x:v>Luke Reynolds</x:v>
      </x:c>
      <x:c r="C87" t="n">
        <x:v>82</x:v>
      </x:c>
      <x:c r="D87" t="str">
        <x:v>Mason Mini</x:v>
      </x:c>
      <x:c r="E87" t="n">
        <x:v>81</x:v>
      </x:c>
      <x:c r="F87" t="str">
        <x:v>SPM</x:v>
      </x:c>
      <x:c r="G87" t="n">
        <x:v>71</x:v>
      </x:c>
      <x:c r="H87" t="n">
        <x:v>77</x:v>
      </x:c>
      <x:c r="I87" t="n">
        <x:v>-6</x:v>
      </x:c>
      <x:c r="J87" t="str">
        <x:v>OMITTED</x:v>
      </x:c>
    </x:row>
    <x:row r="88">
      <x:c r="A88" t="str">
        <x:v>Residual A</x:v>
      </x:c>
      <x:c r="B88" t="str">
        <x:v>Luke Reynolds</x:v>
      </x:c>
      <x:c r="C88" t="n">
        <x:v>82</x:v>
      </x:c>
      <x:c r="D88" t="str">
        <x:v>Mason Mini</x:v>
      </x:c>
      <x:c r="E88" t="n">
        <x:v>81</x:v>
      </x:c>
      <x:c r="F88" t="str">
        <x:v>TRK</x:v>
      </x:c>
      <x:c r="G88" t="n">
        <x:v>49</x:v>
      </x:c>
      <x:c r="H88" t="n">
        <x:v>54</x:v>
      </x:c>
      <x:c r="I88" t="n">
        <x:v>-5</x:v>
      </x:c>
      <x:c r="J88" t="str">
        <x:v>IN v1.3</x:v>
      </x:c>
    </x:row>
    <x:row r="89">
      <x:c r="A89" t="str">
        <x:v>Residual A</x:v>
      </x:c>
      <x:c r="B89" t="str">
        <x:v>Luke Reynolds</x:v>
      </x:c>
      <x:c r="C89" t="n">
        <x:v>82</x:v>
      </x:c>
      <x:c r="D89" t="str">
        <x:v>Mason Mini</x:v>
      </x:c>
      <x:c r="E89" t="n">
        <x:v>81</x:v>
      </x:c>
      <x:c r="F89" t="str">
        <x:v>SFA</x:v>
      </x:c>
      <x:c r="G89" t="n">
        <x:v>65</x:v>
      </x:c>
      <x:c r="H89" t="n">
        <x:v>70</x:v>
      </x:c>
      <x:c r="I89" t="n">
        <x:v>-5</x:v>
      </x:c>
      <x:c r="J89" t="str">
        <x:v>IN v1.3</x:v>
      </x:c>
    </x:row>
    <x:row r="90">
      <x:c r="A90" t="str">
        <x:v>Residual A</x:v>
      </x:c>
      <x:c r="B90" t="str">
        <x:v>Luke Reynolds</x:v>
      </x:c>
      <x:c r="C90" t="n">
        <x:v>82</x:v>
      </x:c>
      <x:c r="D90" t="str">
        <x:v>Mason Mini</x:v>
      </x:c>
      <x:c r="E90" t="n">
        <x:v>81</x:v>
      </x:c>
      <x:c r="F90" t="str">
        <x:v>COD</x:v>
      </x:c>
      <x:c r="G90" t="n">
        <x:v>83</x:v>
      </x:c>
      <x:c r="H90" t="n">
        <x:v>81</x:v>
      </x:c>
      <x:c r="I90" t="n">
        <x:v>2</x:v>
      </x:c>
      <x:c r="J90" t="str">
        <x:v>OMITTED</x:v>
      </x:c>
    </x:row>
    <x:row r="91">
      <x:c r="A91" t="str">
        <x:v>Residual A</x:v>
      </x:c>
      <x:c r="B91" t="str">
        <x:v>Luke Reynolds</x:v>
      </x:c>
      <x:c r="C91" t="n">
        <x:v>82</x:v>
      </x:c>
      <x:c r="D91" t="str">
        <x:v>Mason Mini</x:v>
      </x:c>
      <x:c r="E91" t="n">
        <x:v>81</x:v>
      </x:c>
      <x:c r="F91" t="str">
        <x:v>BTK</x:v>
      </x:c>
      <x:c r="G91" t="n">
        <x:v>63</x:v>
      </x:c>
      <x:c r="H91" t="n">
        <x:v>77</x:v>
      </x:c>
      <x:c r="I91" t="n">
        <x:v>-14</x:v>
      </x:c>
      <x:c r="J91" t="str">
        <x:v>IN v1.3</x:v>
      </x:c>
    </x:row>
    <x:row r="92">
      <x:c r="A92" t="str">
        <x:v>Residual A</x:v>
      </x:c>
      <x:c r="B92" t="str">
        <x:v>Luke Reynolds</x:v>
      </x:c>
      <x:c r="C92" t="n">
        <x:v>82</x:v>
      </x:c>
      <x:c r="D92" t="str">
        <x:v>Mason Mini</x:v>
      </x:c>
      <x:c r="E92" t="n">
        <x:v>81</x:v>
      </x:c>
      <x:c r="F92" t="str">
        <x:v>RBK</x:v>
      </x:c>
      <x:c r="G92" t="n">
        <x:v>63</x:v>
      </x:c>
      <x:c r="H92" t="n">
        <x:v>64</x:v>
      </x:c>
      <x:c r="I92" t="n">
        <x:v>-1</x:v>
      </x:c>
      <x:c r="J92" t="str">
        <x:v>IN v1.3</x:v>
      </x:c>
    </x:row>
    <x:row r="93">
      <x:c r="A93" t="str">
        <x:v>Residual A</x:v>
      </x:c>
      <x:c r="B93" t="str">
        <x:v>Luke Reynolds</x:v>
      </x:c>
      <x:c r="C93" t="n">
        <x:v>82</x:v>
      </x:c>
      <x:c r="D93" t="str">
        <x:v>Mason Mini</x:v>
      </x:c>
      <x:c r="E93" t="n">
        <x:v>81</x:v>
      </x:c>
      <x:c r="F93" t="str">
        <x:v>RBF</x:v>
      </x:c>
      <x:c r="G93" t="n">
        <x:v>65</x:v>
      </x:c>
      <x:c r="H93" t="n">
        <x:v>74</x:v>
      </x:c>
      <x:c r="I93" t="n">
        <x:v>-9</x:v>
      </x:c>
      <x:c r="J93" t="str">
        <x:v>IN v1.3</x:v>
      </x:c>
    </x:row>
    <x:row r="94">
      <x:c r="A94" t="str">
        <x:v>Residual A</x:v>
      </x:c>
      <x:c r="B94" t="str">
        <x:v>Luke Reynolds</x:v>
      </x:c>
      <x:c r="C94" t="n">
        <x:v>82</x:v>
      </x:c>
      <x:c r="D94" t="str">
        <x:v>Mason Mini</x:v>
      </x:c>
      <x:c r="E94" t="n">
        <x:v>81</x:v>
      </x:c>
      <x:c r="F94" t="str">
        <x:v>RBP</x:v>
      </x:c>
      <x:c r="G94" t="n">
        <x:v>68</x:v>
      </x:c>
      <x:c r="H94" t="n">
        <x:v>74</x:v>
      </x:c>
      <x:c r="I94" t="n">
        <x:v>-6</x:v>
      </x:c>
      <x:c r="J94" t="str">
        <x:v>IN v1.3</x:v>
      </x:c>
    </x:row>
    <x:row r="95">
      <x:c r="A95" t="str">
        <x:v>Residual A</x:v>
      </x:c>
      <x:c r="B95" t="str">
        <x:v>Luke Reynolds</x:v>
      </x:c>
      <x:c r="C95" t="n">
        <x:v>82</x:v>
      </x:c>
      <x:c r="D95" t="str">
        <x:v>Mason Mini</x:v>
      </x:c>
      <x:c r="E95" t="n">
        <x:v>81</x:v>
      </x:c>
      <x:c r="F95" t="str">
        <x:v>PBK</x:v>
      </x:c>
      <x:c r="G95" t="n">
        <x:v>63</x:v>
      </x:c>
      <x:c r="H95" t="n">
        <x:v>56</x:v>
      </x:c>
      <x:c r="I95" t="n">
        <x:v>7</x:v>
      </x:c>
      <x:c r="J95" t="str">
        <x:v>IN v1.3</x:v>
      </x:c>
    </x:row>
    <x:row r="96">
      <x:c r="A96" t="str">
        <x:v>Residual A</x:v>
      </x:c>
      <x:c r="B96" t="str">
        <x:v>Luke Reynolds</x:v>
      </x:c>
      <x:c r="C96" t="n">
        <x:v>82</x:v>
      </x:c>
      <x:c r="D96" t="str">
        <x:v>Mason Mini</x:v>
      </x:c>
      <x:c r="E96" t="n">
        <x:v>81</x:v>
      </x:c>
      <x:c r="F96" t="str">
        <x:v>PBF</x:v>
      </x:c>
      <x:c r="G96" t="n">
        <x:v>73</x:v>
      </x:c>
      <x:c r="H96" t="n">
        <x:v>70</x:v>
      </x:c>
      <x:c r="I96" t="n">
        <x:v>3</x:v>
      </x:c>
      <x:c r="J96" t="str">
        <x:v>IN v1.3</x:v>
      </x:c>
    </x:row>
    <x:row r="97">
      <x:c r="A97" t="str">
        <x:v>Residual A</x:v>
      </x:c>
      <x:c r="B97" t="str">
        <x:v>Luke Reynolds</x:v>
      </x:c>
      <x:c r="C97" t="n">
        <x:v>82</x:v>
      </x:c>
      <x:c r="D97" t="str">
        <x:v>Mason Mini</x:v>
      </x:c>
      <x:c r="E97" t="n">
        <x:v>81</x:v>
      </x:c>
      <x:c r="F97" t="str">
        <x:v>PBP</x:v>
      </x:c>
      <x:c r="G97" t="n">
        <x:v>63</x:v>
      </x:c>
      <x:c r="H97" t="n">
        <x:v>61</x:v>
      </x:c>
      <x:c r="I97" t="n">
        <x:v>2</x:v>
      </x:c>
      <x:c r="J97" t="str">
        <x:v>IN v1.3</x:v>
      </x:c>
    </x:row>
    <x:row r="98">
      <x:c r="A98" t="str">
        <x:v>Residual A</x:v>
      </x:c>
      <x:c r="B98" t="str">
        <x:v>Luke Reynolds</x:v>
      </x:c>
      <x:c r="C98" t="n">
        <x:v>82</x:v>
      </x:c>
      <x:c r="D98" t="str">
        <x:v>Mason Mini</x:v>
      </x:c>
      <x:c r="E98" t="n">
        <x:v>81</x:v>
      </x:c>
      <x:c r="F98" t="str">
        <x:v>LBK</x:v>
      </x:c>
      <x:c r="G98" t="n">
        <x:v>74</x:v>
      </x:c>
      <x:c r="H98" t="n">
        <x:v>72</x:v>
      </x:c>
      <x:c r="I98" t="n">
        <x:v>2</x:v>
      </x:c>
      <x:c r="J98" t="str">
        <x:v>IN v1.3</x:v>
      </x:c>
    </x:row>
    <x:row r="99">
      <x:c r="A99" t="str">
        <x:v>Residual A</x:v>
      </x:c>
      <x:c r="B99" t="str">
        <x:v>Luke Reynolds</x:v>
      </x:c>
      <x:c r="C99" t="n">
        <x:v>82</x:v>
      </x:c>
      <x:c r="D99" t="str">
        <x:v>Mason Mini</x:v>
      </x:c>
      <x:c r="E99" t="n">
        <x:v>81</x:v>
      </x:c>
      <x:c r="F99" t="str">
        <x:v>IBL</x:v>
      </x:c>
      <x:c r="G99" t="n">
        <x:v>77</x:v>
      </x:c>
      <x:c r="H99" t="n">
        <x:v>66</x:v>
      </x:c>
      <x:c r="I99" t="n">
        <x:v>11</x:v>
      </x:c>
      <x:c r="J99" t="str">
        <x:v>IN v1.3</x:v>
      </x:c>
    </x:row>
    <x:row r="100">
      <x:c r="A100" t="str">
        <x:v>Residual B</x:v>
      </x:c>
      <x:c r="B100" t="str">
        <x:v>Jelani Thurman</x:v>
      </x:c>
      <x:c r="C100" t="n">
        <x:v>81</x:v>
      </x:c>
      <x:c r="D100" t="str">
        <x:v>Hunter Tipton</x:v>
      </x:c>
      <x:c r="E100" t="n">
        <x:v>80</x:v>
      </x:c>
      <x:c r="F100" t="str">
        <x:v>SPD</x:v>
      </x:c>
      <x:c r="G100" t="n">
        <x:v>82</x:v>
      </x:c>
      <x:c r="H100" t="n">
        <x:v>80</x:v>
      </x:c>
      <x:c r="I100" t="n">
        <x:v>2</x:v>
      </x:c>
      <x:c r="J100" t="str">
        <x:v>IN v1.3</x:v>
      </x:c>
    </x:row>
    <x:row r="101">
      <x:c r="A101" t="str">
        <x:v>Residual B</x:v>
      </x:c>
      <x:c r="B101" t="str">
        <x:v>Jelani Thurman</x:v>
      </x:c>
      <x:c r="C101" t="n">
        <x:v>81</x:v>
      </x:c>
      <x:c r="D101" t="str">
        <x:v>Hunter Tipton</x:v>
      </x:c>
      <x:c r="E101" t="n">
        <x:v>80</x:v>
      </x:c>
      <x:c r="F101" t="str">
        <x:v>ACC</x:v>
      </x:c>
      <x:c r="G101" t="n">
        <x:v>83</x:v>
      </x:c>
      <x:c r="H101" t="n">
        <x:v>78</x:v>
      </x:c>
      <x:c r="I101" t="n">
        <x:v>5</x:v>
      </x:c>
      <x:c r="J101" t="str">
        <x:v>IN v1.3</x:v>
      </x:c>
    </x:row>
    <x:row r="102">
      <x:c r="A102" t="str">
        <x:v>Residual B</x:v>
      </x:c>
      <x:c r="B102" t="str">
        <x:v>Jelani Thurman</x:v>
      </x:c>
      <x:c r="C102" t="n">
        <x:v>81</x:v>
      </x:c>
      <x:c r="D102" t="str">
        <x:v>Hunter Tipton</x:v>
      </x:c>
      <x:c r="E102" t="n">
        <x:v>80</x:v>
      </x:c>
      <x:c r="F102" t="str">
        <x:v>AGI</x:v>
      </x:c>
      <x:c r="G102" t="n">
        <x:v>77</x:v>
      </x:c>
      <x:c r="H102" t="n">
        <x:v>73</x:v>
      </x:c>
      <x:c r="I102" t="n">
        <x:v>4</x:v>
      </x:c>
      <x:c r="J102" t="str">
        <x:v>IN v1.3</x:v>
      </x:c>
    </x:row>
    <x:row r="103">
      <x:c r="A103" t="str">
        <x:v>Residual B</x:v>
      </x:c>
      <x:c r="B103" t="str">
        <x:v>Jelani Thurman</x:v>
      </x:c>
      <x:c r="C103" t="n">
        <x:v>81</x:v>
      </x:c>
      <x:c r="D103" t="str">
        <x:v>Hunter Tipton</x:v>
      </x:c>
      <x:c r="E103" t="n">
        <x:v>80</x:v>
      </x:c>
      <x:c r="F103" t="str">
        <x:v>AWR</x:v>
      </x:c>
      <x:c r="G103" t="n">
        <x:v>75</x:v>
      </x:c>
      <x:c r="H103" t="n">
        <x:v>81</x:v>
      </x:c>
      <x:c r="I103" t="n">
        <x:v>-6</x:v>
      </x:c>
      <x:c r="J103" t="str">
        <x:v>IN v1.3</x:v>
      </x:c>
    </x:row>
    <x:row r="104">
      <x:c r="A104" t="str">
        <x:v>Residual B</x:v>
      </x:c>
      <x:c r="B104" t="str">
        <x:v>Jelani Thurman</x:v>
      </x:c>
      <x:c r="C104" t="n">
        <x:v>81</x:v>
      </x:c>
      <x:c r="D104" t="str">
        <x:v>Hunter Tipton</x:v>
      </x:c>
      <x:c r="E104" t="n">
        <x:v>80</x:v>
      </x:c>
      <x:c r="F104" t="str">
        <x:v>STR</x:v>
      </x:c>
      <x:c r="G104" t="n">
        <x:v>82</x:v>
      </x:c>
      <x:c r="H104" t="n">
        <x:v>70</x:v>
      </x:c>
      <x:c r="I104" t="n">
        <x:v>12</x:v>
      </x:c>
      <x:c r="J104" t="str">
        <x:v>OMITTED</x:v>
      </x:c>
    </x:row>
    <x:row r="105">
      <x:c r="A105" t="str">
        <x:v>Residual B</x:v>
      </x:c>
      <x:c r="B105" t="str">
        <x:v>Jelani Thurman</x:v>
      </x:c>
      <x:c r="C105" t="n">
        <x:v>81</x:v>
      </x:c>
      <x:c r="D105" t="str">
        <x:v>Hunter Tipton</x:v>
      </x:c>
      <x:c r="E105" t="n">
        <x:v>80</x:v>
      </x:c>
      <x:c r="F105" t="str">
        <x:v>JMP</x:v>
      </x:c>
      <x:c r="G105" t="n">
        <x:v>81</x:v>
      </x:c>
      <x:c r="H105" t="n">
        <x:v>77</x:v>
      </x:c>
      <x:c r="I105" t="n">
        <x:v>4</x:v>
      </x:c>
      <x:c r="J105" t="str">
        <x:v>IN v1.3</x:v>
      </x:c>
    </x:row>
    <x:row r="106">
      <x:c r="A106" t="str">
        <x:v>Residual B</x:v>
      </x:c>
      <x:c r="B106" t="str">
        <x:v>Jelani Thurman</x:v>
      </x:c>
      <x:c r="C106" t="n">
        <x:v>81</x:v>
      </x:c>
      <x:c r="D106" t="str">
        <x:v>Hunter Tipton</x:v>
      </x:c>
      <x:c r="E106" t="n">
        <x:v>80</x:v>
      </x:c>
      <x:c r="F106" t="str">
        <x:v>TGH</x:v>
      </x:c>
      <x:c r="G106" t="n">
        <x:v>81</x:v>
      </x:c>
      <x:c r="H106" t="n">
        <x:v>80</x:v>
      </x:c>
      <x:c r="I106" t="n">
        <x:v>1</x:v>
      </x:c>
      <x:c r="J106" t="str">
        <x:v>OMITTED</x:v>
      </x:c>
    </x:row>
    <x:row r="107">
      <x:c r="A107" t="str">
        <x:v>Residual B</x:v>
      </x:c>
      <x:c r="B107" t="str">
        <x:v>Jelani Thurman</x:v>
      </x:c>
      <x:c r="C107" t="n">
        <x:v>81</x:v>
      </x:c>
      <x:c r="D107" t="str">
        <x:v>Hunter Tipton</x:v>
      </x:c>
      <x:c r="E107" t="n">
        <x:v>80</x:v>
      </x:c>
      <x:c r="F107" t="str">
        <x:v>CTH</x:v>
      </x:c>
      <x:c r="G107" t="n">
        <x:v>79</x:v>
      </x:c>
      <x:c r="H107" t="n">
        <x:v>82</x:v>
      </x:c>
      <x:c r="I107" t="n">
        <x:v>-3</x:v>
      </x:c>
      <x:c r="J107" t="str">
        <x:v>IN v1.3</x:v>
      </x:c>
    </x:row>
    <x:row r="108">
      <x:c r="A108" t="str">
        <x:v>Residual B</x:v>
      </x:c>
      <x:c r="B108" t="str">
        <x:v>Jelani Thurman</x:v>
      </x:c>
      <x:c r="C108" t="n">
        <x:v>81</x:v>
      </x:c>
      <x:c r="D108" t="str">
        <x:v>Hunter Tipton</x:v>
      </x:c>
      <x:c r="E108" t="n">
        <x:v>80</x:v>
      </x:c>
      <x:c r="F108" t="str">
        <x:v>CIT</x:v>
      </x:c>
      <x:c r="G108" t="n">
        <x:v>77</x:v>
      </x:c>
      <x:c r="H108" t="n">
        <x:v>76</x:v>
      </x:c>
      <x:c r="I108" t="n">
        <x:v>1</x:v>
      </x:c>
      <x:c r="J108" t="str">
        <x:v>IN v1.3</x:v>
      </x:c>
    </x:row>
    <x:row r="109">
      <x:c r="A109" t="str">
        <x:v>Residual B</x:v>
      </x:c>
      <x:c r="B109" t="str">
        <x:v>Jelani Thurman</x:v>
      </x:c>
      <x:c r="C109" t="n">
        <x:v>81</x:v>
      </x:c>
      <x:c r="D109" t="str">
        <x:v>Hunter Tipton</x:v>
      </x:c>
      <x:c r="E109" t="n">
        <x:v>80</x:v>
      </x:c>
      <x:c r="F109" t="str">
        <x:v>SRR</x:v>
      </x:c>
      <x:c r="G109" t="n">
        <x:v>69</x:v>
      </x:c>
      <x:c r="H109" t="n">
        <x:v>79</x:v>
      </x:c>
      <x:c r="I109" t="n">
        <x:v>-10</x:v>
      </x:c>
      <x:c r="J109" t="str">
        <x:v>IN v1.3</x:v>
      </x:c>
    </x:row>
    <x:row r="110">
      <x:c r="A110" t="str">
        <x:v>Residual B</x:v>
      </x:c>
      <x:c r="B110" t="str">
        <x:v>Jelani Thurman</x:v>
      </x:c>
      <x:c r="C110" t="n">
        <x:v>81</x:v>
      </x:c>
      <x:c r="D110" t="str">
        <x:v>Hunter Tipton</x:v>
      </x:c>
      <x:c r="E110" t="n">
        <x:v>80</x:v>
      </x:c>
      <x:c r="F110" t="str">
        <x:v>MRR</x:v>
      </x:c>
      <x:c r="G110" t="n">
        <x:v>68</x:v>
      </x:c>
      <x:c r="H110" t="n">
        <x:v>73</x:v>
      </x:c>
      <x:c r="I110" t="n">
        <x:v>-5</x:v>
      </x:c>
      <x:c r="J110" t="str">
        <x:v>IN v1.3</x:v>
      </x:c>
    </x:row>
    <x:row r="111">
      <x:c r="A111" t="str">
        <x:v>Residual B</x:v>
      </x:c>
      <x:c r="B111" t="str">
        <x:v>Jelani Thurman</x:v>
      </x:c>
      <x:c r="C111" t="n">
        <x:v>81</x:v>
      </x:c>
      <x:c r="D111" t="str">
        <x:v>Hunter Tipton</x:v>
      </x:c>
      <x:c r="E111" t="n">
        <x:v>80</x:v>
      </x:c>
      <x:c r="F111" t="str">
        <x:v>DRR</x:v>
      </x:c>
      <x:c r="G111" t="n">
        <x:v>62</x:v>
      </x:c>
      <x:c r="H111" t="n">
        <x:v>67</x:v>
      </x:c>
      <x:c r="I111" t="n">
        <x:v>-5</x:v>
      </x:c>
      <x:c r="J111" t="str">
        <x:v>IN v1.3</x:v>
      </x:c>
    </x:row>
    <x:row r="112">
      <x:c r="A112" t="str">
        <x:v>Residual B</x:v>
      </x:c>
      <x:c r="B112" t="str">
        <x:v>Jelani Thurman</x:v>
      </x:c>
      <x:c r="C112" t="n">
        <x:v>81</x:v>
      </x:c>
      <x:c r="D112" t="str">
        <x:v>Hunter Tipton</x:v>
      </x:c>
      <x:c r="E112" t="n">
        <x:v>80</x:v>
      </x:c>
      <x:c r="F112" t="str">
        <x:v>SPC</x:v>
      </x:c>
      <x:c r="G112" t="n">
        <x:v>81</x:v>
      </x:c>
      <x:c r="H112" t="n">
        <x:v>81</x:v>
      </x:c>
      <x:c r="I112" t="n">
        <x:v>0</x:v>
      </x:c>
      <x:c r="J112" t="str">
        <x:v>IN v1.3</x:v>
      </x:c>
    </x:row>
    <x:row r="113">
      <x:c r="A113" t="str">
        <x:v>Residual B</x:v>
      </x:c>
      <x:c r="B113" t="str">
        <x:v>Jelani Thurman</x:v>
      </x:c>
      <x:c r="C113" t="n">
        <x:v>81</x:v>
      </x:c>
      <x:c r="D113" t="str">
        <x:v>Hunter Tipton</x:v>
      </x:c>
      <x:c r="E113" t="n">
        <x:v>80</x:v>
      </x:c>
      <x:c r="F113" t="str">
        <x:v>RLS</x:v>
      </x:c>
      <x:c r="G113" t="n">
        <x:v>82</x:v>
      </x:c>
      <x:c r="H113" t="n">
        <x:v>73</x:v>
      </x:c>
      <x:c r="I113" t="n">
        <x:v>9</x:v>
      </x:c>
      <x:c r="J113" t="str">
        <x:v>IN v1.3</x:v>
      </x:c>
    </x:row>
    <x:row r="114">
      <x:c r="A114" t="str">
        <x:v>Residual B</x:v>
      </x:c>
      <x:c r="B114" t="str">
        <x:v>Jelani Thurman</x:v>
      </x:c>
      <x:c r="C114" t="n">
        <x:v>81</x:v>
      </x:c>
      <x:c r="D114" t="str">
        <x:v>Hunter Tipton</x:v>
      </x:c>
      <x:c r="E114" t="n">
        <x:v>80</x:v>
      </x:c>
      <x:c r="F114" t="str">
        <x:v>CAR</x:v>
      </x:c>
      <x:c r="G114" t="n">
        <x:v>83</x:v>
      </x:c>
      <x:c r="H114" t="n">
        <x:v>79</x:v>
      </x:c>
      <x:c r="I114" t="n">
        <x:v>4</x:v>
      </x:c>
      <x:c r="J114" t="str">
        <x:v>OMITTED</x:v>
      </x:c>
    </x:row>
    <x:row r="115">
      <x:c r="A115" t="str">
        <x:v>Residual B</x:v>
      </x:c>
      <x:c r="B115" t="str">
        <x:v>Jelani Thurman</x:v>
      </x:c>
      <x:c r="C115" t="n">
        <x:v>81</x:v>
      </x:c>
      <x:c r="D115" t="str">
        <x:v>Hunter Tipton</x:v>
      </x:c>
      <x:c r="E115" t="n">
        <x:v>80</x:v>
      </x:c>
      <x:c r="F115" t="str">
        <x:v>BCV</x:v>
      </x:c>
      <x:c r="G115" t="n">
        <x:v>57</x:v>
      </x:c>
      <x:c r="H115" t="n">
        <x:v>63</x:v>
      </x:c>
      <x:c r="I115" t="n">
        <x:v>-6</x:v>
      </x:c>
      <x:c r="J115" t="str">
        <x:v>IN v1.3</x:v>
      </x:c>
    </x:row>
    <x:row r="116">
      <x:c r="A116" t="str">
        <x:v>Residual B</x:v>
      </x:c>
      <x:c r="B116" t="str">
        <x:v>Jelani Thurman</x:v>
      </x:c>
      <x:c r="C116" t="n">
        <x:v>81</x:v>
      </x:c>
      <x:c r="D116" t="str">
        <x:v>Hunter Tipton</x:v>
      </x:c>
      <x:c r="E116" t="n">
        <x:v>80</x:v>
      </x:c>
      <x:c r="F116" t="str">
        <x:v>JKM</x:v>
      </x:c>
      <x:c r="G116" t="n">
        <x:v>67</x:v>
      </x:c>
      <x:c r="H116" t="n">
        <x:v>71</x:v>
      </x:c>
      <x:c r="I116" t="n">
        <x:v>-4</x:v>
      </x:c>
      <x:c r="J116" t="str">
        <x:v>OMITTED</x:v>
      </x:c>
    </x:row>
    <x:row r="117">
      <x:c r="A117" t="str">
        <x:v>Residual B</x:v>
      </x:c>
      <x:c r="B117" t="str">
        <x:v>Jelani Thurman</x:v>
      </x:c>
      <x:c r="C117" t="n">
        <x:v>81</x:v>
      </x:c>
      <x:c r="D117" t="str">
        <x:v>Hunter Tipton</x:v>
      </x:c>
      <x:c r="E117" t="n">
        <x:v>80</x:v>
      </x:c>
      <x:c r="F117" t="str">
        <x:v>SPM</x:v>
      </x:c>
      <x:c r="G117" t="n">
        <x:v>64</x:v>
      </x:c>
      <x:c r="H117" t="n">
        <x:v>69</x:v>
      </x:c>
      <x:c r="I117" t="n">
        <x:v>-5</x:v>
      </x:c>
      <x:c r="J117" t="str">
        <x:v>OMITTED</x:v>
      </x:c>
    </x:row>
    <x:row r="118">
      <x:c r="A118" t="str">
        <x:v>Residual B</x:v>
      </x:c>
      <x:c r="B118" t="str">
        <x:v>Jelani Thurman</x:v>
      </x:c>
      <x:c r="C118" t="n">
        <x:v>81</x:v>
      </x:c>
      <x:c r="D118" t="str">
        <x:v>Hunter Tipton</x:v>
      </x:c>
      <x:c r="E118" t="n">
        <x:v>80</x:v>
      </x:c>
      <x:c r="F118" t="str">
        <x:v>TRK</x:v>
      </x:c>
      <x:c r="G118" t="n">
        <x:v>73</x:v>
      </x:c>
      <x:c r="H118" t="n">
        <x:v>65</x:v>
      </x:c>
      <x:c r="I118" t="n">
        <x:v>8</x:v>
      </x:c>
      <x:c r="J118" t="str">
        <x:v>IN v1.3</x:v>
      </x:c>
    </x:row>
    <x:row r="119">
      <x:c r="A119" t="str">
        <x:v>Residual B</x:v>
      </x:c>
      <x:c r="B119" t="str">
        <x:v>Jelani Thurman</x:v>
      </x:c>
      <x:c r="C119" t="n">
        <x:v>81</x:v>
      </x:c>
      <x:c r="D119" t="str">
        <x:v>Hunter Tipton</x:v>
      </x:c>
      <x:c r="E119" t="n">
        <x:v>80</x:v>
      </x:c>
      <x:c r="F119" t="str">
        <x:v>SFA</x:v>
      </x:c>
      <x:c r="G119" t="n">
        <x:v>71</x:v>
      </x:c>
      <x:c r="H119" t="n">
        <x:v>65</x:v>
      </x:c>
      <x:c r="I119" t="n">
        <x:v>6</x:v>
      </x:c>
      <x:c r="J119" t="str">
        <x:v>IN v1.3</x:v>
      </x:c>
    </x:row>
    <x:row r="120">
      <x:c r="A120" t="str">
        <x:v>Residual B</x:v>
      </x:c>
      <x:c r="B120" t="str">
        <x:v>Jelani Thurman</x:v>
      </x:c>
      <x:c r="C120" t="n">
        <x:v>81</x:v>
      </x:c>
      <x:c r="D120" t="str">
        <x:v>Hunter Tipton</x:v>
      </x:c>
      <x:c r="E120" t="n">
        <x:v>80</x:v>
      </x:c>
      <x:c r="F120" t="str">
        <x:v>COD</x:v>
      </x:c>
      <x:c r="G120" t="n">
        <x:v>81</x:v>
      </x:c>
      <x:c r="H120" t="n">
        <x:v>71</x:v>
      </x:c>
      <x:c r="I120" t="n">
        <x:v>10</x:v>
      </x:c>
      <x:c r="J120" t="str">
        <x:v>OMITTED</x:v>
      </x:c>
    </x:row>
    <x:row r="121">
      <x:c r="A121" t="str">
        <x:v>Residual B</x:v>
      </x:c>
      <x:c r="B121" t="str">
        <x:v>Jelani Thurman</x:v>
      </x:c>
      <x:c r="C121" t="n">
        <x:v>81</x:v>
      </x:c>
      <x:c r="D121" t="str">
        <x:v>Hunter Tipton</x:v>
      </x:c>
      <x:c r="E121" t="n">
        <x:v>80</x:v>
      </x:c>
      <x:c r="F121" t="str">
        <x:v>BTK</x:v>
      </x:c>
      <x:c r="G121" t="n">
        <x:v>59</x:v>
      </x:c>
      <x:c r="H121" t="n">
        <x:v>68</x:v>
      </x:c>
      <x:c r="I121" t="n">
        <x:v>-9</x:v>
      </x:c>
      <x:c r="J121" t="str">
        <x:v>IN v1.3</x:v>
      </x:c>
    </x:row>
    <x:row r="122">
      <x:c r="A122" t="str">
        <x:v>Residual B</x:v>
      </x:c>
      <x:c r="B122" t="str">
        <x:v>Jelani Thurman</x:v>
      </x:c>
      <x:c r="C122" t="n">
        <x:v>81</x:v>
      </x:c>
      <x:c r="D122" t="str">
        <x:v>Hunter Tipton</x:v>
      </x:c>
      <x:c r="E122" t="n">
        <x:v>80</x:v>
      </x:c>
      <x:c r="F122" t="str">
        <x:v>RBK</x:v>
      </x:c>
      <x:c r="G122" t="n">
        <x:v>81</x:v>
      </x:c>
      <x:c r="H122" t="n">
        <x:v>77</x:v>
      </x:c>
      <x:c r="I122" t="n">
        <x:v>4</x:v>
      </x:c>
      <x:c r="J122" t="str">
        <x:v>IN v1.3</x:v>
      </x:c>
    </x:row>
    <x:row r="123">
      <x:c r="A123" t="str">
        <x:v>Residual B</x:v>
      </x:c>
      <x:c r="B123" t="str">
        <x:v>Jelani Thurman</x:v>
      </x:c>
      <x:c r="C123" t="n">
        <x:v>81</x:v>
      </x:c>
      <x:c r="D123" t="str">
        <x:v>Hunter Tipton</x:v>
      </x:c>
      <x:c r="E123" t="n">
        <x:v>80</x:v>
      </x:c>
      <x:c r="F123" t="str">
        <x:v>RBF</x:v>
      </x:c>
      <x:c r="G123" t="n">
        <x:v>81</x:v>
      </x:c>
      <x:c r="H123" t="n">
        <x:v>78</x:v>
      </x:c>
      <x:c r="I123" t="n">
        <x:v>3</x:v>
      </x:c>
      <x:c r="J123" t="str">
        <x:v>IN v1.3</x:v>
      </x:c>
    </x:row>
    <x:row r="124">
      <x:c r="A124" t="str">
        <x:v>Residual B</x:v>
      </x:c>
      <x:c r="B124" t="str">
        <x:v>Jelani Thurman</x:v>
      </x:c>
      <x:c r="C124" t="n">
        <x:v>81</x:v>
      </x:c>
      <x:c r="D124" t="str">
        <x:v>Hunter Tipton</x:v>
      </x:c>
      <x:c r="E124" t="n">
        <x:v>80</x:v>
      </x:c>
      <x:c r="F124" t="str">
        <x:v>RBP</x:v>
      </x:c>
      <x:c r="G124" t="n">
        <x:v>84</x:v>
      </x:c>
      <x:c r="H124" t="n">
        <x:v>75</x:v>
      </x:c>
      <x:c r="I124" t="n">
        <x:v>9</x:v>
      </x:c>
      <x:c r="J124" t="str">
        <x:v>IN v1.3</x:v>
      </x:c>
    </x:row>
    <x:row r="125">
      <x:c r="A125" t="str">
        <x:v>Residual B</x:v>
      </x:c>
      <x:c r="B125" t="str">
        <x:v>Jelani Thurman</x:v>
      </x:c>
      <x:c r="C125" t="n">
        <x:v>81</x:v>
      </x:c>
      <x:c r="D125" t="str">
        <x:v>Hunter Tipton</x:v>
      </x:c>
      <x:c r="E125" t="n">
        <x:v>80</x:v>
      </x:c>
      <x:c r="F125" t="str">
        <x:v>PBK</x:v>
      </x:c>
      <x:c r="G125" t="n">
        <x:v>81</x:v>
      </x:c>
      <x:c r="H125" t="n">
        <x:v>77</x:v>
      </x:c>
      <x:c r="I125" t="n">
        <x:v>4</x:v>
      </x:c>
      <x:c r="J125" t="str">
        <x:v>IN v1.3</x:v>
      </x:c>
    </x:row>
    <x:row r="126">
      <x:c r="A126" t="str">
        <x:v>Residual B</x:v>
      </x:c>
      <x:c r="B126" t="str">
        <x:v>Jelani Thurman</x:v>
      </x:c>
      <x:c r="C126" t="n">
        <x:v>81</x:v>
      </x:c>
      <x:c r="D126" t="str">
        <x:v>Hunter Tipton</x:v>
      </x:c>
      <x:c r="E126" t="n">
        <x:v>80</x:v>
      </x:c>
      <x:c r="F126" t="str">
        <x:v>PBF</x:v>
      </x:c>
      <x:c r="G126" t="n">
        <x:v>81</x:v>
      </x:c>
      <x:c r="H126" t="n">
        <x:v>80</x:v>
      </x:c>
      <x:c r="I126" t="n">
        <x:v>1</x:v>
      </x:c>
      <x:c r="J126" t="str">
        <x:v>IN v1.3</x:v>
      </x:c>
    </x:row>
    <x:row r="127">
      <x:c r="A127" t="str">
        <x:v>Residual B</x:v>
      </x:c>
      <x:c r="B127" t="str">
        <x:v>Jelani Thurman</x:v>
      </x:c>
      <x:c r="C127" t="n">
        <x:v>81</x:v>
      </x:c>
      <x:c r="D127" t="str">
        <x:v>Hunter Tipton</x:v>
      </x:c>
      <x:c r="E127" t="n">
        <x:v>80</x:v>
      </x:c>
      <x:c r="F127" t="str">
        <x:v>PBP</x:v>
      </x:c>
      <x:c r="G127" t="n">
        <x:v>79</x:v>
      </x:c>
      <x:c r="H127" t="n">
        <x:v>79</x:v>
      </x:c>
      <x:c r="I127" t="n">
        <x:v>0</x:v>
      </x:c>
      <x:c r="J127" t="str">
        <x:v>IN v1.3</x:v>
      </x:c>
    </x:row>
    <x:row r="128">
      <x:c r="A128" t="str">
        <x:v>Residual B</x:v>
      </x:c>
      <x:c r="B128" t="str">
        <x:v>Jelani Thurman</x:v>
      </x:c>
      <x:c r="C128" t="n">
        <x:v>81</x:v>
      </x:c>
      <x:c r="D128" t="str">
        <x:v>Hunter Tipton</x:v>
      </x:c>
      <x:c r="E128" t="n">
        <x:v>80</x:v>
      </x:c>
      <x:c r="F128" t="str">
        <x:v>LBK</x:v>
      </x:c>
      <x:c r="G128" t="n">
        <x:v>80</x:v>
      </x:c>
      <x:c r="H128" t="n">
        <x:v>78</x:v>
      </x:c>
      <x:c r="I128" t="n">
        <x:v>2</x:v>
      </x:c>
      <x:c r="J128" t="str">
        <x:v>IN v1.3</x:v>
      </x:c>
    </x:row>
    <x:row r="129">
      <x:c r="A129" t="str">
        <x:v>Residual B</x:v>
      </x:c>
      <x:c r="B129" t="str">
        <x:v>Jelani Thurman</x:v>
      </x:c>
      <x:c r="C129" t="n">
        <x:v>81</x:v>
      </x:c>
      <x:c r="D129" t="str">
        <x:v>Hunter Tipton</x:v>
      </x:c>
      <x:c r="E129" t="n">
        <x:v>80</x:v>
      </x:c>
      <x:c r="F129" t="str">
        <x:v>IBL</x:v>
      </x:c>
      <x:c r="G129" t="n">
        <x:v>81</x:v>
      </x:c>
      <x:c r="H129" t="n">
        <x:v>67</x:v>
      </x:c>
      <x:c r="I129" t="n">
        <x:v>14</x:v>
      </x:c>
      <x:c r="J129" t="str">
        <x:v>IN v1.3</x:v>
      </x:c>
    </x:row>
  </x:sheetData>
  <x:mergeCells>
    <x:mergeCell ref="A1:J1"/>
    <x:mergeCell ref="A2:J2"/>
    <x:mergeCell ref="A9:J9"/>
    <x:mergeCell ref="A23:J23"/>
    <x:mergeCell ref="A31:J33"/>
    <x:mergeCell ref="A35:J35"/>
    <x:mergeCell ref="A41:J43"/>
    <x:mergeCell ref="A45:J45"/>
    <x:mergeCell ref="A62:J66"/>
    <x:mergeCell ref="A68:J68"/>
  </x:mergeCells>
  <x:pageMargins left="0.7" right="0.7" top="0.75" bottom="0.75" header="0.3" footer="0.3"/>
</x:worksheet>
</file>

<file path=xl/worksheets/sheet18.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24" hidden="0" customWidth="1"/>
    <x:col min="6" max="6" width="28" hidden="0" customWidth="1"/>
    <x:col min="7" max="7" width="16" hidden="0" customWidth="1"/>
    <x:col min="8" max="8" width="16" hidden="0" customWidth="1"/>
    <x:col min="9" max="9" width="14" hidden="0" customWidth="1"/>
    <x:col min="10" max="10" width="16" hidden="0" customWidth="1"/>
    <x:col min="5" max="5" width="9" hidden="0" customWidth="1"/>
    <x:col min="11" max="11" width="16" hidden="0" customWidth="1"/>
    <x:col min="12" max="12" width="18" hidden="0" customWidth="1"/>
    <x:col min="13" max="13" width="20" hidden="0" customWidth="1"/>
    <x:col min="14" max="14" width="24" hidden="0" customWidth="1"/>
    <x:col min="15" max="15" width="12" hidden="0" customWidth="1"/>
    <x:col min="16" max="16" width="50" hidden="0" customWidth="1"/>
  </x:cols>
  <x:sheetData>
    <x:row r="1" ht="28" customHeight="1">
      <x:c r="A1" s="164" t="str">
        <x:v>TE Vertical Threat v1.3 — Permanent Prospective Validation Framework</x:v>
      </x:c>
      <x:c r="B1" s="164"/>
      <x:c r="C1" s="164"/>
      <x:c r="D1" s="164"/>
      <x:c r="E1" s="164"/>
      <x:c r="F1" s="164"/>
      <x:c r="G1" s="164"/>
      <x:c r="H1" s="164"/>
      <x:c r="I1" s="164"/>
      <x:c r="J1" s="164"/>
      <x:c r="K1" s="164"/>
      <x:c r="L1" s="164"/>
      <x:c r="M1" s="164"/>
      <x:c r="N1" s="164"/>
      <x:c r="O1" s="164"/>
      <x:c r="P1" s="164"/>
    </x:row>
    <x:row r="2" ht="42" customHeight="1">
      <x:c r="A2" s="167" t="str">
        <x:v>Frozen model: TE-MODEL-006 v1.3. Every Vertical Threat card added after this freeze must be logged here before any model changes are considered. Development/legacy evidence and prospective evidence remain separate.</x:v>
      </x:c>
      <x:c r="B2" s="167"/>
      <x:c r="C2" s="167"/>
      <x:c r="D2" s="167"/>
      <x:c r="E2" s="167"/>
      <x:c r="F2" s="167"/>
      <x:c r="G2" s="167"/>
      <x:c r="H2" s="167"/>
      <x:c r="I2" s="167"/>
      <x:c r="J2" s="167"/>
      <x:c r="K2" s="167"/>
      <x:c r="L2" s="167"/>
      <x:c r="M2" s="167"/>
      <x:c r="N2" s="167"/>
      <x:c r="O2" s="167"/>
      <x:c r="P2" s="167"/>
    </x:row>
    <x:row r="4">
      <x:c r="A4" s="170" t="str">
        <x:v>Setting</x:v>
      </x:c>
      <x:c r="B4" s="170" t="str">
        <x:v>Frozen Value</x:v>
      </x:c>
      <x:c r="C4" s="170" t="str">
        <x:v>Rule</x:v>
      </x:c>
      <x:c r="D4" s="170" t="str">
        <x:v>Status</x:v>
      </x:c>
      <x:c r="F4" s="191" t="str">
        <x:v>OVR</x:v>
      </x:c>
      <x:c r="G4" s="191" t="str">
        <x:v>Reference Cards</x:v>
      </x:c>
      <x:c r="H4" s="191" t="str">
        <x:v>Min v1.3</x:v>
      </x:c>
      <x:c r="I4" s="191" t="str">
        <x:v>Max v1.3</x:v>
      </x:c>
      <x:c r="J4" s="191" t="str">
        <x:v>Current Band Status</x:v>
      </x:c>
    </x:row>
    <x:row r="5">
      <x:c r="A5" s="16" t="str">
        <x:v>Model_ID</x:v>
      </x:c>
      <x:c r="B5" s="16" t="str">
        <x:v>TE-MODEL-006</x:v>
      </x:c>
      <x:c r="C5" s="16" t="str">
        <x:v>Do not alter during prospective validation.</x:v>
      </x:c>
      <x:c r="D5" s="16" t="str">
        <x:v>FROZEN</x:v>
      </x:c>
      <x:c r="F5" t="n">
        <x:v>80</x:v>
      </x:c>
      <x:c r="G5" t="n">
        <x:v>7</x:v>
      </x:c>
      <x:c r="H5" s="46" t="n">
        <x:v>74.53398058252426</x:v>
      </x:c>
      <x:c r="I5" s="46" t="n">
        <x:v>76.12621359223301</x:v>
      </x:c>
      <x:c r="J5" t="str">
        <x:v>BASE</x:v>
      </x:c>
    </x:row>
    <x:row r="6">
      <x:c r="A6" s="16" t="str">
        <x:v>Model version</x:v>
      </x:c>
      <x:c r="B6" s="16" t="str">
        <x:v>v1.3</x:v>
      </x:c>
      <x:c r="C6" s="16" t="str">
        <x:v>+2 LBK +3 IBL added to historical VT prior.</x:v>
      </x:c>
      <x:c r="D6" s="16" t="str">
        <x:v>FROZEN</x:v>
      </x:c>
      <x:c r="F6" t="n">
        <x:v>81</x:v>
      </x:c>
      <x:c r="G6" t="n">
        <x:v>3</x:v>
      </x:c>
      <x:c r="H6" s="46" t="n">
        <x:v>75.8252427184466</x:v>
      </x:c>
      <x:c r="I6" s="46" t="n">
        <x:v>77.10679611650485</x:v>
      </x:c>
      <x:c r="J6" t="str">
        <x:v>OVERLAP</x:v>
      </x:c>
    </x:row>
    <x:row r="7">
      <x:c r="A7" s="16" t="str">
        <x:v>Weight denominator</x:v>
      </x:c>
      <x:c r="B7" s="16" t="str">
        <x:v>103 visible weight points</x:v>
      </x:c>
      <x:c r="C7" s="16" t="str">
        <x:v>ELU unavailable; no invented substitute in frozen model.</x:v>
      </x:c>
      <x:c r="D7" s="16" t="str">
        <x:v>FROZEN</x:v>
      </x:c>
      <x:c r="F7" t="n">
        <x:v>82</x:v>
      </x:c>
      <x:c r="G7" t="n">
        <x:v>3</x:v>
      </x:c>
      <x:c r="H7" s="46" t="n">
        <x:v>76.57281553398059</x:v>
      </x:c>
      <x:c r="I7" s="46" t="n">
        <x:v>77.60194174757281</x:v>
      </x:c>
      <x:c r="J7" t="str">
        <x:v>OVERLAP</x:v>
      </x:c>
    </x:row>
    <x:row r="8">
      <x:c r="A8" s="16" t="str">
        <x:v>Prospective start</x:v>
      </x:c>
      <x:c r="B8" s="16" t="str">
        <x:v>After canonical v1.4 freeze</x:v>
      </x:c>
      <x:c r="C8" s="16" t="str">
        <x:v>Only cards not used in model creation count as prospective evidence.</x:v>
      </x:c>
      <x:c r="D8" s="16" t="str">
        <x:v>ACTIVE</x:v>
      </x:c>
      <x:c r="F8" t="n">
        <x:v>83</x:v>
      </x:c>
      <x:c r="G8" t="n">
        <x:v>2</x:v>
      </x:c>
      <x:c r="H8" s="46" t="n">
        <x:v>78.2135922330097</x:v>
      </x:c>
      <x:c r="I8" s="46" t="n">
        <x:v>78.59223300970874</x:v>
      </x:c>
      <x:c r="J8" t="str">
        <x:v>CLEAN</x:v>
      </x:c>
    </x:row>
    <x:row r="9">
      <x:c r="A9" s="16" t="str">
        <x:v>Pass</x:v>
      </x:c>
      <x:c r="B9" s="16" t="str">
        <x:v>No cross-OVR inversion versus frozen reference/previous prospective cards.</x:v>
      </x:c>
      <x:c r="C9" s="16" t="str">
        <x:v>Classification rule</x:v>
      </x:c>
      <x:c r="D9" s="16" t="str">
        <x:v>ACTIVE</x:v>
      </x:c>
      <x:c r="F9" t="n">
        <x:v>84</x:v>
      </x:c>
      <x:c r="G9" t="n">
        <x:v>3</x:v>
      </x:c>
      <x:c r="H9" s="46" t="n">
        <x:v>79</x:v>
      </x:c>
      <x:c r="I9" s="46" t="n">
        <x:v>79.46601941747574</x:v>
      </x:c>
      <x:c r="J9" t="str">
        <x:v>CLEAN</x:v>
      </x:c>
    </x:row>
    <x:row r="10">
      <x:c r="A10" s="16" t="str">
        <x:v>Failure</x:v>
      </x:c>
      <x:c r="B10" s="16" t="str">
        <x:v>Clear cross-OVR inversion under frozen v1.3.</x:v>
      </x:c>
      <x:c r="C10" s="16" t="str">
        <x:v>Classification rule</x:v>
      </x:c>
      <x:c r="D10" s="16" t="str">
        <x:v>ACTIVE</x:v>
      </x:c>
      <x:c r="F10" t="n">
        <x:v>85</x:v>
      </x:c>
      <x:c r="G10" t="n">
        <x:v>1</x:v>
      </x:c>
      <x:c r="H10" s="46" t="n">
        <x:v>80.45631067961165</x:v>
      </x:c>
      <x:c r="I10" s="46" t="n">
        <x:v>80.45631067961165</x:v>
      </x:c>
      <x:c r="J10" t="str">
        <x:v>CLEAN</x:v>
      </x:c>
    </x:row>
    <x:row r="11">
      <x:c r="A11" s="16" t="str">
        <x:v>Threshold Case</x:v>
      </x:c>
      <x:c r="B11" s="16" t="str">
        <x:v>Score lands inside an already-observed adjacent-OVR overlap/boundary region.</x:v>
      </x:c>
      <x:c r="C11" s="16" t="str">
        <x:v>Classification rule</x:v>
      </x:c>
      <x:c r="D11" s="16" t="str">
        <x:v>ACTIVE</x:v>
      </x:c>
    </x:row>
    <x:row r="12">
      <x:c r="A12" s="16" t="str">
        <x:v>Unresolved</x:v>
      </x:c>
      <x:c r="B12" s="16" t="str">
        <x:v>Missing/unreadable attributes, unsupported OVR range, or ambiguous source.</x:v>
      </x:c>
      <x:c r="C12" s="16" t="str">
        <x:v>Classification rule</x:v>
      </x:c>
      <x:c r="D12" s="16" t="str">
        <x:v>ACTIVE</x:v>
      </x:c>
    </x:row>
    <x:row r="15">
      <x:c r="A15" s="172" t="str">
        <x:v>Current Vertical Threat Evidence Roles</x:v>
      </x:c>
      <x:c r="B15" s="172"/>
      <x:c r="C15" s="172"/>
      <x:c r="D15" s="172"/>
      <x:c r="E15" s="172"/>
      <x:c r="F15" s="172"/>
      <x:c r="G15" s="172"/>
      <x:c r="H15" s="172"/>
      <x:c r="I15" s="172"/>
      <x:c r="J15" s="172"/>
      <x:c r="K15" s="172"/>
      <x:c r="L15" s="172"/>
      <x:c r="M15" s="172"/>
      <x:c r="N15" s="172"/>
      <x:c r="O15" s="172"/>
      <x:c r="P15" s="172"/>
    </x:row>
    <x:row r="16">
      <x:c r="A16" s="174" t="str">
        <x:v>Card_ID</x:v>
      </x:c>
      <x:c r="B16" s="174" t="str">
        <x:v>Player</x:v>
      </x:c>
      <x:c r="C16" s="174" t="str">
        <x:v>OVR</x:v>
      </x:c>
      <x:c r="D16" s="174" t="str">
        <x:v>Program</x:v>
      </x:c>
      <x:c r="E16" s="174" t="str">
        <x:v>Source_ID</x:v>
      </x:c>
      <x:c r="F16" s="174" t="str">
        <x:v>Role</x:v>
      </x:c>
      <x:c r="G16" s="174" t="str">
        <x:v>Model Score v1.3</x:v>
      </x:c>
      <x:c r="H16" s="174" t="str">
        <x:v>Notes</x:v>
      </x:c>
    </x:row>
    <x:row r="17">
      <x:c r="A17" t="str">
        <x:v>TE-0002</x:v>
      </x:c>
      <x:c r="B17" t="str">
        <x:v>Kaelan Chudzinski</x:v>
      </x:c>
      <x:c r="C17" t="n">
        <x:v>85</x:v>
      </x:c>
      <x:c r="D17" t="str">
        <x:v>Standouts</x:v>
      </x:c>
      <x:c r="E17" t="str">
        <x:v>SRC-TE-001</x:v>
      </x:c>
      <x:c r="F17" t="str">
        <x:v>INDEPENDENT VALIDATION / LEGACY</x:v>
      </x:c>
      <x:c r="G17" s="46" t="n">
        <x:v>80.45631067961165</x:v>
      </x:c>
      <x:c r="H17" t="str">
        <x:v>Not prospective; existed before v1.3 freeze.</x:v>
      </x:c>
    </x:row>
    <x:row r="18">
      <x:c r="A18" t="str">
        <x:v>TE-0014</x:v>
      </x:c>
      <x:c r="B18" t="str">
        <x:v>Benjamin Brahmer</x:v>
      </x:c>
      <x:c r="C18" t="n">
        <x:v>84</x:v>
      </x:c>
      <x:c r="D18" t="str">
        <x:v>Platinum Rare</x:v>
      </x:c>
      <x:c r="E18" t="str">
        <x:v>SRC-TE-001</x:v>
      </x:c>
      <x:c r="F18" t="str">
        <x:v>INDEPENDENT VALIDATION / LEGACY</x:v>
      </x:c>
      <x:c r="G18" s="46" t="n">
        <x:v>79.46601941747574</x:v>
      </x:c>
      <x:c r="H18" t="str">
        <x:v>Not prospective; existed before v1.3 freeze.</x:v>
      </x:c>
    </x:row>
    <x:row r="19">
      <x:c r="A19" t="str">
        <x:v>TE-0017</x:v>
      </x:c>
      <x:c r="B19" t="str">
        <x:v>Luke Hasz</x:v>
      </x:c>
      <x:c r="C19" t="n">
        <x:v>84</x:v>
      </x:c>
      <x:c r="D19" t="str">
        <x:v>Core Rare</x:v>
      </x:c>
      <x:c r="E19" t="str">
        <x:v>SRC-TE-001</x:v>
      </x:c>
      <x:c r="F19" t="str">
        <x:v>INDEPENDENT VALIDATION / LEGACY</x:v>
      </x:c>
      <x:c r="G19" s="46" t="n">
        <x:v>79.41747572815534</x:v>
      </x:c>
      <x:c r="H19" t="str">
        <x:v>Not prospective; existed before v1.3 freeze.</x:v>
      </x:c>
    </x:row>
    <x:row r="20">
      <x:c r="A20" t="str">
        <x:v>TE-0019</x:v>
      </x:c>
      <x:c r="B20" t="str">
        <x:v>Dylan Wade</x:v>
      </x:c>
      <x:c r="C20" t="n">
        <x:v>84</x:v>
      </x:c>
      <x:c r="D20" t="str">
        <x:v>Platinum Rare</x:v>
      </x:c>
      <x:c r="E20" t="str">
        <x:v>SRC-TE-001</x:v>
      </x:c>
      <x:c r="F20" t="str">
        <x:v>INDEPENDENT VALIDATION / LEGACY</x:v>
      </x:c>
      <x:c r="G20" s="46" t="n">
        <x:v>79</x:v>
      </x:c>
      <x:c r="H20" t="str">
        <x:v>Not prospective; existed before v1.3 freeze.</x:v>
      </x:c>
    </x:row>
    <x:row r="21">
      <x:c r="A21" t="str">
        <x:v>TE-0022</x:v>
      </x:c>
      <x:c r="B21" t="str">
        <x:v>Kaelan Chudzinski</x:v>
      </x:c>
      <x:c r="C21" t="n">
        <x:v>83</x:v>
      </x:c>
      <x:c r="D21" t="str">
        <x:v>Platinum Rare</x:v>
      </x:c>
      <x:c r="E21" t="str">
        <x:v>SRC-TE-001</x:v>
      </x:c>
      <x:c r="F21" t="str">
        <x:v>INDEPENDENT VALIDATION / LEGACY</x:v>
      </x:c>
      <x:c r="G21" s="46" t="n">
        <x:v>78.2135922330097</x:v>
      </x:c>
      <x:c r="H21" t="str">
        <x:v>Not prospective; existed before v1.3 freeze.</x:v>
      </x:c>
    </x:row>
    <x:row r="22">
      <x:c r="A22" t="str">
        <x:v>TE-0025</x:v>
      </x:c>
      <x:c r="B22" t="str">
        <x:v>Jeremiah Hasley</x:v>
      </x:c>
      <x:c r="C22" t="n">
        <x:v>83</x:v>
      </x:c>
      <x:c r="D22" t="str">
        <x:v>Platinum Rare</x:v>
      </x:c>
      <x:c r="E22" t="str">
        <x:v>SRC-TE-002</x:v>
      </x:c>
      <x:c r="F22" t="str">
        <x:v>INDEPENDENT VALIDATION / LEGACY</x:v>
      </x:c>
      <x:c r="G22" s="46" t="n">
        <x:v>78.59223300970874</x:v>
      </x:c>
      <x:c r="H22" t="str">
        <x:v>Not prospective; existed before v1.3 freeze.</x:v>
      </x:c>
    </x:row>
    <x:row r="23">
      <x:c r="A23" t="str">
        <x:v>TE-0029</x:v>
      </x:c>
      <x:c r="B23" t="str">
        <x:v>Keyan Burnett</x:v>
      </x:c>
      <x:c r="C23" t="n">
        <x:v>82</x:v>
      </x:c>
      <x:c r="D23" t="str">
        <x:v>Phenoms</x:v>
      </x:c>
      <x:c r="E23" t="str">
        <x:v>SRC-TE-002</x:v>
      </x:c>
      <x:c r="F23" t="str">
        <x:v>RESEARCH / OUTLIER</x:v>
      </x:c>
      <x:c r="G23" s="46" t="n">
        <x:v>77.53398058252426</x:v>
      </x:c>
      <x:c r="H23" t="str">
        <x:v>Not prospective; existed before v1.3 freeze.</x:v>
      </x:c>
    </x:row>
    <x:row r="24">
      <x:c r="A24" t="str">
        <x:v>TE-0034</x:v>
      </x:c>
      <x:c r="B24" t="str">
        <x:v>Elija Lofton</x:v>
      </x:c>
      <x:c r="C24" t="n">
        <x:v>82</x:v>
      </x:c>
      <x:c r="D24" t="str">
        <x:v>Platinum Rare</x:v>
      </x:c>
      <x:c r="E24" t="str">
        <x:v>SRC-TE-002</x:v>
      </x:c>
      <x:c r="F24" t="str">
        <x:v>INDEPENDENT VALIDATION / LEGACY</x:v>
      </x:c>
      <x:c r="G24" s="46" t="n">
        <x:v>77.60194174757281</x:v>
      </x:c>
      <x:c r="H24" t="str">
        <x:v>Not prospective; existed before v1.3 freeze.</x:v>
      </x:c>
    </x:row>
    <x:row r="25">
      <x:c r="A25" t="str">
        <x:v>TE-0035</x:v>
      </x:c>
      <x:c r="B25" t="str">
        <x:v>Luke Reynolds</x:v>
      </x:c>
      <x:c r="C25" t="n">
        <x:v>82</x:v>
      </x:c>
      <x:c r="D25" t="str">
        <x:v>Core Rare</x:v>
      </x:c>
      <x:c r="E25" t="str">
        <x:v>SRC-TE-002</x:v>
      </x:c>
      <x:c r="F25" t="str">
        <x:v>RESEARCH / OUTLIER</x:v>
      </x:c>
      <x:c r="G25" s="46" t="n">
        <x:v>76.57281553398059</x:v>
      </x:c>
      <x:c r="H25" t="str">
        <x:v>Not prospective; existed before v1.3 freeze.</x:v>
      </x:c>
    </x:row>
    <x:row r="26">
      <x:c r="A26" t="str">
        <x:v>TE-0042</x:v>
      </x:c>
      <x:c r="B26" t="str">
        <x:v>Mason Mini</x:v>
      </x:c>
      <x:c r="C26" t="n">
        <x:v>81</x:v>
      </x:c>
      <x:c r="D26" t="str">
        <x:v>Platinum Rare</x:v>
      </x:c>
      <x:c r="E26" t="str">
        <x:v>SRC-TE-002</x:v>
      </x:c>
      <x:c r="F26" t="str">
        <x:v>RESEARCH / OUTLIER</x:v>
      </x:c>
      <x:c r="G26" s="46" t="n">
        <x:v>77.10679611650485</x:v>
      </x:c>
      <x:c r="H26" t="str">
        <x:v>Not prospective; existed before v1.3 freeze.</x:v>
      </x:c>
    </x:row>
    <x:row r="27">
      <x:c r="A27" t="str">
        <x:v>TE-0043</x:v>
      </x:c>
      <x:c r="B27" t="str">
        <x:v>Jaleel Skinner</x:v>
      </x:c>
      <x:c r="C27" t="n">
        <x:v>81</x:v>
      </x:c>
      <x:c r="D27" t="str">
        <x:v>Platinum Rare</x:v>
      </x:c>
      <x:c r="E27" t="str">
        <x:v>SRC-TE-002</x:v>
      </x:c>
      <x:c r="F27" t="str">
        <x:v>RESEARCH / OUTLIER</x:v>
      </x:c>
      <x:c r="G27" s="46" t="n">
        <x:v>76.40776699029126</x:v>
      </x:c>
      <x:c r="H27" t="str">
        <x:v>Not prospective; existed before v1.3 freeze.</x:v>
      </x:c>
    </x:row>
    <x:row r="28">
      <x:c r="A28" t="str">
        <x:v>TE-0044</x:v>
      </x:c>
      <x:c r="B28" t="str">
        <x:v>Jelani Thurman</x:v>
      </x:c>
      <x:c r="C28" t="n">
        <x:v>81</x:v>
      </x:c>
      <x:c r="D28" t="str">
        <x:v>Core Rare</x:v>
      </x:c>
      <x:c r="E28" t="str">
        <x:v>SRC-TE-002</x:v>
      </x:c>
      <x:c r="F28" t="str">
        <x:v>RESEARCH / OUTLIER</x:v>
      </x:c>
      <x:c r="G28" s="46" t="n">
        <x:v>75.8252427184466</x:v>
      </x:c>
      <x:c r="H28" t="str">
        <x:v>Not prospective; existed before v1.3 freeze.</x:v>
      </x:c>
    </x:row>
    <x:row r="29">
      <x:c r="A29" t="str">
        <x:v>TE-0046</x:v>
      </x:c>
      <x:c r="B29" t="str">
        <x:v>Hunter Tipton</x:v>
      </x:c>
      <x:c r="C29" t="n">
        <x:v>80</x:v>
      </x:c>
      <x:c r="D29" t="str">
        <x:v>Cornerstones</x:v>
      </x:c>
      <x:c r="E29" t="str">
        <x:v>SRC-TE-002</x:v>
      </x:c>
      <x:c r="F29" t="str">
        <x:v>RESEARCH / OUTLIER</x:v>
      </x:c>
      <x:c r="G29" s="46" t="n">
        <x:v>75.2621359223301</x:v>
      </x:c>
      <x:c r="H29" t="str">
        <x:v>Not prospective; existed before v1.3 freeze.</x:v>
      </x:c>
    </x:row>
    <x:row r="30">
      <x:c r="A30" t="str">
        <x:v>TE-0049</x:v>
      </x:c>
      <x:c r="B30" t="str">
        <x:v>Peter Clarke</x:v>
      </x:c>
      <x:c r="C30" t="n">
        <x:v>80</x:v>
      </x:c>
      <x:c r="D30" t="str">
        <x:v>Sunday Spotlight: Retro</x:v>
      </x:c>
      <x:c r="E30" t="str">
        <x:v>SRC-TE-002</x:v>
      </x:c>
      <x:c r="F30" t="str">
        <x:v>RESEARCH / OUTLIER</x:v>
      </x:c>
      <x:c r="G30" s="46" t="n">
        <x:v>75.44660194174757</x:v>
      </x:c>
      <x:c r="H30" t="str">
        <x:v>Not prospective; existed before v1.3 freeze.</x:v>
      </x:c>
    </x:row>
    <x:row r="31">
      <x:c r="A31" t="str">
        <x:v>TE-0050</x:v>
      </x:c>
      <x:c r="B31" t="str">
        <x:v>Matt Wagner</x:v>
      </x:c>
      <x:c r="C31" t="n">
        <x:v>80</x:v>
      </x:c>
      <x:c r="D31" t="str">
        <x:v>Sunday Spotlight: Retro</x:v>
      </x:c>
      <x:c r="E31" t="str">
        <x:v>SRC-TE-002</x:v>
      </x:c>
      <x:c r="F31" t="str">
        <x:v>RESEARCH / OUTLIER</x:v>
      </x:c>
      <x:c r="G31" s="46" t="n">
        <x:v>75.70873786407768</x:v>
      </x:c>
      <x:c r="H31" t="str">
        <x:v>Not prospective; existed before v1.3 freeze.</x:v>
      </x:c>
    </x:row>
    <x:row r="32">
      <x:c r="A32" t="str">
        <x:v>TE-0053</x:v>
      </x:c>
      <x:c r="B32" t="str">
        <x:v>Vernon Davis</x:v>
      </x:c>
      <x:c r="C32" t="n">
        <x:v>80</x:v>
      </x:c>
      <x:c r="D32" t="str">
        <x:v>Core Legends Millennium</x:v>
      </x:c>
      <x:c r="E32" t="str">
        <x:v>SRC-TE-002</x:v>
      </x:c>
      <x:c r="F32" t="str">
        <x:v>RESEARCH / OUTLIER</x:v>
      </x:c>
      <x:c r="G32" s="46" t="n">
        <x:v>75.15533980582525</x:v>
      </x:c>
      <x:c r="H32" t="str">
        <x:v>Not prospective; existed before v1.3 freeze.</x:v>
      </x:c>
    </x:row>
    <x:row r="33">
      <x:c r="A33" t="str">
        <x:v>TE-0056</x:v>
      </x:c>
      <x:c r="B33" t="str">
        <x:v>Preston Howard</x:v>
      </x:c>
      <x:c r="C33" t="n">
        <x:v>80</x:v>
      </x:c>
      <x:c r="D33" t="str">
        <x:v>Core Rare</x:v>
      </x:c>
      <x:c r="E33" t="str">
        <x:v>SRC-TE-002</x:v>
      </x:c>
      <x:c r="F33" t="str">
        <x:v>RESEARCH / OUTLIER</x:v>
      </x:c>
      <x:c r="G33" s="46" t="n">
        <x:v>75.80582524271844</x:v>
      </x:c>
      <x:c r="H33" t="str">
        <x:v>Not prospective; existed before v1.3 freeze.</x:v>
      </x:c>
    </x:row>
    <x:row r="34">
      <x:c r="A34" t="str">
        <x:v>TE-0060</x:v>
      </x:c>
      <x:c r="B34" t="str">
        <x:v>Randy Pittman Jr.</x:v>
      </x:c>
      <x:c r="C34" t="n">
        <x:v>80</x:v>
      </x:c>
      <x:c r="D34" t="str">
        <x:v>Platinum Rare</x:v>
      </x:c>
      <x:c r="E34" t="str">
        <x:v>SRC-TE-002</x:v>
      </x:c>
      <x:c r="F34" t="str">
        <x:v>RESEARCH / OUTLIER</x:v>
      </x:c>
      <x:c r="G34" s="46" t="n">
        <x:v>74.53398058252426</x:v>
      </x:c>
      <x:c r="H34" t="str">
        <x:v>Not prospective; existed before v1.3 freeze.</x:v>
      </x:c>
    </x:row>
    <x:row r="35">
      <x:c r="A35" t="str">
        <x:v>TE-0066</x:v>
      </x:c>
      <x:c r="B35" t="str">
        <x:v>Hunter Tipton</x:v>
      </x:c>
      <x:c r="C35" t="n">
        <x:v>80</x:v>
      </x:c>
      <x:c r="D35" t="str">
        <x:v>Core Rare</x:v>
      </x:c>
      <x:c r="E35" t="str">
        <x:v>SRC-TE-002</x:v>
      </x:c>
      <x:c r="F35" t="str">
        <x:v>RESEARCH / OUTLIER</x:v>
      </x:c>
      <x:c r="G35" s="46" t="n">
        <x:v>76.12621359223301</x:v>
      </x:c>
      <x:c r="H35" t="str">
        <x:v>Not prospective; existed before v1.3 freeze.</x:v>
      </x:c>
    </x:row>
    <x:row r="38">
      <x:c r="A38" s="186" t="str">
        <x:v>Prospective Card Log — Future Vertical Threat Cards Only</x:v>
      </x:c>
      <x:c r="B38" s="186"/>
      <x:c r="C38" s="186"/>
      <x:c r="D38" s="186"/>
      <x:c r="E38" s="186"/>
      <x:c r="F38" s="186"/>
      <x:c r="G38" s="186"/>
      <x:c r="H38" s="186"/>
      <x:c r="I38" s="186"/>
      <x:c r="J38" s="186"/>
      <x:c r="K38" s="186"/>
      <x:c r="L38" s="186"/>
      <x:c r="M38" s="186"/>
      <x:c r="N38" s="186"/>
      <x:c r="O38" s="186"/>
      <x:c r="P38" s="186"/>
    </x:row>
    <x:row r="39">
      <x:c r="A39" s="192" t="str">
        <x:v>Prospect_ID</x:v>
      </x:c>
      <x:c r="B39" s="192" t="str">
        <x:v>Date_Added</x:v>
      </x:c>
      <x:c r="C39" s="192" t="str">
        <x:v>Card_ID</x:v>
      </x:c>
      <x:c r="D39" s="192" t="str">
        <x:v>Player</x:v>
      </x:c>
      <x:c r="E39" s="192" t="str">
        <x:v>OVR</x:v>
      </x:c>
      <x:c r="F39" s="192" t="str">
        <x:v>Program</x:v>
      </x:c>
      <x:c r="G39" s="192" t="str">
        <x:v>Source_ID</x:v>
      </x:c>
      <x:c r="H39" s="192" t="str">
        <x:v>Model_ID</x:v>
      </x:c>
      <x:c r="I39" s="192" t="str">
        <x:v>v1.3 Score</x:v>
      </x:c>
      <x:c r="J39" s="192" t="str">
        <x:v>Lower-OVR Max</x:v>
      </x:c>
      <x:c r="K39" s="192" t="str">
        <x:v>Higher-OVR Min</x:v>
      </x:c>
      <x:c r="L39" s="192" t="str">
        <x:v>Cross-OVR Failures</x:v>
      </x:c>
      <x:c r="M39" s="192" t="str">
        <x:v>Classification</x:v>
      </x:c>
      <x:c r="N39" s="192" t="str">
        <x:v>Evidence_Status</x:v>
      </x:c>
      <x:c r="O39" s="192" t="str">
        <x:v>Reviewed</x:v>
      </x:c>
      <x:c r="P39" s="192" t="str">
        <x:v>Notes</x:v>
      </x:c>
    </x:row>
    <x:row r="40">
      <x:c r="A40"/>
      <x:c r="B40"/>
      <x:c r="C40"/>
      <x:c r="D40"/>
      <x:c r="E40"/>
      <x:c r="F40"/>
      <x:c r="G40"/>
      <x:c r="H40"/>
      <x:c r="I40"/>
      <x:c r="J40"/>
      <x:c r="K40"/>
      <x:c r="L40"/>
      <x:c r="M40"/>
      <x:c r="N40"/>
      <x:c r="O40"/>
      <x:c r="P40"/>
    </x:row>
    <x:row r="41">
      <x:c r="A41"/>
      <x:c r="B41"/>
      <x:c r="C41"/>
      <x:c r="D41"/>
      <x:c r="E41"/>
      <x:c r="F41"/>
      <x:c r="G41"/>
      <x:c r="H41"/>
      <x:c r="I41"/>
      <x:c r="J41"/>
      <x:c r="K41"/>
      <x:c r="L41"/>
      <x:c r="M41"/>
      <x:c r="N41"/>
      <x:c r="O41"/>
      <x:c r="P41"/>
    </x:row>
    <x:row r="42">
      <x:c r="A42"/>
      <x:c r="B42"/>
      <x:c r="C42"/>
      <x:c r="D42"/>
      <x:c r="E42"/>
      <x:c r="F42"/>
      <x:c r="G42"/>
      <x:c r="H42"/>
      <x:c r="I42"/>
      <x:c r="J42"/>
      <x:c r="K42"/>
      <x:c r="L42"/>
      <x:c r="M42"/>
      <x:c r="N42"/>
      <x:c r="O42"/>
      <x:c r="P42"/>
    </x:row>
    <x:row r="43">
      <x:c r="A43"/>
      <x:c r="B43"/>
      <x:c r="C43"/>
      <x:c r="D43"/>
      <x:c r="E43"/>
      <x:c r="F43"/>
      <x:c r="G43"/>
      <x:c r="H43"/>
      <x:c r="I43"/>
      <x:c r="J43"/>
      <x:c r="K43"/>
      <x:c r="L43"/>
      <x:c r="M43"/>
      <x:c r="N43"/>
      <x:c r="O43"/>
      <x:c r="P43"/>
    </x:row>
    <x:row r="44">
      <x:c r="A44"/>
      <x:c r="B44"/>
      <x:c r="C44"/>
      <x:c r="D44"/>
      <x:c r="E44"/>
      <x:c r="F44"/>
      <x:c r="G44"/>
      <x:c r="H44"/>
      <x:c r="I44"/>
      <x:c r="J44"/>
      <x:c r="K44"/>
      <x:c r="L44"/>
      <x:c r="M44"/>
      <x:c r="N44"/>
      <x:c r="O44"/>
      <x:c r="P44"/>
    </x:row>
    <x:row r="45">
      <x:c r="A45"/>
      <x:c r="B45"/>
      <x:c r="C45"/>
      <x:c r="D45"/>
      <x:c r="E45"/>
      <x:c r="F45"/>
      <x:c r="G45"/>
      <x:c r="H45"/>
      <x:c r="I45"/>
      <x:c r="J45"/>
      <x:c r="K45"/>
      <x:c r="L45"/>
      <x:c r="M45"/>
      <x:c r="N45"/>
      <x:c r="O45"/>
      <x:c r="P45"/>
    </x:row>
    <x:row r="46">
      <x:c r="A46"/>
      <x:c r="B46"/>
      <x:c r="C46"/>
      <x:c r="D46"/>
      <x:c r="E46"/>
      <x:c r="F46"/>
      <x:c r="G46"/>
      <x:c r="H46"/>
      <x:c r="I46"/>
      <x:c r="J46"/>
      <x:c r="K46"/>
      <x:c r="L46"/>
      <x:c r="M46"/>
      <x:c r="N46"/>
      <x:c r="O46"/>
      <x:c r="P46"/>
    </x:row>
    <x:row r="47">
      <x:c r="A47"/>
      <x:c r="B47"/>
      <x:c r="C47"/>
      <x:c r="D47"/>
      <x:c r="E47"/>
      <x:c r="F47"/>
      <x:c r="G47"/>
      <x:c r="H47"/>
      <x:c r="I47"/>
      <x:c r="J47"/>
      <x:c r="K47"/>
      <x:c r="L47"/>
      <x:c r="M47"/>
      <x:c r="N47"/>
      <x:c r="O47"/>
      <x:c r="P47"/>
    </x:row>
    <x:row r="48">
      <x:c r="A48"/>
      <x:c r="B48"/>
      <x:c r="C48"/>
      <x:c r="D48"/>
      <x:c r="E48"/>
      <x:c r="F48"/>
      <x:c r="G48"/>
      <x:c r="H48"/>
      <x:c r="I48"/>
      <x:c r="J48"/>
      <x:c r="K48"/>
      <x:c r="L48"/>
      <x:c r="M48"/>
      <x:c r="N48"/>
      <x:c r="O48"/>
      <x:c r="P48"/>
    </x:row>
    <x:row r="49">
      <x:c r="A49"/>
      <x:c r="B49"/>
      <x:c r="C49"/>
      <x:c r="D49"/>
      <x:c r="E49"/>
      <x:c r="F49"/>
      <x:c r="G49"/>
      <x:c r="H49"/>
      <x:c r="I49"/>
      <x:c r="J49"/>
      <x:c r="K49"/>
      <x:c r="L49"/>
      <x:c r="M49"/>
      <x:c r="N49"/>
      <x:c r="O49"/>
      <x:c r="P49"/>
    </x:row>
    <x:row r="50">
      <x:c r="A50"/>
      <x:c r="B50"/>
      <x:c r="C50"/>
      <x:c r="D50"/>
      <x:c r="E50"/>
      <x:c r="F50"/>
      <x:c r="G50"/>
      <x:c r="H50"/>
      <x:c r="I50"/>
      <x:c r="J50"/>
      <x:c r="K50"/>
      <x:c r="L50"/>
      <x:c r="M50"/>
      <x:c r="N50"/>
      <x:c r="O50"/>
      <x:c r="P50"/>
    </x:row>
    <x:row r="51">
      <x:c r="A51"/>
      <x:c r="B51"/>
      <x:c r="C51"/>
      <x:c r="D51"/>
      <x:c r="E51"/>
      <x:c r="F51"/>
      <x:c r="G51"/>
      <x:c r="H51"/>
      <x:c r="I51"/>
      <x:c r="J51"/>
      <x:c r="K51"/>
      <x:c r="L51"/>
      <x:c r="M51"/>
      <x:c r="N51"/>
      <x:c r="O51"/>
      <x:c r="P51"/>
    </x:row>
    <x:row r="52">
      <x:c r="A52"/>
      <x:c r="B52"/>
      <x:c r="C52"/>
      <x:c r="D52"/>
      <x:c r="E52"/>
      <x:c r="F52"/>
      <x:c r="G52"/>
      <x:c r="H52"/>
      <x:c r="I52"/>
      <x:c r="J52"/>
      <x:c r="K52"/>
      <x:c r="L52"/>
      <x:c r="M52"/>
      <x:c r="N52"/>
      <x:c r="O52"/>
      <x:c r="P52"/>
    </x:row>
    <x:row r="53">
      <x:c r="A53"/>
      <x:c r="B53"/>
      <x:c r="C53"/>
      <x:c r="D53"/>
      <x:c r="E53"/>
      <x:c r="F53"/>
      <x:c r="G53"/>
      <x:c r="H53"/>
      <x:c r="I53"/>
      <x:c r="J53"/>
      <x:c r="K53"/>
      <x:c r="L53"/>
      <x:c r="M53"/>
      <x:c r="N53"/>
      <x:c r="O53"/>
      <x:c r="P53"/>
    </x:row>
    <x:row r="54">
      <x:c r="A54"/>
      <x:c r="B54"/>
      <x:c r="C54"/>
      <x:c r="D54"/>
      <x:c r="E54"/>
      <x:c r="F54"/>
      <x:c r="G54"/>
      <x:c r="H54"/>
      <x:c r="I54"/>
      <x:c r="J54"/>
      <x:c r="K54"/>
      <x:c r="L54"/>
      <x:c r="M54"/>
      <x:c r="N54"/>
      <x:c r="O54"/>
      <x:c r="P54"/>
    </x:row>
    <x:row r="55">
      <x:c r="A55"/>
      <x:c r="B55"/>
      <x:c r="C55"/>
      <x:c r="D55"/>
      <x:c r="E55"/>
      <x:c r="F55"/>
      <x:c r="G55"/>
      <x:c r="H55"/>
      <x:c r="I55"/>
      <x:c r="J55"/>
      <x:c r="K55"/>
      <x:c r="L55"/>
      <x:c r="M55"/>
      <x:c r="N55"/>
      <x:c r="O55"/>
      <x:c r="P55"/>
    </x:row>
    <x:row r="56">
      <x:c r="A56"/>
      <x:c r="B56"/>
      <x:c r="C56"/>
      <x:c r="D56"/>
      <x:c r="E56"/>
      <x:c r="F56"/>
      <x:c r="G56"/>
      <x:c r="H56"/>
      <x:c r="I56"/>
      <x:c r="J56"/>
      <x:c r="K56"/>
      <x:c r="L56"/>
      <x:c r="M56"/>
      <x:c r="N56"/>
      <x:c r="O56"/>
      <x:c r="P56"/>
    </x:row>
    <x:row r="57">
      <x:c r="A57"/>
      <x:c r="B57"/>
      <x:c r="C57"/>
      <x:c r="D57"/>
      <x:c r="E57"/>
      <x:c r="F57"/>
      <x:c r="G57"/>
      <x:c r="H57"/>
      <x:c r="I57"/>
      <x:c r="J57"/>
      <x:c r="K57"/>
      <x:c r="L57"/>
      <x:c r="M57"/>
      <x:c r="N57"/>
      <x:c r="O57"/>
      <x:c r="P57"/>
    </x:row>
    <x:row r="58">
      <x:c r="A58"/>
      <x:c r="B58"/>
      <x:c r="C58"/>
      <x:c r="D58"/>
      <x:c r="E58"/>
      <x:c r="F58"/>
      <x:c r="G58"/>
      <x:c r="H58"/>
      <x:c r="I58"/>
      <x:c r="J58"/>
      <x:c r="K58"/>
      <x:c r="L58"/>
      <x:c r="M58"/>
      <x:c r="N58"/>
      <x:c r="O58"/>
      <x:c r="P58"/>
    </x:row>
    <x:row r="59">
      <x:c r="A59"/>
      <x:c r="B59"/>
      <x:c r="C59"/>
      <x:c r="D59"/>
      <x:c r="E59"/>
      <x:c r="F59"/>
      <x:c r="G59"/>
      <x:c r="H59"/>
      <x:c r="I59"/>
      <x:c r="J59"/>
      <x:c r="K59"/>
      <x:c r="L59"/>
      <x:c r="M59"/>
      <x:c r="N59"/>
      <x:c r="O59"/>
      <x:c r="P59"/>
    </x:row>
    <x:row r="60">
      <x:c r="A60"/>
      <x:c r="B60"/>
      <x:c r="C60"/>
      <x:c r="D60"/>
      <x:c r="E60"/>
      <x:c r="F60"/>
      <x:c r="G60"/>
      <x:c r="H60"/>
      <x:c r="I60"/>
      <x:c r="J60"/>
      <x:c r="K60"/>
      <x:c r="L60"/>
      <x:c r="M60"/>
      <x:c r="N60"/>
      <x:c r="O60"/>
      <x:c r="P60"/>
    </x:row>
    <x:row r="61">
      <x:c r="A61"/>
      <x:c r="B61"/>
      <x:c r="C61"/>
      <x:c r="D61"/>
      <x:c r="E61"/>
      <x:c r="F61"/>
      <x:c r="G61"/>
      <x:c r="H61"/>
      <x:c r="I61"/>
      <x:c r="J61"/>
      <x:c r="K61"/>
      <x:c r="L61"/>
      <x:c r="M61"/>
      <x:c r="N61"/>
      <x:c r="O61"/>
      <x:c r="P61"/>
    </x:row>
    <x:row r="62">
      <x:c r="A62"/>
      <x:c r="B62"/>
      <x:c r="C62"/>
      <x:c r="D62"/>
      <x:c r="E62"/>
      <x:c r="F62"/>
      <x:c r="G62"/>
      <x:c r="H62"/>
      <x:c r="I62"/>
      <x:c r="J62"/>
      <x:c r="K62"/>
      <x:c r="L62"/>
      <x:c r="M62"/>
      <x:c r="N62"/>
      <x:c r="O62"/>
      <x:c r="P62"/>
    </x:row>
    <x:row r="63">
      <x:c r="A63"/>
      <x:c r="B63"/>
      <x:c r="C63"/>
      <x:c r="D63"/>
      <x:c r="E63"/>
      <x:c r="F63"/>
      <x:c r="G63"/>
      <x:c r="H63"/>
      <x:c r="I63"/>
      <x:c r="J63"/>
      <x:c r="K63"/>
      <x:c r="L63"/>
      <x:c r="M63"/>
      <x:c r="N63"/>
      <x:c r="O63"/>
      <x:c r="P63"/>
    </x:row>
    <x:row r="64">
      <x:c r="A64"/>
      <x:c r="B64"/>
      <x:c r="C64"/>
      <x:c r="D64"/>
      <x:c r="E64"/>
      <x:c r="F64"/>
      <x:c r="G64"/>
      <x:c r="H64"/>
      <x:c r="I64"/>
      <x:c r="J64"/>
      <x:c r="K64"/>
      <x:c r="L64"/>
      <x:c r="M64"/>
      <x:c r="N64"/>
      <x:c r="O64"/>
      <x:c r="P64"/>
    </x:row>
  </x:sheetData>
  <x:mergeCells>
    <x:mergeCell ref="A1:P1"/>
    <x:mergeCell ref="A2:P2"/>
    <x:mergeCell ref="A15:P15"/>
    <x:mergeCell ref="A38:P38"/>
  </x:mergeCells>
  <x:dataValidations count="3">
    <x:dataValidation type="list" sqref="M40:M64">
      <x:formula1>"PASS,FAILURE,THRESHOLD CASE,UNRESOLVED"</x:formula1>
    </x:dataValidation>
    <x:dataValidation type="list" sqref="N40:N64">
      <x:formula1>"PROSPECTIVE,PENDING SOURCE REVIEW,EXCLUDED"</x:formula1>
    </x:dataValidation>
    <x:dataValidation type="list" sqref="O40:O64">
      <x:formula1>"YES,NO"</x:formula1>
    </x:dataValidation>
  </x:dataValidations>
  <x:pageMargins left="0.7" right="0.7" top="0.75" bottom="0.75" header="0.3" footer="0.3"/>
</x:worksheet>
</file>

<file path=xl/worksheets/sheet19.xml><?xml version="1.0" encoding="utf-8"?>
<x:worksheet xmlns:x="http://schemas.openxmlformats.org/spreadsheetml/2006/main">
  <x:sheetFormatPr defaultRowHeight="15"/>
  <x:cols>
    <x:col min="1" max="1" width="18" hidden="0" customWidth="1"/>
    <x:col min="2" max="2" width="30" hidden="0" customWidth="1"/>
    <x:col min="3" max="3" width="18" hidden="0" customWidth="1"/>
    <x:col min="4" max="4" width="28" hidden="0" customWidth="1"/>
    <x:col min="5" max="5" width="18" hidden="0" customWidth="1"/>
    <x:col min="6" max="6" width="16" hidden="0" customWidth="1"/>
    <x:col min="7" max="7" width="20" hidden="0" customWidth="1"/>
    <x:col min="8" max="8" width="18" hidden="0" customWidth="1"/>
  </x:cols>
  <x:sheetData>
    <x:row r="1" ht="28" customHeight="1">
      <x:c r="A1" s="196" t="str">
        <x:v>Operation Pancake — TE Gritty Possession Final Audit</x:v>
      </x:c>
      <x:c r="B1" s="196"/>
      <x:c r="C1" s="196"/>
      <x:c r="D1" s="196"/>
      <x:c r="E1" s="196"/>
      <x:c r="F1" s="196"/>
      <x:c r="G1" s="196"/>
      <x:c r="H1" s="196"/>
      <x:c r="I1" s="196"/>
      <x:c r="J1" s="196"/>
    </x:row>
    <x:row r="2" ht="42" customHeight="1">
      <x:c r="A2" s="199" t="str">
        <x:v>Operational standard: ≥98% cross-OVR accuracy, independent validation survives, and no significant systematic failure pattern. The Madden 19 Possession weighting architecture remains unchanged because the current model already meets the practical standard.</x:v>
      </x:c>
      <x:c r="B2" s="199"/>
      <x:c r="C2" s="199"/>
      <x:c r="D2" s="199"/>
      <x:c r="E2" s="199"/>
      <x:c r="F2" s="199"/>
      <x:c r="G2" s="199"/>
      <x:c r="H2" s="199"/>
      <x:c r="I2" s="199"/>
      <x:c r="J2" s="199"/>
    </x:row>
    <x:row r="4">
      <x:c r="A4" s="202" t="str">
        <x:v>Metric</x:v>
      </x:c>
      <x:c r="B4" s="202" t="str">
        <x:v>Correct</x:v>
      </x:c>
      <x:c r="C4" s="202" t="str">
        <x:v>Total</x:v>
      </x:c>
      <x:c r="D4" s="202" t="str">
        <x:v>Accuracy</x:v>
      </x:c>
      <x:c r="E4" s="202" t="str">
        <x:v>Result</x:v>
      </x:c>
      <x:c r="F4" s="202" t="str">
        <x:v>Interpretation</x:v>
      </x:c>
      <x:c r="G4" s="202" t="str">
        <x:v>Action</x:v>
      </x:c>
    </x:row>
    <x:row r="5">
      <x:c r="A5" s="16" t="str">
        <x:v>Development set</x:v>
      </x:c>
      <x:c r="B5" s="16" t="n">
        <x:v>15</x:v>
      </x:c>
      <x:c r="C5" s="16" t="n">
        <x:v>15</x:v>
      </x:c>
      <x:c r="D5" s="75" t="n">
        <x:v>1</x:v>
      </x:c>
      <x:c r="E5" s="16" t="str">
        <x:v>PASS</x:v>
      </x:c>
      <x:c r="F5" s="16" t="str">
        <x:v>Original structured 83–85 set separates perfectly.</x:v>
      </x:c>
      <x:c r="G5" s="16" t="str">
        <x:v>None</x:v>
      </x:c>
    </x:row>
    <x:row r="6">
      <x:c r="A6" s="16" t="str">
        <x:v>Blind/holdout-involved pairs</x:v>
      </x:c>
      <x:c r="B6" s="16" t="n">
        <x:v>82</x:v>
      </x:c>
      <x:c r="C6" s="16" t="n">
        <x:v>83</x:v>
      </x:c>
      <x:c r="D6" s="75" t="n">
        <x:v>0.9879518072289156</x:v>
      </x:c>
      <x:c r="E6" s="16" t="str">
        <x:v>PASS</x:v>
      </x:c>
      <x:c r="F6" s="16" t="str">
        <x:v>One narrow 0.030 inversion only.</x:v>
      </x:c>
      <x:c r="G6" s="16" t="str">
        <x:v>Freeze</x:v>
      </x:c>
    </x:row>
    <x:row r="7">
      <x:c r="A7" s="16" t="str">
        <x:v>All validated Gritty pairs</x:v>
      </x:c>
      <x:c r="B7" s="16" t="n">
        <x:v>97</x:v>
      </x:c>
      <x:c r="C7" s="16" t="n">
        <x:v>98</x:v>
      </x:c>
      <x:c r="D7" s="75" t="n">
        <x:v>0.9897959183673469</x:v>
      </x:c>
      <x:c r="E7" s="16" t="str">
        <x:v>PASS</x:v>
      </x:c>
      <x:c r="F7" s="16" t="str">
        <x:v>98.98% overall; no systematic failure family.</x:v>
      </x:c>
      <x:c r="G7" s="16" t="str">
        <x:v>OPERATIONALLY SOLVED</x:v>
      </x:c>
    </x:row>
    <x:row r="10">
      <x:c r="A10" s="204" t="str">
        <x:v>Observed Gritty Candidate-Score Bands</x:v>
      </x:c>
      <x:c r="B10" s="204"/>
      <x:c r="C10" s="204"/>
      <x:c r="D10" s="204"/>
      <x:c r="E10" s="204"/>
      <x:c r="F10" s="204"/>
      <x:c r="G10" s="204"/>
      <x:c r="H10" s="204"/>
      <x:c r="I10" s="204"/>
      <x:c r="J10" s="204"/>
    </x:row>
    <x:row r="11">
      <x:c r="A11" s="206" t="str">
        <x:v>OVR</x:v>
      </x:c>
      <x:c r="B11" s="206" t="str">
        <x:v>Cards</x:v>
      </x:c>
      <x:c r="C11" s="206" t="str">
        <x:v>Minimum</x:v>
      </x:c>
      <x:c r="D11" s="206" t="str">
        <x:v>Maximum</x:v>
      </x:c>
      <x:c r="E11" s="206" t="str">
        <x:v>Prior OVR Max</x:v>
      </x:c>
      <x:c r="F11" s="206" t="str">
        <x:v>Boundary Status</x:v>
      </x:c>
    </x:row>
    <x:row r="12">
      <x:c r="A12" t="n">
        <x:v>80</x:v>
      </x:c>
      <x:c r="B12" t="n">
        <x:v>5</x:v>
      </x:c>
      <x:c r="C12" s="46" t="n">
        <x:v>75.72</x:v>
      </x:c>
      <x:c r="D12" s="46" t="n">
        <x:v>76.94</x:v>
      </x:c>
      <x:c r="E12" s="46"/>
      <x:c r="F12" t="str">
        <x:v>BASE</x:v>
      </x:c>
    </x:row>
    <x:row r="13">
      <x:c r="A13" t="n">
        <x:v>81</x:v>
      </x:c>
      <x:c r="B13" t="n">
        <x:v>4</x:v>
      </x:c>
      <x:c r="C13" s="46" t="n">
        <x:v>76.91</x:v>
      </x:c>
      <x:c r="D13" s="46" t="n">
        <x:v>78.24</x:v>
      </x:c>
      <x:c r="E13" s="46" t="n">
        <x:v>76.94</x:v>
      </x:c>
      <x:c r="F13" t="str">
        <x:v>OVERLAP</x:v>
      </x:c>
    </x:row>
    <x:row r="14">
      <x:c r="A14" t="n">
        <x:v>83</x:v>
      </x:c>
      <x:c r="B14" t="n">
        <x:v>1</x:v>
      </x:c>
      <x:c r="C14" s="46" t="n">
        <x:v>80.01</x:v>
      </x:c>
      <x:c r="D14" s="46" t="n">
        <x:v>80.01</x:v>
      </x:c>
      <x:c r="E14" s="46" t="n">
        <x:v>78.24</x:v>
      </x:c>
      <x:c r="F14" t="str">
        <x:v>CLEAN</x:v>
      </x:c>
    </x:row>
    <x:row r="15">
      <x:c r="A15" t="n">
        <x:v>84</x:v>
      </x:c>
      <x:c r="B15" t="n">
        <x:v>3</x:v>
      </x:c>
      <x:c r="C15" s="46" t="n">
        <x:v>80.18</x:v>
      </x:c>
      <x:c r="D15" s="46" t="n">
        <x:v>80.96</x:v>
      </x:c>
      <x:c r="E15" s="46" t="n">
        <x:v>80.01</x:v>
      </x:c>
      <x:c r="F15" t="str">
        <x:v>CLEAN</x:v>
      </x:c>
    </x:row>
    <x:row r="16">
      <x:c r="A16" t="n">
        <x:v>85</x:v>
      </x:c>
      <x:c r="B16" t="n">
        <x:v>3</x:v>
      </x:c>
      <x:c r="C16" s="46" t="n">
        <x:v>81.63</x:v>
      </x:c>
      <x:c r="D16" s="46" t="n">
        <x:v>82.06</x:v>
      </x:c>
      <x:c r="E16" s="46" t="n">
        <x:v>80.96</x:v>
      </x:c>
      <x:c r="F16" t="str">
        <x:v>CLEAN</x:v>
      </x:c>
    </x:row>
    <x:row r="19">
      <x:c r="A19" s="208" t="str">
        <x:v>Outlier and Same-Player Evidence</x:v>
      </x:c>
      <x:c r="B19" s="208"/>
      <x:c r="C19" s="208"/>
      <x:c r="D19" s="208"/>
      <x:c r="E19" s="208"/>
      <x:c r="F19" s="208"/>
      <x:c r="G19" s="208"/>
      <x:c r="H19" s="208"/>
      <x:c r="I19" s="208"/>
      <x:c r="J19" s="208"/>
    </x:row>
    <x:row r="20">
      <x:c r="A20" s="210" t="str">
        <x:v>Type</x:v>
      </x:c>
      <x:c r="B20" s="210" t="str">
        <x:v>Subject</x:v>
      </x:c>
      <x:c r="C20" s="210" t="str">
        <x:v>Lower/First Score</x:v>
      </x:c>
      <x:c r="D20" s="210" t="str">
        <x:v>Higher/Second</x:v>
      </x:c>
      <x:c r="E20" s="210" t="str">
        <x:v>Higher/Second Score</x:v>
      </x:c>
      <x:c r="F20" s="210" t="str">
        <x:v>Delta/Margin</x:v>
      </x:c>
      <x:c r="G20" s="210" t="str">
        <x:v>Pattern</x:v>
      </x:c>
      <x:c r="H20" s="210" t="str">
        <x:v>Decision</x:v>
      </x:c>
    </x:row>
    <x:row r="21">
      <x:c r="A21" t="str">
        <x:v>Outlier</x:v>
      </x:c>
      <x:c r="B21" t="str">
        <x:v>Jalen Hoffman 81</x:v>
      </x:c>
      <x:c r="C21" t="str">
        <x:v>76.910</x:v>
      </x:c>
      <x:c r="D21" t="str">
        <x:v>Christian Bentancur 80</x:v>
      </x:c>
      <x:c r="E21" t="str">
        <x:v>76.940</x:v>
      </x:c>
      <x:c r="F21" t="str">
        <x:v>-0.030</x:v>
      </x:c>
      <x:c r="G21" t="str">
        <x:v>Isolated / narrow</x:v>
      </x:c>
      <x:c r="H21" t="str">
        <x:v>Do not refit</x:v>
      </x:c>
    </x:row>
    <x:row r="22">
      <x:c r="A22" t="str">
        <x:v>Same player</x:v>
      </x:c>
      <x:c r="B22" t="str">
        <x:v>Jalen Hoffman 80→81</x:v>
      </x:c>
      <x:c r="C22" t="str">
        <x:v>76.190</x:v>
      </x:c>
      <x:c r="D22" t="str">
        <x:v>76.910</x:v>
      </x:c>
      <x:c r="E22" t="str">
        <x:v>+0.720</x:v>
      </x:c>
      <x:c r="F22" t="str">
        <x:v>Clean progression</x:v>
      </x:c>
      <x:c r="G22" t="str">
        <x:v>Supports model</x:v>
      </x:c>
      <x:c r="H22"/>
    </x:row>
    <x:row r="23">
      <x:c r="A23" t="str">
        <x:v>Same player</x:v>
      </x:c>
      <x:c r="B23" t="str">
        <x:v>Eli Finley 83→84</x:v>
      </x:c>
      <x:c r="C23" t="str">
        <x:v>80.010</x:v>
      </x:c>
      <x:c r="D23" t="str">
        <x:v>80.960</x:v>
      </x:c>
      <x:c r="E23" t="str">
        <x:v>+0.950</x:v>
      </x:c>
      <x:c r="F23" t="str">
        <x:v>Clean progression</x:v>
      </x:c>
      <x:c r="G23" t="str">
        <x:v>Supports model</x:v>
      </x:c>
      <x:c r="H23"/>
    </x:row>
    <x:row r="24">
      <x:c r="A24" t="str">
        <x:v>Same player</x:v>
      </x:c>
      <x:c r="B24" t="str">
        <x:v>Ozzie Newsome 81→84</x:v>
      </x:c>
      <x:c r="C24" t="str">
        <x:v>77.590</x:v>
      </x:c>
      <x:c r="D24" t="str">
        <x:v>80.320</x:v>
      </x:c>
      <x:c r="E24" t="str">
        <x:v>+2.730</x:v>
      </x:c>
      <x:c r="F24" t="str">
        <x:v>Clean progression</x:v>
      </x:c>
      <x:c r="G24" t="str">
        <x:v>Supports model</x:v>
      </x:c>
      <x:c r="H24"/>
    </x:row>
  </x:sheetData>
  <x:mergeCells>
    <x:mergeCell ref="A1:J1"/>
    <x:mergeCell ref="A2:J2"/>
    <x:mergeCell ref="A10:J10"/>
    <x:mergeCell ref="A19:J19"/>
  </x:mergeCells>
  <x:pageMargins left="0.7" right="0.7" top="0.75" bottom="0.75" header="0.3" footer="0.3"/>
</x:worksheet>
</file>

<file path=xl/worksheets/sheet20.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24" hidden="0" customWidth="1"/>
    <x:col min="5" max="5" width="9" hidden="0" customWidth="1"/>
    <x:col min="6" max="6" width="28" hidden="0" customWidth="1"/>
    <x:col min="7" max="7" width="16" hidden="0" customWidth="1"/>
    <x:col min="8" max="8" width="16" hidden="0" customWidth="1"/>
    <x:col min="9" max="9" width="14" hidden="0" customWidth="1"/>
    <x:col min="10" max="10" width="16" hidden="0" customWidth="1"/>
    <x:col min="11" max="11" width="16" hidden="0" customWidth="1"/>
    <x:col min="12" max="12" width="18" hidden="0" customWidth="1"/>
    <x:col min="13" max="13" width="20" hidden="0" customWidth="1"/>
    <x:col min="14" max="14" width="24" hidden="0" customWidth="1"/>
    <x:col min="15" max="15" width="12" hidden="0" customWidth="1"/>
    <x:col min="16" max="16" width="50" hidden="0" customWidth="1"/>
  </x:cols>
  <x:sheetData>
    <x:row r="1" ht="28" customHeight="1">
      <x:c r="A1" s="196" t="str">
        <x:v>TE Gritty Possession — Permanent Prospective Validation Framework</x:v>
      </x:c>
      <x:c r="B1" s="196"/>
      <x:c r="C1" s="196"/>
      <x:c r="D1" s="196"/>
      <x:c r="E1" s="196"/>
      <x:c r="F1" s="196"/>
      <x:c r="G1" s="196"/>
      <x:c r="H1" s="196"/>
      <x:c r="I1" s="196"/>
      <x:c r="J1" s="196"/>
      <x:c r="K1" s="196"/>
      <x:c r="L1" s="196"/>
      <x:c r="M1" s="196"/>
      <x:c r="N1" s="196"/>
      <x:c r="O1" s="196"/>
      <x:c r="P1" s="196"/>
    </x:row>
    <x:row r="2" ht="42" customHeight="1">
      <x:c r="A2" s="199" t="str">
        <x:v>Frozen model: TE-MODEL-001 v1.1, Madden 19 Possession weighting architecture. Future Gritty cards are prospective evidence and must not be mixed into the historical development/holdout set before evaluation.</x:v>
      </x:c>
      <x:c r="B2" s="199"/>
      <x:c r="C2" s="199"/>
      <x:c r="D2" s="199"/>
      <x:c r="E2" s="199"/>
      <x:c r="F2" s="199"/>
      <x:c r="G2" s="199"/>
      <x:c r="H2" s="199"/>
      <x:c r="I2" s="199"/>
      <x:c r="J2" s="199"/>
      <x:c r="K2" s="199"/>
      <x:c r="L2" s="199"/>
      <x:c r="M2" s="199"/>
      <x:c r="N2" s="199"/>
      <x:c r="O2" s="199"/>
      <x:c r="P2" s="199"/>
    </x:row>
    <x:row r="4">
      <x:c r="A4" s="202" t="str">
        <x:v>Setting</x:v>
      </x:c>
      <x:c r="B4" s="202" t="str">
        <x:v>Frozen Value</x:v>
      </x:c>
      <x:c r="C4" s="202" t="str">
        <x:v>Rule</x:v>
      </x:c>
      <x:c r="D4" s="202" t="str">
        <x:v>Status</x:v>
      </x:c>
      <x:c r="F4" s="212" t="str">
        <x:v>OVR</x:v>
      </x:c>
      <x:c r="G4" s="212" t="str">
        <x:v>Reference Cards</x:v>
      </x:c>
      <x:c r="H4" s="212" t="str">
        <x:v>Min Score</x:v>
      </x:c>
      <x:c r="I4" s="212" t="str">
        <x:v>Max Score</x:v>
      </x:c>
      <x:c r="J4" s="212" t="str">
        <x:v>Band Status</x:v>
      </x:c>
    </x:row>
    <x:row r="5">
      <x:c r="A5" s="16" t="str">
        <x:v>Model_ID</x:v>
      </x:c>
      <x:c r="B5" s="16" t="str">
        <x:v>TE-MODEL-001</x:v>
      </x:c>
      <x:c r="C5" s="16" t="str">
        <x:v>Do not alter unless prospective evidence reveals a systematic problem.</x:v>
      </x:c>
      <x:c r="D5" s="16" t="str">
        <x:v>FROZEN</x:v>
      </x:c>
      <x:c r="F5" t="n">
        <x:v>80</x:v>
      </x:c>
      <x:c r="G5" t="n">
        <x:v>5</x:v>
      </x:c>
      <x:c r="H5" s="46" t="n">
        <x:v>75.72</x:v>
      </x:c>
      <x:c r="I5" s="46" t="n">
        <x:v>76.94</x:v>
      </x:c>
      <x:c r="J5" t="str">
        <x:v>BASE</x:v>
      </x:c>
    </x:row>
    <x:row r="6">
      <x:c r="A6" s="16" t="str">
        <x:v>Version</x:v>
      </x:c>
      <x:c r="B6" s="16" t="str">
        <x:v>v1.1</x:v>
      </x:c>
      <x:c r="C6" s="16" t="str">
        <x:v>Madden 19 Possession attribute weights.</x:v>
      </x:c>
      <x:c r="D6" s="16" t="str">
        <x:v>OPERATIONALLY SOLVED</x:v>
      </x:c>
      <x:c r="F6" t="n">
        <x:v>81</x:v>
      </x:c>
      <x:c r="G6" t="n">
        <x:v>4</x:v>
      </x:c>
      <x:c r="H6" s="46" t="n">
        <x:v>76.91</x:v>
      </x:c>
      <x:c r="I6" s="46" t="n">
        <x:v>78.24</x:v>
      </x:c>
      <x:c r="J6" t="str">
        <x:v>OVERLAP</x:v>
      </x:c>
    </x:row>
    <x:row r="7">
      <x:c r="A7" s="16" t="str">
        <x:v>Overall accuracy</x:v>
      </x:c>
      <x:c r="B7" s="16" t="str">
        <x:v>97/98 (99.0%)</x:v>
      </x:c>
      <x:c r="C7" s="16" t="str">
        <x:v>Current validated cross-OVR ordering.</x:v>
      </x:c>
      <x:c r="D7" s="16" t="str">
        <x:v>PASS</x:v>
      </x:c>
      <x:c r="F7" t="n">
        <x:v>83</x:v>
      </x:c>
      <x:c r="G7" t="n">
        <x:v>1</x:v>
      </x:c>
      <x:c r="H7" s="46" t="n">
        <x:v>80.01</x:v>
      </x:c>
      <x:c r="I7" s="46" t="n">
        <x:v>80.01</x:v>
      </x:c>
      <x:c r="J7" t="str">
        <x:v>CLEAN</x:v>
      </x:c>
    </x:row>
    <x:row r="8">
      <x:c r="A8" s="16" t="str">
        <x:v>Independent/blind validation</x:v>
      </x:c>
      <x:c r="B8" s="16" t="str">
        <x:v>82/83 (98.8%)</x:v>
      </x:c>
      <x:c r="C8" s="16" t="str">
        <x:v>One isolated 0.030 inversion.</x:v>
      </x:c>
      <x:c r="D8" s="16" t="str">
        <x:v>PASS</x:v>
      </x:c>
      <x:c r="F8" t="n">
        <x:v>84</x:v>
      </x:c>
      <x:c r="G8" t="n">
        <x:v>3</x:v>
      </x:c>
      <x:c r="H8" s="46" t="n">
        <x:v>80.18</x:v>
      </x:c>
      <x:c r="I8" s="46" t="n">
        <x:v>80.96</x:v>
      </x:c>
      <x:c r="J8" t="str">
        <x:v>CLEAN</x:v>
      </x:c>
    </x:row>
    <x:row r="9">
      <x:c r="A9" s="16" t="str">
        <x:v>Prospective classification</x:v>
      </x:c>
      <x:c r="B9" s="16" t="str">
        <x:v>PASS / FAILURE / THRESHOLD CASE / UNRESOLVED</x:v>
      </x:c>
      <x:c r="C9" s="16" t="str">
        <x:v>Same definitions as VT prospective framework.</x:v>
      </x:c>
      <x:c r="D9" s="16" t="str">
        <x:v>ACTIVE</x:v>
      </x:c>
      <x:c r="F9" t="n">
        <x:v>85</x:v>
      </x:c>
      <x:c r="G9" t="n">
        <x:v>3</x:v>
      </x:c>
      <x:c r="H9" s="46" t="n">
        <x:v>81.63</x:v>
      </x:c>
      <x:c r="I9" s="46" t="n">
        <x:v>82.06</x:v>
      </x:c>
      <x:c r="J9" t="str">
        <x:v>CLEAN</x:v>
      </x:c>
    </x:row>
    <x:row r="12">
      <x:c r="A12" s="208" t="str">
        <x:v>Prospective Card Log — Future Gritty Possession Cards Only</x:v>
      </x:c>
      <x:c r="B12" s="208"/>
      <x:c r="C12" s="208"/>
      <x:c r="D12" s="208"/>
      <x:c r="E12" s="208"/>
      <x:c r="F12" s="208"/>
      <x:c r="G12" s="208"/>
      <x:c r="H12" s="208"/>
      <x:c r="I12" s="208"/>
      <x:c r="J12" s="208"/>
      <x:c r="K12" s="208"/>
      <x:c r="L12" s="208"/>
      <x:c r="M12" s="208"/>
      <x:c r="N12" s="208"/>
      <x:c r="O12" s="208"/>
      <x:c r="P12" s="208"/>
    </x:row>
    <x:row r="13">
      <x:c r="A13" s="213" t="str">
        <x:v>Prospect_ID</x:v>
      </x:c>
      <x:c r="B13" s="213" t="str">
        <x:v>Date_Added</x:v>
      </x:c>
      <x:c r="C13" s="213" t="str">
        <x:v>Card_ID</x:v>
      </x:c>
      <x:c r="D13" s="213" t="str">
        <x:v>Player</x:v>
      </x:c>
      <x:c r="E13" s="213" t="str">
        <x:v>OVR</x:v>
      </x:c>
      <x:c r="F13" s="213" t="str">
        <x:v>Program</x:v>
      </x:c>
      <x:c r="G13" s="213" t="str">
        <x:v>Source_ID</x:v>
      </x:c>
      <x:c r="H13" s="213" t="str">
        <x:v>Model_ID</x:v>
      </x:c>
      <x:c r="I13" s="213" t="str">
        <x:v>Frozen Score</x:v>
      </x:c>
      <x:c r="J13" s="213" t="str">
        <x:v>Lower-OVR Max</x:v>
      </x:c>
      <x:c r="K13" s="213" t="str">
        <x:v>Higher-OVR Min</x:v>
      </x:c>
      <x:c r="L13" s="213" t="str">
        <x:v>Cross-OVR Failures</x:v>
      </x:c>
      <x:c r="M13" s="213" t="str">
        <x:v>Classification</x:v>
      </x:c>
      <x:c r="N13" s="213" t="str">
        <x:v>Evidence_Status</x:v>
      </x:c>
      <x:c r="O13" s="213" t="str">
        <x:v>Reviewed</x:v>
      </x:c>
      <x:c r="P13" s="213" t="str">
        <x:v>Notes</x:v>
      </x:c>
    </x:row>
  </x:sheetData>
  <x:mergeCells>
    <x:mergeCell ref="A1:P1"/>
    <x:mergeCell ref="A2:P2"/>
    <x:mergeCell ref="A12:P12"/>
  </x:mergeCells>
  <x:dataValidations count="3">
    <x:dataValidation type="list" sqref="M14:M38">
      <x:formula1>"PASS,FAILURE,THRESHOLD CASE,UNRESOLVED"</x:formula1>
    </x:dataValidation>
    <x:dataValidation type="list" sqref="N14:N38">
      <x:formula1>"PROSPECTIVE,PENDING SOURCE REVIEW,EXCLUDED"</x:formula1>
    </x:dataValidation>
    <x:dataValidation type="list" sqref="O14:O38">
      <x:formula1>"YES,NO"</x:formula1>
    </x:dataValidation>
  </x:dataValidations>
  <x:pageMargins left="0.7" right="0.7" top="0.75" bottom="0.75" header="0.3" footer="0.3"/>
</x:worksheet>
</file>

<file path=xl/worksheets/sheet21.xml><?xml version="1.0" encoding="utf-8"?>
<x:worksheet xmlns:x="http://schemas.openxmlformats.org/spreadsheetml/2006/main">
  <x:sheetFormatPr defaultRowHeight="15"/>
  <x:cols>
    <x:col min="1" max="1" width="10" hidden="0" customWidth="1"/>
    <x:col min="2" max="2" width="12" hidden="0" customWidth="1"/>
    <x:col min="3" max="3" width="14" hidden="0" customWidth="1"/>
    <x:col min="4" max="4" width="14" hidden="0" customWidth="1"/>
    <x:col min="5" max="5" width="20" hidden="0" customWidth="1"/>
    <x:col min="6" max="6" width="16" hidden="0" customWidth="1"/>
    <x:col min="7" max="7" width="24" hidden="0" customWidth="1"/>
  </x:cols>
  <x:sheetData>
    <x:row r="1" ht="28" customHeight="1">
      <x:c r="A1" s="196" t="str">
        <x:v>Operation Pancake — TE Physical Route Runner Final Audit</x:v>
      </x:c>
      <x:c r="B1" s="196"/>
      <x:c r="C1" s="196"/>
      <x:c r="D1" s="196"/>
      <x:c r="E1" s="196"/>
      <x:c r="F1" s="196"/>
      <x:c r="G1" s="196"/>
      <x:c r="H1" s="196"/>
      <x:c r="I1" s="196"/>
      <x:c r="J1" s="196"/>
    </x:row>
    <x:row r="2" ht="42" customHeight="1">
      <x:c r="A2" s="199" t="str">
        <x:v>Frozen model: 71% Madden 19 Vertical Threat candidate score + 29% Madden 19 Possession candidate score. This model was frozen before pages 25–69 were extracted and survived the independent holdout without an inversion.</x:v>
      </x:c>
      <x:c r="B2" s="199"/>
      <x:c r="C2" s="199"/>
      <x:c r="D2" s="199"/>
      <x:c r="E2" s="199"/>
      <x:c r="F2" s="199"/>
      <x:c r="G2" s="199"/>
      <x:c r="H2" s="199"/>
      <x:c r="I2" s="199"/>
      <x:c r="J2" s="199"/>
    </x:row>
    <x:row r="4">
      <x:c r="A4" s="202" t="str">
        <x:v>Metric</x:v>
      </x:c>
      <x:c r="B4" s="202" t="str">
        <x:v>Correct</x:v>
      </x:c>
      <x:c r="C4" s="202" t="str">
        <x:v>Total</x:v>
      </x:c>
      <x:c r="D4" s="202" t="str">
        <x:v>Accuracy</x:v>
      </x:c>
      <x:c r="E4" s="202" t="str">
        <x:v>Result</x:v>
      </x:c>
      <x:c r="F4" s="202" t="str">
        <x:v>Interpretation</x:v>
      </x:c>
      <x:c r="G4" s="202" t="str">
        <x:v>Action</x:v>
      </x:c>
    </x:row>
    <x:row r="5">
      <x:c r="A5" s="16" t="str">
        <x:v>Development set</x:v>
      </x:c>
      <x:c r="B5" s="16" t="n">
        <x:v>39</x:v>
      </x:c>
      <x:c r="C5" s="16" t="n">
        <x:v>39</x:v>
      </x:c>
      <x:c r="D5" s="75" t="n">
        <x:v>1</x:v>
      </x:c>
      <x:c r="E5" s="16" t="str">
        <x:v>PASS</x:v>
      </x:c>
      <x:c r="F5" s="16" t="str">
        <x:v>Perfect pre-holdout ordering.</x:v>
      </x:c>
      <x:c r="G5" s="16" t="str">
        <x:v>None</x:v>
      </x:c>
    </x:row>
    <x:row r="6">
      <x:c r="A6" s="16" t="str">
        <x:v>Blind/holdout-involved pairs</x:v>
      </x:c>
      <x:c r="B6" s="16" t="n">
        <x:v>304</x:v>
      </x:c>
      <x:c r="C6" s="16" t="n">
        <x:v>304</x:v>
      </x:c>
      <x:c r="D6" s="75" t="n">
        <x:v>1</x:v>
      </x:c>
      <x:c r="E6" s="16" t="str">
        <x:v>PASS</x:v>
      </x:c>
      <x:c r="F6" s="16" t="str">
        <x:v>Perfect independent holdout ordering using unique rating profiles.</x:v>
      </x:c>
      <x:c r="G6" s="16" t="str">
        <x:v>Freeze</x:v>
      </x:c>
    </x:row>
    <x:row r="7">
      <x:c r="A7" s="16" t="str">
        <x:v>All validated PRR pairs</x:v>
      </x:c>
      <x:c r="B7" s="16" t="n">
        <x:v>404</x:v>
      </x:c>
      <x:c r="C7" s="16" t="n">
        <x:v>404</x:v>
      </x:c>
      <x:c r="D7" s="75" t="n">
        <x:v>1</x:v>
      </x:c>
      <x:c r="E7" s="16" t="str">
        <x:v>PASS</x:v>
      </x:c>
      <x:c r="F7" s="16" t="str">
        <x:v>No inversions in the complete structured dataset.</x:v>
      </x:c>
      <x:c r="G7" s="16" t="str">
        <x:v>OPERATIONALLY SOLVED</x:v>
      </x:c>
    </x:row>
    <x:row r="10">
      <x:c r="A10" s="204" t="str">
        <x:v>Observed PRR Candidate-Score Bands</x:v>
      </x:c>
      <x:c r="B10" s="204"/>
      <x:c r="C10" s="204"/>
      <x:c r="D10" s="204"/>
      <x:c r="E10" s="204"/>
      <x:c r="F10" s="204"/>
      <x:c r="G10" s="204"/>
      <x:c r="H10" s="204"/>
      <x:c r="I10" s="204"/>
      <x:c r="J10" s="204"/>
    </x:row>
    <x:row r="11">
      <x:c r="A11" s="206" t="str">
        <x:v>OVR</x:v>
      </x:c>
      <x:c r="B11" s="206" t="str">
        <x:v>Cards</x:v>
      </x:c>
      <x:c r="C11" s="206" t="str">
        <x:v>Min Score</x:v>
      </x:c>
      <x:c r="D11" s="206" t="str">
        <x:v>Max Score</x:v>
      </x:c>
      <x:c r="E11" s="206" t="str">
        <x:v>Gap from Prior OVR</x:v>
      </x:c>
      <x:c r="F11" s="206" t="str">
        <x:v>Status</x:v>
      </x:c>
    </x:row>
    <x:row r="12">
      <x:c r="A12" t="n">
        <x:v>80</x:v>
      </x:c>
      <x:c r="B12" t="n">
        <x:v>11</x:v>
      </x:c>
      <x:c r="C12" s="46" t="n">
        <x:v>75.28262244897958</x:v>
      </x:c>
      <x:c r="D12" s="46" t="n">
        <x:v>76.84636122448978</x:v>
      </x:c>
      <x:c r="E12" s="46"/>
      <x:c r="F12" t="str">
        <x:v>BASE</x:v>
      </x:c>
    </x:row>
    <x:row r="13">
      <x:c r="A13" t="n">
        <x:v>81</x:v>
      </x:c>
      <x:c r="B13" t="n">
        <x:v>3</x:v>
      </x:c>
      <x:c r="C13" s="46" t="n">
        <x:v>77.3577469387755</x:v>
      </x:c>
      <x:c r="D13" s="46" t="n">
        <x:v>77.47130612244896</x:v>
      </x:c>
      <x:c r="E13" s="46" t="n">
        <x:v>0.5113857142857228</x:v>
      </x:c>
      <x:c r="F13" t="str">
        <x:v>CLEAN</x:v>
      </x:c>
    </x:row>
    <x:row r="14">
      <x:c r="A14" t="n">
        <x:v>82</x:v>
      </x:c>
      <x:c r="B14" t="n">
        <x:v>4</x:v>
      </x:c>
      <x:c r="C14" s="46" t="n">
        <x:v>77.48427959183672</x:v>
      </x:c>
      <x:c r="D14" s="46" t="n">
        <x:v>78.1751081632653</x:v>
      </x:c>
      <x:c r="E14" s="46" t="n">
        <x:v>0.012973469387759451</x:v>
      </x:c>
      <x:c r="F14" t="str">
        <x:v>CLEAN</x:v>
      </x:c>
    </x:row>
    <x:row r="15">
      <x:c r="A15" t="n">
        <x:v>83</x:v>
      </x:c>
      <x:c r="B15" t="n">
        <x:v>6</x:v>
      </x:c>
      <x:c r="C15" s="46" t="n">
        <x:v>78.61425918367345</x:v>
      </x:c>
      <x:c r="D15" s="46" t="n">
        <x:v>79.67222857142856</x:v>
      </x:c>
      <x:c r="E15" s="46" t="n">
        <x:v>0.439151020408147</x:v>
      </x:c>
      <x:c r="F15" t="str">
        <x:v>CLEAN</x:v>
      </x:c>
    </x:row>
    <x:row r="16">
      <x:c r="A16" t="n">
        <x:v>84</x:v>
      </x:c>
      <x:c r="B16" t="n">
        <x:v>3</x:v>
      </x:c>
      <x:c r="C16" s="46" t="n">
        <x:v>80.03456530612246</x:v>
      </x:c>
      <x:c r="D16" s="46" t="n">
        <x:v>80.61150204081632</x:v>
      </x:c>
      <x:c r="E16" s="46" t="n">
        <x:v>0.3623367346938977</x:v>
      </x:c>
      <x:c r="F16" t="str">
        <x:v>CLEAN</x:v>
      </x:c>
    </x:row>
    <x:row r="17">
      <x:c r="A17" t="n">
        <x:v>85</x:v>
      </x:c>
      <x:c r="B17" t="n">
        <x:v>5</x:v>
      </x:c>
      <x:c r="C17" s="46" t="n">
        <x:v>80.85776734693877</x:v>
      </x:c>
      <x:c r="D17" s="46" t="n">
        <x:v>81.06923265306122</x:v>
      </x:c>
      <x:c r="E17" s="46" t="n">
        <x:v>0.2462653061224529</x:v>
      </x:c>
      <x:c r="F17" t="str">
        <x:v>CLEAN</x:v>
      </x:c>
    </x:row>
    <x:row r="20">
      <x:c r="A20" s="214" t="str">
        <x:v>PRR Prospective Validation Rule</x:v>
      </x:c>
      <x:c r="B20" s="214"/>
      <x:c r="C20" s="214"/>
      <x:c r="D20" s="214"/>
      <x:c r="E20" s="214"/>
      <x:c r="F20" s="214"/>
      <x:c r="G20" s="214"/>
      <x:c r="H20" s="214"/>
      <x:c r="I20" s="214"/>
      <x:c r="J20" s="214"/>
    </x:row>
    <x:row r="21">
      <x:c r="A21" s="16" t="str">
        <x:v>TE-MODEL-003 v1.1 is now frozen as OPERATIONALLY SOLVED. Every future Physical Route Runner card is scored with the unchanged 71% VT / 29% Possession model before any model change. Future failures are logged prospectively; isolated misses do not reopen the model.</x:v>
      </x:c>
      <x:c r="B21" s="16"/>
      <x:c r="C21" s="16"/>
      <x:c r="D21" s="16"/>
      <x:c r="E21" s="16"/>
      <x:c r="F21" s="16"/>
      <x:c r="G21" s="16"/>
      <x:c r="H21" s="16"/>
      <x:c r="I21" s="16"/>
      <x:c r="J21" s="16"/>
    </x:row>
    <x:row r="22">
      <x:c r="A22" s="16"/>
      <x:c r="B22" s="16"/>
      <x:c r="C22" s="16"/>
      <x:c r="D22" s="16"/>
      <x:c r="E22" s="16"/>
      <x:c r="F22" s="16"/>
      <x:c r="G22" s="16"/>
      <x:c r="H22" s="16"/>
      <x:c r="I22" s="16"/>
      <x:c r="J22" s="16"/>
    </x:row>
    <x:row r="23">
      <x:c r="A23" s="16"/>
      <x:c r="B23" s="16"/>
      <x:c r="C23" s="16"/>
      <x:c r="D23" s="16"/>
      <x:c r="E23" s="16"/>
      <x:c r="F23" s="16"/>
      <x:c r="G23" s="16"/>
      <x:c r="H23" s="16"/>
      <x:c r="I23" s="16"/>
      <x:c r="J23" s="16"/>
    </x:row>
  </x:sheetData>
  <x:mergeCells>
    <x:mergeCell ref="A1:J1"/>
    <x:mergeCell ref="A2:J2"/>
    <x:mergeCell ref="A10:J10"/>
    <x:mergeCell ref="A20:J20"/>
    <x:mergeCell ref="A21:J23"/>
  </x:mergeCells>
  <x:pageMargins left="0.7" right="0.7" top="0.75" bottom="0.75" header="0.3" footer="0.3"/>
</x:worksheet>
</file>

<file path=xl/worksheets/sheet22.xml><?xml version="1.0" encoding="utf-8"?>
<x:worksheet xmlns:x="http://schemas.openxmlformats.org/spreadsheetml/2006/main">
  <x:sheetFormatPr defaultRowHeight="15"/>
  <x:cols>
    <x:col min="1" max="1" width="24" hidden="0" customWidth="1"/>
    <x:col min="2" max="2" width="48" hidden="0" customWidth="1"/>
    <x:col min="3" max="3" width="20" hidden="0" customWidth="1"/>
    <x:col min="4" max="4" width="24" hidden="0" customWidth="1"/>
    <x:col min="5" max="5" width="14" hidden="0" customWidth="1"/>
    <x:col min="6" max="6" width="22" hidden="0" customWidth="1"/>
    <x:col min="7" max="7" width="58" hidden="0" customWidth="1"/>
    <x:col min="8" max="8" width="72" hidden="0" customWidth="1"/>
    <x:col min="9" max="9" width="50" hidden="0" customWidth="1"/>
  </x:cols>
  <x:sheetData>
    <x:row r="1" ht="30" customHeight="1">
      <x:c r="A1" s="215" t="str">
        <x:v>OPERATION PANCAKE — TIGHT END FORMULA STATUS BOARD</x:v>
      </x:c>
      <x:c r="B1" s="215"/>
      <x:c r="C1" s="215"/>
      <x:c r="D1" s="215"/>
      <x:c r="E1" s="215"/>
      <x:c r="F1" s="215"/>
      <x:c r="G1" s="215"/>
      <x:c r="H1" s="215"/>
      <x:c r="I1" s="215"/>
      <x:c r="J1" s="215"/>
      <x:c r="K1" s="215"/>
    </x:row>
    <x:row r="2" ht="34" customHeight="1">
      <x:c r="A2" s="199" t="str">
        <x:v>Practical standard: ≥98% cross-OVR accuracy + independent validation + no significant systematic failure pattern = OPERATIONALLY SOLVED.</x:v>
      </x:c>
      <x:c r="B2" s="199"/>
      <x:c r="C2" s="199"/>
      <x:c r="D2" s="199"/>
      <x:c r="E2" s="199"/>
      <x:c r="F2" s="199"/>
      <x:c r="G2" s="199"/>
      <x:c r="H2" s="199"/>
      <x:c r="I2" s="199"/>
      <x:c r="J2" s="199"/>
      <x:c r="K2" s="199"/>
    </x:row>
    <x:row r="4">
      <x:c r="A4" s="202" t="str">
        <x:v>KPI</x:v>
      </x:c>
      <x:c r="B4" s="202" t="str">
        <x:v>Value</x:v>
      </x:c>
      <x:c r="C4" s="202" t="str">
        <x:v>Interpretation</x:v>
      </x:c>
      <x:c r="D4" s="202" t="str">
        <x:v>Decision</x:v>
      </x:c>
    </x:row>
    <x:row r="5">
      <x:c r="A5" s="16" t="str">
        <x:v>Structured TE Cards</x:v>
      </x:c>
      <x:c r="B5" s="16" t="n">
        <x:v>68</x:v>
      </x:c>
      <x:c r="C5" s="16" t="str">
        <x:v>Specific validated card/version records</x:v>
      </x:c>
      <x:c r="D5" s="16" t="str"/>
    </x:row>
    <x:row r="6">
      <x:c r="A6" s="16" t="str">
        <x:v>Operationally Solved Coverage</x:v>
      </x:c>
      <x:c r="B6" s="75" t="n">
        <x:v>0.9852941176470589</x:v>
      </x:c>
      <x:c r="C6" s="16" t="str">
        <x:v>67/68 cards fall in solved archetypes</x:v>
      </x:c>
      <x:c r="D6" s="16" t="str">
        <x:v>READY FOR MONEYBALL</x:v>
      </x:c>
    </x:row>
    <x:row r="7">
      <x:c r="A7" s="16" t="str">
        <x:v>Unsolved Archetype Cards</x:v>
      </x:c>
      <x:c r="B7" s="16" t="n">
        <x:v>1</x:v>
      </x:c>
      <x:c r="C7" s="16" t="str">
        <x:v>Pure Blocker only</x:v>
      </x:c>
      <x:c r="D7" s="16" t="str">
        <x:v>Exclude from formula-derived Moneyball scoring until data arrives</x:v>
      </x:c>
    </x:row>
    <x:row r="10">
      <x:c r="A10" s="217" t="str">
        <x:v>Archetype</x:v>
      </x:c>
      <x:c r="B10" s="217" t="str">
        <x:v>Current Model</x:v>
      </x:c>
      <x:c r="C10" s="217" t="str">
        <x:v>Cross-OVR Accuracy</x:v>
      </x:c>
      <x:c r="D10" s="217" t="str">
        <x:v>Independent Validation</x:v>
      </x:c>
      <x:c r="E10" s="217" t="str">
        <x:v>Confidence</x:v>
      </x:c>
      <x:c r="F10" s="217" t="str">
        <x:v>Operationally Solved?</x:v>
      </x:c>
      <x:c r="G10" s="217" t="str">
        <x:v>Unresolved Issues</x:v>
      </x:c>
      <x:c r="H10" s="217" t="str">
        <x:v>Additional Data Needed</x:v>
      </x:c>
      <x:c r="I10" s="217" t="str">
        <x:v>Prospective Rule</x:v>
      </x:c>
    </x:row>
    <x:row r="11">
      <x:c r="A11" s="16" t="str">
        <x:v>Vertical Threat</x:v>
      </x:c>
      <x:c r="B11" s="16" t="str">
        <x:v>TE-MODEL-006 v1.3 — M19 VT +2 LBK +3 IBL</x:v>
      </x:c>
      <x:c r="C11" s="75" t="n">
        <x:v>0.9857142857142858</x:v>
      </x:c>
      <x:c r="D11" s="16" t="str">
        <x:v>17/17 (100%)</x:v>
      </x:c>
      <x:c r="E11" s="16" t="str">
        <x:v>HIGH</x:v>
      </x:c>
      <x:c r="F11" s="16" t="str">
        <x:v>YES</x:v>
      </x:c>
      <x:c r="G11" s="16" t="str">
        <x:v>2 isolated inversions retained as research outliers.</x:v>
      </x:c>
      <x:c r="H11" s="16" t="str">
        <x:v>New prospective VT cards, especially OVR 80–82; no blocking requirement.</x:v>
      </x:c>
      <x:c r="I11" s="16" t="str">
        <x:v>Frozen; reopen only for systematic prospective failure.</x:v>
      </x:c>
    </x:row>
    <x:row r="12">
      <x:c r="A12" s="16" t="str">
        <x:v>Gritty Possession</x:v>
      </x:c>
      <x:c r="B12" s="16" t="str">
        <x:v>TE-MODEL-001 v1.1 — M19 Possession weights</x:v>
      </x:c>
      <x:c r="C12" s="75" t="n">
        <x:v>0.9897959183673469</x:v>
      </x:c>
      <x:c r="D12" s="16" t="str">
        <x:v>82/83 (98.8%)</x:v>
      </x:c>
      <x:c r="E12" s="16" t="str">
        <x:v>HIGH</x:v>
      </x:c>
      <x:c r="F12" s="16" t="str">
        <x:v>YES</x:v>
      </x:c>
      <x:c r="G12" s="16" t="str">
        <x:v>1 isolated 0.030 inversion: Jalen Hoffman 81 vs Christian Bentancur 80.</x:v>
      </x:c>
      <x:c r="H12" s="16" t="str">
        <x:v>None required to proceed; future Gritty cards strengthen prospective evidence.</x:v>
      </x:c>
      <x:c r="I12" s="16" t="str">
        <x:v>Frozen; prospective log active.</x:v>
      </x:c>
    </x:row>
    <x:row r="13">
      <x:c r="A13" s="16" t="str">
        <x:v>Physical Route Runner</x:v>
      </x:c>
      <x:c r="B13" s="16" t="str">
        <x:v>TE-MODEL-003 v1.1 — 71% VT + 29% Possession</x:v>
      </x:c>
      <x:c r="C13" s="75" t="n">
        <x:v>1</x:v>
      </x:c>
      <x:c r="D13" s="16" t="str">
        <x:v>304/304 unique-profile blind (100%)</x:v>
      </x:c>
      <x:c r="E13" s="16" t="str">
        <x:v>HIGH</x:v>
      </x:c>
      <x:c r="F13" s="16" t="str">
        <x:v>YES</x:v>
      </x:c>
      <x:c r="G13" s="16" t="str">
        <x:v>No observed cross-OVR inversions.</x:v>
      </x:c>
      <x:c r="H13" s="16" t="str">
        <x:v>None required to proceed; future cards are prospective checks only.</x:v>
      </x:c>
      <x:c r="I13" s="16" t="str">
        <x:v>Frozen; reopen only for systematic prospective failure.</x:v>
      </x:c>
    </x:row>
    <x:row r="14">
      <x:c r="A14" s="16" t="str">
        <x:v>Pure Blocker</x:v>
      </x:c>
      <x:c r="B14" s="16" t="str">
        <x:v>TE-MODEL-004 v1.1 — Madden Blocking prior only</x:v>
      </x:c>
      <x:c r="C14" s="16"/>
      <x:c r="D14" s="16" t="str">
        <x:v>No pairwise validation</x:v>
      </x:c>
      <x:c r="E14" s="16" t="str">
        <x:v>LOW</x:v>
      </x:c>
      <x:c r="F14" s="16" t="str">
        <x:v>NO</x:v>
      </x:c>
      <x:c r="G14" s="16" t="str">
        <x:v>Only one structured Pure Blocker (Ethan Malafa 84).</x:v>
      </x:c>
      <x:c r="H14" s="16" t="str">
        <x:v>Minimum useful target: 5 more real Pure Blockers spanning ≥3 OVR tiers, ideally including adjacent 83/84/85 or 82/83/84 bands.</x:v>
      </x:c>
      <x:c r="I14" s="16" t="str">
        <x:v>Do not formula-score for Moneyball until validated.</x:v>
      </x:c>
    </x:row>
    <x:row r="17">
      <x:c r="A17" s="218" t="str">
        <x:v>TE FORMULA PHASE DECISION</x:v>
      </x:c>
      <x:c r="B17" s="218"/>
      <x:c r="C17" s="218"/>
      <x:c r="D17" s="218"/>
      <x:c r="E17" s="218"/>
      <x:c r="F17" s="218"/>
      <x:c r="G17" s="218"/>
      <x:c r="H17" s="218"/>
      <x:c r="I17" s="218"/>
      <x:c r="J17" s="218"/>
      <x:c r="K17" s="218"/>
    </x:row>
    <x:row r="18">
      <x:c r="A18" s="221" t="str">
        <x:v>TE FORMULA PHASE COMPLETE — OPERATIONAL. Three archetypes are operationally solved and cover 67/68 (98.5%) of the current structured TE database. Pure Blocker is explicitly excluded from formula-derived Moneyball scoring until a minimally useful dataset exists. This exception does not block the project from advancing because the solved archetypes already cover more than 98% of validated TE card records. Moneyball work may begin now for Vertical Threat, Gritty Possession, and Physical Route Runner.</x:v>
      </x:c>
      <x:c r="B18" s="221"/>
      <x:c r="C18" s="221"/>
      <x:c r="D18" s="221"/>
      <x:c r="E18" s="221"/>
      <x:c r="F18" s="221"/>
      <x:c r="G18" s="221"/>
      <x:c r="H18" s="221"/>
      <x:c r="I18" s="221"/>
      <x:c r="J18" s="221"/>
      <x:c r="K18" s="221"/>
    </x:row>
    <x:row r="19">
      <x:c r="A19" s="221"/>
      <x:c r="B19" s="221"/>
      <x:c r="C19" s="221"/>
      <x:c r="D19" s="221"/>
      <x:c r="E19" s="221"/>
      <x:c r="F19" s="221"/>
      <x:c r="G19" s="221"/>
      <x:c r="H19" s="221"/>
      <x:c r="I19" s="221"/>
      <x:c r="J19" s="221"/>
      <x:c r="K19" s="221"/>
    </x:row>
    <x:row r="20">
      <x:c r="A20" s="221"/>
      <x:c r="B20" s="221"/>
      <x:c r="C20" s="221"/>
      <x:c r="D20" s="221"/>
      <x:c r="E20" s="221"/>
      <x:c r="F20" s="221"/>
      <x:c r="G20" s="221"/>
      <x:c r="H20" s="221"/>
      <x:c r="I20" s="221"/>
      <x:c r="J20" s="221"/>
      <x:c r="K20" s="221"/>
    </x:row>
    <x:row r="21">
      <x:c r="A21" s="221"/>
      <x:c r="B21" s="221"/>
      <x:c r="C21" s="221"/>
      <x:c r="D21" s="221"/>
      <x:c r="E21" s="221"/>
      <x:c r="F21" s="221"/>
      <x:c r="G21" s="221"/>
      <x:c r="H21" s="221"/>
      <x:c r="I21" s="221"/>
      <x:c r="J21" s="221"/>
      <x:c r="K21" s="221"/>
    </x:row>
    <x:row r="22">
      <x:c r="A22" s="221"/>
      <x:c r="B22" s="221"/>
      <x:c r="C22" s="221"/>
      <x:c r="D22" s="221"/>
      <x:c r="E22" s="221"/>
      <x:c r="F22" s="221"/>
      <x:c r="G22" s="221"/>
      <x:c r="H22" s="221"/>
      <x:c r="I22" s="221"/>
      <x:c r="J22" s="221"/>
      <x:c r="K22" s="221"/>
    </x:row>
  </x:sheetData>
  <x:mergeCells>
    <x:mergeCell ref="A1:K1"/>
    <x:mergeCell ref="A2:K2"/>
    <x:mergeCell ref="A17:K17"/>
    <x:mergeCell ref="A18:K22"/>
  </x:mergeCells>
  <x:pageMargins left="0.7" right="0.7" top="0.75" bottom="0.75" header="0.3" footer="0.3"/>
</x:worksheet>
</file>

<file path=xl/worksheets/sheet23.xml><?xml version="1.0" encoding="utf-8"?>
<x:worksheet xmlns:x="http://schemas.openxmlformats.org/spreadsheetml/2006/main">
  <x:sheetFormatPr defaultRowHeight="15"/>
  <x:cols>
    <x:col min="1" max="1" width="18"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s>
  <x:sheetData>
    <x:row r="1" ht="28" customHeight="1">
      <x:c r="A1" s="227" t="str">
        <x:v>Operation Pancake — TE Moneyball Methodology v1.0</x:v>
      </x:c>
      <x:c r="B1" s="227"/>
      <x:c r="C1" s="227"/>
      <x:c r="D1" s="227"/>
      <x:c r="E1" s="227"/>
      <x:c r="F1" s="227"/>
      <x:c r="G1" s="227"/>
      <x:c r="H1" s="227"/>
      <x:c r="I1" s="227"/>
      <x:c r="J1" s="227"/>
    </x:row>
    <x:row r="2" ht="44" customHeight="1">
      <x:c r="A2" s="230" t="str">
        <x:v>Preliminary football-value framework. Role and utility weights are transparent research hypotheses, not gameplay-validated facts. Frozen OVR models estimate EA valuation only; they are not refit here. Market price is excluded until reliable price data exists.</x:v>
      </x:c>
      <x:c r="B2" s="230"/>
      <x:c r="C2" s="230"/>
      <x:c r="D2" s="230"/>
      <x:c r="E2" s="230"/>
      <x:c r="F2" s="230"/>
      <x:c r="G2" s="230"/>
      <x:c r="H2" s="230"/>
      <x:c r="I2" s="230"/>
      <x:c r="J2" s="230"/>
    </x:row>
    <x:row r="4">
      <x:c r="A4" s="233" t="str">
        <x:v>Component</x:v>
      </x:c>
      <x:c r="B4" s="233" t="str">
        <x:v>Definition</x:v>
      </x:c>
      <x:c r="C4" s="233" t="str">
        <x:v>Purpose</x:v>
      </x:c>
      <x:c r="D4" s="233" t="str">
        <x:v>Current Status</x:v>
      </x:c>
    </x:row>
    <x:row r="5">
      <x:c r="A5" s="16" t="str">
        <x:v>Frozen OVR model</x:v>
      </x:c>
      <x:c r="B5" s="16" t="str">
        <x:v>Archetype-specific solved operational formula from TE Formula Phase</x:v>
      </x:c>
      <x:c r="C5" s="16" t="str">
        <x:v>Estimate EA's rating valuation and within-band position.</x:v>
      </x:c>
      <x:c r="D5" s="16" t="str">
        <x:v>Frozen / validated</x:v>
      </x:c>
    </x:row>
    <x:row r="6">
      <x:c r="A6" s="16" t="str">
        <x:v>Role Score</x:v>
      </x:c>
      <x:c r="B6" s="16" t="str">
        <x:v>Weighted average of football-relevant attributes for a specific TE role</x:v>
      </x:c>
      <x:c r="C6" s="16" t="str">
        <x:v>Measure role-specific utility independent of displayed OVR.</x:v>
      </x:c>
      <x:c r="D6" s="16" t="str">
        <x:v>Preliminary heuristic</x:v>
      </x:c>
    </x:row>
    <x:row r="7">
      <x:c r="A7" s="16" t="str">
        <x:v>Football Utility Score (FUS)</x:v>
      </x:c>
      <x:c r="B7" s="16" t="str">
        <x:v>22% Receiving + 18% Possession + 18% Blocker + 22% Balanced + 12% Mismatch + 8% YAC</x:v>
      </x:c>
      <x:c r="C7" s="16" t="str">
        <x:v>General TE usefulness estimate, still fully decomposable.</x:v>
      </x:c>
      <x:c r="D7" s="16" t="str">
        <x:v>Preliminary heuristic</x:v>
      </x:c>
    </x:row>
    <x:row r="8">
      <x:c r="A8" s="16" t="str">
        <x:v>Expected FUS by OVR</x:v>
      </x:c>
      <x:c r="B8" s="16" t="str">
        <x:v>Expected FUS = -2.924 + 0.979×OVR</x:v>
      </x:c>
      <x:c r="C8" s="16" t="str">
        <x:v>Creates an OVR-adjusted football utility baseline.</x:v>
      </x:c>
      <x:c r="D8" s="16" t="str">
        <x:v>Data-derived from current eligible cards</x:v>
      </x:c>
    </x:row>
    <x:row r="9">
      <x:c r="A9" s="16" t="str">
        <x:v>Utility Surplus</x:v>
      </x:c>
      <x:c r="B9" s="16" t="str">
        <x:v>FUS − Expected FUS</x:v>
      </x:c>
      <x:c r="C9" s="16" t="str">
        <x:v>Positive = more football utility than a typical TE at the same OVR.</x:v>
      </x:c>
      <x:c r="D9" s="16" t="str">
        <x:v>Data-derived</x:v>
      </x:c>
    </x:row>
    <x:row r="10">
      <x:c r="A10" s="16" t="str">
        <x:v>Moneyball Score</x:v>
      </x:c>
      <x:c r="B10" s="16" t="str">
        <x:v>50 + 10×z(Utility Surplus), capped 0–100</x:v>
      </x:c>
      <x:c r="C10" s="16" t="str">
        <x:v>Ranks football value relative to displayed OVR; NOT coin value.</x:v>
      </x:c>
      <x:c r="D10" s="16" t="str">
        <x:v>Preliminary football value</x:v>
      </x:c>
    </x:row>
    <x:row r="11">
      <x:c r="A11" s="16" t="str">
        <x:v>Market value</x:v>
      </x:c>
      <x:c r="B11" s="16" t="str">
        <x:v>Price, rolling median, spread/liquidity, coins-per-utility</x:v>
      </x:c>
      <x:c r="C11" s="16" t="str">
        <x:v>Convert football value into actual coin Moneyball later.</x:v>
      </x:c>
      <x:c r="D11" s="16" t="str">
        <x:v>Reserved / not populated</x:v>
      </x:c>
    </x:row>
    <x:row r="12">
      <x:c r="A12" s="16" t="str">
        <x:v>Pure Blocker</x:v>
      </x:c>
      <x:c r="B12" s="16" t="str">
        <x:v>Excluded from formula-derived rankings</x:v>
      </x:c>
      <x:c r="C12" s="16" t="str">
        <x:v>Insufficient OVR-model evidence.</x:v>
      </x:c>
      <x:c r="D12" s="16" t="str">
        <x:v>Excluded</x:v>
      </x:c>
    </x:row>
    <x:row r="15">
      <x:c r="A15" s="235" t="str">
        <x:v>Role Weight Matrix (% of Role Score)</x:v>
      </x:c>
      <x:c r="B15" s="235"/>
      <x:c r="C15" s="235"/>
      <x:c r="D15" s="235"/>
      <x:c r="E15" s="235"/>
      <x:c r="F15" s="235"/>
      <x:c r="G15" s="235"/>
      <x:c r="H15" s="235"/>
      <x:c r="I15" s="235"/>
      <x:c r="J15" s="235"/>
    </x:row>
    <x:row r="16">
      <x:c r="A16" s="237" t="str">
        <x:v>Attribute</x:v>
      </x:c>
      <x:c r="B16" s="237" t="str">
        <x:v>Receiving Threat</x:v>
      </x:c>
      <x:c r="C16" s="237" t="str">
        <x:v>Possession Target</x:v>
      </x:c>
      <x:c r="D16" s="237" t="str">
        <x:v>Blocker</x:v>
      </x:c>
      <x:c r="E16" s="237" t="str">
        <x:v>Balanced In-Line</x:v>
      </x:c>
      <x:c r="F16" s="237" t="str">
        <x:v>Mismatch Weapon</x:v>
      </x:c>
      <x:c r="G16" s="237" t="str">
        <x:v>YAC / Move TE</x:v>
      </x:c>
    </x:row>
    <x:row r="17">
      <x:c r="A17" t="str">
        <x:v>ACC</x:v>
      </x:c>
      <x:c r="B17" s="47" t="n">
        <x:v>10</x:v>
      </x:c>
      <x:c r="C17" s="47" t="n">
        <x:v>0</x:v>
      </x:c>
      <x:c r="D17" s="47" t="n">
        <x:v>0</x:v>
      </x:c>
      <x:c r="E17" s="47" t="n">
        <x:v>4</x:v>
      </x:c>
      <x:c r="F17" s="47" t="n">
        <x:v>12</x:v>
      </x:c>
      <x:c r="G17" s="47" t="n">
        <x:v>10</x:v>
      </x:c>
    </x:row>
    <x:row r="18">
      <x:c r="A18" t="str">
        <x:v>AGI</x:v>
      </x:c>
      <x:c r="B18" s="47" t="n">
        <x:v>0</x:v>
      </x:c>
      <x:c r="C18" s="47" t="n">
        <x:v>0</x:v>
      </x:c>
      <x:c r="D18" s="47" t="n">
        <x:v>0</x:v>
      </x:c>
      <x:c r="E18" s="47" t="n">
        <x:v>0</x:v>
      </x:c>
      <x:c r="F18" s="47" t="n">
        <x:v>8</x:v>
      </x:c>
      <x:c r="G18" s="47" t="n">
        <x:v>5</x:v>
      </x:c>
    </x:row>
    <x:row r="19">
      <x:c r="A19" t="str">
        <x:v>AWR</x:v>
      </x:c>
      <x:c r="B19" s="47" t="n">
        <x:v>3</x:v>
      </x:c>
      <x:c r="C19" s="47" t="n">
        <x:v>10</x:v>
      </x:c>
      <x:c r="D19" s="47" t="n">
        <x:v>5</x:v>
      </x:c>
      <x:c r="E19" s="47" t="n">
        <x:v>6</x:v>
      </x:c>
      <x:c r="F19" s="47" t="n">
        <x:v>0</x:v>
      </x:c>
      <x:c r="G19" s="47" t="n">
        <x:v>0</x:v>
      </x:c>
    </x:row>
    <x:row r="20">
      <x:c r="A20" t="str">
        <x:v>BCV</x:v>
      </x:c>
      <x:c r="B20" s="47" t="n">
        <x:v>0</x:v>
      </x:c>
      <x:c r="C20" s="47" t="n">
        <x:v>0</x:v>
      </x:c>
      <x:c r="D20" s="47" t="n">
        <x:v>0</x:v>
      </x:c>
      <x:c r="E20" s="47" t="n">
        <x:v>0</x:v>
      </x:c>
      <x:c r="F20" s="47" t="n">
        <x:v>0</x:v>
      </x:c>
      <x:c r="G20" s="47" t="n">
        <x:v>8</x:v>
      </x:c>
    </x:row>
    <x:row r="21">
      <x:c r="A21" t="str">
        <x:v>BTK</x:v>
      </x:c>
      <x:c r="B21" s="47" t="n">
        <x:v>0</x:v>
      </x:c>
      <x:c r="C21" s="47" t="n">
        <x:v>0</x:v>
      </x:c>
      <x:c r="D21" s="47" t="n">
        <x:v>0</x:v>
      </x:c>
      <x:c r="E21" s="47" t="n">
        <x:v>0</x:v>
      </x:c>
      <x:c r="F21" s="47" t="n">
        <x:v>0</x:v>
      </x:c>
      <x:c r="G21" s="47" t="n">
        <x:v>14</x:v>
      </x:c>
    </x:row>
    <x:row r="22">
      <x:c r="A22" t="str">
        <x:v>CAR</x:v>
      </x:c>
      <x:c r="B22" s="47" t="n">
        <x:v>0</x:v>
      </x:c>
      <x:c r="C22" s="47" t="n">
        <x:v>0</x:v>
      </x:c>
      <x:c r="D22" s="47" t="n">
        <x:v>0</x:v>
      </x:c>
      <x:c r="E22" s="47" t="n">
        <x:v>0</x:v>
      </x:c>
      <x:c r="F22" s="47" t="n">
        <x:v>0</x:v>
      </x:c>
      <x:c r="G22" s="47" t="n">
        <x:v>6</x:v>
      </x:c>
    </x:row>
    <x:row r="23">
      <x:c r="A23" t="str">
        <x:v>CIT</x:v>
      </x:c>
      <x:c r="B23" s="47" t="n">
        <x:v>8</x:v>
      </x:c>
      <x:c r="C23" s="47" t="n">
        <x:v>20</x:v>
      </x:c>
      <x:c r="D23" s="47" t="n">
        <x:v>0</x:v>
      </x:c>
      <x:c r="E23" s="47" t="n">
        <x:v>8</x:v>
      </x:c>
      <x:c r="F23" s="47" t="n">
        <x:v>8</x:v>
      </x:c>
      <x:c r="G23" s="47" t="n">
        <x:v>5</x:v>
      </x:c>
    </x:row>
    <x:row r="24">
      <x:c r="A24" t="str">
        <x:v>COD</x:v>
      </x:c>
      <x:c r="B24" s="47" t="n">
        <x:v>8</x:v>
      </x:c>
      <x:c r="C24" s="47" t="n">
        <x:v>4</x:v>
      </x:c>
      <x:c r="D24" s="47" t="n">
        <x:v>0</x:v>
      </x:c>
      <x:c r="E24" s="47" t="n">
        <x:v>2</x:v>
      </x:c>
      <x:c r="F24" s="47" t="n">
        <x:v>12</x:v>
      </x:c>
      <x:c r="G24" s="47" t="n">
        <x:v>14</x:v>
      </x:c>
    </x:row>
    <x:row r="25">
      <x:c r="A25" t="str">
        <x:v>CTH</x:v>
      </x:c>
      <x:c r="B25" s="47" t="n">
        <x:v>12</x:v>
      </x:c>
      <x:c r="C25" s="47" t="n">
        <x:v>15</x:v>
      </x:c>
      <x:c r="D25" s="47" t="n">
        <x:v>0</x:v>
      </x:c>
      <x:c r="E25" s="47" t="n">
        <x:v>8</x:v>
      </x:c>
      <x:c r="F25" s="47" t="n">
        <x:v>10</x:v>
      </x:c>
      <x:c r="G25" s="47" t="n">
        <x:v>6</x:v>
      </x:c>
    </x:row>
    <x:row r="26">
      <x:c r="A26" t="str">
        <x:v>DRR</x:v>
      </x:c>
      <x:c r="B26" s="47" t="n">
        <x:v>10</x:v>
      </x:c>
      <x:c r="C26" s="47" t="n">
        <x:v>0</x:v>
      </x:c>
      <x:c r="D26" s="47" t="n">
        <x:v>0</x:v>
      </x:c>
      <x:c r="E26" s="47" t="n">
        <x:v>0</x:v>
      </x:c>
      <x:c r="F26" s="47" t="n">
        <x:v>7</x:v>
      </x:c>
      <x:c r="G26" s="47" t="n">
        <x:v>0</x:v>
      </x:c>
    </x:row>
    <x:row r="27">
      <x:c r="A27" t="str">
        <x:v>IBL</x:v>
      </x:c>
      <x:c r="B27" s="47" t="n">
        <x:v>0</x:v>
      </x:c>
      <x:c r="C27" s="47" t="n">
        <x:v>5</x:v>
      </x:c>
      <x:c r="D27" s="47" t="n">
        <x:v>15</x:v>
      </x:c>
      <x:c r="E27" s="47" t="n">
        <x:v>7</x:v>
      </x:c>
      <x:c r="F27" s="47" t="n">
        <x:v>0</x:v>
      </x:c>
      <x:c r="G27" s="47" t="n">
        <x:v>0</x:v>
      </x:c>
    </x:row>
    <x:row r="28">
      <x:c r="A28" t="str">
        <x:v>JMP</x:v>
      </x:c>
      <x:c r="B28" s="47" t="n">
        <x:v>4</x:v>
      </x:c>
      <x:c r="C28" s="47" t="n">
        <x:v>0</x:v>
      </x:c>
      <x:c r="D28" s="47" t="n">
        <x:v>0</x:v>
      </x:c>
      <x:c r="E28" s="47" t="n">
        <x:v>0</x:v>
      </x:c>
      <x:c r="F28" s="47" t="n">
        <x:v>8</x:v>
      </x:c>
      <x:c r="G28" s="47" t="n">
        <x:v>0</x:v>
      </x:c>
    </x:row>
    <x:row r="29">
      <x:c r="A29" t="str">
        <x:v>LBK</x:v>
      </x:c>
      <x:c r="B29" s="47" t="n">
        <x:v>0</x:v>
      </x:c>
      <x:c r="C29" s="47" t="n">
        <x:v>0</x:v>
      </x:c>
      <x:c r="D29" s="47" t="n">
        <x:v>10</x:v>
      </x:c>
      <x:c r="E29" s="47" t="n">
        <x:v>5</x:v>
      </x:c>
      <x:c r="F29" s="47" t="n">
        <x:v>0</x:v>
      </x:c>
      <x:c r="G29" s="47" t="n">
        <x:v>0</x:v>
      </x:c>
    </x:row>
    <x:row r="30">
      <x:c r="A30" t="str">
        <x:v>MRR</x:v>
      </x:c>
      <x:c r="B30" s="47" t="n">
        <x:v>12</x:v>
      </x:c>
      <x:c r="C30" s="47" t="n">
        <x:v>12</x:v>
      </x:c>
      <x:c r="D30" s="47" t="n">
        <x:v>0</x:v>
      </x:c>
      <x:c r="E30" s="47" t="n">
        <x:v>7</x:v>
      </x:c>
      <x:c r="F30" s="47" t="n">
        <x:v>8</x:v>
      </x:c>
      <x:c r="G30" s="47" t="n">
        <x:v>0</x:v>
      </x:c>
    </x:row>
    <x:row r="31">
      <x:c r="A31" t="str">
        <x:v>PBF</x:v>
      </x:c>
      <x:c r="B31" s="47" t="n">
        <x:v>0</x:v>
      </x:c>
      <x:c r="C31" s="47" t="n">
        <x:v>0</x:v>
      </x:c>
      <x:c r="D31" s="47" t="n">
        <x:v>5</x:v>
      </x:c>
      <x:c r="E31" s="47" t="n">
        <x:v>3</x:v>
      </x:c>
      <x:c r="F31" s="47" t="n">
        <x:v>0</x:v>
      </x:c>
      <x:c r="G31" s="47" t="n">
        <x:v>0</x:v>
      </x:c>
    </x:row>
    <x:row r="32">
      <x:c r="A32" t="str">
        <x:v>PBK</x:v>
      </x:c>
      <x:c r="B32" s="47" t="n">
        <x:v>0</x:v>
      </x:c>
      <x:c r="C32" s="47" t="n">
        <x:v>0</x:v>
      </x:c>
      <x:c r="D32" s="47" t="n">
        <x:v>10</x:v>
      </x:c>
      <x:c r="E32" s="47" t="n">
        <x:v>7</x:v>
      </x:c>
      <x:c r="F32" s="47" t="n">
        <x:v>0</x:v>
      </x:c>
      <x:c r="G32" s="47" t="n">
        <x:v>0</x:v>
      </x:c>
    </x:row>
    <x:row r="33">
      <x:c r="A33" t="str">
        <x:v>PBP</x:v>
      </x:c>
      <x:c r="B33" s="47" t="n">
        <x:v>0</x:v>
      </x:c>
      <x:c r="C33" s="47" t="n">
        <x:v>0</x:v>
      </x:c>
      <x:c r="D33" s="47" t="n">
        <x:v>5</x:v>
      </x:c>
      <x:c r="E33" s="47" t="n">
        <x:v>3</x:v>
      </x:c>
      <x:c r="F33" s="47" t="n">
        <x:v>0</x:v>
      </x:c>
      <x:c r="G33" s="47" t="n">
        <x:v>0</x:v>
      </x:c>
    </x:row>
    <x:row r="34">
      <x:c r="A34" t="str">
        <x:v>RBF</x:v>
      </x:c>
      <x:c r="B34" s="47" t="n">
        <x:v>0</x:v>
      </x:c>
      <x:c r="C34" s="47" t="n">
        <x:v>0</x:v>
      </x:c>
      <x:c r="D34" s="47" t="n">
        <x:v>10</x:v>
      </x:c>
      <x:c r="E34" s="47" t="n">
        <x:v>5</x:v>
      </x:c>
      <x:c r="F34" s="47" t="n">
        <x:v>0</x:v>
      </x:c>
      <x:c r="G34" s="47" t="n">
        <x:v>0</x:v>
      </x:c>
    </x:row>
    <x:row r="35">
      <x:c r="A35" t="str">
        <x:v>RBK</x:v>
      </x:c>
      <x:c r="B35" s="47" t="n">
        <x:v>0</x:v>
      </x:c>
      <x:c r="C35" s="47" t="n">
        <x:v>5</x:v>
      </x:c>
      <x:c r="D35" s="47" t="n">
        <x:v>15</x:v>
      </x:c>
      <x:c r="E35" s="47" t="n">
        <x:v>9</x:v>
      </x:c>
      <x:c r="F35" s="47" t="n">
        <x:v>0</x:v>
      </x:c>
      <x:c r="G35" s="47" t="n">
        <x:v>0</x:v>
      </x:c>
    </x:row>
    <x:row r="36">
      <x:c r="A36" t="str">
        <x:v>RBP</x:v>
      </x:c>
      <x:c r="B36" s="47" t="n">
        <x:v>0</x:v>
      </x:c>
      <x:c r="C36" s="47" t="n">
        <x:v>0</x:v>
      </x:c>
      <x:c r="D36" s="47" t="n">
        <x:v>10</x:v>
      </x:c>
      <x:c r="E36" s="47" t="n">
        <x:v>5</x:v>
      </x:c>
      <x:c r="F36" s="47" t="n">
        <x:v>0</x:v>
      </x:c>
      <x:c r="G36" s="47" t="n">
        <x:v>0</x:v>
      </x:c>
    </x:row>
    <x:row r="37">
      <x:c r="A37" t="str">
        <x:v>RLS</x:v>
      </x:c>
      <x:c r="B37" s="47" t="n">
        <x:v>5</x:v>
      </x:c>
      <x:c r="C37" s="47" t="n">
        <x:v>4</x:v>
      </x:c>
      <x:c r="D37" s="47" t="n">
        <x:v>0</x:v>
      </x:c>
      <x:c r="E37" s="47" t="n">
        <x:v>0</x:v>
      </x:c>
      <x:c r="F37" s="47" t="n">
        <x:v>0</x:v>
      </x:c>
      <x:c r="G37" s="47" t="n">
        <x:v>0</x:v>
      </x:c>
    </x:row>
    <x:row r="38">
      <x:c r="A38" t="str">
        <x:v>SFA</x:v>
      </x:c>
      <x:c r="B38" s="47" t="n">
        <x:v>0</x:v>
      </x:c>
      <x:c r="C38" s="47" t="n">
        <x:v>0</x:v>
      </x:c>
      <x:c r="D38" s="47" t="n">
        <x:v>0</x:v>
      </x:c>
      <x:c r="E38" s="47" t="n">
        <x:v>0</x:v>
      </x:c>
      <x:c r="F38" s="47" t="n">
        <x:v>0</x:v>
      </x:c>
      <x:c r="G38" s="47" t="n">
        <x:v>10</x:v>
      </x:c>
    </x:row>
    <x:row r="39">
      <x:c r="A39" t="str">
        <x:v>SPC</x:v>
      </x:c>
      <x:c r="B39" s="47" t="n">
        <x:v>5</x:v>
      </x:c>
      <x:c r="C39" s="47" t="n">
        <x:v>0</x:v>
      </x:c>
      <x:c r="D39" s="47" t="n">
        <x:v>0</x:v>
      </x:c>
      <x:c r="E39" s="47" t="n">
        <x:v>0</x:v>
      </x:c>
      <x:c r="F39" s="47" t="n">
        <x:v>5</x:v>
      </x:c>
      <x:c r="G39" s="47" t="n">
        <x:v>0</x:v>
      </x:c>
    </x:row>
    <x:row r="40">
      <x:c r="A40" t="str">
        <x:v>SPD</x:v>
      </x:c>
      <x:c r="B40" s="47" t="n">
        <x:v>15</x:v>
      </x:c>
      <x:c r="C40" s="47" t="n">
        <x:v>4</x:v>
      </x:c>
      <x:c r="D40" s="47" t="n">
        <x:v>0</x:v>
      </x:c>
      <x:c r="E40" s="47" t="n">
        <x:v>7</x:v>
      </x:c>
      <x:c r="F40" s="47" t="n">
        <x:v>18</x:v>
      </x:c>
      <x:c r="G40" s="47" t="n">
        <x:v>12</x:v>
      </x:c>
    </x:row>
    <x:row r="41">
      <x:c r="A41" t="str">
        <x:v>SRR</x:v>
      </x:c>
      <x:c r="B41" s="47" t="n">
        <x:v>8</x:v>
      </x:c>
      <x:c r="C41" s="47" t="n">
        <x:v>15</x:v>
      </x:c>
      <x:c r="D41" s="47" t="n">
        <x:v>0</x:v>
      </x:c>
      <x:c r="E41" s="47" t="n">
        <x:v>7</x:v>
      </x:c>
      <x:c r="F41" s="47" t="n">
        <x:v>0</x:v>
      </x:c>
      <x:c r="G41" s="47" t="n">
        <x:v>0</x:v>
      </x:c>
    </x:row>
    <x:row r="42">
      <x:c r="A42" t="str">
        <x:v>STR</x:v>
      </x:c>
      <x:c r="B42" s="47" t="n">
        <x:v>0</x:v>
      </x:c>
      <x:c r="C42" s="47" t="n">
        <x:v>6</x:v>
      </x:c>
      <x:c r="D42" s="47" t="n">
        <x:v>10</x:v>
      </x:c>
      <x:c r="E42" s="47" t="n">
        <x:v>7</x:v>
      </x:c>
      <x:c r="F42" s="47" t="n">
        <x:v>4</x:v>
      </x:c>
      <x:c r="G42" s="47" t="n">
        <x:v>0</x:v>
      </x:c>
    </x:row>
    <x:row r="43">
      <x:c r="A43" t="str">
        <x:v>TGH</x:v>
      </x:c>
      <x:c r="B43" s="47" t="n">
        <x:v>0</x:v>
      </x:c>
      <x:c r="C43" s="47" t="n">
        <x:v>0</x:v>
      </x:c>
      <x:c r="D43" s="47" t="n">
        <x:v>5</x:v>
      </x:c>
      <x:c r="E43" s="47" t="n">
        <x:v>0</x:v>
      </x:c>
      <x:c r="F43" s="47" t="n">
        <x:v>0</x:v>
      </x:c>
      <x:c r="G43" s="47" t="n">
        <x:v>0</x:v>
      </x:c>
    </x:row>
    <x:row r="44">
      <x:c r="A44" t="str">
        <x:v>TRK</x:v>
      </x:c>
      <x:c r="B44" s="47" t="n">
        <x:v>0</x:v>
      </x:c>
      <x:c r="C44" s="47" t="n">
        <x:v>0</x:v>
      </x:c>
      <x:c r="D44" s="47" t="n">
        <x:v>0</x:v>
      </x:c>
      <x:c r="E44" s="47" t="n">
        <x:v>0</x:v>
      </x:c>
      <x:c r="F44" s="47" t="n">
        <x:v>0</x:v>
      </x:c>
      <x:c r="G44" s="47" t="n">
        <x:v>10</x:v>
      </x:c>
    </x:row>
  </x:sheetData>
  <x:mergeCells>
    <x:mergeCell ref="A1:J1"/>
    <x:mergeCell ref="A2:J2"/>
    <x:mergeCell ref="A15:J15"/>
  </x:mergeCells>
  <x:pageMargins left="0.7" right="0.7" top="0.75" bottom="0.75" header="0.3" footer="0.3"/>
</x:worksheet>
</file>

<file path=xl/worksheets/sheet24.xml><?xml version="1.0" encoding="utf-8"?>
<x:worksheet xmlns:x="http://schemas.openxmlformats.org/spreadsheetml/2006/main">
  <x:sheetFormatPr defaultRowHeight="15"/>
  <x:cols>
    <x:col min="1" max="1" width="8" hidden="0" customWidth="1"/>
    <x:col min="2" max="2" width="14" hidden="0" customWidth="1"/>
    <x:col min="3" max="3" width="24" hidden="0" customWidth="1"/>
    <x:col min="4" max="4" width="8" hidden="0" customWidth="1"/>
    <x:col min="5" max="5" width="28" hidden="0" customWidth="1"/>
    <x:col min="6" max="6" width="24" hidden="0" customWidth="1"/>
    <x:col min="7" max="7" width="28" hidden="0" customWidth="1"/>
    <x:col min="8" max="8" width="16" hidden="0" customWidth="1"/>
    <x:col min="9" max="9" width="14"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22" hidden="0" customWidth="1"/>
    <x:col min="17" max="17" width="16" hidden="0" customWidth="1"/>
    <x:col min="18" max="18" width="16" hidden="0" customWidth="1"/>
    <x:col min="19" max="19" width="18" hidden="0" customWidth="1"/>
    <x:col min="20" max="20" width="16" hidden="0" customWidth="1"/>
    <x:col min="21" max="21" width="16" hidden="0" customWidth="1"/>
    <x:col min="22" max="22" width="32" hidden="0" customWidth="1"/>
    <x:col min="23" max="23" width="16" hidden="0" customWidth="1"/>
    <x:col min="24" max="24" width="16" hidden="0" customWidth="1"/>
    <x:col min="25" max="25" width="18" hidden="0" customWidth="1"/>
    <x:col min="26" max="26" width="18" hidden="0" customWidth="1"/>
    <x:col min="27" max="27" width="18" hidden="0" customWidth="1"/>
    <x:col min="28" max="28" width="18" hidden="0" customWidth="1"/>
    <x:col min="29" max="29" width="40" hidden="0" customWidth="1"/>
    <x:col min="30" max="30" width="16" hidden="0" customWidth="1"/>
  </x:cols>
  <x:sheetData>
    <x:row r="1" ht="28" customHeight="1">
      <x:c r="A1" s="227" t="str">
        <x:v>TE Moneyball Card Database v1.0 — Football Value (No Market Price Yet)</x:v>
      </x:c>
      <x:c r="B1" s="227"/>
      <x:c r="C1" s="227"/>
      <x:c r="D1" s="227"/>
      <x:c r="E1" s="227"/>
      <x:c r="F1" s="227"/>
      <x:c r="G1" s="227"/>
      <x:c r="H1" s="227"/>
      <x:c r="I1" s="227"/>
      <x:c r="J1" s="227"/>
      <x:c r="K1" s="227"/>
      <x:c r="L1" s="227"/>
      <x:c r="M1" s="227"/>
      <x:c r="N1" s="227"/>
      <x:c r="O1" s="227"/>
      <x:c r="P1" s="227"/>
      <x:c r="Q1" s="227"/>
      <x:c r="R1" s="227"/>
      <x:c r="S1" s="227"/>
      <x:c r="T1" s="227"/>
      <x:c r="U1" s="227"/>
      <x:c r="V1" s="227"/>
      <x:c r="W1" s="227"/>
      <x:c r="X1" s="227"/>
      <x:c r="Y1" s="227"/>
      <x:c r="Z1" s="227"/>
      <x:c r="AA1" s="227"/>
      <x:c r="AB1" s="227"/>
      <x:c r="AC1" s="227"/>
      <x:c r="AD1" s="227"/>
    </x:row>
    <x:row r="4">
      <x:c r="A4" s="233" t="str">
        <x:v>Rank</x:v>
      </x:c>
      <x:c r="B4" s="233" t="str">
        <x:v>Card_ID</x:v>
      </x:c>
      <x:c r="C4" s="233" t="str">
        <x:v>Player</x:v>
      </x:c>
      <x:c r="D4" s="233" t="str">
        <x:v>OVR</x:v>
      </x:c>
      <x:c r="E4" s="233" t="str">
        <x:v>Program</x:v>
      </x:c>
      <x:c r="F4" s="233" t="str">
        <x:v>Archetype</x:v>
      </x:c>
      <x:c r="G4" s="233" t="str">
        <x:v>OVR_Model</x:v>
      </x:c>
      <x:c r="H4" s="233" t="str">
        <x:v>OVR_Model_Score</x:v>
      </x:c>
      <x:c r="I4" s="233" t="str">
        <x:v>Band_Position</x:v>
      </x:c>
      <x:c r="J4" s="233" t="str">
        <x:v>Receiving</x:v>
      </x:c>
      <x:c r="K4" s="233" t="str">
        <x:v>Possession</x:v>
      </x:c>
      <x:c r="L4" s="233" t="str">
        <x:v>Blocker</x:v>
      </x:c>
      <x:c r="M4" s="233" t="str">
        <x:v>Balanced</x:v>
      </x:c>
      <x:c r="N4" s="233" t="str">
        <x:v>Mismatch</x:v>
      </x:c>
      <x:c r="O4" s="233" t="str">
        <x:v>YAC</x:v>
      </x:c>
      <x:c r="P4" s="233" t="str">
        <x:v>Best_Role</x:v>
      </x:c>
      <x:c r="Q4" s="233" t="str">
        <x:v>Best_Role_Score</x:v>
      </x:c>
      <x:c r="R4" s="233" t="str">
        <x:v>Football_Utility</x:v>
      </x:c>
      <x:c r="S4" s="233" t="str">
        <x:v>Expected_FUS_at_OVR</x:v>
      </x:c>
      <x:c r="T4" s="233" t="str">
        <x:v>Utility_Surplus</x:v>
      </x:c>
      <x:c r="U4" s="233" t="str">
        <x:v>Moneyball_Score</x:v>
      </x:c>
      <x:c r="V4" s="233" t="str">
        <x:v>Football_Value_Label</x:v>
      </x:c>
      <x:c r="W4" s="233" t="str">
        <x:v>Market_Price</x:v>
      </x:c>
      <x:c r="X4" s="233" t="str">
        <x:v>Coins_per_FUS</x:v>
      </x:c>
      <x:c r="Y4" s="233" t="str">
        <x:v>Simulation_Score</x:v>
      </x:c>
      <x:c r="Z4" s="233" t="str">
        <x:v>Gameplay_Score</x:v>
      </x:c>
      <x:c r="AA4" s="233" t="str">
        <x:v>Counter_Fit</x:v>
      </x:c>
      <x:c r="AB4" s="233" t="str">
        <x:v>Scheme_Fit</x:v>
      </x:c>
      <x:c r="AC4" s="233" t="str">
        <x:v>Abilities_Notes</x:v>
      </x:c>
      <x:c r="AD4" s="233" t="str">
        <x:v>Source_ID</x:v>
      </x:c>
    </x:row>
    <x:row r="5">
      <x:c r="A5" t="n">
        <x:v>1</x:v>
      </x:c>
      <x:c r="B5" t="str">
        <x:v>TE-0003</x:v>
      </x:c>
      <x:c r="C5" t="str">
        <x:v>Jake Johnson</x:v>
      </x:c>
      <x:c r="D5" t="n">
        <x:v>85</x:v>
      </x:c>
      <x:c r="E5" t="str">
        <x:v>Countdown</x:v>
      </x:c>
      <x:c r="F5" t="str">
        <x:v>Gritty Possession</x:v>
      </x:c>
      <x:c r="G5" t="str">
        <x:v>TE-MODEL-001 v1.1</x:v>
      </x:c>
      <x:c r="H5" s="46" t="n">
        <x:v>81.63</x:v>
      </x:c>
      <x:c r="I5" s="74" t="n">
        <x:v>0</x:v>
      </x:c>
      <x:c r="J5" s="46" t="n">
        <x:v>84.73</x:v>
      </x:c>
      <x:c r="K5" s="46" t="n">
        <x:v>82.87</x:v>
      </x:c>
      <x:c r="L5" s="46" t="n">
        <x:v>78.25</x:v>
      </x:c>
      <x:c r="M5" s="46" t="n">
        <x:v>80.81</x:v>
      </x:c>
      <x:c r="N5" s="46" t="n">
        <x:v>85.12</x:v>
      </x:c>
      <x:c r="O5" s="46" t="n">
        <x:v>83.87</x:v>
      </x:c>
      <x:c r="P5" s="46" t="str">
        <x:v>Mismatch Weapon</x:v>
      </x:c>
      <x:c r="Q5" s="46" t="n">
        <x:v>85.12</x:v>
      </x:c>
      <x:c r="R5" s="46" t="n">
        <x:v>82.34440000000001</x:v>
      </x:c>
      <x:c r="S5" s="46" t="n">
        <x:v>80.25050701938187</x:v>
      </x:c>
      <x:c r="T5" s="46" t="n">
        <x:v>2.0938929806181363</x:v>
      </x:c>
      <x:c r="U5" s="46" t="n">
        <x:v>71.78381105640624</x:v>
      </x:c>
      <x:c r="V5" t="str">
        <x:v>STRONG FOOTBALL VALUE</x:v>
      </x:c>
      <x:c r="W5"/>
      <x:c r="X5"/>
      <x:c r="Y5"/>
      <x:c r="Z5"/>
      <x:c r="AA5"/>
      <x:c r="AB5"/>
      <x:c r="AC5"/>
      <x:c r="AD5" t="str">
        <x:v>SRC-TE-001</x:v>
      </x:c>
    </x:row>
    <x:row r="6">
      <x:c r="A6" t="n">
        <x:v>2</x:v>
      </x:c>
      <x:c r="B6" t="str">
        <x:v>TE-0036</x:v>
      </x:c>
      <x:c r="C6" t="str">
        <x:v>Jayvontay Conner</x:v>
      </x:c>
      <x:c r="D6" t="n">
        <x:v>81</x:v>
      </x:c>
      <x:c r="E6" t="str">
        <x:v>Prime Prospects</x:v>
      </x:c>
      <x:c r="F6" t="str">
        <x:v>Gritty Possession</x:v>
      </x:c>
      <x:c r="G6" t="str">
        <x:v>TE-MODEL-001 v1.1</x:v>
      </x:c>
      <x:c r="H6" s="46" t="n">
        <x:v>77.47</x:v>
      </x:c>
      <x:c r="I6" s="74" t="n">
        <x:v>0.4210526315789496</x:v>
      </x:c>
      <x:c r="J6" s="46" t="n">
        <x:v>80.83</x:v>
      </x:c>
      <x:c r="K6" s="46" t="n">
        <x:v>78.14</x:v>
      </x:c>
      <x:c r="L6" s="46" t="n">
        <x:v>74.05</x:v>
      </x:c>
      <x:c r="M6" s="46" t="n">
        <x:v>76.71</x:v>
      </x:c>
      <x:c r="N6" s="46" t="n">
        <x:v>79.81</x:v>
      </x:c>
      <x:c r="O6" s="46" t="n">
        <x:v>78.12</x:v>
      </x:c>
      <x:c r="P6" s="46" t="str">
        <x:v>Receiving Threat</x:v>
      </x:c>
      <x:c r="Q6" s="46" t="n">
        <x:v>80.83</x:v>
      </x:c>
      <x:c r="R6" s="46" t="n">
        <x:v>77.87979999999999</x:v>
      </x:c>
      <x:c r="S6" s="46" t="n">
        <x:v>76.33641105290727</x:v>
      </x:c>
      <x:c r="T6" s="46" t="n">
        <x:v>1.5433889470927227</x:v>
      </x:c>
      <x:c r="U6" s="46" t="n">
        <x:v>66.05664354445108</x:v>
      </x:c>
      <x:c r="V6" t="str">
        <x:v>STRONG FOOTBALL VALUE</x:v>
      </x:c>
      <x:c r="W6"/>
      <x:c r="X6"/>
      <x:c r="Y6"/>
      <x:c r="Z6"/>
      <x:c r="AA6"/>
      <x:c r="AB6"/>
      <x:c r="AC6"/>
      <x:c r="AD6" t="str">
        <x:v>SRC-TE-002</x:v>
      </x:c>
    </x:row>
    <x:row r="7">
      <x:c r="A7" t="n">
        <x:v>3</x:v>
      </x:c>
      <x:c r="B7" t="str">
        <x:v>TE-0020</x:v>
      </x:c>
      <x:c r="C7" t="str">
        <x:v>Eli Finley</x:v>
      </x:c>
      <x:c r="D7" t="n">
        <x:v>83</x:v>
      </x:c>
      <x:c r="E7" t="str">
        <x:v>Standouts</x:v>
      </x:c>
      <x:c r="F7" t="str">
        <x:v>Gritty Possession</x:v>
      </x:c>
      <x:c r="G7" t="str">
        <x:v>TE-MODEL-001 v1.1</x:v>
      </x:c>
      <x:c r="H7" s="46" t="n">
        <x:v>80.01</x:v>
      </x:c>
      <x:c r="I7" s="74" t="n">
        <x:v>0.5</x:v>
      </x:c>
      <x:c r="J7" s="46" t="n">
        <x:v>81.89</x:v>
      </x:c>
      <x:c r="K7" s="46" t="n">
        <x:v>82.17</x:v>
      </x:c>
      <x:c r="L7" s="46" t="n">
        <x:v>75</x:v>
      </x:c>
      <x:c r="M7" s="46" t="n">
        <x:v>78.17</x:v>
      </x:c>
      <x:c r="N7" s="46" t="n">
        <x:v>81.41</x:v>
      </x:c>
      <x:c r="O7" s="46" t="n">
        <x:v>80.18</x:v>
      </x:c>
      <x:c r="P7" s="46" t="str">
        <x:v>Possession Target</x:v>
      </x:c>
      <x:c r="Q7" s="46" t="n">
        <x:v>82.17</x:v>
      </x:c>
      <x:c r="R7" s="46" t="n">
        <x:v>79.6874</x:v>
      </x:c>
      <x:c r="S7" s="46" t="n">
        <x:v>78.29345903614457</x:v>
      </x:c>
      <x:c r="T7" s="46" t="n">
        <x:v>1.393940963855428</x:v>
      </x:c>
      <x:c r="U7" s="46" t="n">
        <x:v>64.50186177683604</x:v>
      </x:c>
      <x:c r="V7" t="str">
        <x:v>POSITIVE FOOTBALL VALUE</x:v>
      </x:c>
      <x:c r="W7"/>
      <x:c r="X7"/>
      <x:c r="Y7"/>
      <x:c r="Z7"/>
      <x:c r="AA7"/>
      <x:c r="AB7"/>
      <x:c r="AC7"/>
      <x:c r="AD7" t="str">
        <x:v>SRC-TE-001</x:v>
      </x:c>
    </x:row>
    <x:row r="8">
      <x:c r="A8" t="n">
        <x:v>4</x:v>
      </x:c>
      <x:c r="B8" t="str">
        <x:v>TE-0051</x:v>
      </x:c>
      <x:c r="C8" t="str">
        <x:v>Martellus Bennett</x:v>
      </x:c>
      <x:c r="D8" t="n">
        <x:v>80</x:v>
      </x:c>
      <x:c r="E8" t="str">
        <x:v>Core Legends Modern</x:v>
      </x:c>
      <x:c r="F8" t="str">
        <x:v>Gritty Possession</x:v>
      </x:c>
      <x:c r="G8" t="str">
        <x:v>TE-MODEL-001 v1.1</x:v>
      </x:c>
      <x:c r="H8" s="46" t="n">
        <x:v>76.34</x:v>
      </x:c>
      <x:c r="I8" s="74" t="n">
        <x:v>0.5081967213114796</x:v>
      </x:c>
      <x:c r="J8" s="46" t="n">
        <x:v>77.82</x:v>
      </x:c>
      <x:c r="K8" s="46" t="n">
        <x:v>76.69</x:v>
      </x:c>
      <x:c r="L8" s="46" t="n">
        <x:v>75</x:v>
      </x:c>
      <x:c r="M8" s="46" t="n">
        <x:v>76.21</x:v>
      </x:c>
      <x:c r="N8" s="46" t="n">
        <x:v>78.25</x:v>
      </x:c>
      <x:c r="O8" s="46" t="n">
        <x:v>77.1</x:v>
      </x:c>
      <x:c r="P8" s="46" t="str">
        <x:v>Mismatch Weapon</x:v>
      </x:c>
      <x:c r="Q8" s="46" t="n">
        <x:v>78.25</x:v>
      </x:c>
      <x:c r="R8" s="46" t="n">
        <x:v>76.74879999999999</x:v>
      </x:c>
      <x:c r="S8" s="46" t="n">
        <x:v>75.35788706128862</x:v>
      </x:c>
      <x:c r="T8" s="46" t="n">
        <x:v>1.3909129387113666</x:v>
      </x:c>
      <x:c r="U8" s="46" t="n">
        <x:v>64.4703597238549</x:v>
      </x:c>
      <x:c r="V8" t="str">
        <x:v>POSITIVE FOOTBALL VALUE</x:v>
      </x:c>
      <x:c r="W8"/>
      <x:c r="X8"/>
      <x:c r="Y8"/>
      <x:c r="Z8"/>
      <x:c r="AA8"/>
      <x:c r="AB8"/>
      <x:c r="AC8"/>
      <x:c r="AD8" t="str">
        <x:v>SRC-TE-002</x:v>
      </x:c>
    </x:row>
    <x:row r="9">
      <x:c r="A9" t="n">
        <x:v>5</x:v>
      </x:c>
      <x:c r="B9" t="str">
        <x:v>TE-0011</x:v>
      </x:c>
      <x:c r="C9" t="str">
        <x:v>Eli Finley</x:v>
      </x:c>
      <x:c r="D9" t="n">
        <x:v>84</x:v>
      </x:c>
      <x:c r="E9" t="str">
        <x:v>Standouts</x:v>
      </x:c>
      <x:c r="F9" t="str">
        <x:v>Gritty Possession</x:v>
      </x:c>
      <x:c r="G9" t="str">
        <x:v>TE-MODEL-001 v1.1</x:v>
      </x:c>
      <x:c r="H9" s="46" t="n">
        <x:v>80.96</x:v>
      </x:c>
      <x:c r="I9" s="74" t="n">
        <x:v>1</x:v>
      </x:c>
      <x:c r="J9" s="46" t="n">
        <x:v>82.79</x:v>
      </x:c>
      <x:c r="K9" s="46" t="n">
        <x:v>83.17</x:v>
      </x:c>
      <x:c r="L9" s="46" t="n">
        <x:v>75.9</x:v>
      </x:c>
      <x:c r="M9" s="46" t="n">
        <x:v>79.13</x:v>
      </x:c>
      <x:c r="N9" s="46" t="n">
        <x:v>82.29</x:v>
      </x:c>
      <x:c r="O9" s="46" t="n">
        <x:v>81</x:v>
      </x:c>
      <x:c r="P9" s="46" t="str">
        <x:v>Possession Target</x:v>
      </x:c>
      <x:c r="Q9" s="46" t="n">
        <x:v>83.17</x:v>
      </x:c>
      <x:c r="R9" s="46" t="n">
        <x:v>80.6098</x:v>
      </x:c>
      <x:c r="S9" s="46" t="n">
        <x:v>79.27198302776321</x:v>
      </x:c>
      <x:c r="T9" s="46" t="n">
        <x:v>1.3378169722367943</x:v>
      </x:c>
      <x:c r="U9" s="46" t="n">
        <x:v>63.917975952456075</x:v>
      </x:c>
      <x:c r="V9" t="str">
        <x:v>POSITIVE FOOTBALL VALUE</x:v>
      </x:c>
      <x:c r="W9"/>
      <x:c r="X9"/>
      <x:c r="Y9"/>
      <x:c r="Z9"/>
      <x:c r="AA9"/>
      <x:c r="AB9"/>
      <x:c r="AC9"/>
      <x:c r="AD9" t="str">
        <x:v>SRC-TE-001</x:v>
      </x:c>
    </x:row>
    <x:row r="10">
      <x:c r="A10" t="n">
        <x:v>6</x:v>
      </x:c>
      <x:c r="B10" t="str">
        <x:v>TE-0044</x:v>
      </x:c>
      <x:c r="C10" t="str">
        <x:v>Jelani Thurman</x:v>
      </x:c>
      <x:c r="D10" t="n">
        <x:v>81</x:v>
      </x:c>
      <x:c r="E10" t="str">
        <x:v>Core Rare</x:v>
      </x:c>
      <x:c r="F10" t="str">
        <x:v>Vertical Threat</x:v>
      </x:c>
      <x:c r="G10" t="str">
        <x:v>TE-MODEL-006 v1.3</x:v>
      </x:c>
      <x:c r="H10" s="46" t="n">
        <x:v>75.8252427184466</x:v>
      </x:c>
      <x:c r="I10" s="74" t="n">
        <x:v>0</x:v>
      </x:c>
      <x:c r="J10" s="46" t="n">
        <x:v>76.24</x:v>
      </x:c>
      <x:c r="K10" s="46" t="n">
        <x:v>76.08</x:v>
      </x:c>
      <x:c r="L10" s="46" t="n">
        <x:v>80.9</x:v>
      </x:c>
      <x:c r="M10" s="46" t="n">
        <x:v>78.67</x:v>
      </x:c>
      <x:c r="N10" s="46" t="n">
        <x:v>78.25</x:v>
      </x:c>
      <x:c r="O10" s="46" t="n">
        <x:v>74.12</x:v>
      </x:c>
      <x:c r="P10" s="46" t="str">
        <x:v>Blocker</x:v>
      </x:c>
      <x:c r="Q10" s="46" t="n">
        <x:v>80.9</x:v>
      </x:c>
      <x:c r="R10" s="46" t="n">
        <x:v>77.6562</x:v>
      </x:c>
      <x:c r="S10" s="46" t="n">
        <x:v>76.33641105290727</x:v>
      </x:c>
      <x:c r="T10" s="46" t="n">
        <x:v>1.3197889470927322</x:v>
      </x:c>
      <x:c r="U10" s="46" t="n">
        <x:v>63.730421432194746</x:v>
      </x:c>
      <x:c r="V10" t="str">
        <x:v>POSITIVE FOOTBALL VALUE</x:v>
      </x:c>
      <x:c r="W10"/>
      <x:c r="X10"/>
      <x:c r="Y10"/>
      <x:c r="Z10"/>
      <x:c r="AA10"/>
      <x:c r="AB10"/>
      <x:c r="AC10"/>
      <x:c r="AD10" t="str">
        <x:v>SRC-TE-002</x:v>
      </x:c>
    </x:row>
    <x:row r="11">
      <x:c r="A11" t="n">
        <x:v>7</x:v>
      </x:c>
      <x:c r="B11" t="str">
        <x:v>TE-0065</x:v>
      </x:c>
      <x:c r="C11" t="str">
        <x:v>Cole Spence</x:v>
      </x:c>
      <x:c r="D11" t="n">
        <x:v>80</x:v>
      </x:c>
      <x:c r="E11" t="str">
        <x:v>Core Rare</x:v>
      </x:c>
      <x:c r="F11" t="str">
        <x:v>Physical Route Runner</x:v>
      </x:c>
      <x:c r="G11" t="str">
        <x:v>TE-MODEL-003 v1.1</x:v>
      </x:c>
      <x:c r="H11" s="46" t="n">
        <x:v>76.41314285714284</x:v>
      </x:c>
      <x:c r="I11" s="74" t="n">
        <x:v>0.7229598868227897</x:v>
      </x:c>
      <x:c r="J11" s="46" t="n">
        <x:v>75.53</x:v>
      </x:c>
      <x:c r="K11" s="46" t="n">
        <x:v>77.3</x:v>
      </x:c>
      <x:c r="L11" s="46" t="n">
        <x:v>78.1</x:v>
      </x:c>
      <x:c r="M11" s="46" t="n">
        <x:v>76.85</x:v>
      </x:c>
      <x:c r="N11" s="46" t="n">
        <x:v>75.31</x:v>
      </x:c>
      <x:c r="O11" s="46" t="n">
        <x:v>76.46</x:v>
      </x:c>
      <x:c r="P11" s="46" t="str">
        <x:v>Blocker</x:v>
      </x:c>
      <x:c r="Q11" s="46" t="n">
        <x:v>78.1</x:v>
      </x:c>
      <x:c r="R11" s="46" t="n">
        <x:v>76.64959999999999</x:v>
      </x:c>
      <x:c r="S11" s="46" t="n">
        <x:v>75.35788706128862</x:v>
      </x:c>
      <x:c r="T11" s="46" t="n">
        <x:v>1.2917129387113704</x:v>
      </x:c>
      <x:c r="U11" s="46" t="n">
        <x:v>63.43833274024206</x:v>
      </x:c>
      <x:c r="V11" t="str">
        <x:v>POSITIVE FOOTBALL VALUE</x:v>
      </x:c>
      <x:c r="W11"/>
      <x:c r="X11"/>
      <x:c r="Y11"/>
      <x:c r="Z11"/>
      <x:c r="AA11"/>
      <x:c r="AB11"/>
      <x:c r="AC11"/>
      <x:c r="AD11" t="str">
        <x:v>SRC-TE-002</x:v>
      </x:c>
    </x:row>
    <x:row r="12">
      <x:c r="A12" t="n">
        <x:v>8</x:v>
      </x:c>
      <x:c r="B12" t="str">
        <x:v>TE-0039</x:v>
      </x:c>
      <x:c r="C12" t="str">
        <x:v>Conner Cravaack</x:v>
      </x:c>
      <x:c r="D12" t="n">
        <x:v>81</x:v>
      </x:c>
      <x:c r="E12" t="str">
        <x:v>Countdown</x:v>
      </x:c>
      <x:c r="F12" t="str">
        <x:v>Gritty Possession</x:v>
      </x:c>
      <x:c r="G12" t="str">
        <x:v>TE-MODEL-001 v1.1</x:v>
      </x:c>
      <x:c r="H12" s="46" t="n">
        <x:v>78.24</x:v>
      </x:c>
      <x:c r="I12" s="74" t="n">
        <x:v>1</x:v>
      </x:c>
      <x:c r="J12" s="46" t="n">
        <x:v>79.84</x:v>
      </x:c>
      <x:c r="K12" s="46" t="n">
        <x:v>80.17</x:v>
      </x:c>
      <x:c r="L12" s="46" t="n">
        <x:v>72.5</x:v>
      </x:c>
      <x:c r="M12" s="46" t="n">
        <x:v>76.39</x:v>
      </x:c>
      <x:c r="N12" s="46" t="n">
        <x:v>79</x:v>
      </x:c>
      <x:c r="O12" s="46" t="n">
        <x:v>77.43</x:v>
      </x:c>
      <x:c r="P12" s="46" t="str">
        <x:v>Possession Target</x:v>
      </x:c>
      <x:c r="Q12" s="46" t="n">
        <x:v>80.17</x:v>
      </x:c>
      <x:c r="R12" s="46" t="n">
        <x:v>77.5256</x:v>
      </x:c>
      <x:c r="S12" s="46" t="n">
        <x:v>76.33641105290727</x:v>
      </x:c>
      <x:c r="T12" s="46" t="n">
        <x:v>1.189188947092731</x:v>
      </x:c>
      <x:c r="U12" s="46" t="n">
        <x:v>62.37172461707537</x:v>
      </x:c>
      <x:c r="V12" t="str">
        <x:v>POSITIVE FOOTBALL VALUE</x:v>
      </x:c>
      <x:c r="W12"/>
      <x:c r="X12"/>
      <x:c r="Y12"/>
      <x:c r="Z12"/>
      <x:c r="AA12"/>
      <x:c r="AB12"/>
      <x:c r="AC12"/>
      <x:c r="AD12" t="str">
        <x:v>SRC-TE-002</x:v>
      </x:c>
    </x:row>
    <x:row r="13">
      <x:c r="A13" t="n">
        <x:v>9</x:v>
      </x:c>
      <x:c r="B13" t="str">
        <x:v>TE-0055</x:v>
      </x:c>
      <x:c r="C13" t="str">
        <x:v>Todd Heap</x:v>
      </x:c>
      <x:c r="D13" t="n">
        <x:v>80</x:v>
      </x:c>
      <x:c r="E13" t="str">
        <x:v>Core Legends Millennium</x:v>
      </x:c>
      <x:c r="F13" t="str">
        <x:v>Gritty Possession</x:v>
      </x:c>
      <x:c r="G13" t="str">
        <x:v>TE-MODEL-001 v1.1</x:v>
      </x:c>
      <x:c r="H13" s="46" t="n">
        <x:v>76.38</x:v>
      </x:c>
      <x:c r="I13" s="74" t="n">
        <x:v>0.5409836065573748</x:v>
      </x:c>
      <x:c r="J13" s="46" t="n">
        <x:v>77.62</x:v>
      </x:c>
      <x:c r="K13" s="46" t="n">
        <x:v>77.41</x:v>
      </x:c>
      <x:c r="L13" s="46" t="n">
        <x:v>74.25</x:v>
      </x:c>
      <x:c r="M13" s="46" t="n">
        <x:v>76.06</x:v>
      </x:c>
      <x:c r="N13" s="46" t="n">
        <x:v>77.77</x:v>
      </x:c>
      <x:c r="O13" s="46" t="n">
        <x:v>76.16</x:v>
      </x:c>
      <x:c r="P13" s="46" t="str">
        <x:v>Mismatch Weapon</x:v>
      </x:c>
      <x:c r="Q13" s="46" t="n">
        <x:v>77.77</x:v>
      </x:c>
      <x:c r="R13" s="46" t="n">
        <x:v>76.53359999999999</x:v>
      </x:c>
      <x:c r="S13" s="46" t="n">
        <x:v>75.35788706128862</x:v>
      </x:c>
      <x:c r="T13" s="46" t="n">
        <x:v>1.1757129387113707</x:v>
      </x:c>
      <x:c r="U13" s="46" t="n">
        <x:v>62.2315269932754</x:v>
      </x:c>
      <x:c r="V13" t="str">
        <x:v>POSITIVE FOOTBALL VALUE</x:v>
      </x:c>
      <x:c r="W13"/>
      <x:c r="X13"/>
      <x:c r="Y13"/>
      <x:c r="Z13"/>
      <x:c r="AA13"/>
      <x:c r="AB13"/>
      <x:c r="AC13"/>
      <x:c r="AD13" t="str">
        <x:v>SRC-TE-002</x:v>
      </x:c>
    </x:row>
    <x:row r="14">
      <x:c r="A14" t="n">
        <x:v>10</x:v>
      </x:c>
      <x:c r="B14" t="str">
        <x:v>TE-0063</x:v>
      </x:c>
      <x:c r="C14" t="str">
        <x:v>Desirrio Riles</x:v>
      </x:c>
      <x:c r="D14" t="n">
        <x:v>80</x:v>
      </x:c>
      <x:c r="E14" t="str">
        <x:v>Core Rare</x:v>
      </x:c>
      <x:c r="F14" t="str">
        <x:v>Physical Route Runner</x:v>
      </x:c>
      <x:c r="G14" t="str">
        <x:v>TE-MODEL-003 v1.1</x:v>
      </x:c>
      <x:c r="H14" s="46" t="n">
        <x:v>76.24346734693877</x:v>
      </x:c>
      <x:c r="I14" s="74" t="n">
        <x:v>0.6144535858591186</x:v>
      </x:c>
      <x:c r="J14" s="46" t="n">
        <x:v>76.55</x:v>
      </x:c>
      <x:c r="K14" s="46" t="n">
        <x:v>76.26</x:v>
      </x:c>
      <x:c r="L14" s="46" t="n">
        <x:v>77.45</x:v>
      </x:c>
      <x:c r="M14" s="46" t="n">
        <x:v>77.31</x:v>
      </x:c>
      <x:c r="N14" s="46" t="n">
        <x:v>76.38</x:v>
      </x:c>
      <x:c r="O14" s="46" t="n">
        <x:v>72.38</x:v>
      </x:c>
      <x:c r="P14" s="46" t="str">
        <x:v>Blocker</x:v>
      </x:c>
      <x:c r="Q14" s="46" t="n">
        <x:v>77.45</x:v>
      </x:c>
      <x:c r="R14" s="46" t="n">
        <x:v>76.473</x:v>
      </x:c>
      <x:c r="S14" s="46" t="n">
        <x:v>75.35788706128862</x:v>
      </x:c>
      <x:c r="T14" s="46" t="n">
        <x:v>1.115112938711377</x:v>
      </x:c>
      <x:c r="U14" s="46" t="n">
        <x:v>61.60107502546357</x:v>
      </x:c>
      <x:c r="V14" t="str">
        <x:v>POSITIVE FOOTBALL VALUE</x:v>
      </x:c>
      <x:c r="W14"/>
      <x:c r="X14"/>
      <x:c r="Y14"/>
      <x:c r="Z14"/>
      <x:c r="AA14"/>
      <x:c r="AB14"/>
      <x:c r="AC14"/>
      <x:c r="AD14" t="str">
        <x:v>SRC-TE-002</x:v>
      </x:c>
    </x:row>
    <x:row r="15">
      <x:c r="A15" t="n">
        <x:v>11</x:v>
      </x:c>
      <x:c r="B15" t="str">
        <x:v>TE-0008</x:v>
      </x:c>
      <x:c r="C15" t="str">
        <x:v>Lawson Luckie</x:v>
      </x:c>
      <x:c r="D15" t="n">
        <x:v>85</x:v>
      </x:c>
      <x:c r="E15" t="str">
        <x:v>Season 1</x:v>
      </x:c>
      <x:c r="F15" t="str">
        <x:v>Gritty Possession</x:v>
      </x:c>
      <x:c r="G15" t="str">
        <x:v>TE-MODEL-001 v1.1</x:v>
      </x:c>
      <x:c r="H15" s="46" t="n">
        <x:v>81.94</x:v>
      </x:c>
      <x:c r="I15" s="74" t="n">
        <x:v>0.7209302325581334</x:v>
      </x:c>
      <x:c r="J15" s="46" t="n">
        <x:v>83.55</x:v>
      </x:c>
      <x:c r="K15" s="46" t="n">
        <x:v>82.9</x:v>
      </x:c>
      <x:c r="L15" s="46" t="n">
        <x:v>76.9</x:v>
      </x:c>
      <x:c r="M15" s="46" t="n">
        <x:v>80.16</x:v>
      </x:c>
      <x:c r="N15" s="46" t="n">
        <x:v>83.31</x:v>
      </x:c>
      <x:c r="O15" s="46" t="n">
        <x:v>82.34</x:v>
      </x:c>
      <x:c r="P15" s="46" t="str">
        <x:v>Receiving Threat</x:v>
      </x:c>
      <x:c r="Q15" s="46" t="n">
        <x:v>83.55</x:v>
      </x:c>
      <x:c r="R15" s="46" t="n">
        <x:v>81.3646</x:v>
      </x:c>
      <x:c r="S15" s="46" t="n">
        <x:v>80.25050701938187</x:v>
      </x:c>
      <x:c r="T15" s="46" t="n">
        <x:v>1.1140929806181248</x:v>
      </x:c>
      <x:c r="U15" s="46" t="n">
        <x:v>61.59046389366528</x:v>
      </x:c>
      <x:c r="V15" t="str">
        <x:v>POSITIVE FOOTBALL VALUE</x:v>
      </x:c>
      <x:c r="W15"/>
      <x:c r="X15"/>
      <x:c r="Y15"/>
      <x:c r="Z15"/>
      <x:c r="AA15"/>
      <x:c r="AB15"/>
      <x:c r="AC15"/>
      <x:c r="AD15" t="str">
        <x:v>SRC-TE-001</x:v>
      </x:c>
    </x:row>
    <x:row r="16">
      <x:c r="A16" t="n">
        <x:v>12</x:v>
      </x:c>
      <x:c r="B16" t="str">
        <x:v>TE-0037</x:v>
      </x:c>
      <x:c r="C16" t="str">
        <x:v>Ozzie Newsome</x:v>
      </x:c>
      <x:c r="D16" t="n">
        <x:v>81</x:v>
      </x:c>
      <x:c r="E16" t="str">
        <x:v>S1 Legends - Classic</x:v>
      </x:c>
      <x:c r="F16" t="str">
        <x:v>Gritty Possession</x:v>
      </x:c>
      <x:c r="G16" t="str">
        <x:v>TE-MODEL-001 v1.1</x:v>
      </x:c>
      <x:c r="H16" s="46" t="n">
        <x:v>77.59</x:v>
      </x:c>
      <x:c r="I16" s="74" t="n">
        <x:v>0.5112781954887275</x:v>
      </x:c>
      <x:c r="J16" s="46" t="n">
        <x:v>77.53</x:v>
      </x:c>
      <x:c r="K16" s="46" t="n">
        <x:v>78.65</x:v>
      </x:c>
      <x:c r="L16" s="46" t="n">
        <x:v>76.55</x:v>
      </x:c>
      <x:c r="M16" s="46" t="n">
        <x:v>77.03</x:v>
      </x:c>
      <x:c r="N16" s="46" t="n">
        <x:v>77.4</x:v>
      </x:c>
      <x:c r="O16" s="46" t="n">
        <x:v>76.86</x:v>
      </x:c>
      <x:c r="P16" s="46" t="str">
        <x:v>Possession Target</x:v>
      </x:c>
      <x:c r="Q16" s="46" t="n">
        <x:v>78.65</x:v>
      </x:c>
      <x:c r="R16" s="46" t="n">
        <x:v>77.376</x:v>
      </x:c>
      <x:c r="S16" s="46" t="n">
        <x:v>76.33641105290727</x:v>
      </x:c>
      <x:c r="T16" s="46" t="n">
        <x:v>1.0395889470927386</x:v>
      </x:c>
      <x:c r="U16" s="46" t="n">
        <x:v>60.8153613434012</x:v>
      </x:c>
      <x:c r="V16" t="str">
        <x:v>POSITIVE FOOTBALL VALUE</x:v>
      </x:c>
      <x:c r="W16"/>
      <x:c r="X16"/>
      <x:c r="Y16"/>
      <x:c r="Z16"/>
      <x:c r="AA16"/>
      <x:c r="AB16"/>
      <x:c r="AC16"/>
      <x:c r="AD16" t="str">
        <x:v>SRC-TE-002</x:v>
      </x:c>
    </x:row>
    <x:row r="17">
      <x:c r="A17" t="n">
        <x:v>13</x:v>
      </x:c>
      <x:c r="B17" t="str">
        <x:v>TE-0001</x:v>
      </x:c>
      <x:c r="C17" t="str">
        <x:v>River Helms</x:v>
      </x:c>
      <x:c r="D17" t="n">
        <x:v>85</x:v>
      </x:c>
      <x:c r="E17" t="str">
        <x:v>Phenoms</x:v>
      </x:c>
      <x:c r="F17" t="str">
        <x:v>Gritty Possession</x:v>
      </x:c>
      <x:c r="G17" t="str">
        <x:v>TE-MODEL-001 v1.1</x:v>
      </x:c>
      <x:c r="H17" s="46" t="n">
        <x:v>82.06</x:v>
      </x:c>
      <x:c r="I17" s="74" t="n">
        <x:v>1</x:v>
      </x:c>
      <x:c r="J17" s="46" t="n">
        <x:v>82.84</x:v>
      </x:c>
      <x:c r="K17" s="46" t="n">
        <x:v>83.21</x:v>
      </x:c>
      <x:c r="L17" s="46" t="n">
        <x:v>77.15</x:v>
      </x:c>
      <x:c r="M17" s="46" t="n">
        <x:v>80.42</x:v>
      </x:c>
      <x:c r="N17" s="46" t="n">
        <x:v>82.45</x:v>
      </x:c>
      <x:c r="O17" s="46" t="n">
        <x:v>82.65</x:v>
      </x:c>
      <x:c r="P17" s="46" t="str">
        <x:v>Possession Target</x:v>
      </x:c>
      <x:c r="Q17" s="46" t="n">
        <x:v>83.21</x:v>
      </x:c>
      <x:c r="R17" s="46" t="n">
        <x:v>81.288</x:v>
      </x:c>
      <x:c r="S17" s="46" t="n">
        <x:v>80.25050701938187</x:v>
      </x:c>
      <x:c r="T17" s="46" t="n">
        <x:v>1.0374929806181257</x:v>
      </x:c>
      <x:c r="U17" s="46" t="n">
        <x:v>60.793555960754546</x:v>
      </x:c>
      <x:c r="V17" t="str">
        <x:v>POSITIVE FOOTBALL VALUE</x:v>
      </x:c>
      <x:c r="W17"/>
      <x:c r="X17"/>
      <x:c r="Y17"/>
      <x:c r="Z17"/>
      <x:c r="AA17"/>
      <x:c r="AB17"/>
      <x:c r="AC17"/>
      <x:c r="AD17" t="str">
        <x:v>SRC-TE-001</x:v>
      </x:c>
    </x:row>
    <x:row r="18">
      <x:c r="A18" t="n">
        <x:v>14</x:v>
      </x:c>
      <x:c r="B18" t="str">
        <x:v>TE-0033</x:v>
      </x:c>
      <x:c r="C18" t="str">
        <x:v>Luke Lindenmeyer</x:v>
      </x:c>
      <x:c r="D18" t="n">
        <x:v>82</x:v>
      </x:c>
      <x:c r="E18" t="str">
        <x:v>Core Rare</x:v>
      </x:c>
      <x:c r="F18" t="str">
        <x:v>Physical Route Runner</x:v>
      </x:c>
      <x:c r="G18" t="str">
        <x:v>TE-MODEL-003 v1.1</x:v>
      </x:c>
      <x:c r="H18" s="46" t="n">
        <x:v>77.48427959183672</x:v>
      </x:c>
      <x:c r="I18" s="74" t="n">
        <x:v>0</x:v>
      </x:c>
      <x:c r="J18" s="46" t="n">
        <x:v>76.33</x:v>
      </x:c>
      <x:c r="K18" s="46" t="n">
        <x:v>78.47</x:v>
      </x:c>
      <x:c r="L18" s="46" t="n">
        <x:v>82.5</x:v>
      </x:c>
      <x:c r="M18" s="46" t="n">
        <x:v>80.1</x:v>
      </x:c>
      <x:c r="N18" s="46" t="n">
        <x:v>74.97</x:v>
      </x:c>
      <x:c r="O18" s="46" t="n">
        <x:v>73.76</x:v>
      </x:c>
      <x:c r="P18" s="46" t="str">
        <x:v>Blocker</x:v>
      </x:c>
      <x:c r="Q18" s="46" t="n">
        <x:v>82.5</x:v>
      </x:c>
      <x:c r="R18" s="46" t="n">
        <x:v>78.2864</x:v>
      </x:c>
      <x:c r="S18" s="46" t="n">
        <x:v>77.31493504452592</x:v>
      </x:c>
      <x:c r="T18" s="46" t="n">
        <x:v>0.971464955474076</x:v>
      </x:c>
      <x:c r="U18" s="46" t="n">
        <x:v>60.1066335451968</x:v>
      </x:c>
      <x:c r="V18" t="str">
        <x:v>POSITIVE FOOTBALL VALUE</x:v>
      </x:c>
      <x:c r="W18"/>
      <x:c r="X18"/>
      <x:c r="Y18"/>
      <x:c r="Z18"/>
      <x:c r="AA18"/>
      <x:c r="AB18"/>
      <x:c r="AC18"/>
      <x:c r="AD18" t="str">
        <x:v>SRC-TE-002</x:v>
      </x:c>
    </x:row>
    <x:row r="19">
      <x:c r="A19" t="n">
        <x:v>15</x:v>
      </x:c>
      <x:c r="B19" t="str">
        <x:v>TE-0061</x:v>
      </x:c>
      <x:c r="C19" t="str">
        <x:v>Jaden Platt</x:v>
      </x:c>
      <x:c r="D19" t="n">
        <x:v>80</x:v>
      </x:c>
      <x:c r="E19" t="str">
        <x:v>Platinum Rare</x:v>
      </x:c>
      <x:c r="F19" t="str">
        <x:v>Physical Route Runner</x:v>
      </x:c>
      <x:c r="G19" t="str">
        <x:v>TE-MODEL-003 v1.1</x:v>
      </x:c>
      <x:c r="H19" s="46" t="n">
        <x:v>76.62899387755101</x:v>
      </x:c>
      <x:c r="I19" s="74" t="n">
        <x:v>0.8609951033107486</x:v>
      </x:c>
      <x:c r="J19" s="46" t="n">
        <x:v>76.97</x:v>
      </x:c>
      <x:c r="K19" s="46" t="n">
        <x:v>77.78</x:v>
      </x:c>
      <x:c r="L19" s="46" t="n">
        <x:v>75.25</x:v>
      </x:c>
      <x:c r="M19" s="46" t="n">
        <x:v>76.01</x:v>
      </x:c>
      <x:c r="N19" s="46" t="n">
        <x:v>76.41</x:v>
      </x:c>
      <x:c r="O19" s="46" t="n">
        <x:v>74.3</x:v>
      </x:c>
      <x:c r="P19" s="46" t="str">
        <x:v>Possession Target</x:v>
      </x:c>
      <x:c r="Q19" s="46" t="n">
        <x:v>77.78</x:v>
      </x:c>
      <x:c r="R19" s="46" t="n">
        <x:v>76.3142</x:v>
      </x:c>
      <x:c r="S19" s="46" t="n">
        <x:v>75.35788706128862</x:v>
      </x:c>
      <x:c r="T19" s="46" t="n">
        <x:v>0.9563129387113776</x:v>
      </x:c>
      <x:c r="U19" s="46" t="n">
        <x:v>59.94899957185749</x:v>
      </x:c>
      <x:c r="V19" t="str">
        <x:v>POSITIVE FOOTBALL VALUE</x:v>
      </x:c>
      <x:c r="W19"/>
      <x:c r="X19"/>
      <x:c r="Y19"/>
      <x:c r="Z19"/>
      <x:c r="AA19"/>
      <x:c r="AB19"/>
      <x:c r="AC19"/>
      <x:c r="AD19" t="str">
        <x:v>SRC-TE-002</x:v>
      </x:c>
    </x:row>
    <x:row r="20">
      <x:c r="A20" t="n">
        <x:v>16</x:v>
      </x:c>
      <x:c r="B20" t="str">
        <x:v>TE-0057</x:v>
      </x:c>
      <x:c r="C20" t="str">
        <x:v>Nate Kurisky</x:v>
      </x:c>
      <x:c r="D20" t="n">
        <x:v>80</x:v>
      </x:c>
      <x:c r="E20" t="str">
        <x:v>Platinum Rare</x:v>
      </x:c>
      <x:c r="F20" t="str">
        <x:v>Physical Route Runner</x:v>
      </x:c>
      <x:c r="G20" t="str">
        <x:v>TE-MODEL-003 v1.1</x:v>
      </x:c>
      <x:c r="H20" s="46" t="n">
        <x:v>76.84636122448978</x:v>
      </x:c>
      <x:c r="I20" s="74" t="n">
        <x:v>1</x:v>
      </x:c>
      <x:c r="J20" s="46" t="n">
        <x:v>77.52</x:v>
      </x:c>
      <x:c r="K20" s="46" t="n">
        <x:v>77.49</x:v>
      </x:c>
      <x:c r="L20" s="46" t="n">
        <x:v>75</x:v>
      </x:c>
      <x:c r="M20" s="46" t="n">
        <x:v>76.34</x:v>
      </x:c>
      <x:c r="N20" s="46" t="n">
        <x:v>76.18</x:v>
      </x:c>
      <x:c r="O20" s="46" t="n">
        <x:v>73.29</x:v>
      </x:c>
      <x:c r="P20" s="46" t="str">
        <x:v>Receiving Threat</x:v>
      </x:c>
      <x:c r="Q20" s="46" t="n">
        <x:v>77.52</x:v>
      </x:c>
      <x:c r="R20" s="46" t="n">
        <x:v>76.3022</x:v>
      </x:c>
      <x:c r="S20" s="46" t="n">
        <x:v>75.35788706128862</x:v>
      </x:c>
      <x:c r="T20" s="46" t="n">
        <x:v>0.9443129387113771</x:v>
      </x:c>
      <x:c r="U20" s="46" t="n">
        <x:v>59.824157598033345</x:v>
      </x:c>
      <x:c r="V20" t="str">
        <x:v>POSITIVE FOOTBALL VALUE</x:v>
      </x:c>
      <x:c r="W20"/>
      <x:c r="X20"/>
      <x:c r="Y20"/>
      <x:c r="Z20"/>
      <x:c r="AA20"/>
      <x:c r="AB20"/>
      <x:c r="AC20"/>
      <x:c r="AD20" t="str">
        <x:v>SRC-TE-002</x:v>
      </x:c>
    </x:row>
    <x:row r="21">
      <x:c r="A21" t="n">
        <x:v>17</x:v>
      </x:c>
      <x:c r="B21" t="str">
        <x:v>TE-0013</x:v>
      </x:c>
      <x:c r="C21" t="str">
        <x:v>Ozzie Newsome</x:v>
      </x:c>
      <x:c r="D21" t="n">
        <x:v>84</x:v>
      </x:c>
      <x:c r="E21" t="str">
        <x:v>S1 Legends - Classic</x:v>
      </x:c>
      <x:c r="F21" t="str">
        <x:v>Gritty Possession</x:v>
      </x:c>
      <x:c r="G21" t="str">
        <x:v>TE-MODEL-001 v1.1</x:v>
      </x:c>
      <x:c r="H21" s="46" t="n">
        <x:v>80.32</x:v>
      </x:c>
      <x:c r="I21" s="74" t="n">
        <x:v>0.179487179487165</x:v>
      </x:c>
      <x:c r="J21" s="46" t="n">
        <x:v>80.44</x:v>
      </x:c>
      <x:c r="K21" s="46" t="n">
        <x:v>81.35</x:v>
      </x:c>
      <x:c r="L21" s="46" t="n">
        <x:v>79.25</x:v>
      </x:c>
      <x:c r="M21" s="46" t="n">
        <x:v>79.85</x:v>
      </x:c>
      <x:c r="N21" s="46" t="n">
        <x:v>80.4</x:v>
      </x:c>
      <x:c r="O21" s="46" t="n">
        <x:v>79.86</x:v>
      </x:c>
      <x:c r="P21" s="46" t="str">
        <x:v>Possession Target</x:v>
      </x:c>
      <x:c r="Q21" s="46" t="n">
        <x:v>81.35</x:v>
      </x:c>
      <x:c r="R21" s="46" t="n">
        <x:v>80.20859999999999</x:v>
      </x:c>
      <x:c r="S21" s="46" t="n">
        <x:v>79.27198302776321</x:v>
      </x:c>
      <x:c r="T21" s="46" t="n">
        <x:v>0.9366169722367772</x:v>
      </x:c>
      <x:c r="U21" s="46" t="n">
        <x:v>59.74409262760223</x:v>
      </x:c>
      <x:c r="V21" t="str">
        <x:v>POSITIVE FOOTBALL VALUE</x:v>
      </x:c>
      <x:c r="W21"/>
      <x:c r="X21"/>
      <x:c r="Y21"/>
      <x:c r="Z21"/>
      <x:c r="AA21"/>
      <x:c r="AB21"/>
      <x:c r="AC21"/>
      <x:c r="AD21" t="str">
        <x:v>SRC-TE-001</x:v>
      </x:c>
    </x:row>
    <x:row r="22">
      <x:c r="A22" t="n">
        <x:v>18</x:v>
      </x:c>
      <x:c r="B22" t="str">
        <x:v>TE-0047</x:v>
      </x:c>
      <x:c r="C22" t="str">
        <x:v>Christian Bentancur</x:v>
      </x:c>
      <x:c r="D22" t="n">
        <x:v>80</x:v>
      </x:c>
      <x:c r="E22" t="str">
        <x:v>Cornerstones</x:v>
      </x:c>
      <x:c r="F22" t="str">
        <x:v>Gritty Possession</x:v>
      </x:c>
      <x:c r="G22" t="str">
        <x:v>TE-MODEL-001 v1.1</x:v>
      </x:c>
      <x:c r="H22" s="46" t="n">
        <x:v>76.94</x:v>
      </x:c>
      <x:c r="I22" s="74" t="n">
        <x:v>1</x:v>
      </x:c>
      <x:c r="J22" s="46" t="n">
        <x:v>76.09</x:v>
      </x:c>
      <x:c r="K22" s="46" t="n">
        <x:v>78.36</x:v>
      </x:c>
      <x:c r="L22" s="46" t="n">
        <x:v>74.95</x:v>
      </x:c>
      <x:c r="M22" s="46" t="n">
        <x:v>76.07</x:v>
      </x:c>
      <x:c r="N22" s="46" t="n">
        <x:v>75.64</x:v>
      </x:c>
      <x:c r="O22" s="46" t="n">
        <x:v>75.48</x:v>
      </x:c>
      <x:c r="P22" s="46" t="str">
        <x:v>Possession Target</x:v>
      </x:c>
      <x:c r="Q22" s="46" t="n">
        <x:v>78.36</x:v>
      </x:c>
      <x:c r="R22" s="46" t="n">
        <x:v>76.1862</x:v>
      </x:c>
      <x:c r="S22" s="46" t="n">
        <x:v>75.35788706128862</x:v>
      </x:c>
      <x:c r="T22" s="46" t="n">
        <x:v>0.8283129387113775</x:v>
      </x:c>
      <x:c r="U22" s="46" t="n">
        <x:v>58.61735185106669</x:v>
      </x:c>
      <x:c r="V22" t="str">
        <x:v>POSITIVE FOOTBALL VALUE</x:v>
      </x:c>
      <x:c r="W22"/>
      <x:c r="X22"/>
      <x:c r="Y22"/>
      <x:c r="Z22"/>
      <x:c r="AA22"/>
      <x:c r="AB22"/>
      <x:c r="AC22"/>
      <x:c r="AD22" t="str">
        <x:v>SRC-TE-002</x:v>
      </x:c>
    </x:row>
    <x:row r="23">
      <x:c r="A23" t="n">
        <x:v>19</x:v>
      </x:c>
      <x:c r="B23" t="str">
        <x:v>TE-0040</x:v>
      </x:c>
      <x:c r="C23" t="str">
        <x:v>Hayden Hansen</x:v>
      </x:c>
      <x:c r="D23" t="n">
        <x:v>81</x:v>
      </x:c>
      <x:c r="E23" t="str">
        <x:v>Core Rare</x:v>
      </x:c>
      <x:c r="F23" t="str">
        <x:v>Physical Route Runner</x:v>
      </x:c>
      <x:c r="G23" t="str">
        <x:v>TE-MODEL-003 v1.1</x:v>
      </x:c>
      <x:c r="H23" s="46" t="n">
        <x:v>77.47130612244896</x:v>
      </x:c>
      <x:c r="I23" s="74" t="n">
        <x:v>1</x:v>
      </x:c>
      <x:c r="J23" s="46" t="n">
        <x:v>74.31</x:v>
      </x:c>
      <x:c r="K23" s="46" t="n">
        <x:v>78.49</x:v>
      </x:c>
      <x:c r="L23" s="46" t="n">
        <x:v>81.65</x:v>
      </x:c>
      <x:c r="M23" s="46" t="n">
        <x:v>79.13</x:v>
      </x:c>
      <x:c r="N23" s="46" t="n">
        <x:v>72.49</x:v>
      </x:c>
      <x:c r="O23" s="46" t="n">
        <x:v>72.44</x:v>
      </x:c>
      <x:c r="P23" s="46" t="str">
        <x:v>Blocker</x:v>
      </x:c>
      <x:c r="Q23" s="46" t="n">
        <x:v>81.65</x:v>
      </x:c>
      <x:c r="R23" s="46" t="n">
        <x:v>77.076</x:v>
      </x:c>
      <x:c r="S23" s="46" t="n">
        <x:v>76.33641105290727</x:v>
      </x:c>
      <x:c r="T23" s="46" t="n">
        <x:v>0.7395889470927273</x:v>
      </x:c>
      <x:c r="U23" s="46" t="n">
        <x:v>57.69431199779764</x:v>
      </x:c>
      <x:c r="V23" t="str">
        <x:v>POSITIVE FOOTBALL VALUE</x:v>
      </x:c>
      <x:c r="W23"/>
      <x:c r="X23"/>
      <x:c r="Y23"/>
      <x:c r="Z23"/>
      <x:c r="AA23"/>
      <x:c r="AB23"/>
      <x:c r="AC23"/>
      <x:c r="AD23" t="str">
        <x:v>SRC-TE-002</x:v>
      </x:c>
    </x:row>
    <x:row r="24">
      <x:c r="A24" t="n">
        <x:v>20</x:v>
      </x:c>
      <x:c r="B24" t="str">
        <x:v>TE-0024</x:v>
      </x:c>
      <x:c r="C24" t="str">
        <x:v>Brody Foley</x:v>
      </x:c>
      <x:c r="D24" t="n">
        <x:v>83</x:v>
      </x:c>
      <x:c r="E24" t="str">
        <x:v>Platinum Rare</x:v>
      </x:c>
      <x:c r="F24" t="str">
        <x:v>Physical Route Runner</x:v>
      </x:c>
      <x:c r="G24" t="str">
        <x:v>TE-MODEL-003 v1.1</x:v>
      </x:c>
      <x:c r="H24" s="46" t="n">
        <x:v>79.34071428571428</x:v>
      </x:c>
      <x:c r="I24" s="74" t="n">
        <x:v>0.6866503988194654</x:v>
      </x:c>
      <x:c r="J24" s="46" t="n">
        <x:v>77.88</x:v>
      </x:c>
      <x:c r="K24" s="46" t="n">
        <x:v>80.21</x:v>
      </x:c>
      <x:c r="L24" s="46" t="n">
        <x:v>81.4</x:v>
      </x:c>
      <x:c r="M24" s="46" t="n">
        <x:v>80.13</x:v>
      </x:c>
      <x:c r="N24" s="46" t="n">
        <x:v>76.29</x:v>
      </x:c>
      <x:c r="O24" s="46" t="n">
        <x:v>75.25</x:v>
      </x:c>
      <x:c r="P24" s="46" t="str">
        <x:v>Blocker</x:v>
      </x:c>
      <x:c r="Q24" s="46" t="n">
        <x:v>81.4</x:v>
      </x:c>
      <x:c r="R24" s="46" t="n">
        <x:v>79.0268</x:v>
      </x:c>
      <x:c r="S24" s="46" t="n">
        <x:v>78.29345903614457</x:v>
      </x:c>
      <x:c r="T24" s="46" t="n">
        <x:v>0.7333409638554258</x:v>
      </x:c>
      <x:c r="U24" s="46" t="n">
        <x:v>57.62931111781724</x:v>
      </x:c>
      <x:c r="V24" t="str">
        <x:v>POSITIVE FOOTBALL VALUE</x:v>
      </x:c>
      <x:c r="W24"/>
      <x:c r="X24"/>
      <x:c r="Y24"/>
      <x:c r="Z24"/>
      <x:c r="AA24"/>
      <x:c r="AB24"/>
      <x:c r="AC24"/>
      <x:c r="AD24" t="str">
        <x:v>SRC-TE-001</x:v>
      </x:c>
    </x:row>
    <x:row r="25">
      <x:c r="A25" t="n">
        <x:v>21</x:v>
      </x:c>
      <x:c r="B25" t="str">
        <x:v>TE-0048</x:v>
      </x:c>
      <x:c r="C25" t="str">
        <x:v>Jalen Hoffman</x:v>
      </x:c>
      <x:c r="D25" t="n">
        <x:v>80</x:v>
      </x:c>
      <x:c r="E25" t="str">
        <x:v>Standouts</x:v>
      </x:c>
      <x:c r="F25" t="str">
        <x:v>Gritty Possession</x:v>
      </x:c>
      <x:c r="G25" t="str">
        <x:v>TE-MODEL-001 v1.1</x:v>
      </x:c>
      <x:c r="H25" s="46" t="n">
        <x:v>76.19</x:v>
      </x:c>
      <x:c r="I25" s="74" t="n">
        <x:v>0.3852459016393437</x:v>
      </x:c>
      <x:c r="J25" s="46" t="n">
        <x:v>76.15</x:v>
      </x:c>
      <x:c r="K25" s="46" t="n">
        <x:v>76.82</x:v>
      </x:c>
      <x:c r="L25" s="46" t="n">
        <x:v>75.4</x:v>
      </x:c>
      <x:c r="M25" s="46" t="n">
        <x:v>75.92</x:v>
      </x:c>
      <x:c r="N25" s="46" t="n">
        <x:v>76.37</x:v>
      </x:c>
      <x:c r="O25" s="46" t="n">
        <x:v>75.77</x:v>
      </x:c>
      <x:c r="P25" s="46" t="str">
        <x:v>Possession Target</x:v>
      </x:c>
      <x:c r="Q25" s="46" t="n">
        <x:v>76.82</x:v>
      </x:c>
      <x:c r="R25" s="46" t="n">
        <x:v>76.081</x:v>
      </x:c>
      <x:c r="S25" s="46" t="n">
        <x:v>75.35788706128862</x:v>
      </x:c>
      <x:c r="T25" s="46" t="n">
        <x:v>0.723112938711381</x:v>
      </x:c>
      <x:c r="U25" s="46" t="n">
        <x:v>57.52290388054178</x:v>
      </x:c>
      <x:c r="V25" t="str">
        <x:v>POSITIVE FOOTBALL VALUE</x:v>
      </x:c>
      <x:c r="W25"/>
      <x:c r="X25"/>
      <x:c r="Y25"/>
      <x:c r="Z25"/>
      <x:c r="AA25"/>
      <x:c r="AB25"/>
      <x:c r="AC25"/>
      <x:c r="AD25" t="str">
        <x:v>SRC-TE-002</x:v>
      </x:c>
    </x:row>
    <x:row r="26">
      <x:c r="A26" t="n">
        <x:v>22</x:v>
      </x:c>
      <x:c r="B26" t="str">
        <x:v>TE-0018</x:v>
      </x:c>
      <x:c r="C26" t="str">
        <x:v>Garrett Oakley</x:v>
      </x:c>
      <x:c r="D26" t="n">
        <x:v>84</x:v>
      </x:c>
      <x:c r="E26" t="str">
        <x:v>Core Rare</x:v>
      </x:c>
      <x:c r="F26" t="str">
        <x:v>Physical Route Runner</x:v>
      </x:c>
      <x:c r="G26" t="str">
        <x:v>TE-MODEL-003 v1.1</x:v>
      </x:c>
      <x:c r="H26" s="46" t="n">
        <x:v>80.61150204081632</x:v>
      </x:c>
      <x:c r="I26" s="74" t="n">
        <x:v>1</x:v>
      </x:c>
      <x:c r="J26" s="46" t="n">
        <x:v>82.63</x:v>
      </x:c>
      <x:c r="K26" s="46" t="n">
        <x:v>82.74</x:v>
      </x:c>
      <x:c r="L26" s="46" t="n">
        <x:v>75.3</x:v>
      </x:c>
      <x:c r="M26" s="46" t="n">
        <x:v>78.55</x:v>
      </x:c>
      <x:c r="N26" s="46" t="n">
        <x:v>81.9</x:v>
      </x:c>
      <x:c r="O26" s="46" t="n">
        <x:v>77.72</x:v>
      </x:c>
      <x:c r="P26" s="46" t="str">
        <x:v>Possession Target</x:v>
      </x:c>
      <x:c r="Q26" s="46" t="n">
        <x:v>82.74</x:v>
      </x:c>
      <x:c r="R26" s="46" t="n">
        <x:v>79.9524</x:v>
      </x:c>
      <x:c r="S26" s="46" t="n">
        <x:v>79.27198302776321</x:v>
      </x:c>
      <x:c r="T26" s="46" t="n">
        <x:v>0.6804169722367845</x:v>
      </x:c>
      <x:c r="U26" s="46" t="n">
        <x:v>57.07871648645697</x:v>
      </x:c>
      <x:c r="V26" t="str">
        <x:v>POSITIVE FOOTBALL VALUE</x:v>
      </x:c>
      <x:c r="W26"/>
      <x:c r="X26"/>
      <x:c r="Y26"/>
      <x:c r="Z26"/>
      <x:c r="AA26"/>
      <x:c r="AB26"/>
      <x:c r="AC26"/>
      <x:c r="AD26" t="str">
        <x:v>SRC-TE-001</x:v>
      </x:c>
    </x:row>
    <x:row r="27">
      <x:c r="A27" t="n">
        <x:v>23</x:v>
      </x:c>
      <x:c r="B27" t="str">
        <x:v>TE-0015</x:v>
      </x:c>
      <x:c r="C27" t="str">
        <x:v>Peter Clarke</x:v>
      </x:c>
      <x:c r="D27" t="n">
        <x:v>84</x:v>
      </x:c>
      <x:c r="E27" t="str">
        <x:v>Core Rare</x:v>
      </x:c>
      <x:c r="F27" t="str">
        <x:v>Physical Route Runner</x:v>
      </x:c>
      <x:c r="G27" t="str">
        <x:v>TE-MODEL-003 v1.1</x:v>
      </x:c>
      <x:c r="H27" s="46" t="n">
        <x:v>80.06390204081632</x:v>
      </x:c>
      <x:c r="I27" s="74" t="n">
        <x:v>0.0508491363605468</x:v>
      </x:c>
      <x:c r="J27" s="46" t="n">
        <x:v>79.73</x:v>
      </x:c>
      <x:c r="K27" s="46" t="n">
        <x:v>81.91</x:v>
      </x:c>
      <x:c r="L27" s="46" t="n">
        <x:v>80.6</x:v>
      </x:c>
      <x:c r="M27" s="46" t="n">
        <x:v>80.67</x:v>
      </x:c>
      <x:c r="N27" s="46" t="n">
        <x:v>78.29</x:v>
      </x:c>
      <x:c r="O27" s="46" t="n">
        <x:v>74.64</x:v>
      </x:c>
      <x:c r="P27" s="46" t="str">
        <x:v>Possession Target</x:v>
      </x:c>
      <x:c r="Q27" s="46" t="n">
        <x:v>81.91</x:v>
      </x:c>
      <x:c r="R27" s="46" t="n">
        <x:v>79.9058</x:v>
      </x:c>
      <x:c r="S27" s="46" t="n">
        <x:v>79.27198302776321</x:v>
      </x:c>
      <x:c r="T27" s="46" t="n">
        <x:v>0.6338169722367866</x:v>
      </x:c>
      <x:c r="U27" s="46" t="n">
        <x:v>56.59391348810659</x:v>
      </x:c>
      <x:c r="V27" t="str">
        <x:v>NEUTRAL</x:v>
      </x:c>
      <x:c r="W27"/>
      <x:c r="X27"/>
      <x:c r="Y27"/>
      <x:c r="Z27"/>
      <x:c r="AA27"/>
      <x:c r="AB27"/>
      <x:c r="AC27"/>
      <x:c r="AD27" t="str">
        <x:v>SRC-TE-001</x:v>
      </x:c>
    </x:row>
    <x:row r="28">
      <x:c r="A28" t="n">
        <x:v>24</x:v>
      </x:c>
      <x:c r="B28" t="str">
        <x:v>TE-0054</x:v>
      </x:c>
      <x:c r="C28" t="str">
        <x:v>Donovan Green</x:v>
      </x:c>
      <x:c r="D28" t="n">
        <x:v>80</x:v>
      </x:c>
      <x:c r="E28" t="str">
        <x:v>Core Rare</x:v>
      </x:c>
      <x:c r="F28" t="str">
        <x:v>Physical Route Runner</x:v>
      </x:c>
      <x:c r="G28" t="str">
        <x:v>TE-MODEL-003 v1.1</x:v>
      </x:c>
      <x:c r="H28" s="46" t="n">
        <x:v>76.01000204081632</x:v>
      </x:c>
      <x:c r="I28" s="74" t="n">
        <x:v>0.46515415696551626</x:v>
      </x:c>
      <x:c r="J28" s="46" t="n">
        <x:v>78.51</x:v>
      </x:c>
      <x:c r="K28" s="46" t="n">
        <x:v>75.89</x:v>
      </x:c>
      <x:c r="L28" s="46" t="n">
        <x:v>72.65</x:v>
      </x:c>
      <x:c r="M28" s="46" t="n">
        <x:v>74.63</x:v>
      </x:c>
      <x:c r="N28" s="46" t="n">
        <x:v>78.3</x:v>
      </x:c>
      <x:c r="O28" s="46" t="n">
        <x:v>76.64</x:v>
      </x:c>
      <x:c r="P28" s="46" t="str">
        <x:v>Receiving Threat</x:v>
      </x:c>
      <x:c r="Q28" s="46" t="n">
        <x:v>78.51</x:v>
      </x:c>
      <x:c r="R28" s="46" t="n">
        <x:v>75.95519999999999</x:v>
      </x:c>
      <x:c r="S28" s="46" t="n">
        <x:v>75.35788706128862</x:v>
      </x:c>
      <x:c r="T28" s="46" t="n">
        <x:v>0.5973129387113687</x:v>
      </x:c>
      <x:c r="U28" s="46" t="n">
        <x:v>56.21414385495195</x:v>
      </x:c>
      <x:c r="V28" t="str">
        <x:v>NEUTRAL</x:v>
      </x:c>
      <x:c r="W28"/>
      <x:c r="X28"/>
      <x:c r="Y28"/>
      <x:c r="Z28"/>
      <x:c r="AA28"/>
      <x:c r="AB28"/>
      <x:c r="AC28"/>
      <x:c r="AD28" t="str">
        <x:v>SRC-TE-002</x:v>
      </x:c>
    </x:row>
    <x:row r="29">
      <x:c r="A29" t="n">
        <x:v>25</x:v>
      </x:c>
      <x:c r="B29" t="str">
        <x:v>TE-0066</x:v>
      </x:c>
      <x:c r="C29" t="str">
        <x:v>Hunter Tipton</x:v>
      </x:c>
      <x:c r="D29" t="n">
        <x:v>80</x:v>
      </x:c>
      <x:c r="E29" t="str">
        <x:v>Core Rare</x:v>
      </x:c>
      <x:c r="F29" t="str">
        <x:v>Vertical Threat</x:v>
      </x:c>
      <x:c r="G29" t="str">
        <x:v>TE-MODEL-006 v1.3</x:v>
      </x:c>
      <x:c r="H29" s="46" t="n">
        <x:v>76.12621359223301</x:v>
      </x:c>
      <x:c r="I29" s="74" t="n">
        <x:v>1</x:v>
      </x:c>
      <x:c r="J29" s="46" t="n">
        <x:v>76.39</x:v>
      </x:c>
      <x:c r="K29" s="46" t="n">
        <x:v>76.57</x:v>
      </x:c>
      <x:c r="L29" s="46" t="n">
        <x:v>75.4</x:v>
      </x:c>
      <x:c r="M29" s="46" t="n">
        <x:v>76.51</x:v>
      </x:c>
      <x:c r="N29" s="46" t="n">
        <x:v>75.94</x:v>
      </x:c>
      <x:c r="O29" s="46" t="n">
        <x:v>72.01</x:v>
      </x:c>
      <x:c r="P29" s="46" t="str">
        <x:v>Possession Target</x:v>
      </x:c>
      <x:c r="Q29" s="46" t="n">
        <x:v>76.57</x:v>
      </x:c>
      <x:c r="R29" s="46" t="n">
        <x:v>75.8662</x:v>
      </x:c>
      <x:c r="S29" s="46" t="n">
        <x:v>75.35788706128862</x:v>
      </x:c>
      <x:c r="T29" s="46" t="n">
        <x:v>0.5083129387113843</x:v>
      </x:c>
      <x:c r="U29" s="46" t="n">
        <x:v>55.288232549089756</x:v>
      </x:c>
      <x:c r="V29" t="str">
        <x:v>NEUTRAL</x:v>
      </x:c>
      <x:c r="W29"/>
      <x:c r="X29"/>
      <x:c r="Y29"/>
      <x:c r="Z29"/>
      <x:c r="AA29"/>
      <x:c r="AB29"/>
      <x:c r="AC29"/>
      <x:c r="AD29" t="str">
        <x:v>SRC-TE-002</x:v>
      </x:c>
    </x:row>
    <x:row r="30">
      <x:c r="A30" t="n">
        <x:v>26</x:v>
      </x:c>
      <x:c r="B30" t="str">
        <x:v>TE-0064</x:v>
      </x:c>
      <x:c r="C30" t="str">
        <x:v>Jeremy Shockey</x:v>
      </x:c>
      <x:c r="D30" t="n">
        <x:v>80</x:v>
      </x:c>
      <x:c r="E30" t="str">
        <x:v>Core Legends Millennium</x:v>
      </x:c>
      <x:c r="F30" t="str">
        <x:v>Gritty Possession</x:v>
      </x:c>
      <x:c r="G30" t="str">
        <x:v>TE-MODEL-001 v1.1</x:v>
      </x:c>
      <x:c r="H30" s="46" t="n">
        <x:v>75.72</x:v>
      </x:c>
      <x:c r="I30" s="74" t="n">
        <x:v>0</x:v>
      </x:c>
      <x:c r="J30" s="46" t="n">
        <x:v>77.05</x:v>
      </x:c>
      <x:c r="K30" s="46" t="n">
        <x:v>76.1</x:v>
      </x:c>
      <x:c r="L30" s="46" t="n">
        <x:v>73.3</x:v>
      </x:c>
      <x:c r="M30" s="46" t="n">
        <x:v>74.97</x:v>
      </x:c>
      <x:c r="N30" s="46" t="n">
        <x:v>78.15</x:v>
      </x:c>
      <x:c r="O30" s="46" t="n">
        <x:v>76.87</x:v>
      </x:c>
      <x:c r="P30" s="46" t="str">
        <x:v>Mismatch Weapon</x:v>
      </x:c>
      <x:c r="Q30" s="46" t="n">
        <x:v>78.15</x:v>
      </x:c>
      <x:c r="R30" s="46" t="n">
        <x:v>75.864</x:v>
      </x:c>
      <x:c r="S30" s="46" t="n">
        <x:v>75.35788706128862</x:v>
      </x:c>
      <x:c r="T30" s="46" t="n">
        <x:v>0.5061129387113823</x:v>
      </x:c>
      <x:c r="U30" s="46" t="n">
        <x:v>55.26534485388864</x:v>
      </x:c>
      <x:c r="V30" t="str">
        <x:v>NEUTRAL</x:v>
      </x:c>
      <x:c r="W30"/>
      <x:c r="X30"/>
      <x:c r="Y30"/>
      <x:c r="Z30"/>
      <x:c r="AA30"/>
      <x:c r="AB30"/>
      <x:c r="AC30"/>
      <x:c r="AD30" t="str">
        <x:v>SRC-TE-002</x:v>
      </x:c>
    </x:row>
    <x:row r="31">
      <x:c r="A31" t="n">
        <x:v>27</x:v>
      </x:c>
      <x:c r="B31" t="str">
        <x:v>TE-0010</x:v>
      </x:c>
      <x:c r="C31" t="str">
        <x:v>Pierce Walsh</x:v>
      </x:c>
      <x:c r="D31" t="n">
        <x:v>84</x:v>
      </x:c>
      <x:c r="E31" t="str">
        <x:v>Cornerstones</x:v>
      </x:c>
      <x:c r="F31" t="str">
        <x:v>Gritty Possession</x:v>
      </x:c>
      <x:c r="G31" t="str">
        <x:v>TE-MODEL-001 v1.1</x:v>
      </x:c>
      <x:c r="H31" s="46" t="n">
        <x:v>80.18</x:v>
      </x:c>
      <x:c r="I31" s="74" t="n">
        <x:v>0</x:v>
      </x:c>
      <x:c r="J31" s="46" t="n">
        <x:v>80.06</x:v>
      </x:c>
      <x:c r="K31" s="46" t="n">
        <x:v>81.5</x:v>
      </x:c>
      <x:c r="L31" s="46" t="n">
        <x:v>77.9</x:v>
      </x:c>
      <x:c r="M31" s="46" t="n">
        <x:v>79.23</x:v>
      </x:c>
      <x:c r="N31" s="46" t="n">
        <x:v>79.8</x:v>
      </x:c>
      <x:c r="O31" s="46" t="n">
        <x:v>80.07</x:v>
      </x:c>
      <x:c r="P31" s="46" t="str">
        <x:v>Possession Target</x:v>
      </x:c>
      <x:c r="Q31" s="46" t="n">
        <x:v>81.5</x:v>
      </x:c>
      <x:c r="R31" s="46" t="n">
        <x:v>79.7174</x:v>
      </x:c>
      <x:c r="S31" s="46" t="n">
        <x:v>79.27198302776321</x:v>
      </x:c>
      <x:c r="T31" s="46" t="n">
        <x:v>0.4454169722367851</x:v>
      </x:c>
      <x:c r="U31" s="46" t="n">
        <x:v>54.63389449906761</x:v>
      </x:c>
      <x:c r="V31" t="str">
        <x:v>NEUTRAL</x:v>
      </x:c>
      <x:c r="W31"/>
      <x:c r="X31"/>
      <x:c r="Y31"/>
      <x:c r="Z31"/>
      <x:c r="AA31"/>
      <x:c r="AB31"/>
      <x:c r="AC31"/>
      <x:c r="AD31" t="str">
        <x:v>SRC-TE-001</x:v>
      </x:c>
    </x:row>
    <x:row r="32">
      <x:c r="A32" t="n">
        <x:v>28</x:v>
      </x:c>
      <x:c r="B32" t="str">
        <x:v>TE-0009</x:v>
      </x:c>
      <x:c r="C32" t="str">
        <x:v>Dorian Thomas</x:v>
      </x:c>
      <x:c r="D32" t="n">
        <x:v>85</x:v>
      </x:c>
      <x:c r="E32" t="str">
        <x:v>Platinum Rare</x:v>
      </x:c>
      <x:c r="F32" t="str">
        <x:v>Physical Route Runner</x:v>
      </x:c>
      <x:c r="G32" t="str">
        <x:v>TE-MODEL-003 v1.1</x:v>
      </x:c>
      <x:c r="H32" s="46" t="n">
        <x:v>80.98699591836734</x:v>
      </x:c>
      <x:c r="I32" s="74" t="n">
        <x:v>0.6111100387963406</x:v>
      </x:c>
      <x:c r="J32" s="46" t="n">
        <x:v>81.57</x:v>
      </x:c>
      <x:c r="K32" s="46" t="n">
        <x:v>82.79</x:v>
      </x:c>
      <x:c r="L32" s="46" t="n">
        <x:v>78.05</x:v>
      </x:c>
      <x:c r="M32" s="46" t="n">
        <x:v>80.28</x:v>
      </x:c>
      <x:c r="N32" s="46" t="n">
        <x:v>81.19</x:v>
      </x:c>
      <x:c r="O32" s="46" t="n">
        <x:v>78.59</x:v>
      </x:c>
      <x:c r="P32" s="46" t="str">
        <x:v>Possession Target</x:v>
      </x:c>
      <x:c r="Q32" s="46" t="n">
        <x:v>82.79</x:v>
      </x:c>
      <x:c r="R32" s="46" t="n">
        <x:v>80.5882</x:v>
      </x:c>
      <x:c r="S32" s="46" t="n">
        <x:v>80.25050701938187</x:v>
      </x:c>
      <x:c r="T32" s="46" t="n">
        <x:v>0.33769298061812947</x:v>
      </x:c>
      <x:c r="U32" s="46" t="n">
        <x:v>53.51318818724363</x:v>
      </x:c>
      <x:c r="V32" t="str">
        <x:v>NEUTRAL</x:v>
      </x:c>
      <x:c r="W32"/>
      <x:c r="X32"/>
      <x:c r="Y32"/>
      <x:c r="Z32"/>
      <x:c r="AA32"/>
      <x:c r="AB32"/>
      <x:c r="AC32"/>
      <x:c r="AD32" t="str">
        <x:v>SRC-TE-001</x:v>
      </x:c>
    </x:row>
    <x:row r="33">
      <x:c r="A33" t="n">
        <x:v>29</x:v>
      </x:c>
      <x:c r="B33" t="str">
        <x:v>TE-0038</x:v>
      </x:c>
      <x:c r="C33" t="str">
        <x:v>Jalen Hoffman</x:v>
      </x:c>
      <x:c r="D33" t="n">
        <x:v>81</x:v>
      </x:c>
      <x:c r="E33" t="str">
        <x:v>Standouts</x:v>
      </x:c>
      <x:c r="F33" t="str">
        <x:v>Gritty Possession</x:v>
      </x:c>
      <x:c r="G33" t="str">
        <x:v>TE-MODEL-001 v1.1</x:v>
      </x:c>
      <x:c r="H33" s="46" t="n">
        <x:v>76.91</x:v>
      </x:c>
      <x:c r="I33" s="74" t="n">
        <x:v>0</x:v>
      </x:c>
      <x:c r="J33" s="46" t="n">
        <x:v>76.81</x:v>
      </x:c>
      <x:c r="K33" s="46" t="n">
        <x:v>77.64</x:v>
      </x:c>
      <x:c r="L33" s="46" t="n">
        <x:v>75.55</x:v>
      </x:c>
      <x:c r="M33" s="46" t="n">
        <x:v>76.51</x:v>
      </x:c>
      <x:c r="N33" s="46" t="n">
        <x:v>77.04</x:v>
      </x:c>
      <x:c r="O33" s="46" t="n">
        <x:v>76.37</x:v>
      </x:c>
      <x:c r="P33" s="46" t="str">
        <x:v>Possession Target</x:v>
      </x:c>
      <x:c r="Q33" s="46" t="n">
        <x:v>77.64</x:v>
      </x:c>
      <x:c r="R33" s="46" t="n">
        <x:v>76.65899999999999</x:v>
      </x:c>
      <x:c r="S33" s="46" t="n">
        <x:v>76.33641105290727</x:v>
      </x:c>
      <x:c r="T33" s="46" t="n">
        <x:v>0.3225889470927257</x:v>
      </x:c>
      <x:c r="U33" s="46" t="n">
        <x:v>53.356053407408844</x:v>
      </x:c>
      <x:c r="V33" t="str">
        <x:v>NEUTRAL</x:v>
      </x:c>
      <x:c r="W33"/>
      <x:c r="X33"/>
      <x:c r="Y33"/>
      <x:c r="Z33"/>
      <x:c r="AA33"/>
      <x:c r="AB33"/>
      <x:c r="AC33"/>
      <x:c r="AD33" t="str">
        <x:v>SRC-TE-002</x:v>
      </x:c>
    </x:row>
    <x:row r="34">
      <x:c r="A34" t="n">
        <x:v>30</x:v>
      </x:c>
      <x:c r="B34" t="str">
        <x:v>TE-0032</x:v>
      </x:c>
      <x:c r="C34" t="str">
        <x:v>Jake Johnson</x:v>
      </x:c>
      <x:c r="D34" t="n">
        <x:v>82</x:v>
      </x:c>
      <x:c r="E34" t="str">
        <x:v>Core Rare</x:v>
      </x:c>
      <x:c r="F34" t="str">
        <x:v>Physical Route Runner</x:v>
      </x:c>
      <x:c r="G34" t="str">
        <x:v>TE-MODEL-003 v1.1</x:v>
      </x:c>
      <x:c r="H34" s="46" t="n">
        <x:v>77.9517775510204</x:v>
      </x:c>
      <x:c r="I34" s="74" t="n">
        <x:v>0.6767206489692852</x:v>
      </x:c>
      <x:c r="J34" s="46" t="n">
        <x:v>81.18</x:v>
      </x:c>
      <x:c r="K34" s="46" t="n">
        <x:v>77.27</x:v>
      </x:c>
      <x:c r="L34" s="46" t="n">
        <x:v>71.8</x:v>
      </x:c>
      <x:c r="M34" s="46" t="n">
        <x:v>75.19</x:v>
      </x:c>
      <x:c r="N34" s="46" t="n">
        <x:v>81.77</x:v>
      </x:c>
      <x:c r="O34" s="46" t="n">
        <x:v>79.58</x:v>
      </x:c>
      <x:c r="P34" s="46" t="str">
        <x:v>Mismatch Weapon</x:v>
      </x:c>
      <x:c r="Q34" s="46" t="n">
        <x:v>81.77</x:v>
      </x:c>
      <x:c r="R34" s="46" t="n">
        <x:v>77.41279999999999</x:v>
      </x:c>
      <x:c r="S34" s="46" t="n">
        <x:v>77.31493504452592</x:v>
      </x:c>
      <x:c r="T34" s="46" t="n">
        <x:v>0.0978649554740656</x:v>
      </x:c>
      <x:c r="U34" s="46" t="n">
        <x:v>51.01813785079948</x:v>
      </x:c>
      <x:c r="V34" t="str">
        <x:v>NEUTRAL</x:v>
      </x:c>
      <x:c r="W34"/>
      <x:c r="X34"/>
      <x:c r="Y34"/>
      <x:c r="Z34"/>
      <x:c r="AA34"/>
      <x:c r="AB34"/>
      <x:c r="AC34"/>
      <x:c r="AD34" t="str">
        <x:v>SRC-TE-002</x:v>
      </x:c>
    </x:row>
    <x:row r="35">
      <x:c r="A35" t="n">
        <x:v>31</x:v>
      </x:c>
      <x:c r="B35" t="str">
        <x:v>TE-0006</x:v>
      </x:c>
      <x:c r="C35" t="str">
        <x:v>Jamari Johnson</x:v>
      </x:c>
      <x:c r="D35" t="n">
        <x:v>85</x:v>
      </x:c>
      <x:c r="E35" t="str">
        <x:v>Platinum Rare</x:v>
      </x:c>
      <x:c r="F35" t="str">
        <x:v>Physical Route Runner</x:v>
      </x:c>
      <x:c r="G35" t="str">
        <x:v>TE-MODEL-003 v1.1</x:v>
      </x:c>
      <x:c r="H35" s="46" t="n">
        <x:v>80.90418775510204</x:v>
      </x:c>
      <x:c r="I35" s="74" t="n">
        <x:v>0.21951784439000055</x:v>
      </x:c>
      <x:c r="J35" s="46" t="n">
        <x:v>82.87</x:v>
      </x:c>
      <x:c r="K35" s="46" t="n">
        <x:v>82.3</x:v>
      </x:c>
      <x:c r="L35" s="46" t="n">
        <x:v>74.6</x:v>
      </x:c>
      <x:c r="M35" s="46" t="n">
        <x:v>78.32</x:v>
      </x:c>
      <x:c r="N35" s="46" t="n">
        <x:v>82.91</x:v>
      </x:c>
      <x:c r="O35" s="46" t="n">
        <x:v>81.61</x:v>
      </x:c>
      <x:c r="P35" s="46" t="str">
        <x:v>Mismatch Weapon</x:v>
      </x:c>
      <x:c r="Q35" s="46" t="n">
        <x:v>82.91</x:v>
      </x:c>
      <x:c r="R35" s="46" t="n">
        <x:v>80.1818</x:v>
      </x:c>
      <x:c r="S35" s="46" t="n">
        <x:v>80.25050701938187</x:v>
      </x:c>
      <x:c r="T35" s="46" t="n">
        <x:v>-0.06870701938187551</x:v>
      </x:c>
      <x:c r="U35" s="46" t="n">
        <x:v>49.28520667373278</x:v>
      </x:c>
      <x:c r="V35" t="str">
        <x:v>NEUTRAL</x:v>
      </x:c>
      <x:c r="W35"/>
      <x:c r="X35"/>
      <x:c r="Y35"/>
      <x:c r="Z35"/>
      <x:c r="AA35"/>
      <x:c r="AB35"/>
      <x:c r="AC35"/>
      <x:c r="AD35" t="str">
        <x:v>SRC-TE-001</x:v>
      </x:c>
    </x:row>
    <x:row r="36">
      <x:c r="A36" t="n">
        <x:v>32</x:v>
      </x:c>
      <x:c r="B36" t="str">
        <x:v>TE-0007</x:v>
      </x:c>
      <x:c r="C36" t="str">
        <x:v>Jamari Johnson</x:v>
      </x:c>
      <x:c r="D36" t="n">
        <x:v>85</x:v>
      </x:c>
      <x:c r="E36" t="str">
        <x:v>Core Rare</x:v>
      </x:c>
      <x:c r="F36" t="str">
        <x:v>Physical Route Runner</x:v>
      </x:c>
      <x:c r="G36" t="str">
        <x:v>TE-MODEL-003 v1.1</x:v>
      </x:c>
      <x:c r="H36" s="46" t="n">
        <x:v>80.90418775510204</x:v>
      </x:c>
      <x:c r="I36" s="74" t="n">
        <x:v>0.21951784439000055</x:v>
      </x:c>
      <x:c r="J36" s="46" t="n">
        <x:v>82.87</x:v>
      </x:c>
      <x:c r="K36" s="46" t="n">
        <x:v>82.3</x:v>
      </x:c>
      <x:c r="L36" s="46" t="n">
        <x:v>74.6</x:v>
      </x:c>
      <x:c r="M36" s="46" t="n">
        <x:v>78.32</x:v>
      </x:c>
      <x:c r="N36" s="46" t="n">
        <x:v>82.91</x:v>
      </x:c>
      <x:c r="O36" s="46" t="n">
        <x:v>81.61</x:v>
      </x:c>
      <x:c r="P36" s="46" t="str">
        <x:v>Mismatch Weapon</x:v>
      </x:c>
      <x:c r="Q36" s="46" t="n">
        <x:v>82.91</x:v>
      </x:c>
      <x:c r="R36" s="46" t="n">
        <x:v>80.1818</x:v>
      </x:c>
      <x:c r="S36" s="46" t="n">
        <x:v>80.25050701938187</x:v>
      </x:c>
      <x:c r="T36" s="46" t="n">
        <x:v>-0.06870701938187551</x:v>
      </x:c>
      <x:c r="U36" s="46" t="n">
        <x:v>49.28520667373278</x:v>
      </x:c>
      <x:c r="V36" t="str">
        <x:v>NEUTRAL</x:v>
      </x:c>
      <x:c r="W36"/>
      <x:c r="X36"/>
      <x:c r="Y36"/>
      <x:c r="Z36"/>
      <x:c r="AA36"/>
      <x:c r="AB36"/>
      <x:c r="AC36"/>
      <x:c r="AD36" t="str">
        <x:v>SRC-TE-001</x:v>
      </x:c>
    </x:row>
    <x:row r="37">
      <x:c r="A37" t="n">
        <x:v>33</x:v>
      </x:c>
      <x:c r="B37" t="str">
        <x:v>TE-0029</x:v>
      </x:c>
      <x:c r="C37" t="str">
        <x:v>Keyan Burnett</x:v>
      </x:c>
      <x:c r="D37" t="n">
        <x:v>82</x:v>
      </x:c>
      <x:c r="E37" t="str">
        <x:v>Phenoms</x:v>
      </x:c>
      <x:c r="F37" t="str">
        <x:v>Vertical Threat</x:v>
      </x:c>
      <x:c r="G37" t="str">
        <x:v>TE-MODEL-006 v1.3</x:v>
      </x:c>
      <x:c r="H37" s="46" t="n">
        <x:v>77.53398058252426</x:v>
      </x:c>
      <x:c r="I37" s="74" t="n">
        <x:v>0.9339622641509422</x:v>
      </x:c>
      <x:c r="J37" s="46" t="n">
        <x:v>80.37</x:v>
      </x:c>
      <x:c r="K37" s="46" t="n">
        <x:v>79.41</x:v>
      </x:c>
      <x:c r="L37" s="46" t="n">
        <x:v>71.95</x:v>
      </x:c>
      <x:c r="M37" s="46" t="n">
        <x:v>75.72</x:v>
      </x:c>
      <x:c r="N37" s="46" t="n">
        <x:v>80.13</x:v>
      </x:c>
      <x:c r="O37" s="46" t="n">
        <x:v>73.38</x:v>
      </x:c>
      <x:c r="P37" s="46" t="str">
        <x:v>Receiving Threat</x:v>
      </x:c>
      <x:c r="Q37" s="46" t="n">
        <x:v>80.37</x:v>
      </x:c>
      <x:c r="R37" s="46" t="n">
        <x:v>77.0706</x:v>
      </x:c>
      <x:c r="S37" s="46" t="n">
        <x:v>77.31493504452592</x:v>
      </x:c>
      <x:c r="T37" s="46" t="n">
        <x:v>-0.24433504452592558</x:v>
      </x:c>
      <x:c r="U37" s="46" t="n">
        <x:v>47.45806089724791</x:v>
      </x:c>
      <x:c r="V37" t="str">
        <x:v>NEUTRAL</x:v>
      </x:c>
      <x:c r="W37"/>
      <x:c r="X37"/>
      <x:c r="Y37"/>
      <x:c r="Z37"/>
      <x:c r="AA37"/>
      <x:c r="AB37"/>
      <x:c r="AC37"/>
      <x:c r="AD37" t="str">
        <x:v>SRC-TE-002</x:v>
      </x:c>
    </x:row>
    <x:row r="38">
      <x:c r="A38" t="n">
        <x:v>34</x:v>
      </x:c>
      <x:c r="B38" t="str">
        <x:v>TE-0016</x:v>
      </x:c>
      <x:c r="C38" t="str">
        <x:v>Dorian Fleming</x:v>
      </x:c>
      <x:c r="D38" t="n">
        <x:v>84</x:v>
      </x:c>
      <x:c r="E38" t="str">
        <x:v>Platinum Rare</x:v>
      </x:c>
      <x:c r="F38" t="str">
        <x:v>Physical Route Runner</x:v>
      </x:c>
      <x:c r="G38" t="str">
        <x:v>TE-MODEL-003 v1.1</x:v>
      </x:c>
      <x:c r="H38" s="46" t="n">
        <x:v>80.03456530612246</x:v>
      </x:c>
      <x:c r="I38" s="74" t="n">
        <x:v>0</x:v>
      </x:c>
      <x:c r="J38" s="46" t="n">
        <x:v>82.19</x:v>
      </x:c>
      <x:c r="K38" s="46" t="n">
        <x:v>81.29</x:v>
      </x:c>
      <x:c r="L38" s="46" t="n">
        <x:v>72.7</x:v>
      </x:c>
      <x:c r="M38" s="46" t="n">
        <x:v>76.98</x:v>
      </x:c>
      <x:c r="N38" s="46" t="n">
        <x:v>81.35</x:v>
      </x:c>
      <x:c r="O38" s="46" t="n">
        <x:v>81.27</x:v>
      </x:c>
      <x:c r="P38" s="46" t="str">
        <x:v>Receiving Threat</x:v>
      </x:c>
      <x:c r="Q38" s="46" t="n">
        <x:v>82.19</x:v>
      </x:c>
      <x:c r="R38" s="46" t="n">
        <x:v>78.9992</x:v>
      </x:c>
      <x:c r="S38" s="46" t="n">
        <x:v>79.27198302776321</x:v>
      </x:c>
      <x:c r="T38" s="46" t="n">
        <x:v>-0.27278302776321084</x:v>
      </x:c>
      <x:c r="U38" s="46" t="n">
        <x:v>47.162102365693016</x:v>
      </x:c>
      <x:c r="V38" t="str">
        <x:v>NEUTRAL</x:v>
      </x:c>
      <x:c r="W38"/>
      <x:c r="X38"/>
      <x:c r="Y38"/>
      <x:c r="Z38"/>
      <x:c r="AA38"/>
      <x:c r="AB38"/>
      <x:c r="AC38"/>
      <x:c r="AD38" t="str">
        <x:v>SRC-TE-001</x:v>
      </x:c>
    </x:row>
    <x:row r="39">
      <x:c r="A39" t="n">
        <x:v>35</x:v>
      </x:c>
      <x:c r="B39" t="str">
        <x:v>TE-0021</x:v>
      </x:c>
      <x:c r="C39" t="str">
        <x:v>Rocky Beers</x:v>
      </x:c>
      <x:c r="D39" t="n">
        <x:v>83</x:v>
      </x:c>
      <x:c r="E39" t="str">
        <x:v>Core Rare</x:v>
      </x:c>
      <x:c r="F39" t="str">
        <x:v>Physical Route Runner</x:v>
      </x:c>
      <x:c r="G39" t="str">
        <x:v>TE-MODEL-003 v1.1</x:v>
      </x:c>
      <x:c r="H39" s="46" t="n">
        <x:v>78.99278571428572</x:v>
      </x:c>
      <x:c r="I39" s="74" t="n">
        <x:v>0.3577859009847659</x:v>
      </x:c>
      <x:c r="J39" s="46" t="n">
        <x:v>79.17</x:v>
      </x:c>
      <x:c r="K39" s="46" t="n">
        <x:v>81.1</x:v>
      </x:c>
      <x:c r="L39" s="46" t="n">
        <x:v>74.6</x:v>
      </x:c>
      <x:c r="M39" s="46" t="n">
        <x:v>77.52</x:v>
      </x:c>
      <x:c r="N39" s="46" t="n">
        <x:v>77.73</x:v>
      </x:c>
      <x:c r="O39" s="46" t="n">
        <x:v>77</x:v>
      </x:c>
      <x:c r="P39" s="46" t="str">
        <x:v>Possession Target</x:v>
      </x:c>
      <x:c r="Q39" s="46" t="n">
        <x:v>81.1</x:v>
      </x:c>
      <x:c r="R39" s="46" t="n">
        <x:v>77.9854</x:v>
      </x:c>
      <x:c r="S39" s="46" t="n">
        <x:v>78.29345903614457</x:v>
      </x:c>
      <x:c r="T39" s="46" t="n">
        <x:v>-0.3080590361445701</x:v>
      </x:c>
      <x:c r="U39" s="46" t="n">
        <x:v>46.79510848944588</x:v>
      </x:c>
      <x:c r="V39" t="str">
        <x:v>NEUTRAL</x:v>
      </x:c>
      <x:c r="W39"/>
      <x:c r="X39"/>
      <x:c r="Y39"/>
      <x:c r="Z39"/>
      <x:c r="AA39"/>
      <x:c r="AB39"/>
      <x:c r="AC39"/>
      <x:c r="AD39" t="str">
        <x:v>SRC-TE-001</x:v>
      </x:c>
    </x:row>
    <x:row r="40">
      <x:c r="A40" t="n">
        <x:v>36</x:v>
      </x:c>
      <x:c r="B40" t="str">
        <x:v>TE-0023</x:v>
      </x:c>
      <x:c r="C40" t="str">
        <x:v>Decker DeGraaf</x:v>
      </x:c>
      <x:c r="D40" t="n">
        <x:v>83</x:v>
      </x:c>
      <x:c r="E40" t="str">
        <x:v>Platinum Rare</x:v>
      </x:c>
      <x:c r="F40" t="str">
        <x:v>Physical Route Runner</x:v>
      </x:c>
      <x:c r="G40" t="str">
        <x:v>TE-MODEL-003 v1.1</x:v>
      </x:c>
      <x:c r="H40" s="46" t="n">
        <x:v>79.34464081632653</x:v>
      </x:c>
      <x:c r="I40" s="74" t="n">
        <x:v>0.6903617827760268</x:v>
      </x:c>
      <x:c r="J40" s="46" t="n">
        <x:v>82.44</x:v>
      </x:c>
      <x:c r="K40" s="46" t="n">
        <x:v>81.03</x:v>
      </x:c>
      <x:c r="L40" s="46" t="n">
        <x:v>70.05</x:v>
      </x:c>
      <x:c r="M40" s="46" t="n">
        <x:v>75.49</x:v>
      </x:c>
      <x:c r="N40" s="46" t="n">
        <x:v>81.56</x:v>
      </x:c>
      <x:c r="O40" s="46" t="n">
        <x:v>78.23</x:v>
      </x:c>
      <x:c r="P40" s="46" t="str">
        <x:v>Receiving Threat</x:v>
      </x:c>
      <x:c r="Q40" s="46" t="n">
        <x:v>82.44</x:v>
      </x:c>
      <x:c r="R40" s="46" t="n">
        <x:v>77.9846</x:v>
      </x:c>
      <x:c r="S40" s="46" t="n">
        <x:v>78.29345903614457</x:v>
      </x:c>
      <x:c r="T40" s="46" t="n">
        <x:v>-0.3088590361445682</x:v>
      </x:c>
      <x:c r="U40" s="46" t="n">
        <x:v>46.78678569119096</x:v>
      </x:c>
      <x:c r="V40" t="str">
        <x:v>NEUTRAL</x:v>
      </x:c>
      <x:c r="W40"/>
      <x:c r="X40"/>
      <x:c r="Y40"/>
      <x:c r="Z40"/>
      <x:c r="AA40"/>
      <x:c r="AB40"/>
      <x:c r="AC40"/>
      <x:c r="AD40" t="str">
        <x:v>SRC-TE-001</x:v>
      </x:c>
    </x:row>
    <x:row r="41">
      <x:c r="A41" t="n">
        <x:v>37</x:v>
      </x:c>
      <x:c r="B41" t="str">
        <x:v>TE-0025</x:v>
      </x:c>
      <x:c r="C41" t="str">
        <x:v>Jeremiah Hasley</x:v>
      </x:c>
      <x:c r="D41" t="n">
        <x:v>83</x:v>
      </x:c>
      <x:c r="E41" t="str">
        <x:v>Platinum Rare</x:v>
      </x:c>
      <x:c r="F41" t="str">
        <x:v>Vertical Threat</x:v>
      </x:c>
      <x:c r="G41" t="str">
        <x:v>TE-MODEL-006 v1.3</x:v>
      </x:c>
      <x:c r="H41" s="46" t="n">
        <x:v>78.59223300970874</x:v>
      </x:c>
      <x:c r="I41" s="74" t="n">
        <x:v>1</x:v>
      </x:c>
      <x:c r="J41" s="46" t="n">
        <x:v>81.45</x:v>
      </x:c>
      <x:c r="K41" s="46" t="n">
        <x:v>80.39</x:v>
      </x:c>
      <x:c r="L41" s="46" t="n">
        <x:v>70.45</x:v>
      </x:c>
      <x:c r="M41" s="46" t="n">
        <x:v>75.69</x:v>
      </x:c>
      <x:c r="N41" s="46" t="n">
        <x:v>81.41</x:v>
      </x:c>
      <x:c r="O41" s="46" t="n">
        <x:v>80.56</x:v>
      </x:c>
      <x:c r="P41" s="46" t="str">
        <x:v>Receiving Threat</x:v>
      </x:c>
      <x:c r="Q41" s="46" t="n">
        <x:v>81.45</x:v>
      </x:c>
      <x:c r="R41" s="46" t="n">
        <x:v>77.93599999999999</x:v>
      </x:c>
      <x:c r="S41" s="46" t="n">
        <x:v>78.29345903614457</x:v>
      </x:c>
      <x:c r="T41" s="46" t="n">
        <x:v>-0.35745903614457575</x:v>
      </x:c>
      <x:c r="U41" s="46" t="n">
        <x:v>46.28117569720312</x:v>
      </x:c>
      <x:c r="V41" t="str">
        <x:v>NEUTRAL</x:v>
      </x:c>
      <x:c r="W41"/>
      <x:c r="X41"/>
      <x:c r="Y41"/>
      <x:c r="Z41"/>
      <x:c r="AA41"/>
      <x:c r="AB41"/>
      <x:c r="AC41"/>
      <x:c r="AD41" t="str">
        <x:v>SRC-TE-002</x:v>
      </x:c>
    </x:row>
    <x:row r="42">
      <x:c r="A42" t="n">
        <x:v>38</x:v>
      </x:c>
      <x:c r="B42" t="str">
        <x:v>TE-0056</x:v>
      </x:c>
      <x:c r="C42" t="str">
        <x:v>Preston Howard</x:v>
      </x:c>
      <x:c r="D42" t="n">
        <x:v>80</x:v>
      </x:c>
      <x:c r="E42" t="str">
        <x:v>Core Rare</x:v>
      </x:c>
      <x:c r="F42" t="str">
        <x:v>Vertical Threat</x:v>
      </x:c>
      <x:c r="G42" t="str">
        <x:v>TE-MODEL-006 v1.3</x:v>
      </x:c>
      <x:c r="H42" s="46" t="n">
        <x:v>75.80582524271844</x:v>
      </x:c>
      <x:c r="I42" s="74" t="n">
        <x:v>0.7987804878048732</x:v>
      </x:c>
      <x:c r="J42" s="46" t="n">
        <x:v>77.32</x:v>
      </x:c>
      <x:c r="K42" s="46" t="n">
        <x:v>75.34</x:v>
      </x:c>
      <x:c r="L42" s="46" t="n">
        <x:v>72.15</x:v>
      </x:c>
      <x:c r="M42" s="46" t="n">
        <x:v>74.36</x:v>
      </x:c>
      <x:c r="N42" s="46" t="n">
        <x:v>77.15</x:v>
      </x:c>
      <x:c r="O42" s="46" t="n">
        <x:v>72.58</x:v>
      </x:c>
      <x:c r="P42" s="46" t="str">
        <x:v>Receiving Threat</x:v>
      </x:c>
      <x:c r="Q42" s="46" t="n">
        <x:v>77.32</x:v>
      </x:c>
      <x:c r="R42" s="46" t="n">
        <x:v>74.9822</x:v>
      </x:c>
      <x:c r="S42" s="46" t="n">
        <x:v>75.35788706128862</x:v>
      </x:c>
      <x:c r="T42" s="46" t="n">
        <x:v>-0.37568706128861606</x:v>
      </x:c>
      <x:c r="U42" s="46" t="n">
        <x:v>46.09154047737829</x:v>
      </x:c>
      <x:c r="V42" t="str">
        <x:v>NEUTRAL</x:v>
      </x:c>
      <x:c r="W42"/>
      <x:c r="X42"/>
      <x:c r="Y42"/>
      <x:c r="Z42"/>
      <x:c r="AA42"/>
      <x:c r="AB42"/>
      <x:c r="AC42"/>
      <x:c r="AD42" t="str">
        <x:v>SRC-TE-002</x:v>
      </x:c>
    </x:row>
    <x:row r="43">
      <x:c r="A43" t="n">
        <x:v>39</x:v>
      </x:c>
      <x:c r="B43" t="str">
        <x:v>TE-0014</x:v>
      </x:c>
      <x:c r="C43" t="str">
        <x:v>Benjamin Brahmer</x:v>
      </x:c>
      <x:c r="D43" t="n">
        <x:v>84</x:v>
      </x:c>
      <x:c r="E43" t="str">
        <x:v>Platinum Rare</x:v>
      </x:c>
      <x:c r="F43" t="str">
        <x:v>Vertical Threat</x:v>
      </x:c>
      <x:c r="G43" t="str">
        <x:v>TE-MODEL-006 v1.3</x:v>
      </x:c>
      <x:c r="H43" s="46" t="n">
        <x:v>79.46601941747574</x:v>
      </x:c>
      <x:c r="I43" s="74" t="n">
        <x:v>1</x:v>
      </x:c>
      <x:c r="J43" s="46" t="n">
        <x:v>81.05</x:v>
      </x:c>
      <x:c r="K43" s="46" t="n">
        <x:v>81.22</x:v>
      </x:c>
      <x:c r="L43" s="46" t="n">
        <x:v>75.25</x:v>
      </x:c>
      <x:c r="M43" s="46" t="n">
        <x:v>77.77</x:v>
      </x:c>
      <x:c r="N43" s="46" t="n">
        <x:v>79.87</x:v>
      </x:c>
      <x:c r="O43" s="46" t="n">
        <x:v>76.85</x:v>
      </x:c>
      <x:c r="P43" s="46" t="str">
        <x:v>Possession Target</x:v>
      </x:c>
      <x:c r="Q43" s="46" t="n">
        <x:v>81.22</x:v>
      </x:c>
      <x:c r="R43" s="46" t="n">
        <x:v>78.8374</x:v>
      </x:c>
      <x:c r="S43" s="46" t="n">
        <x:v>79.27198302776321</x:v>
      </x:c>
      <x:c r="T43" s="46" t="n">
        <x:v>-0.43458302776321034</x:v>
      </x:c>
      <x:c r="U43" s="46" t="n">
        <x:v>45.478816418630906</x:v>
      </x:c>
      <x:c r="V43" t="str">
        <x:v>NEUTRAL</x:v>
      </x:c>
      <x:c r="W43"/>
      <x:c r="X43"/>
      <x:c r="Y43"/>
      <x:c r="Z43"/>
      <x:c r="AA43"/>
      <x:c r="AB43"/>
      <x:c r="AC43"/>
      <x:c r="AD43" t="str">
        <x:v>SRC-TE-001</x:v>
      </x:c>
    </x:row>
    <x:row r="44">
      <x:c r="A44" t="n">
        <x:v>40</x:v>
      </x:c>
      <x:c r="B44" t="str">
        <x:v>TE-0046</x:v>
      </x:c>
      <x:c r="C44" t="str">
        <x:v>Hunter Tipton</x:v>
      </x:c>
      <x:c r="D44" t="n">
        <x:v>80</x:v>
      </x:c>
      <x:c r="E44" t="str">
        <x:v>Cornerstones</x:v>
      </x:c>
      <x:c r="F44" t="str">
        <x:v>Vertical Threat</x:v>
      </x:c>
      <x:c r="G44" t="str">
        <x:v>TE-MODEL-006 v1.3</x:v>
      </x:c>
      <x:c r="H44" s="46" t="n">
        <x:v>75.2621359223301</x:v>
      </x:c>
      <x:c r="I44" s="74" t="n">
        <x:v>0.4573170731707362</x:v>
      </x:c>
      <x:c r="J44" s="46" t="n">
        <x:v>76.52</x:v>
      </x:c>
      <x:c r="K44" s="46" t="n">
        <x:v>75.97</x:v>
      </x:c>
      <x:c r="L44" s="46" t="n">
        <x:v>72.45</x:v>
      </x:c>
      <x:c r="M44" s="46" t="n">
        <x:v>73.75</x:v>
      </x:c>
      <x:c r="N44" s="46" t="n">
        <x:v>76.62</x:v>
      </x:c>
      <x:c r="O44" s="46" t="n">
        <x:v>74.26</x:v>
      </x:c>
      <x:c r="P44" s="46" t="str">
        <x:v>Mismatch Weapon</x:v>
      </x:c>
      <x:c r="Q44" s="46" t="n">
        <x:v>76.62</x:v>
      </x:c>
      <x:c r="R44" s="46" t="n">
        <x:v>74.9102</x:v>
      </x:c>
      <x:c r="S44" s="46" t="n">
        <x:v>75.35788706128862</x:v>
      </x:c>
      <x:c r="T44" s="46" t="n">
        <x:v>-0.4476870612886188</x:v>
      </x:c>
      <x:c r="U44" s="46" t="n">
        <x:v>45.34248863443343</x:v>
      </x:c>
      <x:c r="V44" t="str">
        <x:v>NEUTRAL</x:v>
      </x:c>
      <x:c r="W44"/>
      <x:c r="X44"/>
      <x:c r="Y44"/>
      <x:c r="Z44"/>
      <x:c r="AA44"/>
      <x:c r="AB44"/>
      <x:c r="AC44"/>
      <x:c r="AD44" t="str">
        <x:v>SRC-TE-002</x:v>
      </x:c>
    </x:row>
    <x:row r="45">
      <x:c r="A45" t="n">
        <x:v>41</x:v>
      </x:c>
      <x:c r="B45" t="str">
        <x:v>TE-0050</x:v>
      </x:c>
      <x:c r="C45" t="str">
        <x:v>Matt Wagner</x:v>
      </x:c>
      <x:c r="D45" t="n">
        <x:v>80</x:v>
      </x:c>
      <x:c r="E45" t="str">
        <x:v>Sunday Spotlight: Retro</x:v>
      </x:c>
      <x:c r="F45" t="str">
        <x:v>Vertical Threat</x:v>
      </x:c>
      <x:c r="G45" t="str">
        <x:v>TE-MODEL-006 v1.3</x:v>
      </x:c>
      <x:c r="H45" s="46" t="n">
        <x:v>75.70873786407768</x:v>
      </x:c>
      <x:c r="I45" s="74" t="n">
        <x:v>0.7378048780487834</x:v>
      </x:c>
      <x:c r="J45" s="46" t="n">
        <x:v>78.97</x:v>
      </x:c>
      <x:c r="K45" s="46" t="n">
        <x:v>78.51</x:v>
      </x:c>
      <x:c r="L45" s="46" t="n">
        <x:v>66.45</x:v>
      </x:c>
      <x:c r="M45" s="46" t="n">
        <x:v>72.58</x:v>
      </x:c>
      <x:c r="N45" s="46" t="n">
        <x:v>78.33</x:v>
      </x:c>
      <x:c r="O45" s="46" t="n">
        <x:v>75.79</x:v>
      </x:c>
      <x:c r="P45" s="46" t="str">
        <x:v>Receiving Threat</x:v>
      </x:c>
      <x:c r="Q45" s="46" t="n">
        <x:v>78.97</x:v>
      </x:c>
      <x:c r="R45" s="46" t="n">
        <x:v>74.8966</x:v>
      </x:c>
      <x:c r="S45" s="46" t="n">
        <x:v>75.35788706128862</x:v>
      </x:c>
      <x:c r="T45" s="46" t="n">
        <x:v>-0.4612870612886155</x:v>
      </x:c>
      <x:c r="U45" s="46" t="n">
        <x:v>45.201001064099444</x:v>
      </x:c>
      <x:c r="V45" t="str">
        <x:v>NEUTRAL</x:v>
      </x:c>
      <x:c r="W45"/>
      <x:c r="X45"/>
      <x:c r="Y45"/>
      <x:c r="Z45"/>
      <x:c r="AA45"/>
      <x:c r="AB45"/>
      <x:c r="AC45"/>
      <x:c r="AD45" t="str">
        <x:v>SRC-TE-002</x:v>
      </x:c>
    </x:row>
    <x:row r="46">
      <x:c r="A46" t="n">
        <x:v>42</x:v>
      </x:c>
      <x:c r="B46" t="str">
        <x:v>TE-0067</x:v>
      </x:c>
      <x:c r="C46" t="str">
        <x:v>Ty Washington</x:v>
      </x:c>
      <x:c r="D46" t="n">
        <x:v>80</x:v>
      </x:c>
      <x:c r="E46" t="str">
        <x:v>Core Rare</x:v>
      </x:c>
      <x:c r="F46" t="str">
        <x:v>Physical Route Runner</x:v>
      </x:c>
      <x:c r="G46" t="str">
        <x:v>TE-MODEL-003 v1.1</x:v>
      </x:c>
      <x:c r="H46" s="46" t="n">
        <x:v>75.28262244897958</x:v>
      </x:c>
      <x:c r="I46" s="74" t="n">
        <x:v>0</x:v>
      </x:c>
      <x:c r="J46" s="46" t="n">
        <x:v>76.39</x:v>
      </x:c>
      <x:c r="K46" s="46" t="n">
        <x:v>76.25</x:v>
      </x:c>
      <x:c r="L46" s="46" t="n">
        <x:v>72.9</x:v>
      </x:c>
      <x:c r="M46" s="46" t="n">
        <x:v>74.25</x:v>
      </x:c>
      <x:c r="N46" s="46" t="n">
        <x:v>74.85</x:v>
      </x:c>
      <x:c r="O46" s="46" t="n">
        <x:v>73.87</x:v>
      </x:c>
      <x:c r="P46" s="46" t="str">
        <x:v>Receiving Threat</x:v>
      </x:c>
      <x:c r="Q46" s="46" t="n">
        <x:v>76.39</x:v>
      </x:c>
      <x:c r="R46" s="46" t="n">
        <x:v>74.8794</x:v>
      </x:c>
      <x:c r="S46" s="46" t="n">
        <x:v>75.35788706128862</x:v>
      </x:c>
      <x:c r="T46" s="46" t="n">
        <x:v>-0.47848706128861807</x:v>
      </x:c>
      <x:c r="U46" s="46" t="n">
        <x:v>45.022060901618154</x:v>
      </x:c>
      <x:c r="V46" t="str">
        <x:v>NEUTRAL</x:v>
      </x:c>
      <x:c r="W46"/>
      <x:c r="X46"/>
      <x:c r="Y46"/>
      <x:c r="Z46"/>
      <x:c r="AA46"/>
      <x:c r="AB46"/>
      <x:c r="AC46"/>
      <x:c r="AD46" t="str">
        <x:v>SRC-TE-002</x:v>
      </x:c>
    </x:row>
    <x:row r="47">
      <x:c r="A47" t="n">
        <x:v>43</x:v>
      </x:c>
      <x:c r="B47" t="str">
        <x:v>TE-0068</x:v>
      </x:c>
      <x:c r="C47" t="str">
        <x:v>Ty Washington</x:v>
      </x:c>
      <x:c r="D47" t="n">
        <x:v>80</x:v>
      </x:c>
      <x:c r="E47" t="str">
        <x:v>Platinum Rare</x:v>
      </x:c>
      <x:c r="F47" t="str">
        <x:v>Physical Route Runner</x:v>
      </x:c>
      <x:c r="G47" t="str">
        <x:v>TE-MODEL-003 v1.1</x:v>
      </x:c>
      <x:c r="H47" s="46" t="n">
        <x:v>75.28262244897958</x:v>
      </x:c>
      <x:c r="I47" s="74" t="n">
        <x:v>0</x:v>
      </x:c>
      <x:c r="J47" s="46" t="n">
        <x:v>76.39</x:v>
      </x:c>
      <x:c r="K47" s="46" t="n">
        <x:v>76.25</x:v>
      </x:c>
      <x:c r="L47" s="46" t="n">
        <x:v>72.9</x:v>
      </x:c>
      <x:c r="M47" s="46" t="n">
        <x:v>74.25</x:v>
      </x:c>
      <x:c r="N47" s="46" t="n">
        <x:v>74.85</x:v>
      </x:c>
      <x:c r="O47" s="46" t="n">
        <x:v>73.87</x:v>
      </x:c>
      <x:c r="P47" s="46" t="str">
        <x:v>Receiving Threat</x:v>
      </x:c>
      <x:c r="Q47" s="46" t="n">
        <x:v>76.39</x:v>
      </x:c>
      <x:c r="R47" s="46" t="n">
        <x:v>74.8794</x:v>
      </x:c>
      <x:c r="S47" s="46" t="n">
        <x:v>75.35788706128862</x:v>
      </x:c>
      <x:c r="T47" s="46" t="n">
        <x:v>-0.47848706128861807</x:v>
      </x:c>
      <x:c r="U47" s="46" t="n">
        <x:v>45.022060901618154</x:v>
      </x:c>
      <x:c r="V47" t="str">
        <x:v>NEUTRAL</x:v>
      </x:c>
      <x:c r="W47"/>
      <x:c r="X47"/>
      <x:c r="Y47"/>
      <x:c r="Z47"/>
      <x:c r="AA47"/>
      <x:c r="AB47"/>
      <x:c r="AC47"/>
      <x:c r="AD47" t="str">
        <x:v>SRC-TE-002</x:v>
      </x:c>
    </x:row>
    <x:row r="48">
      <x:c r="A48" t="n">
        <x:v>44</x:v>
      </x:c>
      <x:c r="B48" t="str">
        <x:v>TE-0052</x:v>
      </x:c>
      <x:c r="C48" t="str">
        <x:v>Ethan Davis</x:v>
      </x:c>
      <x:c r="D48" t="n">
        <x:v>80</x:v>
      </x:c>
      <x:c r="E48" t="str">
        <x:v>Platinum Rare</x:v>
      </x:c>
      <x:c r="F48" t="str">
        <x:v>Physical Route Runner</x:v>
      </x:c>
      <x:c r="G48" t="str">
        <x:v>TE-MODEL-003 v1.1</x:v>
      </x:c>
      <x:c r="H48" s="46" t="n">
        <x:v>76.1909306122449</x:v>
      </x:c>
      <x:c r="I48" s="74" t="n">
        <x:v>0.5808567118053097</x:v>
      </x:c>
      <x:c r="J48" s="46" t="n">
        <x:v>78.61</x:v>
      </x:c>
      <x:c r="K48" s="46" t="n">
        <x:v>75.32</x:v>
      </x:c>
      <x:c r="L48" s="46" t="n">
        <x:v>69.6</x:v>
      </x:c>
      <x:c r="M48" s="46" t="n">
        <x:v>73.09</x:v>
      </x:c>
      <x:c r="N48" s="46" t="n">
        <x:v>78.25</x:v>
      </x:c>
      <x:c r="O48" s="46" t="n">
        <x:v>75.31</x:v>
      </x:c>
      <x:c r="P48" s="46" t="str">
        <x:v>Receiving Threat</x:v>
      </x:c>
      <x:c r="Q48" s="46" t="n">
        <x:v>78.61</x:v>
      </x:c>
      <x:c r="R48" s="46" t="n">
        <x:v>74.8744</x:v>
      </x:c>
      <x:c r="S48" s="46" t="n">
        <x:v>75.35788706128862</x:v>
      </x:c>
      <x:c r="T48" s="46" t="n">
        <x:v>-0.48348706128862773</x:v>
      </x:c>
      <x:c r="U48" s="46" t="n">
        <x:v>44.97004341252466</x:v>
      </x:c>
      <x:c r="V48" t="str">
        <x:v>NEUTRAL</x:v>
      </x:c>
      <x:c r="W48"/>
      <x:c r="X48"/>
      <x:c r="Y48"/>
      <x:c r="Z48"/>
      <x:c r="AA48"/>
      <x:c r="AB48"/>
      <x:c r="AC48"/>
      <x:c r="AD48" t="str">
        <x:v>SRC-TE-002</x:v>
      </x:c>
    </x:row>
    <x:row r="49">
      <x:c r="A49" t="n">
        <x:v>45</x:v>
      </x:c>
      <x:c r="B49" t="str">
        <x:v>TE-0062</x:v>
      </x:c>
      <x:c r="C49" t="str">
        <x:v>Max Reese</x:v>
      </x:c>
      <x:c r="D49" t="n">
        <x:v>80</x:v>
      </x:c>
      <x:c r="E49" t="str">
        <x:v>Core Rare</x:v>
      </x:c>
      <x:c r="F49" t="str">
        <x:v>Physical Route Runner</x:v>
      </x:c>
      <x:c r="G49" t="str">
        <x:v>TE-MODEL-003 v1.1</x:v>
      </x:c>
      <x:c r="H49" s="46" t="n">
        <x:v>75.96080408163265</x:v>
      </x:c>
      <x:c r="I49" s="74" t="n">
        <x:v>0.4336924064774141</x:v>
      </x:c>
      <x:c r="J49" s="46" t="n">
        <x:v>76.62</x:v>
      </x:c>
      <x:c r="K49" s="46" t="n">
        <x:v>77.24</x:v>
      </x:c>
      <x:c r="L49" s="46" t="n">
        <x:v>70.75</x:v>
      </x:c>
      <x:c r="M49" s="46" t="n">
        <x:v>74.19</x:v>
      </x:c>
      <x:c r="N49" s="46" t="n">
        <x:v>75.41</x:v>
      </x:c>
      <x:c r="O49" s="46" t="n">
        <x:v>74.8</x:v>
      </x:c>
      <x:c r="P49" s="46" t="str">
        <x:v>Possession Target</x:v>
      </x:c>
      <x:c r="Q49" s="46" t="n">
        <x:v>77.24</x:v>
      </x:c>
      <x:c r="R49" s="46" t="n">
        <x:v>74.8496</x:v>
      </x:c>
      <x:c r="S49" s="46" t="n">
        <x:v>75.35788706128862</x:v>
      </x:c>
      <x:c r="T49" s="46" t="n">
        <x:v>-0.5082870612886268</x:v>
      </x:c>
      <x:c r="U49" s="46" t="n">
        <x:v>44.71203666662146</x:v>
      </x:c>
      <x:c r="V49" t="str">
        <x:v>NEUTRAL</x:v>
      </x:c>
      <x:c r="W49"/>
      <x:c r="X49"/>
      <x:c r="Y49"/>
      <x:c r="Z49"/>
      <x:c r="AA49"/>
      <x:c r="AB49"/>
      <x:c r="AC49"/>
      <x:c r="AD49" t="str">
        <x:v>SRC-TE-002</x:v>
      </x:c>
    </x:row>
    <x:row r="50">
      <x:c r="A50" t="n">
        <x:v>46</x:v>
      </x:c>
      <x:c r="B50" t="str">
        <x:v>TE-0049</x:v>
      </x:c>
      <x:c r="C50" t="str">
        <x:v>Peter Clarke</x:v>
      </x:c>
      <x:c r="D50" t="n">
        <x:v>80</x:v>
      </x:c>
      <x:c r="E50" t="str">
        <x:v>Sunday Spotlight: Retro</x:v>
      </x:c>
      <x:c r="F50" t="str">
        <x:v>Vertical Threat</x:v>
      </x:c>
      <x:c r="G50" t="str">
        <x:v>TE-MODEL-006 v1.3</x:v>
      </x:c>
      <x:c r="H50" s="46" t="n">
        <x:v>75.44660194174757</x:v>
      </x:c>
      <x:c r="I50" s="74" t="n">
        <x:v>0.5731707317073176</x:v>
      </x:c>
      <x:c r="J50" s="46" t="n">
        <x:v>78.38</x:v>
      </x:c>
      <x:c r="K50" s="46" t="n">
        <x:v>76.85</x:v>
      </x:c>
      <x:c r="L50" s="46" t="n">
        <x:v>68.15</x:v>
      </x:c>
      <x:c r="M50" s="46" t="n">
        <x:v>72.7</x:v>
      </x:c>
      <x:c r="N50" s="46" t="n">
        <x:v>78.05</x:v>
      </x:c>
      <x:c r="O50" s="46" t="n">
        <x:v>76.79</x:v>
      </x:c>
      <x:c r="P50" s="46" t="str">
        <x:v>Receiving Threat</x:v>
      </x:c>
      <x:c r="Q50" s="46" t="n">
        <x:v>78.38</x:v>
      </x:c>
      <x:c r="R50" s="46" t="n">
        <x:v>74.8468</x:v>
      </x:c>
      <x:c r="S50" s="46" t="n">
        <x:v>75.35788706128862</x:v>
      </x:c>
      <x:c r="T50" s="46" t="n">
        <x:v>-0.5110870612886202</x:v>
      </x:c>
      <x:c r="U50" s="46" t="n">
        <x:v>44.68290687272922</x:v>
      </x:c>
      <x:c r="V50" t="str">
        <x:v>NEUTRAL</x:v>
      </x:c>
      <x:c r="W50"/>
      <x:c r="X50"/>
      <x:c r="Y50"/>
      <x:c r="Z50"/>
      <x:c r="AA50"/>
      <x:c r="AB50"/>
      <x:c r="AC50"/>
      <x:c r="AD50" t="str">
        <x:v>SRC-TE-002</x:v>
      </x:c>
    </x:row>
    <x:row r="51">
      <x:c r="A51" t="n">
        <x:v>47</x:v>
      </x:c>
      <x:c r="B51" t="str">
        <x:v>TE-0042</x:v>
      </x:c>
      <x:c r="C51" t="str">
        <x:v>Mason Mini</x:v>
      </x:c>
      <x:c r="D51" t="n">
        <x:v>81</x:v>
      </x:c>
      <x:c r="E51" t="str">
        <x:v>Platinum Rare</x:v>
      </x:c>
      <x:c r="F51" t="str">
        <x:v>Vertical Threat</x:v>
      </x:c>
      <x:c r="G51" t="str">
        <x:v>TE-MODEL-006 v1.3</x:v>
      </x:c>
      <x:c r="H51" s="46" t="n">
        <x:v>77.10679611650485</x:v>
      </x:c>
      <x:c r="I51" s="74" t="n">
        <x:v>1</x:v>
      </x:c>
      <x:c r="J51" s="46" t="n">
        <x:v>79.72</x:v>
      </x:c>
      <x:c r="K51" s="46" t="n">
        <x:v>76.98</x:v>
      </x:c>
      <x:c r="L51" s="46" t="n">
        <x:v>69.5</x:v>
      </x:c>
      <x:c r="M51" s="46" t="n">
        <x:v>73.78</x:v>
      </x:c>
      <x:c r="N51" s="46" t="n">
        <x:v>79.79</x:v>
      </x:c>
      <x:c r="O51" s="46" t="n">
        <x:v>76.05</x:v>
      </x:c>
      <x:c r="P51" s="46" t="str">
        <x:v>Mismatch Weapon</x:v>
      </x:c>
      <x:c r="Q51" s="46" t="n">
        <x:v>79.79</x:v>
      </x:c>
      <x:c r="R51" s="46" t="n">
        <x:v>75.7952</x:v>
      </x:c>
      <x:c r="S51" s="46" t="n">
        <x:v>76.33641105290727</x:v>
      </x:c>
      <x:c r="T51" s="46" t="n">
        <x:v>-0.541211052907272</x:v>
      </x:c>
      <x:c r="U51" s="46" t="n">
        <x:v>44.3695119916347</x:v>
      </x:c>
      <x:c r="V51" t="str">
        <x:v>NEUTRAL</x:v>
      </x:c>
      <x:c r="W51"/>
      <x:c r="X51"/>
      <x:c r="Y51"/>
      <x:c r="Z51"/>
      <x:c r="AA51"/>
      <x:c r="AB51"/>
      <x:c r="AC51"/>
      <x:c r="AD51" t="str">
        <x:v>SRC-TE-002</x:v>
      </x:c>
    </x:row>
    <x:row r="52">
      <x:c r="A52" t="n">
        <x:v>48</x:v>
      </x:c>
      <x:c r="B52" t="str">
        <x:v>TE-0041</x:v>
      </x:c>
      <x:c r="C52" t="str">
        <x:v>Lawson Luckie</x:v>
      </x:c>
      <x:c r="D52" t="n">
        <x:v>81</x:v>
      </x:c>
      <x:c r="E52" t="str">
        <x:v>Core Rare</x:v>
      </x:c>
      <x:c r="F52" t="str">
        <x:v>Physical Route Runner</x:v>
      </x:c>
      <x:c r="G52" t="str">
        <x:v>TE-MODEL-003 v1.1</x:v>
      </x:c>
      <x:c r="H52" s="46" t="n">
        <x:v>77.38236122448978</x:v>
      </x:c>
      <x:c r="I52" s="74" t="n">
        <x:v>0.2167529293364533</x:v>
      </x:c>
      <x:c r="J52" s="46" t="n">
        <x:v>78.64</x:v>
      </x:c>
      <x:c r="K52" s="46" t="n">
        <x:v>77.23</x:v>
      </x:c>
      <x:c r="L52" s="46" t="n">
        <x:v>70.15</x:v>
      </x:c>
      <x:c r="M52" s="46" t="n">
        <x:v>74.21</x:v>
      </x:c>
      <x:c r="N52" s="46" t="n">
        <x:v>78.59</x:v>
      </x:c>
      <x:c r="O52" s="46" t="n">
        <x:v>77.37</x:v>
      </x:c>
      <x:c r="P52" s="46" t="str">
        <x:v>Receiving Threat</x:v>
      </x:c>
      <x:c r="Q52" s="46" t="n">
        <x:v>78.64</x:v>
      </x:c>
      <x:c r="R52" s="46" t="n">
        <x:v>75.7758</x:v>
      </x:c>
      <x:c r="S52" s="46" t="n">
        <x:v>76.33641105290727</x:v>
      </x:c>
      <x:c r="T52" s="46" t="n">
        <x:v>-0.5606110529072623</x:v>
      </x:c>
      <x:c r="U52" s="46" t="n">
        <x:v>44.16768413395245</x:v>
      </x:c>
      <x:c r="V52" t="str">
        <x:v>NEUTRAL</x:v>
      </x:c>
      <x:c r="W52"/>
      <x:c r="X52"/>
      <x:c r="Y52"/>
      <x:c r="Z52"/>
      <x:c r="AA52"/>
      <x:c r="AB52"/>
      <x:c r="AC52"/>
      <x:c r="AD52" t="str">
        <x:v>SRC-TE-002</x:v>
      </x:c>
    </x:row>
    <x:row r="53">
      <x:c r="A53" t="n">
        <x:v>49</x:v>
      </x:c>
      <x:c r="B53" t="str">
        <x:v>TE-0004</x:v>
      </x:c>
      <x:c r="C53" t="str">
        <x:v>Terrance Carter Jr.</x:v>
      </x:c>
      <x:c r="D53" t="n">
        <x:v>85</x:v>
      </x:c>
      <x:c r="E53" t="str">
        <x:v>Core Rare</x:v>
      </x:c>
      <x:c r="F53" t="str">
        <x:v>Physical Route Runner</x:v>
      </x:c>
      <x:c r="G53" t="str">
        <x:v>TE-MODEL-003 v1.1</x:v>
      </x:c>
      <x:c r="H53" s="46" t="n">
        <x:v>80.85776734693877</x:v>
      </x:c>
      <x:c r="I53" s="74" t="n">
        <x:v>0</x:v>
      </x:c>
      <x:c r="J53" s="46" t="n">
        <x:v>82.69</x:v>
      </x:c>
      <x:c r="K53" s="46" t="n">
        <x:v>81.93</x:v>
      </x:c>
      <x:c r="L53" s="46" t="n">
        <x:v>73.95</x:v>
      </x:c>
      <x:c r="M53" s="46" t="n">
        <x:v>77.85</x:v>
      </x:c>
      <x:c r="N53" s="46" t="n">
        <x:v>82</x:v>
      </x:c>
      <x:c r="O53" s="46" t="n">
        <x:v>80.61</x:v>
      </x:c>
      <x:c r="P53" s="46" t="str">
        <x:v>Receiving Threat</x:v>
      </x:c>
      <x:c r="Q53" s="46" t="n">
        <x:v>82.69</x:v>
      </x:c>
      <x:c r="R53" s="46" t="n">
        <x:v>79.666</x:v>
      </x:c>
      <x:c r="S53" s="46" t="n">
        <x:v>80.25050701938187</x:v>
      </x:c>
      <x:c r="T53" s="46" t="n">
        <x:v>-0.5845070193818742</x:v>
      </x:c>
      <x:c r="U53" s="46" t="n">
        <x:v>43.919082498858614</x:v>
      </x:c>
      <x:c r="V53" t="str">
        <x:v>NEUTRAL</x:v>
      </x:c>
      <x:c r="W53"/>
      <x:c r="X53"/>
      <x:c r="Y53"/>
      <x:c r="Z53"/>
      <x:c r="AA53"/>
      <x:c r="AB53"/>
      <x:c r="AC53"/>
      <x:c r="AD53" t="str">
        <x:v>SRC-TE-001</x:v>
      </x:c>
    </x:row>
    <x:row r="54">
      <x:c r="A54" t="n">
        <x:v>50</x:v>
      </x:c>
      <x:c r="B54" t="str">
        <x:v>TE-0002</x:v>
      </x:c>
      <x:c r="C54" t="str">
        <x:v>Kaelan Chudzinski</x:v>
      </x:c>
      <x:c r="D54" t="n">
        <x:v>85</x:v>
      </x:c>
      <x:c r="E54" t="str">
        <x:v>Standouts</x:v>
      </x:c>
      <x:c r="F54" t="str">
        <x:v>Vertical Threat</x:v>
      </x:c>
      <x:c r="G54" t="str">
        <x:v>TE-MODEL-006 v1.3</x:v>
      </x:c>
      <x:c r="H54" s="46" t="n">
        <x:v>80.45631067961165</x:v>
      </x:c>
      <x:c r="I54" s="74" t="n">
        <x:v>0.5</x:v>
      </x:c>
      <x:c r="J54" s="46" t="n">
        <x:v>83.12</x:v>
      </x:c>
      <x:c r="K54" s="46" t="n">
        <x:v>81.42</x:v>
      </x:c>
      <x:c r="L54" s="46" t="n">
        <x:v>73.25</x:v>
      </x:c>
      <x:c r="M54" s="46" t="n">
        <x:v>77.08</x:v>
      </x:c>
      <x:c r="N54" s="46" t="n">
        <x:v>83.26</x:v>
      </x:c>
      <x:c r="O54" s="46" t="n">
        <x:v>82.24</x:v>
      </x:c>
      <x:c r="P54" s="46" t="str">
        <x:v>Mismatch Weapon</x:v>
      </x:c>
      <x:c r="Q54" s="46" t="n">
        <x:v>83.26</x:v>
      </x:c>
      <x:c r="R54" s="46" t="n">
        <x:v>79.655</x:v>
      </x:c>
      <x:c r="S54" s="46" t="n">
        <x:v>80.25050701938187</x:v>
      </x:c>
      <x:c r="T54" s="46" t="n">
        <x:v>-0.5955070193818699</x:v>
      </x:c>
      <x:c r="U54" s="46" t="n">
        <x:v>43.8046440228532</x:v>
      </x:c>
      <x:c r="V54" t="str">
        <x:v>NEUTRAL</x:v>
      </x:c>
      <x:c r="W54"/>
      <x:c r="X54"/>
      <x:c r="Y54"/>
      <x:c r="Z54"/>
      <x:c r="AA54"/>
      <x:c r="AB54"/>
      <x:c r="AC54"/>
      <x:c r="AD54" t="str">
        <x:v>SRC-TE-001</x:v>
      </x:c>
    </x:row>
    <x:row r="55">
      <x:c r="A55" t="n">
        <x:v>51</x:v>
      </x:c>
      <x:c r="B55" t="str">
        <x:v>TE-0026</x:v>
      </x:c>
      <x:c r="C55" t="str">
        <x:v>Brett Norfleet</x:v>
      </x:c>
      <x:c r="D55" t="n">
        <x:v>83</x:v>
      </x:c>
      <x:c r="E55" t="str">
        <x:v>Platinum Rare</x:v>
      </x:c>
      <x:c r="F55" t="str">
        <x:v>Physical Route Runner</x:v>
      </x:c>
      <x:c r="G55" t="str">
        <x:v>TE-MODEL-003 v1.1</x:v>
      </x:c>
      <x:c r="H55" s="46" t="n">
        <x:v>79.67222857142856</x:v>
      </x:c>
      <x:c r="I55" s="74" t="n">
        <x:v>1</x:v>
      </x:c>
      <x:c r="J55" s="46" t="n">
        <x:v>81.36</x:v>
      </x:c>
      <x:c r="K55" s="46" t="n">
        <x:v>81.34</x:v>
      </x:c>
      <x:c r="L55" s="46" t="n">
        <x:v>69.55</x:v>
      </x:c>
      <x:c r="M55" s="46" t="n">
        <x:v>75.54</x:v>
      </x:c>
      <x:c r="N55" s="46" t="n">
        <x:v>80.15</x:v>
      </x:c>
      <x:c r="O55" s="46" t="n">
        <x:v>78.83</x:v>
      </x:c>
      <x:c r="P55" s="46" t="str">
        <x:v>Receiving Threat</x:v>
      </x:c>
      <x:c r="Q55" s="46" t="n">
        <x:v>81.36</x:v>
      </x:c>
      <x:c r="R55" s="46" t="n">
        <x:v>77.6026</x:v>
      </x:c>
      <x:c r="S55" s="46" t="n">
        <x:v>78.29345903614457</x:v>
      </x:c>
      <x:c r="T55" s="46" t="n">
        <x:v>-0.6908590361445732</x:v>
      </x:c>
      <x:c r="U55" s="46" t="n">
        <x:v>42.81264952445586</x:v>
      </x:c>
      <x:c r="V55" t="str">
        <x:v>BELOW-AVERAGE FOOTBALL VALUE</x:v>
      </x:c>
      <x:c r="W55"/>
      <x:c r="X55"/>
      <x:c r="Y55"/>
      <x:c r="Z55"/>
      <x:c r="AA55"/>
      <x:c r="AB55"/>
      <x:c r="AC55"/>
      <x:c r="AD55" t="str">
        <x:v>SRC-TE-002</x:v>
      </x:c>
    </x:row>
    <x:row r="56">
      <x:c r="A56" t="n">
        <x:v>52</x:v>
      </x:c>
      <x:c r="B56" t="str">
        <x:v>TE-0028</x:v>
      </x:c>
      <x:c r="C56" t="str">
        <x:v>Jeremy Shockey</x:v>
      </x:c>
      <x:c r="D56" t="n">
        <x:v>83</x:v>
      </x:c>
      <x:c r="E56" t="str">
        <x:v>Bonus Content</x:v>
      </x:c>
      <x:c r="F56" t="str">
        <x:v>Physical Route Runner</x:v>
      </x:c>
      <x:c r="G56" t="str">
        <x:v>TE-MODEL-003 v1.1</x:v>
      </x:c>
      <x:c r="H56" s="46" t="n">
        <x:v>78.61425918367345</x:v>
      </x:c>
      <x:c r="I56" s="74" t="n">
        <x:v>0</x:v>
      </x:c>
      <x:c r="J56" s="46" t="n">
        <x:v>80.98</x:v>
      </x:c>
      <x:c r="K56" s="46" t="n">
        <x:v>80.8</x:v>
      </x:c>
      <x:c r="L56" s="46" t="n">
        <x:v>69.85</x:v>
      </x:c>
      <x:c r="M56" s="46" t="n">
        <x:v>75.1</x:v>
      </x:c>
      <x:c r="N56" s="46" t="n">
        <x:v>80.83</x:v>
      </x:c>
      <x:c r="O56" s="46" t="n">
        <x:v>79.22</x:v>
      </x:c>
      <x:c r="P56" s="46" t="str">
        <x:v>Receiving Threat</x:v>
      </x:c>
      <x:c r="Q56" s="46" t="n">
        <x:v>80.98</x:v>
      </x:c>
      <x:c r="R56" s="46" t="n">
        <x:v>77.4918</x:v>
      </x:c>
      <x:c r="S56" s="46" t="n">
        <x:v>78.29345903614457</x:v>
      </x:c>
      <x:c r="T56" s="46" t="n">
        <x:v>-0.8016590361445708</x:v>
      </x:c>
      <x:c r="U56" s="46" t="n">
        <x:v>41.65994196614635</x:v>
      </x:c>
      <x:c r="V56" t="str">
        <x:v>BELOW-AVERAGE FOOTBALL VALUE</x:v>
      </x:c>
      <x:c r="W56"/>
      <x:c r="X56"/>
      <x:c r="Y56"/>
      <x:c r="Z56"/>
      <x:c r="AA56"/>
      <x:c r="AB56"/>
      <x:c r="AC56"/>
      <x:c r="AD56" t="str">
        <x:v>SRC-TE-002</x:v>
      </x:c>
    </x:row>
    <x:row r="57">
      <x:c r="A57" t="n">
        <x:v>53</x:v>
      </x:c>
      <x:c r="B57" t="str">
        <x:v>TE-0053</x:v>
      </x:c>
      <x:c r="C57" t="str">
        <x:v>Vernon Davis</x:v>
      </x:c>
      <x:c r="D57" t="n">
        <x:v>80</x:v>
      </x:c>
      <x:c r="E57" t="str">
        <x:v>Core Legends Millennium</x:v>
      </x:c>
      <x:c r="F57" t="str">
        <x:v>Vertical Threat</x:v>
      </x:c>
      <x:c r="G57" t="str">
        <x:v>TE-MODEL-006 v1.3</x:v>
      </x:c>
      <x:c r="H57" s="46" t="n">
        <x:v>75.15533980582525</x:v>
      </x:c>
      <x:c r="I57" s="74" t="n">
        <x:v>0.3902439024390303</x:v>
      </x:c>
      <x:c r="J57" s="46" t="n">
        <x:v>78.54</x:v>
      </x:c>
      <x:c r="K57" s="46" t="n">
        <x:v>76.57</x:v>
      </x:c>
      <x:c r="L57" s="46" t="n">
        <x:v>67.2</x:v>
      </x:c>
      <x:c r="M57" s="46" t="n">
        <x:v>72.28</x:v>
      </x:c>
      <x:c r="N57" s="46" t="n">
        <x:v>78.43</x:v>
      </x:c>
      <x:c r="O57" s="46" t="n">
        <x:v>76.03</x:v>
      </x:c>
      <x:c r="P57" s="46" t="str">
        <x:v>Receiving Threat</x:v>
      </x:c>
      <x:c r="Q57" s="46" t="n">
        <x:v>78.54</x:v>
      </x:c>
      <x:c r="R57" s="46" t="n">
        <x:v>74.553</x:v>
      </x:c>
      <x:c r="S57" s="46" t="n">
        <x:v>75.35788706128862</x:v>
      </x:c>
      <x:c r="T57" s="46" t="n">
        <x:v>-0.8048870612886247</x:v>
      </x:c>
      <x:c r="U57" s="46" t="n">
        <x:v>41.62635921360154</x:v>
      </x:c>
      <x:c r="V57" t="str">
        <x:v>BELOW-AVERAGE FOOTBALL VALUE</x:v>
      </x:c>
      <x:c r="W57"/>
      <x:c r="X57"/>
      <x:c r="Y57"/>
      <x:c r="Z57"/>
      <x:c r="AA57"/>
      <x:c r="AB57"/>
      <x:c r="AC57"/>
      <x:c r="AD57" t="str">
        <x:v>SRC-TE-002</x:v>
      </x:c>
    </x:row>
    <x:row r="58">
      <x:c r="A58" t="n">
        <x:v>54</x:v>
      </x:c>
      <x:c r="B58" t="str">
        <x:v>TE-0022</x:v>
      </x:c>
      <x:c r="C58" t="str">
        <x:v>Kaelan Chudzinski</x:v>
      </x:c>
      <x:c r="D58" t="n">
        <x:v>83</x:v>
      </x:c>
      <x:c r="E58" t="str">
        <x:v>Platinum Rare</x:v>
      </x:c>
      <x:c r="F58" t="str">
        <x:v>Vertical Threat</x:v>
      </x:c>
      <x:c r="G58" t="str">
        <x:v>TE-MODEL-006 v1.3</x:v>
      </x:c>
      <x:c r="H58" s="46" t="n">
        <x:v>78.2135922330097</x:v>
      </x:c>
      <x:c r="I58" s="74" t="n">
        <x:v>0</x:v>
      </x:c>
      <x:c r="J58" s="46" t="n">
        <x:v>81.24</x:v>
      </x:c>
      <x:c r="K58" s="46" t="n">
        <x:v>79.91</x:v>
      </x:c>
      <x:c r="L58" s="46" t="n">
        <x:v>70.15</x:v>
      </x:c>
      <x:c r="M58" s="46" t="n">
        <x:v>75.23</x:v>
      </x:c>
      <x:c r="N58" s="46" t="n">
        <x:v>80.84</x:v>
      </x:c>
      <x:c r="O58" s="46" t="n">
        <x:v>79.15</x:v>
      </x:c>
      <x:c r="P58" s="46" t="str">
        <x:v>Receiving Threat</x:v>
      </x:c>
      <x:c r="Q58" s="46" t="n">
        <x:v>81.24</x:v>
      </x:c>
      <x:c r="R58" s="46" t="n">
        <x:v>77.467</x:v>
      </x:c>
      <x:c r="S58" s="46" t="n">
        <x:v>78.29345903614457</x:v>
      </x:c>
      <x:c r="T58" s="46" t="n">
        <x:v>-0.8264590361445698</x:v>
      </x:c>
      <x:c r="U58" s="46" t="n">
        <x:v>41.40193522024314</x:v>
      </x:c>
      <x:c r="V58" t="str">
        <x:v>BELOW-AVERAGE FOOTBALL VALUE</x:v>
      </x:c>
      <x:c r="W58"/>
      <x:c r="X58"/>
      <x:c r="Y58"/>
      <x:c r="Z58"/>
      <x:c r="AA58"/>
      <x:c r="AB58"/>
      <x:c r="AC58"/>
      <x:c r="AD58" t="str">
        <x:v>SRC-TE-001</x:v>
      </x:c>
    </x:row>
    <x:row r="59">
      <x:c r="A59" t="n">
        <x:v>55</x:v>
      </x:c>
      <x:c r="B59" t="str">
        <x:v>TE-0027</x:v>
      </x:c>
      <x:c r="C59" t="str">
        <x:v>Toby Payne</x:v>
      </x:c>
      <x:c r="D59" t="n">
        <x:v>83</x:v>
      </x:c>
      <x:c r="E59" t="str">
        <x:v>Core Rare</x:v>
      </x:c>
      <x:c r="F59" t="str">
        <x:v>Physical Route Runner</x:v>
      </x:c>
      <x:c r="G59" t="str">
        <x:v>TE-MODEL-003 v1.1</x:v>
      </x:c>
      <x:c r="H59" s="46" t="n">
        <x:v>79.45052653061225</x:v>
      </x:c>
      <x:c r="I59" s="74" t="n">
        <x:v>0.790445694003739</x:v>
      </x:c>
      <x:c r="J59" s="46" t="n">
        <x:v>81.23</x:v>
      </x:c>
      <x:c r="K59" s="46" t="n">
        <x:v>81.61</x:v>
      </x:c>
      <x:c r="L59" s="46" t="n">
        <x:v>69.15</x:v>
      </x:c>
      <x:c r="M59" s="46" t="n">
        <x:v>75.68</x:v>
      </x:c>
      <x:c r="N59" s="46" t="n">
        <x:v>79.93</x:v>
      </x:c>
      <x:c r="O59" s="46" t="n">
        <x:v>77.7</x:v>
      </x:c>
      <x:c r="P59" s="46" t="str">
        <x:v>Possession Target</x:v>
      </x:c>
      <x:c r="Q59" s="46" t="n">
        <x:v>81.61</x:v>
      </x:c>
      <x:c r="R59" s="46" t="n">
        <x:v>77.4646</x:v>
      </x:c>
      <x:c r="S59" s="46" t="n">
        <x:v>78.29345903614457</x:v>
      </x:c>
      <x:c r="T59" s="46" t="n">
        <x:v>-0.8288590361445642</x:v>
      </x:c>
      <x:c r="U59" s="46" t="n">
        <x:v>41.37696682547837</x:v>
      </x:c>
      <x:c r="V59" t="str">
        <x:v>BELOW-AVERAGE FOOTBALL VALUE</x:v>
      </x:c>
      <x:c r="W59"/>
      <x:c r="X59"/>
      <x:c r="Y59"/>
      <x:c r="Z59"/>
      <x:c r="AA59"/>
      <x:c r="AB59"/>
      <x:c r="AC59"/>
      <x:c r="AD59" t="str">
        <x:v>SRC-TE-002</x:v>
      </x:c>
    </x:row>
    <x:row r="60">
      <x:c r="A60" t="n">
        <x:v>56</x:v>
      </x:c>
      <x:c r="B60" t="str">
        <x:v>TE-0030</x:v>
      </x:c>
      <x:c r="C60" t="str">
        <x:v>Eli Finley</x:v>
      </x:c>
      <x:c r="D60" t="n">
        <x:v>82</x:v>
      </x:c>
      <x:c r="E60" t="str">
        <x:v>Core Rare</x:v>
      </x:c>
      <x:c r="F60" t="str">
        <x:v>Physical Route Runner</x:v>
      </x:c>
      <x:c r="G60" t="str">
        <x:v>TE-MODEL-003 v1.1</x:v>
      </x:c>
      <x:c r="H60" s="46" t="n">
        <x:v>78.1201</x:v>
      </x:c>
      <x:c r="I60" s="74" t="n">
        <x:v>0.9203736418261329</x:v>
      </x:c>
      <x:c r="J60" s="46" t="n">
        <x:v>79.58</x:v>
      </x:c>
      <x:c r="K60" s="46" t="n">
        <x:v>79.84</x:v>
      </x:c>
      <x:c r="L60" s="46" t="n">
        <x:v>70.35</x:v>
      </x:c>
      <x:c r="M60" s="46" t="n">
        <x:v>74.66</x:v>
      </x:c>
      <x:c r="N60" s="46" t="n">
        <x:v>78.52</x:v>
      </x:c>
      <x:c r="O60" s="46" t="n">
        <x:v>75.94</x:v>
      </x:c>
      <x:c r="P60" s="46" t="str">
        <x:v>Possession Target</x:v>
      </x:c>
      <x:c r="Q60" s="46" t="n">
        <x:v>79.84</x:v>
      </x:c>
      <x:c r="R60" s="46" t="n">
        <x:v>76.4646</x:v>
      </x:c>
      <x:c r="S60" s="46" t="n">
        <x:v>77.31493504452592</x:v>
      </x:c>
      <x:c r="T60" s="46" t="n">
        <x:v>-0.8503350445259201</x:v>
      </x:c>
      <x:c r="U60" s="46" t="n">
        <x:v>41.15354121912902</x:v>
      </x:c>
      <x:c r="V60" t="str">
        <x:v>BELOW-AVERAGE FOOTBALL VALUE</x:v>
      </x:c>
      <x:c r="W60"/>
      <x:c r="X60"/>
      <x:c r="Y60"/>
      <x:c r="Z60"/>
      <x:c r="AA60"/>
      <x:c r="AB60"/>
      <x:c r="AC60"/>
      <x:c r="AD60" t="str">
        <x:v>SRC-TE-002</x:v>
      </x:c>
    </x:row>
    <x:row r="61">
      <x:c r="A61" t="n">
        <x:v>57</x:v>
      </x:c>
      <x:c r="B61" t="str">
        <x:v>TE-0045</x:v>
      </x:c>
      <x:c r="C61" t="str">
        <x:v>Hunter Welcing</x:v>
      </x:c>
      <x:c r="D61" t="n">
        <x:v>81</x:v>
      </x:c>
      <x:c r="E61" t="str">
        <x:v>Platinum Rare</x:v>
      </x:c>
      <x:c r="F61" t="str">
        <x:v>Physical Route Runner</x:v>
      </x:c>
      <x:c r="G61" t="str">
        <x:v>TE-MODEL-003 v1.1</x:v>
      </x:c>
      <x:c r="H61" s="46" t="n">
        <x:v>77.3577469387755</x:v>
      </x:c>
      <x:c r="I61" s="74" t="n">
        <x:v>0</x:v>
      </x:c>
      <x:c r="J61" s="46" t="n">
        <x:v>79.26</x:v>
      </x:c>
      <x:c r="K61" s="46" t="n">
        <x:v>79.43</x:v>
      </x:c>
      <x:c r="L61" s="46" t="n">
        <x:v>67.85</x:v>
      </x:c>
      <x:c r="M61" s="46" t="n">
        <x:v>73.33</x:v>
      </x:c>
      <x:c r="N61" s="46" t="n">
        <x:v>78.03</x:v>
      </x:c>
      <x:c r="O61" s="46" t="n">
        <x:v>74.8</x:v>
      </x:c>
      <x:c r="P61" s="46" t="str">
        <x:v>Possession Target</x:v>
      </x:c>
      <x:c r="Q61" s="46" t="n">
        <x:v>79.43</x:v>
      </x:c>
      <x:c r="R61" s="46" t="n">
        <x:v>75.4278</x:v>
      </x:c>
      <x:c r="S61" s="46" t="n">
        <x:v>76.33641105290727</x:v>
      </x:c>
      <x:c r="T61" s="46" t="n">
        <x:v>-0.9086110529072613</x:v>
      </x:c>
      <x:c r="U61" s="46" t="n">
        <x:v>40.547266893052466</x:v>
      </x:c>
      <x:c r="V61" t="str">
        <x:v>BELOW-AVERAGE FOOTBALL VALUE</x:v>
      </x:c>
      <x:c r="W61"/>
      <x:c r="X61"/>
      <x:c r="Y61"/>
      <x:c r="Z61"/>
      <x:c r="AA61"/>
      <x:c r="AB61"/>
      <x:c r="AC61"/>
      <x:c r="AD61" t="str">
        <x:v>SRC-TE-002</x:v>
      </x:c>
    </x:row>
    <x:row r="62">
      <x:c r="A62" t="n">
        <x:v>58</x:v>
      </x:c>
      <x:c r="B62" t="str">
        <x:v>TE-0017</x:v>
      </x:c>
      <x:c r="C62" t="str">
        <x:v>Luke Hasz</x:v>
      </x:c>
      <x:c r="D62" t="n">
        <x:v>84</x:v>
      </x:c>
      <x:c r="E62" t="str">
        <x:v>Core Rare</x:v>
      </x:c>
      <x:c r="F62" t="str">
        <x:v>Vertical Threat</x:v>
      </x:c>
      <x:c r="G62" t="str">
        <x:v>TE-MODEL-006 v1.3</x:v>
      </x:c>
      <x:c r="H62" s="46" t="n">
        <x:v>79.41747572815534</x:v>
      </x:c>
      <x:c r="I62" s="74" t="n">
        <x:v>0.8958333333333168</x:v>
      </x:c>
      <x:c r="J62" s="46" t="n">
        <x:v>82.27</x:v>
      </x:c>
      <x:c r="K62" s="46" t="n">
        <x:v>80.54</x:v>
      </x:c>
      <x:c r="L62" s="46" t="n">
        <x:v>72.15</x:v>
      </x:c>
      <x:c r="M62" s="46" t="n">
        <x:v>76.71</x:v>
      </x:c>
      <x:c r="N62" s="46" t="n">
        <x:v>81.34</x:v>
      </x:c>
      <x:c r="O62" s="46" t="n">
        <x:v>76.39</x:v>
      </x:c>
      <x:c r="P62" s="46" t="str">
        <x:v>Receiving Threat</x:v>
      </x:c>
      <x:c r="Q62" s="46" t="n">
        <x:v>82.27</x:v>
      </x:c>
      <x:c r="R62" s="46" t="n">
        <x:v>78.3318</x:v>
      </x:c>
      <x:c r="S62" s="46" t="n">
        <x:v>79.27198302776321</x:v>
      </x:c>
      <x:c r="T62" s="46" t="n">
        <x:v>-0.9401830277632115</x:v>
      </x:c>
      <x:c r="U62" s="46" t="n">
        <x:v>40.21880792150723</x:v>
      </x:c>
      <x:c r="V62" t="str">
        <x:v>BELOW-AVERAGE FOOTBALL VALUE</x:v>
      </x:c>
      <x:c r="W62"/>
      <x:c r="X62"/>
      <x:c r="Y62"/>
      <x:c r="Z62"/>
      <x:c r="AA62"/>
      <x:c r="AB62"/>
      <x:c r="AC62"/>
      <x:c r="AD62" t="str">
        <x:v>SRC-TE-001</x:v>
      </x:c>
    </x:row>
    <x:row r="63">
      <x:c r="A63" t="n">
        <x:v>59</x:v>
      </x:c>
      <x:c r="B63" t="str">
        <x:v>TE-0058</x:v>
      </x:c>
      <x:c r="C63" t="str">
        <x:v>Walker Lyons</x:v>
      </x:c>
      <x:c r="D63" t="n">
        <x:v>80</x:v>
      </x:c>
      <x:c r="E63" t="str">
        <x:v>Platinum Rare</x:v>
      </x:c>
      <x:c r="F63" t="str">
        <x:v>Physical Route Runner</x:v>
      </x:c>
      <x:c r="G63" t="str">
        <x:v>TE-MODEL-003 v1.1</x:v>
      </x:c>
      <x:c r="H63" s="46" t="n">
        <x:v>76.34173061224489</x:v>
      </x:c>
      <x:c r="I63" s="74" t="n">
        <x:v>0.6772922561313036</x:v>
      </x:c>
      <x:c r="J63" s="46" t="n">
        <x:v>79.24</x:v>
      </x:c>
      <x:c r="K63" s="46" t="n">
        <x:v>77.65</x:v>
      </x:c>
      <x:c r="L63" s="46" t="n">
        <x:v>65.5</x:v>
      </x:c>
      <x:c r="M63" s="46" t="n">
        <x:v>71.66</x:v>
      </x:c>
      <x:c r="N63" s="46" t="n">
        <x:v>77.82</x:v>
      </x:c>
      <x:c r="O63" s="46" t="n">
        <x:v>75.9</x:v>
      </x:c>
      <x:c r="P63" s="46" t="str">
        <x:v>Receiving Threat</x:v>
      </x:c>
      <x:c r="Q63" s="46" t="n">
        <x:v>79.24</x:v>
      </x:c>
      <x:c r="R63" s="46" t="n">
        <x:v>74.3754</x:v>
      </x:c>
      <x:c r="S63" s="46" t="n">
        <x:v>75.35788706128862</x:v>
      </x:c>
      <x:c r="T63" s="46" t="n">
        <x:v>-0.982487061288623</x:v>
      </x:c>
      <x:c r="U63" s="46" t="n">
        <x:v>39.77869800100432</x:v>
      </x:c>
      <x:c r="V63" t="str">
        <x:v>BELOW-AVERAGE FOOTBALL VALUE</x:v>
      </x:c>
      <x:c r="W63"/>
      <x:c r="X63"/>
      <x:c r="Y63"/>
      <x:c r="Z63"/>
      <x:c r="AA63"/>
      <x:c r="AB63"/>
      <x:c r="AC63"/>
      <x:c r="AD63" t="str">
        <x:v>SRC-TE-002</x:v>
      </x:c>
    </x:row>
    <x:row r="64">
      <x:c r="A64" t="n">
        <x:v>60</x:v>
      </x:c>
      <x:c r="B64" t="str">
        <x:v>TE-0059</x:v>
      </x:c>
      <x:c r="C64" t="str">
        <x:v>Walker Lyons</x:v>
      </x:c>
      <x:c r="D64" t="n">
        <x:v>80</x:v>
      </x:c>
      <x:c r="E64" t="str">
        <x:v>Core Rare</x:v>
      </x:c>
      <x:c r="F64" t="str">
        <x:v>Physical Route Runner</x:v>
      </x:c>
      <x:c r="G64" t="str">
        <x:v>TE-MODEL-003 v1.1</x:v>
      </x:c>
      <x:c r="H64" s="46" t="n">
        <x:v>76.34173061224489</x:v>
      </x:c>
      <x:c r="I64" s="74" t="n">
        <x:v>0.6772922561313036</x:v>
      </x:c>
      <x:c r="J64" s="46" t="n">
        <x:v>79.24</x:v>
      </x:c>
      <x:c r="K64" s="46" t="n">
        <x:v>77.65</x:v>
      </x:c>
      <x:c r="L64" s="46" t="n">
        <x:v>65.5</x:v>
      </x:c>
      <x:c r="M64" s="46" t="n">
        <x:v>71.66</x:v>
      </x:c>
      <x:c r="N64" s="46" t="n">
        <x:v>77.82</x:v>
      </x:c>
      <x:c r="O64" s="46" t="n">
        <x:v>75.9</x:v>
      </x:c>
      <x:c r="P64" s="46" t="str">
        <x:v>Receiving Threat</x:v>
      </x:c>
      <x:c r="Q64" s="46" t="n">
        <x:v>79.24</x:v>
      </x:c>
      <x:c r="R64" s="46" t="n">
        <x:v>74.3754</x:v>
      </x:c>
      <x:c r="S64" s="46" t="n">
        <x:v>75.35788706128862</x:v>
      </x:c>
      <x:c r="T64" s="46" t="n">
        <x:v>-0.982487061288623</x:v>
      </x:c>
      <x:c r="U64" s="46" t="n">
        <x:v>39.77869800100432</x:v>
      </x:c>
      <x:c r="V64" t="str">
        <x:v>BELOW-AVERAGE FOOTBALL VALUE</x:v>
      </x:c>
      <x:c r="W64"/>
      <x:c r="X64"/>
      <x:c r="Y64"/>
      <x:c r="Z64"/>
      <x:c r="AA64"/>
      <x:c r="AB64"/>
      <x:c r="AC64"/>
      <x:c r="AD64" t="str">
        <x:v>SRC-TE-002</x:v>
      </x:c>
    </x:row>
    <x:row r="65">
      <x:c r="A65" t="n">
        <x:v>61</x:v>
      </x:c>
      <x:c r="B65" t="str">
        <x:v>TE-0005</x:v>
      </x:c>
      <x:c r="C65" t="str">
        <x:v>Trey'Dez Green</x:v>
      </x:c>
      <x:c r="D65" t="n">
        <x:v>85</x:v>
      </x:c>
      <x:c r="E65" t="str">
        <x:v>Platinum Rare</x:v>
      </x:c>
      <x:c r="F65" t="str">
        <x:v>Physical Route Runner</x:v>
      </x:c>
      <x:c r="G65" t="str">
        <x:v>TE-MODEL-003 v1.1</x:v>
      </x:c>
      <x:c r="H65" s="46" t="n">
        <x:v>81.06923265306122</x:v>
      </x:c>
      <x:c r="I65" s="74" t="n">
        <x:v>1</x:v>
      </x:c>
      <x:c r="J65" s="46" t="n">
        <x:v>84.28</x:v>
      </x:c>
      <x:c r="K65" s="46" t="n">
        <x:v>82.77</x:v>
      </x:c>
      <x:c r="L65" s="46" t="n">
        <x:v>69.05</x:v>
      </x:c>
      <x:c r="M65" s="46" t="n">
        <x:v>75.77</x:v>
      </x:c>
      <x:c r="N65" s="46" t="n">
        <x:v>83.84</x:v>
      </x:c>
      <x:c r="O65" s="46" t="n">
        <x:v>82.59</x:v>
      </x:c>
      <x:c r="P65" s="46" t="str">
        <x:v>Receiving Threat</x:v>
      </x:c>
      <x:c r="Q65" s="46" t="n">
        <x:v>84.28</x:v>
      </x:c>
      <x:c r="R65" s="46" t="n">
        <x:v>79.2066</x:v>
      </x:c>
      <x:c r="S65" s="46" t="n">
        <x:v>80.25050701938187</x:v>
      </x:c>
      <x:c r="T65" s="46" t="n">
        <x:v>-1.0439070193818765</x:v>
      </x:c>
      <x:c r="U65" s="46" t="n">
        <x:v>39.13971560095786</x:v>
      </x:c>
      <x:c r="V65" t="str">
        <x:v>BELOW-AVERAGE FOOTBALL VALUE</x:v>
      </x:c>
      <x:c r="W65"/>
      <x:c r="X65"/>
      <x:c r="Y65"/>
      <x:c r="Z65"/>
      <x:c r="AA65"/>
      <x:c r="AB65"/>
      <x:c r="AC65"/>
      <x:c r="AD65" t="str">
        <x:v>SRC-TE-001</x:v>
      </x:c>
    </x:row>
    <x:row r="66">
      <x:c r="A66" t="n">
        <x:v>62</x:v>
      </x:c>
      <x:c r="B66" t="str">
        <x:v>TE-0035</x:v>
      </x:c>
      <x:c r="C66" t="str">
        <x:v>Luke Reynolds</x:v>
      </x:c>
      <x:c r="D66" t="n">
        <x:v>82</x:v>
      </x:c>
      <x:c r="E66" t="str">
        <x:v>Core Rare</x:v>
      </x:c>
      <x:c r="F66" t="str">
        <x:v>Vertical Threat</x:v>
      </x:c>
      <x:c r="G66" t="str">
        <x:v>TE-MODEL-006 v1.3</x:v>
      </x:c>
      <x:c r="H66" s="46" t="n">
        <x:v>76.57281553398059</x:v>
      </x:c>
      <x:c r="I66" s="74" t="n">
        <x:v>0</x:v>
      </x:c>
      <x:c r="J66" s="46" t="n">
        <x:v>80.74</x:v>
      </x:c>
      <x:c r="K66" s="46" t="n">
        <x:v>77.67</x:v>
      </x:c>
      <x:c r="L66" s="46" t="n">
        <x:v>68.95</x:v>
      </x:c>
      <x:c r="M66" s="46" t="n">
        <x:v>73.95</x:v>
      </x:c>
      <x:c r="N66" s="46" t="n">
        <x:v>81</x:v>
      </x:c>
      <x:c r="O66" s="46" t="n">
        <x:v>72.72</x:v>
      </x:c>
      <x:c r="P66" s="46" t="str">
        <x:v>Mismatch Weapon</x:v>
      </x:c>
      <x:c r="Q66" s="46" t="n">
        <x:v>81</x:v>
      </x:c>
      <x:c r="R66" s="46" t="n">
        <x:v>75.961</x:v>
      </x:c>
      <x:c r="S66" s="46" t="n">
        <x:v>77.31493504452592</x:v>
      </x:c>
      <x:c r="T66" s="46" t="n">
        <x:v>-1.353935044525926</x:v>
      </x:c>
      <x:c r="U66" s="46" t="n">
        <x:v>35.91433971764265</x:v>
      </x:c>
      <x:c r="V66" t="str">
        <x:v>BELOW-AVERAGE FOOTBALL VALUE</x:v>
      </x:c>
      <x:c r="W66"/>
      <x:c r="X66"/>
      <x:c r="Y66"/>
      <x:c r="Z66"/>
      <x:c r="AA66"/>
      <x:c r="AB66"/>
      <x:c r="AC66"/>
      <x:c r="AD66" t="str">
        <x:v>SRC-TE-002</x:v>
      </x:c>
    </x:row>
    <x:row r="67">
      <x:c r="A67" t="n">
        <x:v>63</x:v>
      </x:c>
      <x:c r="B67" t="str">
        <x:v>TE-0043</x:v>
      </x:c>
      <x:c r="C67" t="str">
        <x:v>Jaleel Skinner</x:v>
      </x:c>
      <x:c r="D67" t="n">
        <x:v>81</x:v>
      </x:c>
      <x:c r="E67" t="str">
        <x:v>Platinum Rare</x:v>
      </x:c>
      <x:c r="F67" t="str">
        <x:v>Vertical Threat</x:v>
      </x:c>
      <x:c r="G67" t="str">
        <x:v>TE-MODEL-006 v1.3</x:v>
      </x:c>
      <x:c r="H67" s="46" t="n">
        <x:v>76.40776699029126</x:v>
      </x:c>
      <x:c r="I67" s="74" t="n">
        <x:v>0.4545454545454566</x:v>
      </x:c>
      <x:c r="J67" s="46" t="n">
        <x:v>80.64</x:v>
      </x:c>
      <x:c r="K67" s="46" t="n">
        <x:v>73.82</x:v>
      </x:c>
      <x:c r="L67" s="46" t="n">
        <x:v>69.75</x:v>
      </x:c>
      <x:c r="M67" s="46" t="n">
        <x:v>72.89</x:v>
      </x:c>
      <x:c r="N67" s="46" t="n">
        <x:v>80.16</x:v>
      </x:c>
      <x:c r="O67" s="46" t="n">
        <x:v>71.76</x:v>
      </x:c>
      <x:c r="P67" s="46" t="str">
        <x:v>Receiving Threat</x:v>
      </x:c>
      <x:c r="Q67" s="46" t="n">
        <x:v>80.64</x:v>
      </x:c>
      <x:c r="R67" s="46" t="n">
        <x:v>74.97919999999999</x:v>
      </x:c>
      <x:c r="S67" s="46" t="n">
        <x:v>76.33641105290727</x:v>
      </x:c>
      <x:c r="T67" s="46" t="n">
        <x:v>-1.3572110529072745</x:v>
      </x:c>
      <x:c r="U67" s="46" t="n">
        <x:v>35.88025777159332</x:v>
      </x:c>
      <x:c r="V67" t="str">
        <x:v>BELOW-AVERAGE FOOTBALL VALUE</x:v>
      </x:c>
      <x:c r="W67"/>
      <x:c r="X67"/>
      <x:c r="Y67"/>
      <x:c r="Z67"/>
      <x:c r="AA67"/>
      <x:c r="AB67"/>
      <x:c r="AC67"/>
      <x:c r="AD67" t="str">
        <x:v>SRC-TE-002</x:v>
      </x:c>
    </x:row>
    <x:row r="68">
      <x:c r="A68" t="n">
        <x:v>64</x:v>
      </x:c>
      <x:c r="B68" t="str">
        <x:v>TE-0031</x:v>
      </x:c>
      <x:c r="C68" t="str">
        <x:v>River Helms</x:v>
      </x:c>
      <x:c r="D68" t="n">
        <x:v>82</x:v>
      </x:c>
      <x:c r="E68" t="str">
        <x:v>Core Rare</x:v>
      </x:c>
      <x:c r="F68" t="str">
        <x:v>Physical Route Runner</x:v>
      </x:c>
      <x:c r="G68" t="str">
        <x:v>TE-MODEL-003 v1.1</x:v>
      </x:c>
      <x:c r="H68" s="46" t="n">
        <x:v>78.1751081632653</x:v>
      </x:c>
      <x:c r="I68" s="74" t="n">
        <x:v>1</x:v>
      </x:c>
      <x:c r="J68" s="46" t="n">
        <x:v>79.57</x:v>
      </x:c>
      <x:c r="K68" s="46" t="n">
        <x:v>78.45</x:v>
      </x:c>
      <x:c r="L68" s="46" t="n">
        <x:v>68.35</x:v>
      </x:c>
      <x:c r="M68" s="46" t="n">
        <x:v>74.13</x:v>
      </x:c>
      <x:c r="N68" s="46" t="n">
        <x:v>78.18</x:v>
      </x:c>
      <x:c r="O68" s="46" t="n">
        <x:v>78.62</x:v>
      </x:c>
      <x:c r="P68" s="46" t="str">
        <x:v>Receiving Threat</x:v>
      </x:c>
      <x:c r="Q68" s="46" t="n">
        <x:v>79.57</x:v>
      </x:c>
      <x:c r="R68" s="46" t="n">
        <x:v>75.9092</x:v>
      </x:c>
      <x:c r="S68" s="46" t="n">
        <x:v>77.31493504452592</x:v>
      </x:c>
      <x:c r="T68" s="46" t="n">
        <x:v>-1.405735044525926</x:v>
      </x:c>
      <x:c r="U68" s="46" t="n">
        <x:v>35.37543853063512</x:v>
      </x:c>
      <x:c r="V68" t="str">
        <x:v>BELOW-AVERAGE FOOTBALL VALUE</x:v>
      </x:c>
      <x:c r="W68"/>
      <x:c r="X68"/>
      <x:c r="Y68"/>
      <x:c r="Z68"/>
      <x:c r="AA68"/>
      <x:c r="AB68"/>
      <x:c r="AC68"/>
      <x:c r="AD68" t="str">
        <x:v>SRC-TE-002</x:v>
      </x:c>
    </x:row>
    <x:row r="69">
      <x:c r="A69" t="n">
        <x:v>65</x:v>
      </x:c>
      <x:c r="B69" t="str">
        <x:v>TE-0019</x:v>
      </x:c>
      <x:c r="C69" t="str">
        <x:v>Dylan Wade</x:v>
      </x:c>
      <x:c r="D69" t="n">
        <x:v>84</x:v>
      </x:c>
      <x:c r="E69" t="str">
        <x:v>Platinum Rare</x:v>
      </x:c>
      <x:c r="F69" t="str">
        <x:v>Vertical Threat</x:v>
      </x:c>
      <x:c r="G69" t="str">
        <x:v>TE-MODEL-006 v1.3</x:v>
      </x:c>
      <x:c r="H69" s="46" t="n">
        <x:v>79</x:v>
      </x:c>
      <x:c r="I69" s="74" t="n">
        <x:v>0</x:v>
      </x:c>
      <x:c r="J69" s="46" t="n">
        <x:v>82.73</x:v>
      </x:c>
      <x:c r="K69" s="46" t="n">
        <x:v>79.84</x:v>
      </x:c>
      <x:c r="L69" s="46" t="n">
        <x:v>67.3</x:v>
      </x:c>
      <x:c r="M69" s="46" t="n">
        <x:v>73.84</x:v>
      </x:c>
      <x:c r="N69" s="46" t="n">
        <x:v>82.52</x:v>
      </x:c>
      <x:c r="O69" s="46" t="n">
        <x:v>81.15</x:v>
      </x:c>
      <x:c r="P69" s="46" t="str">
        <x:v>Receiving Threat</x:v>
      </x:c>
      <x:c r="Q69" s="46" t="n">
        <x:v>82.73</x:v>
      </x:c>
      <x:c r="R69" s="46" t="n">
        <x:v>77.325</x:v>
      </x:c>
      <x:c r="S69" s="46" t="n">
        <x:v>79.27198302776321</x:v>
      </x:c>
      <x:c r="T69" s="46" t="n">
        <x:v>-1.9469830277632099</x:v>
      </x:c>
      <x:c r="U69" s="46" t="n">
        <x:v>29.744566317662105</x:v>
      </x:c>
      <x:c r="V69" t="str">
        <x:v>OVR-EXPENSIVE / WEAK UTILITY</x:v>
      </x:c>
      <x:c r="W69"/>
      <x:c r="X69"/>
      <x:c r="Y69"/>
      <x:c r="Z69"/>
      <x:c r="AA69"/>
      <x:c r="AB69"/>
      <x:c r="AC69"/>
      <x:c r="AD69" t="str">
        <x:v>SRC-TE-001</x:v>
      </x:c>
    </x:row>
    <x:row r="70">
      <x:c r="A70" t="n">
        <x:v>66</x:v>
      </x:c>
      <x:c r="B70" t="str">
        <x:v>TE-0034</x:v>
      </x:c>
      <x:c r="C70" t="str">
        <x:v>Elija Lofton</x:v>
      </x:c>
      <x:c r="D70" t="n">
        <x:v>82</x:v>
      </x:c>
      <x:c r="E70" t="str">
        <x:v>Platinum Rare</x:v>
      </x:c>
      <x:c r="F70" t="str">
        <x:v>Vertical Threat</x:v>
      </x:c>
      <x:c r="G70" t="str">
        <x:v>TE-MODEL-006 v1.3</x:v>
      </x:c>
      <x:c r="H70" s="46" t="n">
        <x:v>77.60194174757281</x:v>
      </x:c>
      <x:c r="I70" s="74" t="n">
        <x:v>1</x:v>
      </x:c>
      <x:c r="J70" s="46" t="n">
        <x:v>81.51</x:v>
      </x:c>
      <x:c r="K70" s="46" t="n">
        <x:v>76.91</x:v>
      </x:c>
      <x:c r="L70" s="46" t="n">
        <x:v>63.95</x:v>
      </x:c>
      <x:c r="M70" s="46" t="n">
        <x:v>71.14</x:v>
      </x:c>
      <x:c r="N70" s="46" t="n">
        <x:v>81.43</x:v>
      </x:c>
      <x:c r="O70" s="46" t="n">
        <x:v>81.95</x:v>
      </x:c>
      <x:c r="P70" s="46" t="str">
        <x:v>YAC / Move TE</x:v>
      </x:c>
      <x:c r="Q70" s="46" t="n">
        <x:v>81.95</x:v>
      </x:c>
      <x:c r="R70" s="46" t="n">
        <x:v>75.2654</x:v>
      </x:c>
      <x:c r="S70" s="46" t="n">
        <x:v>77.31493504452592</x:v>
      </x:c>
      <x:c r="T70" s="46" t="n">
        <x:v>-2.049535044525925</x:v>
      </x:c>
      <x:c r="U70" s="46" t="n">
        <x:v>28.677666634970155</x:v>
      </x:c>
      <x:c r="V70" t="str">
        <x:v>OVR-EXPENSIVE / WEAK UTILITY</x:v>
      </x:c>
      <x:c r="W70"/>
      <x:c r="X70"/>
      <x:c r="Y70"/>
      <x:c r="Z70"/>
      <x:c r="AA70"/>
      <x:c r="AB70"/>
      <x:c r="AC70"/>
      <x:c r="AD70" t="str">
        <x:v>SRC-TE-002</x:v>
      </x:c>
    </x:row>
    <x:row r="71">
      <x:c r="A71" t="n">
        <x:v>67</x:v>
      </x:c>
      <x:c r="B71" t="str">
        <x:v>TE-0060</x:v>
      </x:c>
      <x:c r="C71" t="str">
        <x:v>Randy Pittman Jr.</x:v>
      </x:c>
      <x:c r="D71" t="n">
        <x:v>80</x:v>
      </x:c>
      <x:c r="E71" t="str">
        <x:v>Platinum Rare</x:v>
      </x:c>
      <x:c r="F71" t="str">
        <x:v>Vertical Threat</x:v>
      </x:c>
      <x:c r="G71" t="str">
        <x:v>TE-MODEL-006 v1.3</x:v>
      </x:c>
      <x:c r="H71" s="46" t="n">
        <x:v>74.53398058252426</x:v>
      </x:c>
      <x:c r="I71" s="74" t="n">
        <x:v>0</x:v>
      </x:c>
      <x:c r="J71" s="46" t="n">
        <x:v>77.53</x:v>
      </x:c>
      <x:c r="K71" s="46" t="n">
        <x:v>75.58</x:v>
      </x:c>
      <x:c r="L71" s="46" t="n">
        <x:v>67.6</x:v>
      </x:c>
      <x:c r="M71" s="46" t="n">
        <x:v>71.88</x:v>
      </x:c>
      <x:c r="N71" s="46" t="n">
        <x:v>76.87</x:v>
      </x:c>
      <x:c r="O71" s="46" t="n">
        <x:v>66.87</x:v>
      </x:c>
      <x:c r="P71" s="46" t="str">
        <x:v>Receiving Threat</x:v>
      </x:c>
      <x:c r="Q71" s="46" t="n">
        <x:v>77.53</x:v>
      </x:c>
      <x:c r="R71" s="46" t="n">
        <x:v>73.2166</x:v>
      </x:c>
      <x:c r="S71" s="46" t="n">
        <x:v>75.35788706128862</x:v>
      </x:c>
      <x:c r="T71" s="46" t="n">
        <x:v>-2.1412870612886223</x:v>
      </x:c>
      <x:c r="U71" s="46" t="n">
        <x:v>27.723124728720112</x:v>
      </x:c>
      <x:c r="V71" t="str">
        <x:v>OVR-EXPENSIVE / WEAK UTILITY</x:v>
      </x:c>
      <x:c r="W71"/>
      <x:c r="X71"/>
      <x:c r="Y71"/>
      <x:c r="Z71"/>
      <x:c r="AA71"/>
      <x:c r="AB71"/>
      <x:c r="AC71"/>
      <x:c r="AD71" t="str">
        <x:v>SRC-TE-002</x:v>
      </x:c>
    </x:row>
  </x:sheetData>
  <x:mergeCells>
    <x:mergeCell ref="A1:AD1"/>
  </x:mergeCells>
  <x:conditionalFormatting sqref="U5:U71">
    <x:cfRule type="colorScale" priority="1">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250c12446aa14a4b"/>
  </x:tableParts>
</x:worksheet>
</file>

<file path=xl/worksheets/sheet25.xml><?xml version="1.0" encoding="utf-8"?>
<x:worksheet xmlns:x="http://schemas.openxmlformats.org/spreadsheetml/2006/main">
  <x:sheetFormatPr defaultRowHeight="15"/>
  <x:cols>
    <x:col min="1" max="1" width="8" hidden="0" customWidth="1"/>
    <x:col min="2" max="2" width="24" hidden="0" customWidth="1"/>
    <x:col min="3" max="3" width="8" hidden="0" customWidth="1"/>
    <x:col min="4" max="4" width="24" hidden="0" customWidth="1"/>
    <x:col min="5" max="5" width="28" hidden="0" customWidth="1"/>
    <x:col min="6" max="6" width="14" hidden="0" customWidth="1"/>
    <x:col min="7" max="7" width="16" hidden="0" customWidth="1"/>
    <x:col min="8" max="8" width="32" hidden="0" customWidth="1"/>
  </x:cols>
  <x:sheetData>
    <x:row r="1">
      <x:c r="A1" s="227" t="str">
        <x:v>TE Preliminary Role Rankings v1.0</x:v>
      </x:c>
      <x:c r="B1" s="227"/>
      <x:c r="C1" s="227"/>
      <x:c r="D1" s="227"/>
      <x:c r="E1" s="227"/>
      <x:c r="F1" s="227"/>
      <x:c r="G1" s="227"/>
      <x:c r="H1" s="227"/>
      <x:c r="I1" s="227"/>
      <x:c r="J1" s="227"/>
    </x:row>
    <x:row r="4">
      <x:c r="A4" s="235" t="str">
        <x:v>Receiving Threat</x:v>
      </x:c>
      <x:c r="B4" s="235"/>
      <x:c r="C4" s="235"/>
      <x:c r="D4" s="235"/>
      <x:c r="E4" s="235"/>
      <x:c r="F4" s="235"/>
      <x:c r="G4" s="235"/>
      <x:c r="H4" s="235"/>
      <x:c r="I4" s="235"/>
      <x:c r="J4" s="235"/>
    </x:row>
    <x:row r="5">
      <x:c r="A5" s="237" t="str">
        <x:v>Rank</x:v>
      </x:c>
      <x:c r="B5" s="237" t="str">
        <x:v>Player</x:v>
      </x:c>
      <x:c r="C5" s="237" t="str">
        <x:v>OVR</x:v>
      </x:c>
      <x:c r="D5" s="237" t="str">
        <x:v>Archetype</x:v>
      </x:c>
      <x:c r="E5" s="237" t="str">
        <x:v>Program</x:v>
      </x:c>
      <x:c r="F5" s="237" t="str">
        <x:v>Role Score</x:v>
      </x:c>
      <x:c r="G5" s="237" t="str">
        <x:v>Moneyball Score</x:v>
      </x:c>
      <x:c r="H5" s="237" t="str">
        <x:v>Value Label</x:v>
      </x:c>
    </x:row>
    <x:row r="6">
      <x:c r="A6" t="n">
        <x:v>1</x:v>
      </x:c>
      <x:c r="B6" t="str">
        <x:v>Jake Johnson</x:v>
      </x:c>
      <x:c r="C6" t="n">
        <x:v>85</x:v>
      </x:c>
      <x:c r="D6" t="str">
        <x:v>Gritty Possession</x:v>
      </x:c>
      <x:c r="E6" t="str">
        <x:v>Countdown</x:v>
      </x:c>
      <x:c r="F6" s="46" t="n">
        <x:v>84.73</x:v>
      </x:c>
      <x:c r="G6" s="46" t="n">
        <x:v>71.78381105640624</x:v>
      </x:c>
      <x:c r="H6" t="str">
        <x:v>STRONG FOOTBALL VALUE</x:v>
      </x:c>
    </x:row>
    <x:row r="7">
      <x:c r="A7" t="n">
        <x:v>2</x:v>
      </x:c>
      <x:c r="B7" t="str">
        <x:v>Trey'Dez Green</x:v>
      </x:c>
      <x:c r="C7" t="n">
        <x:v>85</x:v>
      </x:c>
      <x:c r="D7" t="str">
        <x:v>Physical Route Runner</x:v>
      </x:c>
      <x:c r="E7" t="str">
        <x:v>Platinum Rare</x:v>
      </x:c>
      <x:c r="F7" s="46" t="n">
        <x:v>84.28</x:v>
      </x:c>
      <x:c r="G7" s="46" t="n">
        <x:v>39.13971560095786</x:v>
      </x:c>
      <x:c r="H7" t="str">
        <x:v>BELOW-AVERAGE FOOTBALL VALUE</x:v>
      </x:c>
    </x:row>
    <x:row r="8">
      <x:c r="A8" t="n">
        <x:v>3</x:v>
      </x:c>
      <x:c r="B8" t="str">
        <x:v>Lawson Luckie</x:v>
      </x:c>
      <x:c r="C8" t="n">
        <x:v>85</x:v>
      </x:c>
      <x:c r="D8" t="str">
        <x:v>Gritty Possession</x:v>
      </x:c>
      <x:c r="E8" t="str">
        <x:v>Season 1</x:v>
      </x:c>
      <x:c r="F8" s="46" t="n">
        <x:v>83.55</x:v>
      </x:c>
      <x:c r="G8" s="46" t="n">
        <x:v>61.59046389366528</x:v>
      </x:c>
      <x:c r="H8" t="str">
        <x:v>POSITIVE FOOTBALL VALUE</x:v>
      </x:c>
    </x:row>
    <x:row r="9">
      <x:c r="A9" t="n">
        <x:v>4</x:v>
      </x:c>
      <x:c r="B9" t="str">
        <x:v>Kaelan Chudzinski</x:v>
      </x:c>
      <x:c r="C9" t="n">
        <x:v>85</x:v>
      </x:c>
      <x:c r="D9" t="str">
        <x:v>Vertical Threat</x:v>
      </x:c>
      <x:c r="E9" t="str">
        <x:v>Standouts</x:v>
      </x:c>
      <x:c r="F9" s="46" t="n">
        <x:v>83.12</x:v>
      </x:c>
      <x:c r="G9" s="46" t="n">
        <x:v>43.8046440228532</x:v>
      </x:c>
      <x:c r="H9" t="str">
        <x:v>NEUTRAL</x:v>
      </x:c>
    </x:row>
    <x:row r="10">
      <x:c r="A10" t="n">
        <x:v>5</x:v>
      </x:c>
      <x:c r="B10" t="str">
        <x:v>Jamari Johnson</x:v>
      </x:c>
      <x:c r="C10" t="n">
        <x:v>85</x:v>
      </x:c>
      <x:c r="D10" t="str">
        <x:v>Physical Route Runner</x:v>
      </x:c>
      <x:c r="E10" t="str">
        <x:v>Platinum Rare</x:v>
      </x:c>
      <x:c r="F10" s="46" t="n">
        <x:v>82.87</x:v>
      </x:c>
      <x:c r="G10" s="46" t="n">
        <x:v>49.28520667373278</x:v>
      </x:c>
      <x:c r="H10" t="str">
        <x:v>NEUTRAL</x:v>
      </x:c>
    </x:row>
    <x:row r="11">
      <x:c r="A11" t="n">
        <x:v>6</x:v>
      </x:c>
      <x:c r="B11" t="str">
        <x:v>Jamari Johnson</x:v>
      </x:c>
      <x:c r="C11" t="n">
        <x:v>85</x:v>
      </x:c>
      <x:c r="D11" t="str">
        <x:v>Physical Route Runner</x:v>
      </x:c>
      <x:c r="E11" t="str">
        <x:v>Core Rare</x:v>
      </x:c>
      <x:c r="F11" s="46" t="n">
        <x:v>82.87</x:v>
      </x:c>
      <x:c r="G11" s="46" t="n">
        <x:v>49.28520667373278</x:v>
      </x:c>
      <x:c r="H11" t="str">
        <x:v>NEUTRAL</x:v>
      </x:c>
    </x:row>
    <x:row r="12">
      <x:c r="A12" t="n">
        <x:v>7</x:v>
      </x:c>
      <x:c r="B12" t="str">
        <x:v>River Helms</x:v>
      </x:c>
      <x:c r="C12" t="n">
        <x:v>85</x:v>
      </x:c>
      <x:c r="D12" t="str">
        <x:v>Gritty Possession</x:v>
      </x:c>
      <x:c r="E12" t="str">
        <x:v>Phenoms</x:v>
      </x:c>
      <x:c r="F12" s="46" t="n">
        <x:v>82.84</x:v>
      </x:c>
      <x:c r="G12" s="46" t="n">
        <x:v>60.793555960754546</x:v>
      </x:c>
      <x:c r="H12" t="str">
        <x:v>POSITIVE FOOTBALL VALUE</x:v>
      </x:c>
    </x:row>
    <x:row r="13">
      <x:c r="A13" t="n">
        <x:v>8</x:v>
      </x:c>
      <x:c r="B13" t="str">
        <x:v>Eli Finley</x:v>
      </x:c>
      <x:c r="C13" t="n">
        <x:v>84</x:v>
      </x:c>
      <x:c r="D13" t="str">
        <x:v>Gritty Possession</x:v>
      </x:c>
      <x:c r="E13" t="str">
        <x:v>Standouts</x:v>
      </x:c>
      <x:c r="F13" s="46" t="n">
        <x:v>82.79</x:v>
      </x:c>
      <x:c r="G13" s="46" t="n">
        <x:v>63.917975952456075</x:v>
      </x:c>
      <x:c r="H13" t="str">
        <x:v>POSITIVE FOOTBALL VALUE</x:v>
      </x:c>
    </x:row>
    <x:row r="14">
      <x:c r="A14" t="n">
        <x:v>9</x:v>
      </x:c>
      <x:c r="B14" t="str">
        <x:v>Dylan Wade</x:v>
      </x:c>
      <x:c r="C14" t="n">
        <x:v>84</x:v>
      </x:c>
      <x:c r="D14" t="str">
        <x:v>Vertical Threat</x:v>
      </x:c>
      <x:c r="E14" t="str">
        <x:v>Platinum Rare</x:v>
      </x:c>
      <x:c r="F14" s="46" t="n">
        <x:v>82.73</x:v>
      </x:c>
      <x:c r="G14" s="46" t="n">
        <x:v>29.744566317662105</x:v>
      </x:c>
      <x:c r="H14" t="str">
        <x:v>OVR-EXPENSIVE / WEAK UTILITY</x:v>
      </x:c>
    </x:row>
    <x:row r="15">
      <x:c r="A15" t="n">
        <x:v>10</x:v>
      </x:c>
      <x:c r="B15" t="str">
        <x:v>Terrance Carter Jr.</x:v>
      </x:c>
      <x:c r="C15" t="n">
        <x:v>85</x:v>
      </x:c>
      <x:c r="D15" t="str">
        <x:v>Physical Route Runner</x:v>
      </x:c>
      <x:c r="E15" t="str">
        <x:v>Core Rare</x:v>
      </x:c>
      <x:c r="F15" s="46" t="n">
        <x:v>82.69</x:v>
      </x:c>
      <x:c r="G15" s="46" t="n">
        <x:v>43.919082498858614</x:v>
      </x:c>
      <x:c r="H15" t="str">
        <x:v>NEUTRAL</x:v>
      </x:c>
    </x:row>
    <x:row r="18">
      <x:c r="A18" s="235" t="str">
        <x:v>Possession Target</x:v>
      </x:c>
      <x:c r="B18" s="235"/>
      <x:c r="C18" s="235"/>
      <x:c r="D18" s="235"/>
      <x:c r="E18" s="235"/>
      <x:c r="F18" s="235"/>
      <x:c r="G18" s="235"/>
      <x:c r="H18" s="235"/>
      <x:c r="I18" s="235"/>
      <x:c r="J18" s="235"/>
    </x:row>
    <x:row r="19">
      <x:c r="A19" s="237" t="str">
        <x:v>Rank</x:v>
      </x:c>
      <x:c r="B19" s="237" t="str">
        <x:v>Player</x:v>
      </x:c>
      <x:c r="C19" s="237" t="str">
        <x:v>OVR</x:v>
      </x:c>
      <x:c r="D19" s="237" t="str">
        <x:v>Archetype</x:v>
      </x:c>
      <x:c r="E19" s="237" t="str">
        <x:v>Program</x:v>
      </x:c>
      <x:c r="F19" s="237" t="str">
        <x:v>Role Score</x:v>
      </x:c>
      <x:c r="G19" s="237" t="str">
        <x:v>Moneyball Score</x:v>
      </x:c>
      <x:c r="H19" s="237" t="str">
        <x:v>Value Label</x:v>
      </x:c>
    </x:row>
    <x:row r="20">
      <x:c r="A20" t="n">
        <x:v>1</x:v>
      </x:c>
      <x:c r="B20" t="str">
        <x:v>River Helms</x:v>
      </x:c>
      <x:c r="C20" t="n">
        <x:v>85</x:v>
      </x:c>
      <x:c r="D20" t="str">
        <x:v>Gritty Possession</x:v>
      </x:c>
      <x:c r="E20" t="str">
        <x:v>Phenoms</x:v>
      </x:c>
      <x:c r="F20" s="46" t="n">
        <x:v>83.21</x:v>
      </x:c>
      <x:c r="G20" s="46" t="n">
        <x:v>60.793555960754546</x:v>
      </x:c>
      <x:c r="H20" t="str">
        <x:v>POSITIVE FOOTBALL VALUE</x:v>
      </x:c>
    </x:row>
    <x:row r="21">
      <x:c r="A21" t="n">
        <x:v>2</x:v>
      </x:c>
      <x:c r="B21" t="str">
        <x:v>Eli Finley</x:v>
      </x:c>
      <x:c r="C21" t="n">
        <x:v>84</x:v>
      </x:c>
      <x:c r="D21" t="str">
        <x:v>Gritty Possession</x:v>
      </x:c>
      <x:c r="E21" t="str">
        <x:v>Standouts</x:v>
      </x:c>
      <x:c r="F21" s="46" t="n">
        <x:v>83.17</x:v>
      </x:c>
      <x:c r="G21" s="46" t="n">
        <x:v>63.917975952456075</x:v>
      </x:c>
      <x:c r="H21" t="str">
        <x:v>POSITIVE FOOTBALL VALUE</x:v>
      </x:c>
    </x:row>
    <x:row r="22">
      <x:c r="A22" t="n">
        <x:v>3</x:v>
      </x:c>
      <x:c r="B22" t="str">
        <x:v>Lawson Luckie</x:v>
      </x:c>
      <x:c r="C22" t="n">
        <x:v>85</x:v>
      </x:c>
      <x:c r="D22" t="str">
        <x:v>Gritty Possession</x:v>
      </x:c>
      <x:c r="E22" t="str">
        <x:v>Season 1</x:v>
      </x:c>
      <x:c r="F22" s="46" t="n">
        <x:v>82.9</x:v>
      </x:c>
      <x:c r="G22" s="46" t="n">
        <x:v>61.59046389366528</x:v>
      </x:c>
      <x:c r="H22" t="str">
        <x:v>POSITIVE FOOTBALL VALUE</x:v>
      </x:c>
    </x:row>
    <x:row r="23">
      <x:c r="A23" t="n">
        <x:v>4</x:v>
      </x:c>
      <x:c r="B23" t="str">
        <x:v>Jake Johnson</x:v>
      </x:c>
      <x:c r="C23" t="n">
        <x:v>85</x:v>
      </x:c>
      <x:c r="D23" t="str">
        <x:v>Gritty Possession</x:v>
      </x:c>
      <x:c r="E23" t="str">
        <x:v>Countdown</x:v>
      </x:c>
      <x:c r="F23" s="46" t="n">
        <x:v>82.87</x:v>
      </x:c>
      <x:c r="G23" s="46" t="n">
        <x:v>71.78381105640624</x:v>
      </x:c>
      <x:c r="H23" t="str">
        <x:v>STRONG FOOTBALL VALUE</x:v>
      </x:c>
    </x:row>
    <x:row r="24">
      <x:c r="A24" t="n">
        <x:v>5</x:v>
      </x:c>
      <x:c r="B24" t="str">
        <x:v>Dorian Thomas</x:v>
      </x:c>
      <x:c r="C24" t="n">
        <x:v>85</x:v>
      </x:c>
      <x:c r="D24" t="str">
        <x:v>Physical Route Runner</x:v>
      </x:c>
      <x:c r="E24" t="str">
        <x:v>Platinum Rare</x:v>
      </x:c>
      <x:c r="F24" s="46" t="n">
        <x:v>82.79</x:v>
      </x:c>
      <x:c r="G24" s="46" t="n">
        <x:v>53.51318818724363</x:v>
      </x:c>
      <x:c r="H24" t="str">
        <x:v>NEUTRAL</x:v>
      </x:c>
    </x:row>
    <x:row r="25">
      <x:c r="A25" t="n">
        <x:v>6</x:v>
      </x:c>
      <x:c r="B25" t="str">
        <x:v>Trey'Dez Green</x:v>
      </x:c>
      <x:c r="C25" t="n">
        <x:v>85</x:v>
      </x:c>
      <x:c r="D25" t="str">
        <x:v>Physical Route Runner</x:v>
      </x:c>
      <x:c r="E25" t="str">
        <x:v>Platinum Rare</x:v>
      </x:c>
      <x:c r="F25" s="46" t="n">
        <x:v>82.77</x:v>
      </x:c>
      <x:c r="G25" s="46" t="n">
        <x:v>39.13971560095786</x:v>
      </x:c>
      <x:c r="H25" t="str">
        <x:v>BELOW-AVERAGE FOOTBALL VALUE</x:v>
      </x:c>
    </x:row>
    <x:row r="26">
      <x:c r="A26" t="n">
        <x:v>7</x:v>
      </x:c>
      <x:c r="B26" t="str">
        <x:v>Garrett Oakley</x:v>
      </x:c>
      <x:c r="C26" t="n">
        <x:v>84</x:v>
      </x:c>
      <x:c r="D26" t="str">
        <x:v>Physical Route Runner</x:v>
      </x:c>
      <x:c r="E26" t="str">
        <x:v>Core Rare</x:v>
      </x:c>
      <x:c r="F26" s="46" t="n">
        <x:v>82.74</x:v>
      </x:c>
      <x:c r="G26" s="46" t="n">
        <x:v>57.07871648645697</x:v>
      </x:c>
      <x:c r="H26" t="str">
        <x:v>POSITIVE FOOTBALL VALUE</x:v>
      </x:c>
    </x:row>
    <x:row r="27">
      <x:c r="A27" t="n">
        <x:v>8</x:v>
      </x:c>
      <x:c r="B27" t="str">
        <x:v>Jamari Johnson</x:v>
      </x:c>
      <x:c r="C27" t="n">
        <x:v>85</x:v>
      </x:c>
      <x:c r="D27" t="str">
        <x:v>Physical Route Runner</x:v>
      </x:c>
      <x:c r="E27" t="str">
        <x:v>Platinum Rare</x:v>
      </x:c>
      <x:c r="F27" s="46" t="n">
        <x:v>82.3</x:v>
      </x:c>
      <x:c r="G27" s="46" t="n">
        <x:v>49.28520667373278</x:v>
      </x:c>
      <x:c r="H27" t="str">
        <x:v>NEUTRAL</x:v>
      </x:c>
    </x:row>
    <x:row r="28">
      <x:c r="A28" t="n">
        <x:v>9</x:v>
      </x:c>
      <x:c r="B28" t="str">
        <x:v>Jamari Johnson</x:v>
      </x:c>
      <x:c r="C28" t="n">
        <x:v>85</x:v>
      </x:c>
      <x:c r="D28" t="str">
        <x:v>Physical Route Runner</x:v>
      </x:c>
      <x:c r="E28" t="str">
        <x:v>Core Rare</x:v>
      </x:c>
      <x:c r="F28" s="46" t="n">
        <x:v>82.3</x:v>
      </x:c>
      <x:c r="G28" s="46" t="n">
        <x:v>49.28520667373278</x:v>
      </x:c>
      <x:c r="H28" t="str">
        <x:v>NEUTRAL</x:v>
      </x:c>
    </x:row>
    <x:row r="29">
      <x:c r="A29" t="n">
        <x:v>10</x:v>
      </x:c>
      <x:c r="B29" t="str">
        <x:v>Eli Finley</x:v>
      </x:c>
      <x:c r="C29" t="n">
        <x:v>83</x:v>
      </x:c>
      <x:c r="D29" t="str">
        <x:v>Gritty Possession</x:v>
      </x:c>
      <x:c r="E29" t="str">
        <x:v>Standouts</x:v>
      </x:c>
      <x:c r="F29" s="46" t="n">
        <x:v>82.17</x:v>
      </x:c>
      <x:c r="G29" s="46" t="n">
        <x:v>64.50186177683604</x:v>
      </x:c>
      <x:c r="H29" t="str">
        <x:v>POSITIVE FOOTBALL VALUE</x:v>
      </x:c>
    </x:row>
    <x:row r="32">
      <x:c r="A32" s="235" t="str">
        <x:v>Blocker</x:v>
      </x:c>
      <x:c r="B32" s="235"/>
      <x:c r="C32" s="235"/>
      <x:c r="D32" s="235"/>
      <x:c r="E32" s="235"/>
      <x:c r="F32" s="235"/>
      <x:c r="G32" s="235"/>
      <x:c r="H32" s="235"/>
      <x:c r="I32" s="235"/>
      <x:c r="J32" s="235"/>
    </x:row>
    <x:row r="33">
      <x:c r="A33" s="237" t="str">
        <x:v>Rank</x:v>
      </x:c>
      <x:c r="B33" s="237" t="str">
        <x:v>Player</x:v>
      </x:c>
      <x:c r="C33" s="237" t="str">
        <x:v>OVR</x:v>
      </x:c>
      <x:c r="D33" s="237" t="str">
        <x:v>Archetype</x:v>
      </x:c>
      <x:c r="E33" s="237" t="str">
        <x:v>Program</x:v>
      </x:c>
      <x:c r="F33" s="237" t="str">
        <x:v>Role Score</x:v>
      </x:c>
      <x:c r="G33" s="237" t="str">
        <x:v>Moneyball Score</x:v>
      </x:c>
      <x:c r="H33" s="237" t="str">
        <x:v>Value Label</x:v>
      </x:c>
    </x:row>
    <x:row r="34">
      <x:c r="A34" t="n">
        <x:v>1</x:v>
      </x:c>
      <x:c r="B34" t="str">
        <x:v>Luke Lindenmeyer</x:v>
      </x:c>
      <x:c r="C34" t="n">
        <x:v>82</x:v>
      </x:c>
      <x:c r="D34" t="str">
        <x:v>Physical Route Runner</x:v>
      </x:c>
      <x:c r="E34" t="str">
        <x:v>Core Rare</x:v>
      </x:c>
      <x:c r="F34" s="46" t="n">
        <x:v>82.5</x:v>
      </x:c>
      <x:c r="G34" s="46" t="n">
        <x:v>60.1066335451968</x:v>
      </x:c>
      <x:c r="H34" t="str">
        <x:v>POSITIVE FOOTBALL VALUE</x:v>
      </x:c>
    </x:row>
    <x:row r="35">
      <x:c r="A35" t="n">
        <x:v>2</x:v>
      </x:c>
      <x:c r="B35" t="str">
        <x:v>Hayden Hansen</x:v>
      </x:c>
      <x:c r="C35" t="n">
        <x:v>81</x:v>
      </x:c>
      <x:c r="D35" t="str">
        <x:v>Physical Route Runner</x:v>
      </x:c>
      <x:c r="E35" t="str">
        <x:v>Core Rare</x:v>
      </x:c>
      <x:c r="F35" s="46" t="n">
        <x:v>81.65</x:v>
      </x:c>
      <x:c r="G35" s="46" t="n">
        <x:v>57.69431199779764</x:v>
      </x:c>
      <x:c r="H35" t="str">
        <x:v>POSITIVE FOOTBALL VALUE</x:v>
      </x:c>
    </x:row>
    <x:row r="36">
      <x:c r="A36" t="n">
        <x:v>3</x:v>
      </x:c>
      <x:c r="B36" t="str">
        <x:v>Brody Foley</x:v>
      </x:c>
      <x:c r="C36" t="n">
        <x:v>83</x:v>
      </x:c>
      <x:c r="D36" t="str">
        <x:v>Physical Route Runner</x:v>
      </x:c>
      <x:c r="E36" t="str">
        <x:v>Platinum Rare</x:v>
      </x:c>
      <x:c r="F36" s="46" t="n">
        <x:v>81.4</x:v>
      </x:c>
      <x:c r="G36" s="46" t="n">
        <x:v>57.62931111781724</x:v>
      </x:c>
      <x:c r="H36" t="str">
        <x:v>POSITIVE FOOTBALL VALUE</x:v>
      </x:c>
    </x:row>
    <x:row r="37">
      <x:c r="A37" t="n">
        <x:v>4</x:v>
      </x:c>
      <x:c r="B37" t="str">
        <x:v>Jelani Thurman</x:v>
      </x:c>
      <x:c r="C37" t="n">
        <x:v>81</x:v>
      </x:c>
      <x:c r="D37" t="str">
        <x:v>Vertical Threat</x:v>
      </x:c>
      <x:c r="E37" t="str">
        <x:v>Core Rare</x:v>
      </x:c>
      <x:c r="F37" s="46" t="n">
        <x:v>80.9</x:v>
      </x:c>
      <x:c r="G37" s="46" t="n">
        <x:v>63.730421432194746</x:v>
      </x:c>
      <x:c r="H37" t="str">
        <x:v>POSITIVE FOOTBALL VALUE</x:v>
      </x:c>
    </x:row>
    <x:row r="38">
      <x:c r="A38" t="n">
        <x:v>5</x:v>
      </x:c>
      <x:c r="B38" t="str">
        <x:v>Peter Clarke</x:v>
      </x:c>
      <x:c r="C38" t="n">
        <x:v>84</x:v>
      </x:c>
      <x:c r="D38" t="str">
        <x:v>Physical Route Runner</x:v>
      </x:c>
      <x:c r="E38" t="str">
        <x:v>Core Rare</x:v>
      </x:c>
      <x:c r="F38" s="46" t="n">
        <x:v>80.6</x:v>
      </x:c>
      <x:c r="G38" s="46" t="n">
        <x:v>56.59391348810659</x:v>
      </x:c>
      <x:c r="H38" t="str">
        <x:v>NEUTRAL</x:v>
      </x:c>
    </x:row>
    <x:row r="39">
      <x:c r="A39" t="n">
        <x:v>6</x:v>
      </x:c>
      <x:c r="B39" t="str">
        <x:v>Ozzie Newsome</x:v>
      </x:c>
      <x:c r="C39" t="n">
        <x:v>84</x:v>
      </x:c>
      <x:c r="D39" t="str">
        <x:v>Gritty Possession</x:v>
      </x:c>
      <x:c r="E39" t="str">
        <x:v>S1 Legends - Classic</x:v>
      </x:c>
      <x:c r="F39" s="46" t="n">
        <x:v>79.25</x:v>
      </x:c>
      <x:c r="G39" s="46" t="n">
        <x:v>59.74409262760223</x:v>
      </x:c>
      <x:c r="H39" t="str">
        <x:v>POSITIVE FOOTBALL VALUE</x:v>
      </x:c>
    </x:row>
    <x:row r="40">
      <x:c r="A40" t="n">
        <x:v>7</x:v>
      </x:c>
      <x:c r="B40" t="str">
        <x:v>Jake Johnson</x:v>
      </x:c>
      <x:c r="C40" t="n">
        <x:v>85</x:v>
      </x:c>
      <x:c r="D40" t="str">
        <x:v>Gritty Possession</x:v>
      </x:c>
      <x:c r="E40" t="str">
        <x:v>Countdown</x:v>
      </x:c>
      <x:c r="F40" s="46" t="n">
        <x:v>78.25</x:v>
      </x:c>
      <x:c r="G40" s="46" t="n">
        <x:v>71.78381105640624</x:v>
      </x:c>
      <x:c r="H40" t="str">
        <x:v>STRONG FOOTBALL VALUE</x:v>
      </x:c>
    </x:row>
    <x:row r="41">
      <x:c r="A41" t="n">
        <x:v>8</x:v>
      </x:c>
      <x:c r="B41" t="str">
        <x:v>Cole Spence</x:v>
      </x:c>
      <x:c r="C41" t="n">
        <x:v>80</x:v>
      </x:c>
      <x:c r="D41" t="str">
        <x:v>Physical Route Runner</x:v>
      </x:c>
      <x:c r="E41" t="str">
        <x:v>Core Rare</x:v>
      </x:c>
      <x:c r="F41" s="46" t="n">
        <x:v>78.1</x:v>
      </x:c>
      <x:c r="G41" s="46" t="n">
        <x:v>63.43833274024206</x:v>
      </x:c>
      <x:c r="H41" t="str">
        <x:v>POSITIVE FOOTBALL VALUE</x:v>
      </x:c>
    </x:row>
    <x:row r="42">
      <x:c r="A42" t="n">
        <x:v>9</x:v>
      </x:c>
      <x:c r="B42" t="str">
        <x:v>Dorian Thomas</x:v>
      </x:c>
      <x:c r="C42" t="n">
        <x:v>85</x:v>
      </x:c>
      <x:c r="D42" t="str">
        <x:v>Physical Route Runner</x:v>
      </x:c>
      <x:c r="E42" t="str">
        <x:v>Platinum Rare</x:v>
      </x:c>
      <x:c r="F42" s="46" t="n">
        <x:v>78.05</x:v>
      </x:c>
      <x:c r="G42" s="46" t="n">
        <x:v>53.51318818724363</x:v>
      </x:c>
      <x:c r="H42" t="str">
        <x:v>NEUTRAL</x:v>
      </x:c>
    </x:row>
    <x:row r="43">
      <x:c r="A43" t="n">
        <x:v>10</x:v>
      </x:c>
      <x:c r="B43" t="str">
        <x:v>Pierce Walsh</x:v>
      </x:c>
      <x:c r="C43" t="n">
        <x:v>84</x:v>
      </x:c>
      <x:c r="D43" t="str">
        <x:v>Gritty Possession</x:v>
      </x:c>
      <x:c r="E43" t="str">
        <x:v>Cornerstones</x:v>
      </x:c>
      <x:c r="F43" s="46" t="n">
        <x:v>77.9</x:v>
      </x:c>
      <x:c r="G43" s="46" t="n">
        <x:v>54.63389449906761</x:v>
      </x:c>
      <x:c r="H43" t="str">
        <x:v>NEUTRAL</x:v>
      </x:c>
    </x:row>
    <x:row r="46">
      <x:c r="A46" s="235" t="str">
        <x:v>Balanced In-Line</x:v>
      </x:c>
      <x:c r="B46" s="235"/>
      <x:c r="C46" s="235"/>
      <x:c r="D46" s="235"/>
      <x:c r="E46" s="235"/>
      <x:c r="F46" s="235"/>
      <x:c r="G46" s="235"/>
      <x:c r="H46" s="235"/>
      <x:c r="I46" s="235"/>
      <x:c r="J46" s="235"/>
    </x:row>
    <x:row r="47">
      <x:c r="A47" s="237" t="str">
        <x:v>Rank</x:v>
      </x:c>
      <x:c r="B47" s="237" t="str">
        <x:v>Player</x:v>
      </x:c>
      <x:c r="C47" s="237" t="str">
        <x:v>OVR</x:v>
      </x:c>
      <x:c r="D47" s="237" t="str">
        <x:v>Archetype</x:v>
      </x:c>
      <x:c r="E47" s="237" t="str">
        <x:v>Program</x:v>
      </x:c>
      <x:c r="F47" s="237" t="str">
        <x:v>Role Score</x:v>
      </x:c>
      <x:c r="G47" s="237" t="str">
        <x:v>Moneyball Score</x:v>
      </x:c>
      <x:c r="H47" s="237" t="str">
        <x:v>Value Label</x:v>
      </x:c>
    </x:row>
    <x:row r="48">
      <x:c r="A48" t="n">
        <x:v>1</x:v>
      </x:c>
      <x:c r="B48" t="str">
        <x:v>Jake Johnson</x:v>
      </x:c>
      <x:c r="C48" t="n">
        <x:v>85</x:v>
      </x:c>
      <x:c r="D48" t="str">
        <x:v>Gritty Possession</x:v>
      </x:c>
      <x:c r="E48" t="str">
        <x:v>Countdown</x:v>
      </x:c>
      <x:c r="F48" s="46" t="n">
        <x:v>80.81</x:v>
      </x:c>
      <x:c r="G48" s="46" t="n">
        <x:v>71.78381105640624</x:v>
      </x:c>
      <x:c r="H48" t="str">
        <x:v>STRONG FOOTBALL VALUE</x:v>
      </x:c>
    </x:row>
    <x:row r="49">
      <x:c r="A49" t="n">
        <x:v>2</x:v>
      </x:c>
      <x:c r="B49" t="str">
        <x:v>Peter Clarke</x:v>
      </x:c>
      <x:c r="C49" t="n">
        <x:v>84</x:v>
      </x:c>
      <x:c r="D49" t="str">
        <x:v>Physical Route Runner</x:v>
      </x:c>
      <x:c r="E49" t="str">
        <x:v>Core Rare</x:v>
      </x:c>
      <x:c r="F49" s="46" t="n">
        <x:v>80.67</x:v>
      </x:c>
      <x:c r="G49" s="46" t="n">
        <x:v>56.59391348810659</x:v>
      </x:c>
      <x:c r="H49" t="str">
        <x:v>NEUTRAL</x:v>
      </x:c>
    </x:row>
    <x:row r="50">
      <x:c r="A50" t="n">
        <x:v>3</x:v>
      </x:c>
      <x:c r="B50" t="str">
        <x:v>River Helms</x:v>
      </x:c>
      <x:c r="C50" t="n">
        <x:v>85</x:v>
      </x:c>
      <x:c r="D50" t="str">
        <x:v>Gritty Possession</x:v>
      </x:c>
      <x:c r="E50" t="str">
        <x:v>Phenoms</x:v>
      </x:c>
      <x:c r="F50" s="46" t="n">
        <x:v>80.42</x:v>
      </x:c>
      <x:c r="G50" s="46" t="n">
        <x:v>60.793555960754546</x:v>
      </x:c>
      <x:c r="H50" t="str">
        <x:v>POSITIVE FOOTBALL VALUE</x:v>
      </x:c>
    </x:row>
    <x:row r="51">
      <x:c r="A51" t="n">
        <x:v>4</x:v>
      </x:c>
      <x:c r="B51" t="str">
        <x:v>Dorian Thomas</x:v>
      </x:c>
      <x:c r="C51" t="n">
        <x:v>85</x:v>
      </x:c>
      <x:c r="D51" t="str">
        <x:v>Physical Route Runner</x:v>
      </x:c>
      <x:c r="E51" t="str">
        <x:v>Platinum Rare</x:v>
      </x:c>
      <x:c r="F51" s="46" t="n">
        <x:v>80.28</x:v>
      </x:c>
      <x:c r="G51" s="46" t="n">
        <x:v>53.51318818724363</x:v>
      </x:c>
      <x:c r="H51" t="str">
        <x:v>NEUTRAL</x:v>
      </x:c>
    </x:row>
    <x:row r="52">
      <x:c r="A52" t="n">
        <x:v>5</x:v>
      </x:c>
      <x:c r="B52" t="str">
        <x:v>Lawson Luckie</x:v>
      </x:c>
      <x:c r="C52" t="n">
        <x:v>85</x:v>
      </x:c>
      <x:c r="D52" t="str">
        <x:v>Gritty Possession</x:v>
      </x:c>
      <x:c r="E52" t="str">
        <x:v>Season 1</x:v>
      </x:c>
      <x:c r="F52" s="46" t="n">
        <x:v>80.16</x:v>
      </x:c>
      <x:c r="G52" s="46" t="n">
        <x:v>61.59046389366528</x:v>
      </x:c>
      <x:c r="H52" t="str">
        <x:v>POSITIVE FOOTBALL VALUE</x:v>
      </x:c>
    </x:row>
    <x:row r="53">
      <x:c r="A53" t="n">
        <x:v>6</x:v>
      </x:c>
      <x:c r="B53" t="str">
        <x:v>Brody Foley</x:v>
      </x:c>
      <x:c r="C53" t="n">
        <x:v>83</x:v>
      </x:c>
      <x:c r="D53" t="str">
        <x:v>Physical Route Runner</x:v>
      </x:c>
      <x:c r="E53" t="str">
        <x:v>Platinum Rare</x:v>
      </x:c>
      <x:c r="F53" s="46" t="n">
        <x:v>80.13</x:v>
      </x:c>
      <x:c r="G53" s="46" t="n">
        <x:v>57.62931111781724</x:v>
      </x:c>
      <x:c r="H53" t="str">
        <x:v>POSITIVE FOOTBALL VALUE</x:v>
      </x:c>
    </x:row>
    <x:row r="54">
      <x:c r="A54" t="n">
        <x:v>7</x:v>
      </x:c>
      <x:c r="B54" t="str">
        <x:v>Luke Lindenmeyer</x:v>
      </x:c>
      <x:c r="C54" t="n">
        <x:v>82</x:v>
      </x:c>
      <x:c r="D54" t="str">
        <x:v>Physical Route Runner</x:v>
      </x:c>
      <x:c r="E54" t="str">
        <x:v>Core Rare</x:v>
      </x:c>
      <x:c r="F54" s="46" t="n">
        <x:v>80.1</x:v>
      </x:c>
      <x:c r="G54" s="46" t="n">
        <x:v>60.1066335451968</x:v>
      </x:c>
      <x:c r="H54" t="str">
        <x:v>POSITIVE FOOTBALL VALUE</x:v>
      </x:c>
    </x:row>
    <x:row r="55">
      <x:c r="A55" t="n">
        <x:v>8</x:v>
      </x:c>
      <x:c r="B55" t="str">
        <x:v>Ozzie Newsome</x:v>
      </x:c>
      <x:c r="C55" t="n">
        <x:v>84</x:v>
      </x:c>
      <x:c r="D55" t="str">
        <x:v>Gritty Possession</x:v>
      </x:c>
      <x:c r="E55" t="str">
        <x:v>S1 Legends - Classic</x:v>
      </x:c>
      <x:c r="F55" s="46" t="n">
        <x:v>79.85</x:v>
      </x:c>
      <x:c r="G55" s="46" t="n">
        <x:v>59.74409262760223</x:v>
      </x:c>
      <x:c r="H55" t="str">
        <x:v>POSITIVE FOOTBALL VALUE</x:v>
      </x:c>
    </x:row>
    <x:row r="56">
      <x:c r="A56" t="n">
        <x:v>9</x:v>
      </x:c>
      <x:c r="B56" t="str">
        <x:v>Pierce Walsh</x:v>
      </x:c>
      <x:c r="C56" t="n">
        <x:v>84</x:v>
      </x:c>
      <x:c r="D56" t="str">
        <x:v>Gritty Possession</x:v>
      </x:c>
      <x:c r="E56" t="str">
        <x:v>Cornerstones</x:v>
      </x:c>
      <x:c r="F56" s="46" t="n">
        <x:v>79.23</x:v>
      </x:c>
      <x:c r="G56" s="46" t="n">
        <x:v>54.63389449906761</x:v>
      </x:c>
      <x:c r="H56" t="str">
        <x:v>NEUTRAL</x:v>
      </x:c>
    </x:row>
    <x:row r="57">
      <x:c r="A57" t="n">
        <x:v>10</x:v>
      </x:c>
      <x:c r="B57" t="str">
        <x:v>Eli Finley</x:v>
      </x:c>
      <x:c r="C57" t="n">
        <x:v>84</x:v>
      </x:c>
      <x:c r="D57" t="str">
        <x:v>Gritty Possession</x:v>
      </x:c>
      <x:c r="E57" t="str">
        <x:v>Standouts</x:v>
      </x:c>
      <x:c r="F57" s="46" t="n">
        <x:v>79.13</x:v>
      </x:c>
      <x:c r="G57" s="46" t="n">
        <x:v>63.917975952456075</x:v>
      </x:c>
      <x:c r="H57" t="str">
        <x:v>POSITIVE FOOTBALL VALUE</x:v>
      </x:c>
    </x:row>
    <x:row r="60">
      <x:c r="A60" s="235" t="str">
        <x:v>Mismatch Weapon</x:v>
      </x:c>
      <x:c r="B60" s="235"/>
      <x:c r="C60" s="235"/>
      <x:c r="D60" s="235"/>
      <x:c r="E60" s="235"/>
      <x:c r="F60" s="235"/>
      <x:c r="G60" s="235"/>
      <x:c r="H60" s="235"/>
      <x:c r="I60" s="235"/>
      <x:c r="J60" s="235"/>
    </x:row>
    <x:row r="61">
      <x:c r="A61" s="237" t="str">
        <x:v>Rank</x:v>
      </x:c>
      <x:c r="B61" s="237" t="str">
        <x:v>Player</x:v>
      </x:c>
      <x:c r="C61" s="237" t="str">
        <x:v>OVR</x:v>
      </x:c>
      <x:c r="D61" s="237" t="str">
        <x:v>Archetype</x:v>
      </x:c>
      <x:c r="E61" s="237" t="str">
        <x:v>Program</x:v>
      </x:c>
      <x:c r="F61" s="237" t="str">
        <x:v>Role Score</x:v>
      </x:c>
      <x:c r="G61" s="237" t="str">
        <x:v>Moneyball Score</x:v>
      </x:c>
      <x:c r="H61" s="237" t="str">
        <x:v>Value Label</x:v>
      </x:c>
    </x:row>
    <x:row r="62">
      <x:c r="A62" t="n">
        <x:v>1</x:v>
      </x:c>
      <x:c r="B62" t="str">
        <x:v>Jake Johnson</x:v>
      </x:c>
      <x:c r="C62" t="n">
        <x:v>85</x:v>
      </x:c>
      <x:c r="D62" t="str">
        <x:v>Gritty Possession</x:v>
      </x:c>
      <x:c r="E62" t="str">
        <x:v>Countdown</x:v>
      </x:c>
      <x:c r="F62" s="46" t="n">
        <x:v>85.12</x:v>
      </x:c>
      <x:c r="G62" s="46" t="n">
        <x:v>71.78381105640624</x:v>
      </x:c>
      <x:c r="H62" t="str">
        <x:v>STRONG FOOTBALL VALUE</x:v>
      </x:c>
    </x:row>
    <x:row r="63">
      <x:c r="A63" t="n">
        <x:v>2</x:v>
      </x:c>
      <x:c r="B63" t="str">
        <x:v>Trey'Dez Green</x:v>
      </x:c>
      <x:c r="C63" t="n">
        <x:v>85</x:v>
      </x:c>
      <x:c r="D63" t="str">
        <x:v>Physical Route Runner</x:v>
      </x:c>
      <x:c r="E63" t="str">
        <x:v>Platinum Rare</x:v>
      </x:c>
      <x:c r="F63" s="46" t="n">
        <x:v>83.84</x:v>
      </x:c>
      <x:c r="G63" s="46" t="n">
        <x:v>39.13971560095786</x:v>
      </x:c>
      <x:c r="H63" t="str">
        <x:v>BELOW-AVERAGE FOOTBALL VALUE</x:v>
      </x:c>
    </x:row>
    <x:row r="64">
      <x:c r="A64" t="n">
        <x:v>3</x:v>
      </x:c>
      <x:c r="B64" t="str">
        <x:v>Lawson Luckie</x:v>
      </x:c>
      <x:c r="C64" t="n">
        <x:v>85</x:v>
      </x:c>
      <x:c r="D64" t="str">
        <x:v>Gritty Possession</x:v>
      </x:c>
      <x:c r="E64" t="str">
        <x:v>Season 1</x:v>
      </x:c>
      <x:c r="F64" s="46" t="n">
        <x:v>83.31</x:v>
      </x:c>
      <x:c r="G64" s="46" t="n">
        <x:v>61.59046389366528</x:v>
      </x:c>
      <x:c r="H64" t="str">
        <x:v>POSITIVE FOOTBALL VALUE</x:v>
      </x:c>
    </x:row>
    <x:row r="65">
      <x:c r="A65" t="n">
        <x:v>4</x:v>
      </x:c>
      <x:c r="B65" t="str">
        <x:v>Kaelan Chudzinski</x:v>
      </x:c>
      <x:c r="C65" t="n">
        <x:v>85</x:v>
      </x:c>
      <x:c r="D65" t="str">
        <x:v>Vertical Threat</x:v>
      </x:c>
      <x:c r="E65" t="str">
        <x:v>Standouts</x:v>
      </x:c>
      <x:c r="F65" s="46" t="n">
        <x:v>83.26</x:v>
      </x:c>
      <x:c r="G65" s="46" t="n">
        <x:v>43.8046440228532</x:v>
      </x:c>
      <x:c r="H65" t="str">
        <x:v>NEUTRAL</x:v>
      </x:c>
    </x:row>
    <x:row r="66">
      <x:c r="A66" t="n">
        <x:v>5</x:v>
      </x:c>
      <x:c r="B66" t="str">
        <x:v>Jamari Johnson</x:v>
      </x:c>
      <x:c r="C66" t="n">
        <x:v>85</x:v>
      </x:c>
      <x:c r="D66" t="str">
        <x:v>Physical Route Runner</x:v>
      </x:c>
      <x:c r="E66" t="str">
        <x:v>Platinum Rare</x:v>
      </x:c>
      <x:c r="F66" s="46" t="n">
        <x:v>82.91</x:v>
      </x:c>
      <x:c r="G66" s="46" t="n">
        <x:v>49.28520667373278</x:v>
      </x:c>
      <x:c r="H66" t="str">
        <x:v>NEUTRAL</x:v>
      </x:c>
    </x:row>
    <x:row r="67">
      <x:c r="A67" t="n">
        <x:v>6</x:v>
      </x:c>
      <x:c r="B67" t="str">
        <x:v>Jamari Johnson</x:v>
      </x:c>
      <x:c r="C67" t="n">
        <x:v>85</x:v>
      </x:c>
      <x:c r="D67" t="str">
        <x:v>Physical Route Runner</x:v>
      </x:c>
      <x:c r="E67" t="str">
        <x:v>Core Rare</x:v>
      </x:c>
      <x:c r="F67" s="46" t="n">
        <x:v>82.91</x:v>
      </x:c>
      <x:c r="G67" s="46" t="n">
        <x:v>49.28520667373278</x:v>
      </x:c>
      <x:c r="H67" t="str">
        <x:v>NEUTRAL</x:v>
      </x:c>
    </x:row>
    <x:row r="68">
      <x:c r="A68" t="n">
        <x:v>7</x:v>
      </x:c>
      <x:c r="B68" t="str">
        <x:v>Dylan Wade</x:v>
      </x:c>
      <x:c r="C68" t="n">
        <x:v>84</x:v>
      </x:c>
      <x:c r="D68" t="str">
        <x:v>Vertical Threat</x:v>
      </x:c>
      <x:c r="E68" t="str">
        <x:v>Platinum Rare</x:v>
      </x:c>
      <x:c r="F68" s="46" t="n">
        <x:v>82.52</x:v>
      </x:c>
      <x:c r="G68" s="46" t="n">
        <x:v>29.744566317662105</x:v>
      </x:c>
      <x:c r="H68" t="str">
        <x:v>OVR-EXPENSIVE / WEAK UTILITY</x:v>
      </x:c>
    </x:row>
    <x:row r="69">
      <x:c r="A69" t="n">
        <x:v>8</x:v>
      </x:c>
      <x:c r="B69" t="str">
        <x:v>River Helms</x:v>
      </x:c>
      <x:c r="C69" t="n">
        <x:v>85</x:v>
      </x:c>
      <x:c r="D69" t="str">
        <x:v>Gritty Possession</x:v>
      </x:c>
      <x:c r="E69" t="str">
        <x:v>Phenoms</x:v>
      </x:c>
      <x:c r="F69" s="46" t="n">
        <x:v>82.45</x:v>
      </x:c>
      <x:c r="G69" s="46" t="n">
        <x:v>60.793555960754546</x:v>
      </x:c>
      <x:c r="H69" t="str">
        <x:v>POSITIVE FOOTBALL VALUE</x:v>
      </x:c>
    </x:row>
    <x:row r="70">
      <x:c r="A70" t="n">
        <x:v>9</x:v>
      </x:c>
      <x:c r="B70" t="str">
        <x:v>Eli Finley</x:v>
      </x:c>
      <x:c r="C70" t="n">
        <x:v>84</x:v>
      </x:c>
      <x:c r="D70" t="str">
        <x:v>Gritty Possession</x:v>
      </x:c>
      <x:c r="E70" t="str">
        <x:v>Standouts</x:v>
      </x:c>
      <x:c r="F70" s="46" t="n">
        <x:v>82.29</x:v>
      </x:c>
      <x:c r="G70" s="46" t="n">
        <x:v>63.917975952456075</x:v>
      </x:c>
      <x:c r="H70" t="str">
        <x:v>POSITIVE FOOTBALL VALUE</x:v>
      </x:c>
    </x:row>
    <x:row r="71">
      <x:c r="A71" t="n">
        <x:v>10</x:v>
      </x:c>
      <x:c r="B71" t="str">
        <x:v>Terrance Carter Jr.</x:v>
      </x:c>
      <x:c r="C71" t="n">
        <x:v>85</x:v>
      </x:c>
      <x:c r="D71" t="str">
        <x:v>Physical Route Runner</x:v>
      </x:c>
      <x:c r="E71" t="str">
        <x:v>Core Rare</x:v>
      </x:c>
      <x:c r="F71" s="46" t="n">
        <x:v>82</x:v>
      </x:c>
      <x:c r="G71" s="46" t="n">
        <x:v>43.919082498858614</x:v>
      </x:c>
      <x:c r="H71" t="str">
        <x:v>NEUTRAL</x:v>
      </x:c>
    </x:row>
    <x:row r="74">
      <x:c r="A74" s="235" t="str">
        <x:v>YAC / Move TE</x:v>
      </x:c>
      <x:c r="B74" s="235"/>
      <x:c r="C74" s="235"/>
      <x:c r="D74" s="235"/>
      <x:c r="E74" s="235"/>
      <x:c r="F74" s="235"/>
      <x:c r="G74" s="235"/>
      <x:c r="H74" s="235"/>
      <x:c r="I74" s="235"/>
      <x:c r="J74" s="235"/>
    </x:row>
    <x:row r="75">
      <x:c r="A75" s="237" t="str">
        <x:v>Rank</x:v>
      </x:c>
      <x:c r="B75" s="237" t="str">
        <x:v>Player</x:v>
      </x:c>
      <x:c r="C75" s="237" t="str">
        <x:v>OVR</x:v>
      </x:c>
      <x:c r="D75" s="237" t="str">
        <x:v>Archetype</x:v>
      </x:c>
      <x:c r="E75" s="237" t="str">
        <x:v>Program</x:v>
      </x:c>
      <x:c r="F75" s="237" t="str">
        <x:v>Role Score</x:v>
      </x:c>
      <x:c r="G75" s="237" t="str">
        <x:v>Moneyball Score</x:v>
      </x:c>
      <x:c r="H75" s="237" t="str">
        <x:v>Value Label</x:v>
      </x:c>
    </x:row>
    <x:row r="76">
      <x:c r="A76" t="n">
        <x:v>1</x:v>
      </x:c>
      <x:c r="B76" t="str">
        <x:v>Jake Johnson</x:v>
      </x:c>
      <x:c r="C76" t="n">
        <x:v>85</x:v>
      </x:c>
      <x:c r="D76" t="str">
        <x:v>Gritty Possession</x:v>
      </x:c>
      <x:c r="E76" t="str">
        <x:v>Countdown</x:v>
      </x:c>
      <x:c r="F76" s="46" t="n">
        <x:v>83.87</x:v>
      </x:c>
      <x:c r="G76" s="46" t="n">
        <x:v>71.78381105640624</x:v>
      </x:c>
      <x:c r="H76" t="str">
        <x:v>STRONG FOOTBALL VALUE</x:v>
      </x:c>
    </x:row>
    <x:row r="77">
      <x:c r="A77" t="n">
        <x:v>2</x:v>
      </x:c>
      <x:c r="B77" t="str">
        <x:v>River Helms</x:v>
      </x:c>
      <x:c r="C77" t="n">
        <x:v>85</x:v>
      </x:c>
      <x:c r="D77" t="str">
        <x:v>Gritty Possession</x:v>
      </x:c>
      <x:c r="E77" t="str">
        <x:v>Phenoms</x:v>
      </x:c>
      <x:c r="F77" s="46" t="n">
        <x:v>82.65</x:v>
      </x:c>
      <x:c r="G77" s="46" t="n">
        <x:v>60.793555960754546</x:v>
      </x:c>
      <x:c r="H77" t="str">
        <x:v>POSITIVE FOOTBALL VALUE</x:v>
      </x:c>
    </x:row>
    <x:row r="78">
      <x:c r="A78" t="n">
        <x:v>3</x:v>
      </x:c>
      <x:c r="B78" t="str">
        <x:v>Trey'Dez Green</x:v>
      </x:c>
      <x:c r="C78" t="n">
        <x:v>85</x:v>
      </x:c>
      <x:c r="D78" t="str">
        <x:v>Physical Route Runner</x:v>
      </x:c>
      <x:c r="E78" t="str">
        <x:v>Platinum Rare</x:v>
      </x:c>
      <x:c r="F78" s="46" t="n">
        <x:v>82.59</x:v>
      </x:c>
      <x:c r="G78" s="46" t="n">
        <x:v>39.13971560095786</x:v>
      </x:c>
      <x:c r="H78" t="str">
        <x:v>BELOW-AVERAGE FOOTBALL VALUE</x:v>
      </x:c>
    </x:row>
    <x:row r="79">
      <x:c r="A79" t="n">
        <x:v>4</x:v>
      </x:c>
      <x:c r="B79" t="str">
        <x:v>Lawson Luckie</x:v>
      </x:c>
      <x:c r="C79" t="n">
        <x:v>85</x:v>
      </x:c>
      <x:c r="D79" t="str">
        <x:v>Gritty Possession</x:v>
      </x:c>
      <x:c r="E79" t="str">
        <x:v>Season 1</x:v>
      </x:c>
      <x:c r="F79" s="46" t="n">
        <x:v>82.34</x:v>
      </x:c>
      <x:c r="G79" s="46" t="n">
        <x:v>61.59046389366528</x:v>
      </x:c>
      <x:c r="H79" t="str">
        <x:v>POSITIVE FOOTBALL VALUE</x:v>
      </x:c>
    </x:row>
    <x:row r="80">
      <x:c r="A80" t="n">
        <x:v>5</x:v>
      </x:c>
      <x:c r="B80" t="str">
        <x:v>Kaelan Chudzinski</x:v>
      </x:c>
      <x:c r="C80" t="n">
        <x:v>85</x:v>
      </x:c>
      <x:c r="D80" t="str">
        <x:v>Vertical Threat</x:v>
      </x:c>
      <x:c r="E80" t="str">
        <x:v>Standouts</x:v>
      </x:c>
      <x:c r="F80" s="46" t="n">
        <x:v>82.24</x:v>
      </x:c>
      <x:c r="G80" s="46" t="n">
        <x:v>43.8046440228532</x:v>
      </x:c>
      <x:c r="H80" t="str">
        <x:v>NEUTRAL</x:v>
      </x:c>
    </x:row>
    <x:row r="81">
      <x:c r="A81" t="n">
        <x:v>6</x:v>
      </x:c>
      <x:c r="B81" t="str">
        <x:v>Elija Lofton</x:v>
      </x:c>
      <x:c r="C81" t="n">
        <x:v>82</x:v>
      </x:c>
      <x:c r="D81" t="str">
        <x:v>Vertical Threat</x:v>
      </x:c>
      <x:c r="E81" t="str">
        <x:v>Platinum Rare</x:v>
      </x:c>
      <x:c r="F81" s="46" t="n">
        <x:v>81.95</x:v>
      </x:c>
      <x:c r="G81" s="46" t="n">
        <x:v>28.677666634970155</x:v>
      </x:c>
      <x:c r="H81" t="str">
        <x:v>OVR-EXPENSIVE / WEAK UTILITY</x:v>
      </x:c>
    </x:row>
    <x:row r="82">
      <x:c r="A82" t="n">
        <x:v>7</x:v>
      </x:c>
      <x:c r="B82" t="str">
        <x:v>Jamari Johnson</x:v>
      </x:c>
      <x:c r="C82" t="n">
        <x:v>85</x:v>
      </x:c>
      <x:c r="D82" t="str">
        <x:v>Physical Route Runner</x:v>
      </x:c>
      <x:c r="E82" t="str">
        <x:v>Platinum Rare</x:v>
      </x:c>
      <x:c r="F82" s="46" t="n">
        <x:v>81.61</x:v>
      </x:c>
      <x:c r="G82" s="46" t="n">
        <x:v>49.28520667373278</x:v>
      </x:c>
      <x:c r="H82" t="str">
        <x:v>NEUTRAL</x:v>
      </x:c>
    </x:row>
    <x:row r="83">
      <x:c r="A83" t="n">
        <x:v>8</x:v>
      </x:c>
      <x:c r="B83" t="str">
        <x:v>Jamari Johnson</x:v>
      </x:c>
      <x:c r="C83" t="n">
        <x:v>85</x:v>
      </x:c>
      <x:c r="D83" t="str">
        <x:v>Physical Route Runner</x:v>
      </x:c>
      <x:c r="E83" t="str">
        <x:v>Core Rare</x:v>
      </x:c>
      <x:c r="F83" s="46" t="n">
        <x:v>81.61</x:v>
      </x:c>
      <x:c r="G83" s="46" t="n">
        <x:v>49.28520667373278</x:v>
      </x:c>
      <x:c r="H83" t="str">
        <x:v>NEUTRAL</x:v>
      </x:c>
    </x:row>
    <x:row r="84">
      <x:c r="A84" t="n">
        <x:v>9</x:v>
      </x:c>
      <x:c r="B84" t="str">
        <x:v>Dorian Fleming</x:v>
      </x:c>
      <x:c r="C84" t="n">
        <x:v>84</x:v>
      </x:c>
      <x:c r="D84" t="str">
        <x:v>Physical Route Runner</x:v>
      </x:c>
      <x:c r="E84" t="str">
        <x:v>Platinum Rare</x:v>
      </x:c>
      <x:c r="F84" s="46" t="n">
        <x:v>81.27</x:v>
      </x:c>
      <x:c r="G84" s="46" t="n">
        <x:v>47.162102365693016</x:v>
      </x:c>
      <x:c r="H84" t="str">
        <x:v>NEUTRAL</x:v>
      </x:c>
    </x:row>
    <x:row r="85">
      <x:c r="A85" t="n">
        <x:v>10</x:v>
      </x:c>
      <x:c r="B85" t="str">
        <x:v>Dylan Wade</x:v>
      </x:c>
      <x:c r="C85" t="n">
        <x:v>84</x:v>
      </x:c>
      <x:c r="D85" t="str">
        <x:v>Vertical Threat</x:v>
      </x:c>
      <x:c r="E85" t="str">
        <x:v>Platinum Rare</x:v>
      </x:c>
      <x:c r="F85" s="46" t="n">
        <x:v>81.15</x:v>
      </x:c>
      <x:c r="G85" s="46" t="n">
        <x:v>29.744566317662105</x:v>
      </x:c>
      <x:c r="H85" t="str">
        <x:v>OVR-EXPENSIVE / WEAK UTILITY</x:v>
      </x:c>
    </x:row>
  </x:sheetData>
  <x:mergeCells>
    <x:mergeCell ref="A1:J1"/>
    <x:mergeCell ref="A4:J4"/>
    <x:mergeCell ref="A18:J18"/>
    <x:mergeCell ref="A32:J32"/>
    <x:mergeCell ref="A46:J46"/>
    <x:mergeCell ref="A60:J60"/>
    <x:mergeCell ref="A74:J74"/>
  </x:mergeCells>
  <x:pageMargins left="0.7" right="0.7" top="0.75" bottom="0.75" header="0.3" footer="0.3"/>
</x:worksheet>
</file>

<file path=xl/worksheets/sheet26.xml><?xml version="1.0" encoding="utf-8"?>
<x:worksheet xmlns:x="http://schemas.openxmlformats.org/spreadsheetml/2006/main">
  <x:sheetFormatPr defaultRowHeight="15"/>
  <x:cols>
    <x:col min="1" max="1" width="18" hidden="0" customWidth="1"/>
    <x:col min="2" max="2" width="16" hidden="0" customWidth="1"/>
    <x:col min="3" max="3" width="22" hidden="0" customWidth="1"/>
    <x:col min="4" max="4" width="16" hidden="0" customWidth="1"/>
    <x:col min="5" max="5" width="16" hidden="0" customWidth="1"/>
    <x:col min="6" max="6" width="28" hidden="0" customWidth="1"/>
  </x:cols>
  <x:sheetData>
    <x:row r="1">
      <x:c r="A1" s="227" t="str">
        <x:v>TE Attribute Valuation Gap — Football Utility vs EA OVR Weighting</x:v>
      </x:c>
      <x:c r="B1" s="227"/>
      <x:c r="C1" s="227"/>
      <x:c r="D1" s="227"/>
      <x:c r="E1" s="227"/>
      <x:c r="F1" s="227"/>
    </x:row>
    <x:row r="3">
      <x:c r="A3" s="232" t="str">
        <x:v>Archetype</x:v>
      </x:c>
      <x:c r="B3" s="232" t="str">
        <x:v>Attribute</x:v>
      </x:c>
      <x:c r="C3" s="232" t="str">
        <x:v>Utility Weight</x:v>
      </x:c>
      <x:c r="D3" s="232" t="str">
        <x:v>EA OVR Weight</x:v>
      </x:c>
      <x:c r="E3" s="232" t="str">
        <x:v>Utility−EA Gap</x:v>
      </x:c>
      <x:c r="F3" s="232" t="str">
        <x:v>Interpretation</x:v>
      </x:c>
    </x:row>
    <x:row r="4">
      <x:c r="A4" t="str">
        <x:v>Gritty Possession</x:v>
      </x:c>
      <x:c r="B4" t="str">
        <x:v>ACC</x:v>
      </x:c>
      <x:c r="C4" s="74" t="n">
        <x:v>0.053200000000000004</x:v>
      </x:c>
      <x:c r="D4" s="74" t="n">
        <x:v>0.04</x:v>
      </x:c>
      <x:c r="E4" s="74" t="n">
        <x:v>0.013200000000000003</x:v>
      </x:c>
      <x:c r="F4" t="str">
        <x:v>ROUGHLY ALIGNED</x:v>
      </x:c>
    </x:row>
    <x:row r="5">
      <x:c r="A5" t="str">
        <x:v>Gritty Possession</x:v>
      </x:c>
      <x:c r="B5" t="str">
        <x:v>AGI</x:v>
      </x:c>
      <x:c r="C5" s="74" t="n">
        <x:v>0.0136</x:v>
      </x:c>
      <x:c r="D5" s="74" t="n">
        <x:v>0.03</x:v>
      </x:c>
      <x:c r="E5" s="74" t="n">
        <x:v>-0.016399999999999998</x:v>
      </x:c>
      <x:c r="F5" t="str">
        <x:v>ROUGHLY ALIGNED</x:v>
      </x:c>
    </x:row>
    <x:row r="6">
      <x:c r="A6" t="str">
        <x:v>Gritty Possession</x:v>
      </x:c>
      <x:c r="B6" t="str">
        <x:v>AWR</x:v>
      </x:c>
      <x:c r="C6" s="74" t="n">
        <x:v>0.046799999999999994</x:v>
      </x:c>
      <x:c r="D6" s="74" t="n">
        <x:v>0.09</x:v>
      </x:c>
      <x:c r="E6" s="74" t="n">
        <x:v>-0.0432</x:v>
      </x:c>
      <x:c r="F6" t="str">
        <x:v>OVERVALUED BY OVR</x:v>
      </x:c>
    </x:row>
    <x:row r="7">
      <x:c r="A7" t="str">
        <x:v>Gritty Possession</x:v>
      </x:c>
      <x:c r="B7" t="str">
        <x:v>BCV</x:v>
      </x:c>
      <x:c r="C7" s="74" t="n">
        <x:v>0.0064</x:v>
      </x:c>
      <x:c r="D7" s="74" t="n">
        <x:v>0.01</x:v>
      </x:c>
      <x:c r="E7" s="74" t="n">
        <x:v>-0.0036</x:v>
      </x:c>
      <x:c r="F7" t="str">
        <x:v>ROUGHLY ALIGNED</x:v>
      </x:c>
    </x:row>
    <x:row r="8">
      <x:c r="A8" t="str">
        <x:v>Gritty Possession</x:v>
      </x:c>
      <x:c r="B8" t="str">
        <x:v>BTK</x:v>
      </x:c>
      <x:c r="C8" s="74" t="n">
        <x:v>0.011200000000000002</x:v>
      </x:c>
      <x:c r="D8" s="74" t="n">
        <x:v>0.02</x:v>
      </x:c>
      <x:c r="E8" s="74" t="n">
        <x:v>-0.008799999999999999</x:v>
      </x:c>
      <x:c r="F8" t="str">
        <x:v>ROUGHLY ALIGNED</x:v>
      </x:c>
    </x:row>
    <x:row r="9">
      <x:c r="A9" t="str">
        <x:v>Gritty Possession</x:v>
      </x:c>
      <x:c r="B9" t="str">
        <x:v>CAR</x:v>
      </x:c>
      <x:c r="C9" s="74" t="n">
        <x:v>0.0048</x:v>
      </x:c>
      <x:c r="D9" s="74" t="n">
        <x:v>0</x:v>
      </x:c>
      <x:c r="E9" s="74" t="n">
        <x:v>0.0048</x:v>
      </x:c>
      <x:c r="F9" t="str">
        <x:v>ROUGHLY ALIGNED</x:v>
      </x:c>
    </x:row>
    <x:row r="10">
      <x:c r="A10" t="str">
        <x:v>Gritty Possession</x:v>
      </x:c>
      <x:c r="B10" t="str">
        <x:v>CIT</x:v>
      </x:c>
      <x:c r="C10" s="74" t="n">
        <x:v>0.0848</x:v>
      </x:c>
      <x:c r="D10" s="74" t="n">
        <x:v>0.14</x:v>
      </x:c>
      <x:c r="E10" s="74" t="n">
        <x:v>-0.05520000000000001</x:v>
      </x:c>
      <x:c r="F10" t="str">
        <x:v>OVERVALUED BY OVR</x:v>
      </x:c>
    </x:row>
    <x:row r="11">
      <x:c r="A11" t="str">
        <x:v>Gritty Possession</x:v>
      </x:c>
      <x:c r="B11" t="str">
        <x:v>COD</x:v>
      </x:c>
      <x:c r="C11" s="74" t="n">
        <x:v>0.0548</x:v>
      </x:c>
      <x:c r="D11" s="74" t="n">
        <x:v>0</x:v>
      </x:c>
      <x:c r="E11" s="74" t="n">
        <x:v>0.0548</x:v>
      </x:c>
      <x:c r="F11" t="str">
        <x:v>UNDERVALUED BY OVR</x:v>
      </x:c>
    </x:row>
    <x:row r="12">
      <x:c r="A12" t="str">
        <x:v>Gritty Possession</x:v>
      </x:c>
      <x:c r="B12" t="str">
        <x:v>CTH</x:v>
      </x:c>
      <x:c r="C12" s="74" t="n">
        <x:v>0.08779999999999999</x:v>
      </x:c>
      <x:c r="D12" s="74" t="n">
        <x:v>0.1</x:v>
      </x:c>
      <x:c r="E12" s="74" t="n">
        <x:v>-0.012200000000000016</x:v>
      </x:c>
      <x:c r="F12" t="str">
        <x:v>ROUGHLY ALIGNED</x:v>
      </x:c>
    </x:row>
    <x:row r="13">
      <x:c r="A13" t="str">
        <x:v>Gritty Possession</x:v>
      </x:c>
      <x:c r="B13" t="str">
        <x:v>DRR</x:v>
      </x:c>
      <x:c r="C13" s="74" t="n">
        <x:v>0.030400000000000003</x:v>
      </x:c>
      <x:c r="D13" s="74" t="n">
        <x:v>0</x:v>
      </x:c>
      <x:c r="E13" s="74" t="n">
        <x:v>0.030400000000000003</x:v>
      </x:c>
      <x:c r="F13" t="str">
        <x:v>UNDERVALUED BY OVR</x:v>
      </x:c>
    </x:row>
    <x:row r="14">
      <x:c r="A14" t="str">
        <x:v>Gritty Possession</x:v>
      </x:c>
      <x:c r="B14" t="str">
        <x:v>IBL</x:v>
      </x:c>
      <x:c r="C14" s="74" t="n">
        <x:v>0.0514</x:v>
      </x:c>
      <x:c r="D14" s="74" t="n">
        <x:v>0.04</x:v>
      </x:c>
      <x:c r="E14" s="74" t="n">
        <x:v>0.0114</x:v>
      </x:c>
      <x:c r="F14" t="str">
        <x:v>ROUGHLY ALIGNED</x:v>
      </x:c>
    </x:row>
    <x:row r="15">
      <x:c r="A15" t="str">
        <x:v>Gritty Possession</x:v>
      </x:c>
      <x:c r="B15" t="str">
        <x:v>JMP</x:v>
      </x:c>
      <x:c r="C15" s="74" t="n">
        <x:v>0.0184</x:v>
      </x:c>
      <x:c r="D15" s="74" t="n">
        <x:v>0</x:v>
      </x:c>
      <x:c r="E15" s="74" t="n">
        <x:v>0.0184</x:v>
      </x:c>
      <x:c r="F15" t="str">
        <x:v>ROUGHLY ALIGNED</x:v>
      </x:c>
    </x:row>
    <x:row r="16">
      <x:c r="A16" t="str">
        <x:v>Gritty Possession</x:v>
      </x:c>
      <x:c r="B16" t="str">
        <x:v>LBK</x:v>
      </x:c>
      <x:c r="C16" s="74" t="n">
        <x:v>0.028999999999999998</x:v>
      </x:c>
      <x:c r="D16" s="74" t="n">
        <x:v>0.02</x:v>
      </x:c>
      <x:c r="E16" s="74" t="n">
        <x:v>0.008999999999999998</x:v>
      </x:c>
      <x:c r="F16" t="str">
        <x:v>ROUGHLY ALIGNED</x:v>
      </x:c>
    </x:row>
    <x:row r="17">
      <x:c r="A17" t="str">
        <x:v>Gritty Possession</x:v>
      </x:c>
      <x:c r="B17" t="str">
        <x:v>MRR</x:v>
      </x:c>
      <x:c r="C17" s="74" t="n">
        <x:v>0.073</x:v>
      </x:c>
      <x:c r="D17" s="74" t="n">
        <x:v>0.06</x:v>
      </x:c>
      <x:c r="E17" s="74" t="n">
        <x:v>0.012999999999999998</x:v>
      </x:c>
      <x:c r="F17" t="str">
        <x:v>ROUGHLY ALIGNED</x:v>
      </x:c>
    </x:row>
    <x:row r="18">
      <x:c r="A18" t="str">
        <x:v>Gritty Possession</x:v>
      </x:c>
      <x:c r="B18" t="str">
        <x:v>PBF</x:v>
      </x:c>
      <x:c r="C18" s="74" t="n">
        <x:v>0.0156</x:v>
      </x:c>
      <x:c r="D18" s="74" t="n">
        <x:v>0.02</x:v>
      </x:c>
      <x:c r="E18" s="74" t="n">
        <x:v>-0.004400000000000001</x:v>
      </x:c>
      <x:c r="F18" t="str">
        <x:v>ROUGHLY ALIGNED</x:v>
      </x:c>
    </x:row>
    <x:row r="19">
      <x:c r="A19" t="str">
        <x:v>Gritty Possession</x:v>
      </x:c>
      <x:c r="B19" t="str">
        <x:v>PBK</x:v>
      </x:c>
      <x:c r="C19" s="74" t="n">
        <x:v>0.0334</x:v>
      </x:c>
      <x:c r="D19" s="74" t="n">
        <x:v>0.03</x:v>
      </x:c>
      <x:c r="E19" s="74" t="n">
        <x:v>0.0034000000000000002</x:v>
      </x:c>
      <x:c r="F19" t="str">
        <x:v>ROUGHLY ALIGNED</x:v>
      </x:c>
    </x:row>
    <x:row r="20">
      <x:c r="A20" t="str">
        <x:v>Gritty Possession</x:v>
      </x:c>
      <x:c r="B20" t="str">
        <x:v>PBP</x:v>
      </x:c>
      <x:c r="C20" s="74" t="n">
        <x:v>0.0156</x:v>
      </x:c>
      <x:c r="D20" s="74" t="n">
        <x:v>0.02</x:v>
      </x:c>
      <x:c r="E20" s="74" t="n">
        <x:v>-0.004400000000000001</x:v>
      </x:c>
      <x:c r="F20" t="str">
        <x:v>ROUGHLY ALIGNED</x:v>
      </x:c>
    </x:row>
    <x:row r="21">
      <x:c r="A21" t="str">
        <x:v>Gritty Possession</x:v>
      </x:c>
      <x:c r="B21" t="str">
        <x:v>RBF</x:v>
      </x:c>
      <x:c r="C21" s="74" t="n">
        <x:v>0.028999999999999998</x:v>
      </x:c>
      <x:c r="D21" s="74" t="n">
        <x:v>0.04</x:v>
      </x:c>
      <x:c r="E21" s="74" t="n">
        <x:v>-0.011000000000000003</x:v>
      </x:c>
      <x:c r="F21" t="str">
        <x:v>ROUGHLY ALIGNED</x:v>
      </x:c>
    </x:row>
    <x:row r="22">
      <x:c r="A22" t="str">
        <x:v>Gritty Possession</x:v>
      </x:c>
      <x:c r="B22" t="str">
        <x:v>RBK</x:v>
      </x:c>
      <x:c r="C22" s="74" t="n">
        <x:v>0.055799999999999995</x:v>
      </x:c>
      <x:c r="D22" s="74" t="n">
        <x:v>0.05</x:v>
      </x:c>
      <x:c r="E22" s="74" t="n">
        <x:v>0.005799999999999993</x:v>
      </x:c>
      <x:c r="F22" t="str">
        <x:v>ROUGHLY ALIGNED</x:v>
      </x:c>
    </x:row>
    <x:row r="23">
      <x:c r="A23" t="str">
        <x:v>Gritty Possession</x:v>
      </x:c>
      <x:c r="B23" t="str">
        <x:v>RBP</x:v>
      </x:c>
      <x:c r="C23" s="74" t="n">
        <x:v>0.028999999999999998</x:v>
      </x:c>
      <x:c r="D23" s="74" t="n">
        <x:v>0.04</x:v>
      </x:c>
      <x:c r="E23" s="74" t="n">
        <x:v>-0.011000000000000003</x:v>
      </x:c>
      <x:c r="F23" t="str">
        <x:v>ROUGHLY ALIGNED</x:v>
      </x:c>
    </x:row>
    <x:row r="24">
      <x:c r="A24" t="str">
        <x:v>Gritty Possession</x:v>
      </x:c>
      <x:c r="B24" t="str">
        <x:v>RLS</x:v>
      </x:c>
      <x:c r="C24" s="74" t="n">
        <x:v>0.0182</x:v>
      </x:c>
      <x:c r="D24" s="74" t="n">
        <x:v>0.02</x:v>
      </x:c>
      <x:c r="E24" s="74" t="n">
        <x:v>-0.0017999999999999995</x:v>
      </x:c>
      <x:c r="F24" t="str">
        <x:v>ROUGHLY ALIGNED</x:v>
      </x:c>
    </x:row>
    <x:row r="25">
      <x:c r="A25" t="str">
        <x:v>Gritty Possession</x:v>
      </x:c>
      <x:c r="B25" t="str">
        <x:v>SFA</x:v>
      </x:c>
      <x:c r="C25" s="74" t="n">
        <x:v>0.008</x:v>
      </x:c>
      <x:c r="D25" s="74" t="n">
        <x:v>0.02</x:v>
      </x:c>
      <x:c r="E25" s="74" t="n">
        <x:v>-0.012</x:v>
      </x:c>
      <x:c r="F25" t="str">
        <x:v>ROUGHLY ALIGNED</x:v>
      </x:c>
    </x:row>
    <x:row r="26">
      <x:c r="A26" t="str">
        <x:v>Gritty Possession</x:v>
      </x:c>
      <x:c r="B26" t="str">
        <x:v>SPC</x:v>
      </x:c>
      <x:c r="C26" s="74" t="n">
        <x:v>0.017</x:v>
      </x:c>
      <x:c r="D26" s="74" t="n">
        <x:v>0.01</x:v>
      </x:c>
      <x:c r="E26" s="74" t="n">
        <x:v>0.007000000000000001</x:v>
      </x:c>
      <x:c r="F26" t="str">
        <x:v>ROUGHLY ALIGNED</x:v>
      </x:c>
    </x:row>
    <x:row r="27">
      <x:c r="A27" t="str">
        <x:v>Gritty Possession</x:v>
      </x:c>
      <x:c r="B27" t="str">
        <x:v>SPD</x:v>
      </x:c>
      <x:c r="C27" s="74" t="n">
        <x:v>0.08679999999999999</x:v>
      </x:c>
      <x:c r="D27" s="74" t="n">
        <x:v>0.03</x:v>
      </x:c>
      <x:c r="E27" s="74" t="n">
        <x:v>0.05679999999999999</x:v>
      </x:c>
      <x:c r="F27" t="str">
        <x:v>UNDERVALUED BY OVR</x:v>
      </x:c>
    </x:row>
    <x:row r="28">
      <x:c r="A28" t="str">
        <x:v>Gritty Possession</x:v>
      </x:c>
      <x:c r="B28" t="str">
        <x:v>SRR</x:v>
      </x:c>
      <x:c r="C28" s="74" t="n">
        <x:v>0.06</x:v>
      </x:c>
      <x:c r="D28" s="74" t="n">
        <x:v>0.12</x:v>
      </x:c>
      <x:c r="E28" s="74" t="n">
        <x:v>-0.06</x:v>
      </x:c>
      <x:c r="F28" t="str">
        <x:v>OVERVALUED BY OVR</x:v>
      </x:c>
    </x:row>
    <x:row r="29">
      <x:c r="A29" t="str">
        <x:v>Gritty Possession</x:v>
      </x:c>
      <x:c r="B29" t="str">
        <x:v>STR</x:v>
      </x:c>
      <x:c r="C29" s="74" t="n">
        <x:v>0.049</x:v>
      </x:c>
      <x:c r="D29" s="74" t="n">
        <x:v>0.04</x:v>
      </x:c>
      <x:c r="E29" s="74" t="n">
        <x:v>0.009000000000000001</x:v>
      </x:c>
      <x:c r="F29" t="str">
        <x:v>ROUGHLY ALIGNED</x:v>
      </x:c>
    </x:row>
    <x:row r="30">
      <x:c r="A30" t="str">
        <x:v>Gritty Possession</x:v>
      </x:c>
      <x:c r="B30" t="str">
        <x:v>TGH</x:v>
      </x:c>
      <x:c r="C30" s="74" t="n">
        <x:v>0.009</x:v>
      </x:c>
      <x:c r="D30" s="74" t="n">
        <x:v>0</x:v>
      </x:c>
      <x:c r="E30" s="74" t="n">
        <x:v>0.009</x:v>
      </x:c>
      <x:c r="F30" t="str">
        <x:v>ROUGHLY ALIGNED</x:v>
      </x:c>
    </x:row>
    <x:row r="31">
      <x:c r="A31" t="str">
        <x:v>Gritty Possession</x:v>
      </x:c>
      <x:c r="B31" t="str">
        <x:v>TRK</x:v>
      </x:c>
      <x:c r="C31" s="74" t="n">
        <x:v>0.008</x:v>
      </x:c>
      <x:c r="D31" s="74" t="n">
        <x:v>0.01</x:v>
      </x:c>
      <x:c r="E31" s="74" t="n">
        <x:v>-0.002</x:v>
      </x:c>
      <x:c r="F31" t="str">
        <x:v>ROUGHLY ALIGNED</x:v>
      </x:c>
    </x:row>
    <x:row r="32">
      <x:c r="A32" t="str">
        <x:v>Vertical Threat</x:v>
      </x:c>
      <x:c r="B32" t="str">
        <x:v>ACC</x:v>
      </x:c>
      <x:c r="C32" s="74" t="n">
        <x:v>0.053200000000000004</x:v>
      </x:c>
      <x:c r="D32" s="74" t="n">
        <x:v>0.06796116504854369</x:v>
      </x:c>
      <x:c r="E32" s="74" t="n">
        <x:v>-0.014761165048543683</x:v>
      </x:c>
      <x:c r="F32" t="str">
        <x:v>ROUGHLY ALIGNED</x:v>
      </x:c>
    </x:row>
    <x:row r="33">
      <x:c r="A33" t="str">
        <x:v>Vertical Threat</x:v>
      </x:c>
      <x:c r="B33" t="str">
        <x:v>AGI</x:v>
      </x:c>
      <x:c r="C33" s="74" t="n">
        <x:v>0.0136</x:v>
      </x:c>
      <x:c r="D33" s="74" t="n">
        <x:v>0.038834951456310676</x:v>
      </x:c>
      <x:c r="E33" s="74" t="n">
        <x:v>-0.025234951456310675</x:v>
      </x:c>
      <x:c r="F33" t="str">
        <x:v>OVERVALUED BY OVR</x:v>
      </x:c>
    </x:row>
    <x:row r="34">
      <x:c r="A34" t="str">
        <x:v>Vertical Threat</x:v>
      </x:c>
      <x:c r="B34" t="str">
        <x:v>AWR</x:v>
      </x:c>
      <x:c r="C34" s="74" t="n">
        <x:v>0.046799999999999994</x:v>
      </x:c>
      <x:c r="D34" s="74" t="n">
        <x:v>0.08737864077669903</x:v>
      </x:c>
      <x:c r="E34" s="74" t="n">
        <x:v>-0.04057864077669904</x:v>
      </x:c>
      <x:c r="F34" t="str">
        <x:v>OVERVALUED BY OVR</x:v>
      </x:c>
    </x:row>
    <x:row r="35">
      <x:c r="A35" t="str">
        <x:v>Vertical Threat</x:v>
      </x:c>
      <x:c r="B35" t="str">
        <x:v>BCV</x:v>
      </x:c>
      <x:c r="C35" s="74" t="n">
        <x:v>0.0064</x:v>
      </x:c>
      <x:c r="D35" s="74" t="n">
        <x:v>0.019417475728155338</x:v>
      </x:c>
      <x:c r="E35" s="74" t="n">
        <x:v>-0.013017475728155339</x:v>
      </x:c>
      <x:c r="F35" t="str">
        <x:v>ROUGHLY ALIGNED</x:v>
      </x:c>
    </x:row>
    <x:row r="36">
      <x:c r="A36" t="str">
        <x:v>Vertical Threat</x:v>
      </x:c>
      <x:c r="B36" t="str">
        <x:v>BTK</x:v>
      </x:c>
      <x:c r="C36" s="74" t="n">
        <x:v>0.011200000000000002</x:v>
      </x:c>
      <x:c r="D36" s="74" t="n">
        <x:v>0.02912621359223301</x:v>
      </x:c>
      <x:c r="E36" s="74" t="n">
        <x:v>-0.01792621359223301</x:v>
      </x:c>
      <x:c r="F36" t="str">
        <x:v>ROUGHLY ALIGNED</x:v>
      </x:c>
    </x:row>
    <x:row r="37">
      <x:c r="A37" t="str">
        <x:v>Vertical Threat</x:v>
      </x:c>
      <x:c r="B37" t="str">
        <x:v>CAR</x:v>
      </x:c>
      <x:c r="C37" s="74" t="n">
        <x:v>0.0048</x:v>
      </x:c>
      <x:c r="D37" s="74" t="n">
        <x:v>0</x:v>
      </x:c>
      <x:c r="E37" s="74" t="n">
        <x:v>0.0048</x:v>
      </x:c>
      <x:c r="F37" t="str">
        <x:v>ROUGHLY ALIGNED</x:v>
      </x:c>
    </x:row>
    <x:row r="38">
      <x:c r="A38" t="str">
        <x:v>Vertical Threat</x:v>
      </x:c>
      <x:c r="B38" t="str">
        <x:v>CIT</x:v>
      </x:c>
      <x:c r="C38" s="74" t="n">
        <x:v>0.0848</x:v>
      </x:c>
      <x:c r="D38" s="74" t="n">
        <x:v>0.07766990291262135</x:v>
      </x:c>
      <x:c r="E38" s="74" t="n">
        <x:v>0.007130097087378648</x:v>
      </x:c>
      <x:c r="F38" t="str">
        <x:v>ROUGHLY ALIGNED</x:v>
      </x:c>
    </x:row>
    <x:row r="39">
      <x:c r="A39" t="str">
        <x:v>Vertical Threat</x:v>
      </x:c>
      <x:c r="B39" t="str">
        <x:v>COD</x:v>
      </x:c>
      <x:c r="C39" s="74" t="n">
        <x:v>0.0548</x:v>
      </x:c>
      <x:c r="D39" s="74" t="n">
        <x:v>0</x:v>
      </x:c>
      <x:c r="E39" s="74" t="n">
        <x:v>0.0548</x:v>
      </x:c>
      <x:c r="F39" t="str">
        <x:v>UNDERVALUED BY OVR</x:v>
      </x:c>
    </x:row>
    <x:row r="40">
      <x:c r="A40" t="str">
        <x:v>Vertical Threat</x:v>
      </x:c>
      <x:c r="B40" t="str">
        <x:v>CTH</x:v>
      </x:c>
      <x:c r="C40" s="74" t="n">
        <x:v>0.08779999999999999</x:v>
      </x:c>
      <x:c r="D40" s="74" t="n">
        <x:v>0.10679611650485436</x:v>
      </x:c>
      <x:c r="E40" s="74" t="n">
        <x:v>-0.018996116504854374</x:v>
      </x:c>
      <x:c r="F40" t="str">
        <x:v>ROUGHLY ALIGNED</x:v>
      </x:c>
    </x:row>
    <x:row r="41">
      <x:c r="A41" t="str">
        <x:v>Vertical Threat</x:v>
      </x:c>
      <x:c r="B41" t="str">
        <x:v>DRR</x:v>
      </x:c>
      <x:c r="C41" s="74" t="n">
        <x:v>0.030400000000000003</x:v>
      </x:c>
      <x:c r="D41" s="74" t="n">
        <x:v>0.04854368932038835</x:v>
      </x:c>
      <x:c r="E41" s="74" t="n">
        <x:v>-0.018143689320388345</x:v>
      </x:c>
      <x:c r="F41" t="str">
        <x:v>ROUGHLY ALIGNED</x:v>
      </x:c>
    </x:row>
    <x:row r="42">
      <x:c r="A42" t="str">
        <x:v>Vertical Threat</x:v>
      </x:c>
      <x:c r="B42" t="str">
        <x:v>IBL</x:v>
      </x:c>
      <x:c r="C42" s="74" t="n">
        <x:v>0.0514</x:v>
      </x:c>
      <x:c r="D42" s="74" t="n">
        <x:v>0.02912621359223301</x:v>
      </x:c>
      <x:c r="E42" s="74" t="n">
        <x:v>0.02227378640776699</x:v>
      </x:c>
      <x:c r="F42" t="str">
        <x:v>ROUGHLY ALIGNED</x:v>
      </x:c>
    </x:row>
    <x:row r="43">
      <x:c r="A43" t="str">
        <x:v>Vertical Threat</x:v>
      </x:c>
      <x:c r="B43" t="str">
        <x:v>JMP</x:v>
      </x:c>
      <x:c r="C43" s="74" t="n">
        <x:v>0.0184</x:v>
      </x:c>
      <x:c r="D43" s="74" t="n">
        <x:v>0.02912621359223301</x:v>
      </x:c>
      <x:c r="E43" s="74" t="n">
        <x:v>-0.010726213592233011</x:v>
      </x:c>
      <x:c r="F43" t="str">
        <x:v>ROUGHLY ALIGNED</x:v>
      </x:c>
    </x:row>
    <x:row r="44">
      <x:c r="A44" t="str">
        <x:v>Vertical Threat</x:v>
      </x:c>
      <x:c r="B44" t="str">
        <x:v>LBK</x:v>
      </x:c>
      <x:c r="C44" s="74" t="n">
        <x:v>0.028999999999999998</x:v>
      </x:c>
      <x:c r="D44" s="74" t="n">
        <x:v>0.019417475728155338</x:v>
      </x:c>
      <x:c r="E44" s="74" t="n">
        <x:v>0.00958252427184466</x:v>
      </x:c>
      <x:c r="F44" t="str">
        <x:v>ROUGHLY ALIGNED</x:v>
      </x:c>
    </x:row>
    <x:row r="45">
      <x:c r="A45" t="str">
        <x:v>Vertical Threat</x:v>
      </x:c>
      <x:c r="B45" t="str">
        <x:v>MRR</x:v>
      </x:c>
      <x:c r="C45" s="74" t="n">
        <x:v>0.073</x:v>
      </x:c>
      <x:c r="D45" s="74" t="n">
        <x:v>0.08737864077669903</x:v>
      </x:c>
      <x:c r="E45" s="74" t="n">
        <x:v>-0.014378640776699037</x:v>
      </x:c>
      <x:c r="F45" t="str">
        <x:v>ROUGHLY ALIGNED</x:v>
      </x:c>
    </x:row>
    <x:row r="46">
      <x:c r="A46" t="str">
        <x:v>Vertical Threat</x:v>
      </x:c>
      <x:c r="B46" t="str">
        <x:v>PBF</x:v>
      </x:c>
      <x:c r="C46" s="74" t="n">
        <x:v>0.0156</x:v>
      </x:c>
      <x:c r="D46" s="74" t="n">
        <x:v>0.009708737864077669</x:v>
      </x:c>
      <x:c r="E46" s="74" t="n">
        <x:v>0.00589126213592233</x:v>
      </x:c>
      <x:c r="F46" t="str">
        <x:v>ROUGHLY ALIGNED</x:v>
      </x:c>
    </x:row>
    <x:row r="47">
      <x:c r="A47" t="str">
        <x:v>Vertical Threat</x:v>
      </x:c>
      <x:c r="B47" t="str">
        <x:v>PBK</x:v>
      </x:c>
      <x:c r="C47" s="74" t="n">
        <x:v>0.0334</x:v>
      </x:c>
      <x:c r="D47" s="74" t="n">
        <x:v>0.019417475728155338</x:v>
      </x:c>
      <x:c r="E47" s="74" t="n">
        <x:v>0.013982524271844661</x:v>
      </x:c>
      <x:c r="F47" t="str">
        <x:v>ROUGHLY ALIGNED</x:v>
      </x:c>
    </x:row>
    <x:row r="48">
      <x:c r="A48" t="str">
        <x:v>Vertical Threat</x:v>
      </x:c>
      <x:c r="B48" t="str">
        <x:v>PBP</x:v>
      </x:c>
      <x:c r="C48" s="74" t="n">
        <x:v>0.0156</x:v>
      </x:c>
      <x:c r="D48" s="74" t="n">
        <x:v>0.009708737864077669</x:v>
      </x:c>
      <x:c r="E48" s="74" t="n">
        <x:v>0.00589126213592233</x:v>
      </x:c>
      <x:c r="F48" t="str">
        <x:v>ROUGHLY ALIGNED</x:v>
      </x:c>
    </x:row>
    <x:row r="49">
      <x:c r="A49" t="str">
        <x:v>Vertical Threat</x:v>
      </x:c>
      <x:c r="B49" t="str">
        <x:v>RBF</x:v>
      </x:c>
      <x:c r="C49" s="74" t="n">
        <x:v>0.028999999999999998</x:v>
      </x:c>
      <x:c r="D49" s="74" t="n">
        <x:v>0.02912621359223301</x:v>
      </x:c>
      <x:c r="E49" s="74" t="n">
        <x:v>-0.00012621359223301265</x:v>
      </x:c>
      <x:c r="F49" t="str">
        <x:v>ROUGHLY ALIGNED</x:v>
      </x:c>
    </x:row>
    <x:row r="50">
      <x:c r="A50" t="str">
        <x:v>Vertical Threat</x:v>
      </x:c>
      <x:c r="B50" t="str">
        <x:v>RBK</x:v>
      </x:c>
      <x:c r="C50" s="74" t="n">
        <x:v>0.055799999999999995</x:v>
      </x:c>
      <x:c r="D50" s="74" t="n">
        <x:v>0.02912621359223301</x:v>
      </x:c>
      <x:c r="E50" s="74" t="n">
        <x:v>0.026673786407766985</x:v>
      </x:c>
      <x:c r="F50" t="str">
        <x:v>UNDERVALUED BY OVR</x:v>
      </x:c>
    </x:row>
    <x:row r="51">
      <x:c r="A51" t="str">
        <x:v>Vertical Threat</x:v>
      </x:c>
      <x:c r="B51" t="str">
        <x:v>RBP</x:v>
      </x:c>
      <x:c r="C51" s="74" t="n">
        <x:v>0.028999999999999998</x:v>
      </x:c>
      <x:c r="D51" s="74" t="n">
        <x:v>0.02912621359223301</x:v>
      </x:c>
      <x:c r="E51" s="74" t="n">
        <x:v>-0.00012621359223301265</x:v>
      </x:c>
      <x:c r="F51" t="str">
        <x:v>ROUGHLY ALIGNED</x:v>
      </x:c>
    </x:row>
    <x:row r="52">
      <x:c r="A52" t="str">
        <x:v>Vertical Threat</x:v>
      </x:c>
      <x:c r="B52" t="str">
        <x:v>RLS</x:v>
      </x:c>
      <x:c r="C52" s="74" t="n">
        <x:v>0.0182</x:v>
      </x:c>
      <x:c r="D52" s="74" t="n">
        <x:v>0.02912621359223301</x:v>
      </x:c>
      <x:c r="E52" s="74" t="n">
        <x:v>-0.01092621359223301</x:v>
      </x:c>
      <x:c r="F52" t="str">
        <x:v>ROUGHLY ALIGNED</x:v>
      </x:c>
    </x:row>
    <x:row r="53">
      <x:c r="A53" t="str">
        <x:v>Vertical Threat</x:v>
      </x:c>
      <x:c r="B53" t="str">
        <x:v>SFA</x:v>
      </x:c>
      <x:c r="C53" s="74" t="n">
        <x:v>0.008</x:v>
      </x:c>
      <x:c r="D53" s="74" t="n">
        <x:v>0.019417475728155338</x:v>
      </x:c>
      <x:c r="E53" s="74" t="n">
        <x:v>-0.011417475728155338</x:v>
      </x:c>
      <x:c r="F53" t="str">
        <x:v>ROUGHLY ALIGNED</x:v>
      </x:c>
    </x:row>
    <x:row r="54">
      <x:c r="A54" t="str">
        <x:v>Vertical Threat</x:v>
      </x:c>
      <x:c r="B54" t="str">
        <x:v>SPC</x:v>
      </x:c>
      <x:c r="C54" s="74" t="n">
        <x:v>0.017</x:v>
      </x:c>
      <x:c r="D54" s="74" t="n">
        <x:v>0.038834951456310676</x:v>
      </x:c>
      <x:c r="E54" s="74" t="n">
        <x:v>-0.021834951456310675</x:v>
      </x:c>
      <x:c r="F54" t="str">
        <x:v>ROUGHLY ALIGNED</x:v>
      </x:c>
    </x:row>
    <x:row r="55">
      <x:c r="A55" t="str">
        <x:v>Vertical Threat</x:v>
      </x:c>
      <x:c r="B55" t="str">
        <x:v>SPD</x:v>
      </x:c>
      <x:c r="C55" s="74" t="n">
        <x:v>0.08679999999999999</x:v>
      </x:c>
      <x:c r="D55" s="74" t="n">
        <x:v>0.06796116504854369</x:v>
      </x:c>
      <x:c r="E55" s="74" t="n">
        <x:v>0.0188388349514563</x:v>
      </x:c>
      <x:c r="F55" t="str">
        <x:v>ROUGHLY ALIGNED</x:v>
      </x:c>
    </x:row>
    <x:row r="56">
      <x:c r="A56" t="str">
        <x:v>Vertical Threat</x:v>
      </x:c>
      <x:c r="B56" t="str">
        <x:v>SRR</x:v>
      </x:c>
      <x:c r="C56" s="74" t="n">
        <x:v>0.06</x:v>
      </x:c>
      <x:c r="D56" s="74" t="n">
        <x:v>0.06796116504854369</x:v>
      </x:c>
      <x:c r="E56" s="74" t="n">
        <x:v>-0.007961165048543689</x:v>
      </x:c>
      <x:c r="F56" t="str">
        <x:v>ROUGHLY ALIGNED</x:v>
      </x:c>
    </x:row>
    <x:row r="57">
      <x:c r="A57" t="str">
        <x:v>Vertical Threat</x:v>
      </x:c>
      <x:c r="B57" t="str">
        <x:v>STR</x:v>
      </x:c>
      <x:c r="C57" s="74" t="n">
        <x:v>0.049</x:v>
      </x:c>
      <x:c r="D57" s="74" t="n">
        <x:v>0</x:v>
      </x:c>
      <x:c r="E57" s="74" t="n">
        <x:v>0.049</x:v>
      </x:c>
      <x:c r="F57" t="str">
        <x:v>UNDERVALUED BY OVR</x:v>
      </x:c>
    </x:row>
    <x:row r="58">
      <x:c r="A58" t="str">
        <x:v>Vertical Threat</x:v>
      </x:c>
      <x:c r="B58" t="str">
        <x:v>TGH</x:v>
      </x:c>
      <x:c r="C58" s="74" t="n">
        <x:v>0.009</x:v>
      </x:c>
      <x:c r="D58" s="74" t="n">
        <x:v>0</x:v>
      </x:c>
      <x:c r="E58" s="74" t="n">
        <x:v>0.009</x:v>
      </x:c>
      <x:c r="F58" t="str">
        <x:v>ROUGHLY ALIGNED</x:v>
      </x:c>
    </x:row>
    <x:row r="59">
      <x:c r="A59" t="str">
        <x:v>Vertical Threat</x:v>
      </x:c>
      <x:c r="B59" t="str">
        <x:v>TRK</x:v>
      </x:c>
      <x:c r="C59" s="74" t="n">
        <x:v>0.008</x:v>
      </x:c>
      <x:c r="D59" s="74" t="n">
        <x:v>0.009708737864077669</x:v>
      </x:c>
      <x:c r="E59" s="74" t="n">
        <x:v>-0.001708737864077669</x:v>
      </x:c>
      <x:c r="F59" t="str">
        <x:v>ROUGHLY ALIGNED</x:v>
      </x:c>
    </x:row>
    <x:row r="60">
      <x:c r="A60" t="str">
        <x:v>Physical Route Runner</x:v>
      </x:c>
      <x:c r="B60" t="str">
        <x:v>ACC</x:v>
      </x:c>
      <x:c r="C60" s="74" t="n">
        <x:v>0.053200000000000004</x:v>
      </x:c>
      <x:c r="D60" s="74" t="n">
        <x:v>0.06231428571428571</x:v>
      </x:c>
      <x:c r="E60" s="74" t="n">
        <x:v>-0.009114285714285707</x:v>
      </x:c>
      <x:c r="F60" t="str">
        <x:v>ROUGHLY ALIGNED</x:v>
      </x:c>
    </x:row>
    <x:row r="61">
      <x:c r="A61" t="str">
        <x:v>Physical Route Runner</x:v>
      </x:c>
      <x:c r="B61" t="str">
        <x:v>AGI</x:v>
      </x:c>
      <x:c r="C61" s="74" t="n">
        <x:v>0.0136</x:v>
      </x:c>
      <x:c r="D61" s="74" t="n">
        <x:v>0.037679591836734694</x:v>
      </x:c>
      <x:c r="E61" s="74" t="n">
        <x:v>-0.024079591836734693</x:v>
      </x:c>
      <x:c r="F61" t="str">
        <x:v>ROUGHLY ALIGNED</x:v>
      </x:c>
    </x:row>
    <x:row r="62">
      <x:c r="A62" t="str">
        <x:v>Physical Route Runner</x:v>
      </x:c>
      <x:c r="B62" t="str">
        <x:v>AWR</x:v>
      </x:c>
      <x:c r="C62" s="74" t="n">
        <x:v>0.046799999999999994</x:v>
      </x:c>
      <x:c r="D62" s="74" t="n">
        <x:v>0.09130408163265306</x:v>
      </x:c>
      <x:c r="E62" s="74" t="n">
        <x:v>-0.04450408163265307</x:v>
      </x:c>
      <x:c r="F62" t="str">
        <x:v>OVERVALUED BY OVR</x:v>
      </x:c>
    </x:row>
    <x:row r="63">
      <x:c r="A63" t="str">
        <x:v>Physical Route Runner</x:v>
      </x:c>
      <x:c r="B63" t="str">
        <x:v>BCV</x:v>
      </x:c>
      <x:c r="C63" s="74" t="n">
        <x:v>0.0064</x:v>
      </x:c>
      <x:c r="D63" s="74" t="n">
        <x:v>0.017389795918367347</x:v>
      </x:c>
      <x:c r="E63" s="74" t="n">
        <x:v>-0.010989795918367348</x:v>
      </x:c>
      <x:c r="F63" t="str">
        <x:v>ROUGHLY ALIGNED</x:v>
      </x:c>
    </x:row>
    <x:row r="64">
      <x:c r="A64" t="str">
        <x:v>Physical Route Runner</x:v>
      </x:c>
      <x:c r="B64" t="str">
        <x:v>BTK</x:v>
      </x:c>
      <x:c r="C64" s="74" t="n">
        <x:v>0.011200000000000002</x:v>
      </x:c>
      <x:c r="D64" s="74" t="n">
        <x:v>0.027534693877551017</x:v>
      </x:c>
      <x:c r="E64" s="74" t="n">
        <x:v>-0.016334693877551015</x:v>
      </x:c>
      <x:c r="F64" t="str">
        <x:v>ROUGHLY ALIGNED</x:v>
      </x:c>
    </x:row>
    <x:row r="65">
      <x:c r="A65" t="str">
        <x:v>Physical Route Runner</x:v>
      </x:c>
      <x:c r="B65" t="str">
        <x:v>CAR</x:v>
      </x:c>
      <x:c r="C65" s="74" t="n">
        <x:v>0.0048</x:v>
      </x:c>
      <x:c r="D65" s="74" t="n">
        <x:v>0</x:v>
      </x:c>
      <x:c r="E65" s="74" t="n">
        <x:v>0.0048</x:v>
      </x:c>
      <x:c r="F65" t="str">
        <x:v>ROUGHLY ALIGNED</x:v>
      </x:c>
    </x:row>
    <x:row r="66">
      <x:c r="A66" t="str">
        <x:v>Physical Route Runner</x:v>
      </x:c>
      <x:c r="B66" t="str">
        <x:v>CIT</x:v>
      </x:c>
      <x:c r="C66" s="74" t="n">
        <x:v>0.0848</x:v>
      </x:c>
      <x:c r="D66" s="74" t="n">
        <x:v>0.09855918367346939</x:v>
      </x:c>
      <x:c r="E66" s="74" t="n">
        <x:v>-0.013759183673469386</x:v>
      </x:c>
      <x:c r="F66" t="str">
        <x:v>ROUGHLY ALIGNED</x:v>
      </x:c>
    </x:row>
    <x:row r="67">
      <x:c r="A67" t="str">
        <x:v>Physical Route Runner</x:v>
      </x:c>
      <x:c r="B67" t="str">
        <x:v>COD</x:v>
      </x:c>
      <x:c r="C67" s="74" t="n">
        <x:v>0.0548</x:v>
      </x:c>
      <x:c r="D67" s="74" t="n">
        <x:v>0</x:v>
      </x:c>
      <x:c r="E67" s="74" t="n">
        <x:v>0.0548</x:v>
      </x:c>
      <x:c r="F67" t="str">
        <x:v>UNDERVALUED BY OVR</x:v>
      </x:c>
    </x:row>
    <x:row r="68">
      <x:c r="A68" t="str">
        <x:v>Physical Route Runner</x:v>
      </x:c>
      <x:c r="B68" t="str">
        <x:v>CTH</x:v>
      </x:c>
      <x:c r="C68" s="74" t="n">
        <x:v>0.08779999999999999</x:v>
      </x:c>
      <x:c r="D68" s="74" t="n">
        <x:v>0.1086938775510204</x:v>
      </x:c>
      <x:c r="E68" s="74" t="n">
        <x:v>-0.020893877551020415</x:v>
      </x:c>
      <x:c r="F68" t="str">
        <x:v>ROUGHLY ALIGNED</x:v>
      </x:c>
    </x:row>
    <x:row r="69">
      <x:c r="A69" t="str">
        <x:v>Physical Route Runner</x:v>
      </x:c>
      <x:c r="B69" t="str">
        <x:v>DRR</x:v>
      </x:c>
      <x:c r="C69" s="74" t="n">
        <x:v>0.030400000000000003</x:v>
      </x:c>
      <x:c r="D69" s="74" t="n">
        <x:v>0.036224489795918365</x:v>
      </x:c>
      <x:c r="E69" s="74" t="n">
        <x:v>-0.005824489795918361</x:v>
      </x:c>
      <x:c r="F69" t="str">
        <x:v>ROUGHLY ALIGNED</x:v>
      </x:c>
    </x:row>
    <x:row r="70">
      <x:c r="A70" t="str">
        <x:v>Physical Route Runner</x:v>
      </x:c>
      <x:c r="B70" t="str">
        <x:v>IBL</x:v>
      </x:c>
      <x:c r="C70" s="74" t="n">
        <x:v>0.0514</x:v>
      </x:c>
      <x:c r="D70" s="74" t="n">
        <x:v>0.0116</x:v>
      </x:c>
      <x:c r="E70" s="74" t="n">
        <x:v>0.0398</x:v>
      </x:c>
      <x:c r="F70" t="str">
        <x:v>UNDERVALUED BY OVR</x:v>
      </x:c>
    </x:row>
    <x:row r="71">
      <x:c r="A71" t="str">
        <x:v>Physical Route Runner</x:v>
      </x:c>
      <x:c r="B71" t="str">
        <x:v>JMP</x:v>
      </x:c>
      <x:c r="C71" s="74" t="n">
        <x:v>0.0184</x:v>
      </x:c>
      <x:c r="D71" s="74" t="n">
        <x:v>0.021734693877551017</x:v>
      </x:c>
      <x:c r="E71" s="74" t="n">
        <x:v>-0.0033346938775510176</x:v>
      </x:c>
      <x:c r="F71" t="str">
        <x:v>ROUGHLY ALIGNED</x:v>
      </x:c>
    </x:row>
    <x:row r="72">
      <x:c r="A72" t="str">
        <x:v>Physical Route Runner</x:v>
      </x:c>
      <x:c r="B72" t="str">
        <x:v>LBK</x:v>
      </x:c>
      <x:c r="C72" s="74" t="n">
        <x:v>0.028999999999999998</x:v>
      </x:c>
      <x:c r="D72" s="74" t="n">
        <x:v>0.0058</x:v>
      </x:c>
      <x:c r="E72" s="74" t="n">
        <x:v>0.0232</x:v>
      </x:c>
      <x:c r="F72" t="str">
        <x:v>ROUGHLY ALIGNED</x:v>
      </x:c>
    </x:row>
    <x:row r="73">
      <x:c r="A73" t="str">
        <x:v>Physical Route Runner</x:v>
      </x:c>
      <x:c r="B73" t="str">
        <x:v>MRR</x:v>
      </x:c>
      <x:c r="C73" s="74" t="n">
        <x:v>0.073</x:v>
      </x:c>
      <x:c r="D73" s="74" t="n">
        <x:v>0.08260408163265306</x:v>
      </x:c>
      <x:c r="E73" s="74" t="n">
        <x:v>-0.00960408163265307</x:v>
      </x:c>
      <x:c r="F73" t="str">
        <x:v>ROUGHLY ALIGNED</x:v>
      </x:c>
    </x:row>
    <x:row r="74">
      <x:c r="A74" t="str">
        <x:v>Physical Route Runner</x:v>
      </x:c>
      <x:c r="B74" t="str">
        <x:v>PBF</x:v>
      </x:c>
      <x:c r="C74" s="74" t="n">
        <x:v>0.0156</x:v>
      </x:c>
      <x:c r="D74" s="74" t="n">
        <x:v>0.013044897959183673</x:v>
      </x:c>
      <x:c r="E74" s="74" t="n">
        <x:v>0.002555102040816326</x:v>
      </x:c>
      <x:c r="F74" t="str">
        <x:v>ROUGHLY ALIGNED</x:v>
      </x:c>
    </x:row>
    <x:row r="75">
      <x:c r="A75" t="str">
        <x:v>Physical Route Runner</x:v>
      </x:c>
      <x:c r="B75" t="str">
        <x:v>PBK</x:v>
      </x:c>
      <x:c r="C75" s="74" t="n">
        <x:v>0.0334</x:v>
      </x:c>
      <x:c r="D75" s="74" t="n">
        <x:v>0.023189795918367347</x:v>
      </x:c>
      <x:c r="E75" s="74" t="n">
        <x:v>0.010210204081632653</x:v>
      </x:c>
      <x:c r="F75" t="str">
        <x:v>ROUGHLY ALIGNED</x:v>
      </x:c>
    </x:row>
    <x:row r="76">
      <x:c r="A76" t="str">
        <x:v>Physical Route Runner</x:v>
      </x:c>
      <x:c r="B76" t="str">
        <x:v>PBP</x:v>
      </x:c>
      <x:c r="C76" s="74" t="n">
        <x:v>0.0156</x:v>
      </x:c>
      <x:c r="D76" s="74" t="n">
        <x:v>0.013044897959183673</x:v>
      </x:c>
      <x:c r="E76" s="74" t="n">
        <x:v>0.002555102040816326</x:v>
      </x:c>
      <x:c r="F76" t="str">
        <x:v>ROUGHLY ALIGNED</x:v>
      </x:c>
    </x:row>
    <x:row r="77">
      <x:c r="A77" t="str">
        <x:v>Physical Route Runner</x:v>
      </x:c>
      <x:c r="B77" t="str">
        <x:v>RBF</x:v>
      </x:c>
      <x:c r="C77" s="74" t="n">
        <x:v>0.028999999999999998</x:v>
      </x:c>
      <x:c r="D77" s="74" t="n">
        <x:v>0.03333469387755102</x:v>
      </x:c>
      <x:c r="E77" s="74" t="n">
        <x:v>-0.0043346938775510185</x:v>
      </x:c>
      <x:c r="F77" t="str">
        <x:v>ROUGHLY ALIGNED</x:v>
      </x:c>
    </x:row>
    <x:row r="78">
      <x:c r="A78" t="str">
        <x:v>Physical Route Runner</x:v>
      </x:c>
      <x:c r="B78" t="str">
        <x:v>RBK</x:v>
      </x:c>
      <x:c r="C78" s="74" t="n">
        <x:v>0.055799999999999995</x:v>
      </x:c>
      <x:c r="D78" s="74" t="n">
        <x:v>0.036234693877551016</x:v>
      </x:c>
      <x:c r="E78" s="74" t="n">
        <x:v>0.01956530612244898</x:v>
      </x:c>
      <x:c r="F78" t="str">
        <x:v>ROUGHLY ALIGNED</x:v>
      </x:c>
    </x:row>
    <x:row r="79">
      <x:c r="A79" t="str">
        <x:v>Physical Route Runner</x:v>
      </x:c>
      <x:c r="B79" t="str">
        <x:v>RBP</x:v>
      </x:c>
      <x:c r="C79" s="74" t="n">
        <x:v>0.028999999999999998</x:v>
      </x:c>
      <x:c r="D79" s="74" t="n">
        <x:v>0.03333469387755102</x:v>
      </x:c>
      <x:c r="E79" s="74" t="n">
        <x:v>-0.0043346938775510185</x:v>
      </x:c>
      <x:c r="F79" t="str">
        <x:v>ROUGHLY ALIGNED</x:v>
      </x:c>
    </x:row>
    <x:row r="80">
      <x:c r="A80" t="str">
        <x:v>Physical Route Runner</x:v>
      </x:c>
      <x:c r="B80" t="str">
        <x:v>RLS</x:v>
      </x:c>
      <x:c r="C80" s="74" t="n">
        <x:v>0.0182</x:v>
      </x:c>
      <x:c r="D80" s="74" t="n">
        <x:v>0.027534693877551017</x:v>
      </x:c>
      <x:c r="E80" s="74" t="n">
        <x:v>-0.009334693877551016</x:v>
      </x:c>
      <x:c r="F80" t="str">
        <x:v>ROUGHLY ALIGNED</x:v>
      </x:c>
    </x:row>
    <x:row r="81">
      <x:c r="A81" t="str">
        <x:v>Physical Route Runner</x:v>
      </x:c>
      <x:c r="B81" t="str">
        <x:v>SFA</x:v>
      </x:c>
      <x:c r="C81" s="74" t="n">
        <x:v>0.008</x:v>
      </x:c>
      <x:c r="D81" s="74" t="n">
        <x:v>0.020289795918367347</x:v>
      </x:c>
      <x:c r="E81" s="74" t="n">
        <x:v>-0.012289795918367347</x:v>
      </x:c>
      <x:c r="F81" t="str">
        <x:v>ROUGHLY ALIGNED</x:v>
      </x:c>
    </x:row>
    <x:row r="82">
      <x:c r="A82" t="str">
        <x:v>Physical Route Runner</x:v>
      </x:c>
      <x:c r="B82" t="str">
        <x:v>SPC</x:v>
      </x:c>
      <x:c r="C82" s="74" t="n">
        <x:v>0.017</x:v>
      </x:c>
      <x:c r="D82" s="74" t="n">
        <x:v>0.031879591836734694</x:v>
      </x:c>
      <x:c r="E82" s="74" t="n">
        <x:v>-0.014879591836734693</x:v>
      </x:c>
      <x:c r="F82" t="str">
        <x:v>ROUGHLY ALIGNED</x:v>
      </x:c>
    </x:row>
    <x:row r="83">
      <x:c r="A83" t="str">
        <x:v>Physical Route Runner</x:v>
      </x:c>
      <x:c r="B83" t="str">
        <x:v>SPD</x:v>
      </x:c>
      <x:c r="C83" s="74" t="n">
        <x:v>0.08679999999999999</x:v>
      </x:c>
      <x:c r="D83" s="74" t="n">
        <x:v>0.05941428571428571</x:v>
      </x:c>
      <x:c r="E83" s="74" t="n">
        <x:v>0.027385714285714277</x:v>
      </x:c>
      <x:c r="F83" t="str">
        <x:v>UNDERVALUED BY OVR</x:v>
      </x:c>
    </x:row>
    <x:row r="84">
      <x:c r="A84" t="str">
        <x:v>Physical Route Runner</x:v>
      </x:c>
      <x:c r="B84" t="str">
        <x:v>SRR</x:v>
      </x:c>
      <x:c r="C84" s="74" t="n">
        <x:v>0.06</x:v>
      </x:c>
      <x:c r="D84" s="74" t="n">
        <x:v>0.08551428571428571</x:v>
      </x:c>
      <x:c r="E84" s="74" t="n">
        <x:v>-0.02551428571428571</x:v>
      </x:c>
      <x:c r="F84" t="str">
        <x:v>OVERVALUED BY OVR</x:v>
      </x:c>
    </x:row>
    <x:row r="85">
      <x:c r="A85" t="str">
        <x:v>Physical Route Runner</x:v>
      </x:c>
      <x:c r="B85" t="str">
        <x:v>STR</x:v>
      </x:c>
      <x:c r="C85" s="74" t="n">
        <x:v>0.049</x:v>
      </x:c>
      <x:c r="D85" s="74" t="n">
        <x:v>0.0116</x:v>
      </x:c>
      <x:c r="E85" s="74" t="n">
        <x:v>0.0374</x:v>
      </x:c>
      <x:c r="F85" t="str">
        <x:v>UNDERVALUED BY OVR</x:v>
      </x:c>
    </x:row>
    <x:row r="86">
      <x:c r="A86" t="str">
        <x:v>Physical Route Runner</x:v>
      </x:c>
      <x:c r="B86" t="str">
        <x:v>TGH</x:v>
      </x:c>
      <x:c r="C86" s="74" t="n">
        <x:v>0.009</x:v>
      </x:c>
      <x:c r="D86" s="74" t="n">
        <x:v>0</x:v>
      </x:c>
      <x:c r="E86" s="74" t="n">
        <x:v>0.009</x:v>
      </x:c>
      <x:c r="F86" t="str">
        <x:v>ROUGHLY ALIGNED</x:v>
      </x:c>
    </x:row>
    <x:row r="87">
      <x:c r="A87" t="str">
        <x:v>Physical Route Runner</x:v>
      </x:c>
      <x:c r="B87" t="str">
        <x:v>TRK</x:v>
      </x:c>
      <x:c r="C87" s="74" t="n">
        <x:v>0.008</x:v>
      </x:c>
      <x:c r="D87" s="74" t="n">
        <x:v>0.010144897959183673</x:v>
      </x:c>
      <x:c r="E87" s="74" t="n">
        <x:v>-0.0021448979591836732</x:v>
      </x:c>
      <x:c r="F87" t="str">
        <x:v>ROUGHLY ALIGNED</x:v>
      </x:c>
    </x:row>
    <x:row r="90">
      <x:c r="A90" s="235" t="str">
        <x:v>Overall Card-Count-Weighted Attribute Gaps</x:v>
      </x:c>
      <x:c r="B90" s="235"/>
      <x:c r="C90" s="235"/>
      <x:c r="D90" s="235"/>
      <x:c r="E90" s="235"/>
      <x:c r="F90" s="235"/>
    </x:row>
    <x:row r="91">
      <x:c r="A91" s="237" t="str">
        <x:v>Attribute</x:v>
      </x:c>
      <x:c r="B91" s="237" t="str">
        <x:v>Utility Weight</x:v>
      </x:c>
      <x:c r="C91" s="237" t="str">
        <x:v>EA Weighted OVR Weight</x:v>
      </x:c>
      <x:c r="D91" s="237" t="str">
        <x:v>Gap</x:v>
      </x:c>
    </x:row>
    <x:row r="92">
      <x:c r="A92" t="str">
        <x:v>COD</x:v>
      </x:c>
      <x:c r="B92" s="74" t="n">
        <x:v>0.0548</x:v>
      </x:c>
      <x:c r="C92" s="74" t="n">
        <x:v>0</x:v>
      </x:c>
      <x:c r="D92" s="74" t="n">
        <x:v>0.0548</x:v>
      </x:c>
    </x:row>
    <x:row r="93">
      <x:c r="A93" t="str">
        <x:v>STR</x:v>
      </x:c>
      <x:c r="B93" s="74" t="n">
        <x:v>0.049</x:v>
      </x:c>
      <x:c r="C93" s="74" t="n">
        <x:v>0.015092537313432835</x:v>
      </x:c>
      <x:c r="D93" s="74" t="n">
        <x:v>0.033907462686567164</x:v>
      </x:c>
    </x:row>
    <x:row r="94">
      <x:c r="A94" t="str">
        <x:v>SPD</x:v>
      </x:c>
      <x:c r="B94" s="74" t="n">
        <x:v>0.08679999999999999</x:v>
      </x:c>
      <x:c r="C94" s="74" t="n">
        <x:v>0.0548137205787981</x:v>
      </x:c>
      <x:c r="D94" s="74" t="n">
        <x:v>0.031986279421201885</x:v>
      </x:c>
    </x:row>
    <x:row r="95">
      <x:c r="A95" t="str">
        <x:v>IBL</x:v>
      </x:c>
      <x:c r="B95" s="74" t="n">
        <x:v>0.0514</x:v>
      </x:c>
      <x:c r="C95" s="74" t="n">
        <x:v>0.023352209824663094</x:v>
      </x:c>
      <x:c r="D95" s="74" t="n">
        <x:v>0.028047790175336908</x:v>
      </x:c>
    </x:row>
    <x:row r="96">
      <x:c r="A96" t="str">
        <x:v>RBK</x:v>
      </x:c>
      <x:c r="B96" s="74" t="n">
        <x:v>0.055799999999999995</x:v>
      </x:c>
      <x:c r="C96" s="74" t="n">
        <x:v>0.03750609346767253</x:v>
      </x:c>
      <x:c r="D96" s="74" t="n">
        <x:v>0.018293906532327465</x:v>
      </x:c>
    </x:row>
    <x:row r="97">
      <x:c r="A97" t="str">
        <x:v>LBK</x:v>
      </x:c>
      <x:c r="B97" s="74" t="n">
        <x:v>0.028999999999999998</x:v>
      </x:c>
      <x:c r="C97" s="74" t="n">
        <x:v>0.013052716997536589</x:v>
      </x:c>
      <x:c r="D97" s="74" t="n">
        <x:v>0.01594728300246341</x:v>
      </x:c>
    </x:row>
    <x:row r="98">
      <x:c r="A98" t="str">
        <x:v>PBK</x:v>
      </x:c>
      <x:c r="B98" s="74" t="n">
        <x:v>0.0334</x:v>
      </x:c>
      <x:c r="C98" s="74" t="n">
        <x:v>0.023746350868995618</x:v>
      </x:c>
      <x:c r="D98" s="74" t="n">
        <x:v>0.009653649131004381</x:v>
      </x:c>
    </x:row>
    <x:row r="99">
      <x:c r="A99" t="str">
        <x:v>TGH</x:v>
      </x:c>
      <x:c r="B99" s="74" t="n">
        <x:v>0.009</x:v>
      </x:c>
      <x:c r="C99" s="74" t="n">
        <x:v>0</x:v>
      </x:c>
      <x:c r="D99" s="74" t="n">
        <x:v>0.009</x:v>
      </x:c>
    </x:row>
    <x:row r="100">
      <x:c r="A100" t="str">
        <x:v>CAR</x:v>
      </x:c>
      <x:c r="B100" s="74" t="n">
        <x:v>0.0048</x:v>
      </x:c>
      <x:c r="C100" s="74" t="n">
        <x:v>0</x:v>
      </x:c>
      <x:c r="D100" s="74" t="n">
        <x:v>0.0048</x:v>
      </x:c>
    </x:row>
    <x:row r="101">
      <x:c r="A101" t="str">
        <x:v>PBF</x:v>
      </x:c>
      <x:c r="B101" s="74" t="n">
        <x:v>0.0156</x:v>
      </x:c>
      <x:c r="C101" s="74" t="n">
        <x:v>0.013759742598676914</x:v>
      </x:c>
      <x:c r="D101" s="74" t="n">
        <x:v>0.0018402574013230855</x:v>
      </x:c>
    </x:row>
    <x:row r="102">
      <x:c r="A102" t="str">
        <x:v>PBP</x:v>
      </x:c>
      <x:c r="B102" s="74" t="n">
        <x:v>0.0156</x:v>
      </x:c>
      <x:c r="C102" s="74" t="n">
        <x:v>0.013759742598676914</x:v>
      </x:c>
      <x:c r="D102" s="74" t="n">
        <x:v>0.0018402574013230855</x:v>
      </x:c>
    </x:row>
    <x:row r="103">
      <x:c r="A103" t="str">
        <x:v>JMP</x:v>
      </x:c>
      <x:c r="B103" s="74" t="n">
        <x:v>0.0184</x:v>
      </x:c>
      <x:c r="C103" s="74" t="n">
        <x:v>0.01864042182588149</x:v>
      </x:c>
      <x:c r="D103" s="74" t="n">
        <x:v>-0.00024042182588148928</x:v>
      </x:c>
    </x:row>
    <x:row r="104">
      <x:c r="A104" t="str">
        <x:v>DRR</x:v>
      </x:c>
      <x:c r="B104" s="74" t="n">
        <x:v>0.030400000000000003</x:v>
      </x:c>
      <x:c r="C104" s="74" t="n">
        <x:v>0.03106736970980248</x:v>
      </x:c>
      <x:c r="D104" s="74" t="n">
        <x:v>-0.0006673697098024782</x:v>
      </x:c>
    </x:row>
    <x:row r="105">
      <x:c r="A105" t="str">
        <x:v>TRK</x:v>
      </x:c>
      <x:c r="B105" s="74" t="n">
        <x:v>0.008</x:v>
      </x:c>
      <x:c r="C105" s="74" t="n">
        <x:v>0.009986608270318706</x:v>
      </x:c>
      <x:c r="D105" s="74" t="n">
        <x:v>-0.0019866082703187057</x:v>
      </x:c>
    </x:row>
    <x:row r="106">
      <x:c r="A106" t="str">
        <x:v>RBF</x:v>
      </x:c>
      <x:c r="B106" s="74" t="n">
        <x:v>0.028999999999999998</x:v>
      </x:c>
      <x:c r="C106" s="74" t="n">
        <x:v>0.033732959139314324</x:v>
      </x:c>
      <x:c r="D106" s="74" t="n">
        <x:v>-0.004732959139314326</x:v>
      </x:c>
    </x:row>
    <x:row r="107">
      <x:c r="A107" t="str">
        <x:v>RBP</x:v>
      </x:c>
      <x:c r="B107" s="74" t="n">
        <x:v>0.028999999999999998</x:v>
      </x:c>
      <x:c r="C107" s="74" t="n">
        <x:v>0.033732959139314324</x:v>
      </x:c>
      <x:c r="D107" s="74" t="n">
        <x:v>-0.004732959139314326</x:v>
      </x:c>
    </x:row>
    <x:row r="108">
      <x:c r="A108" t="str">
        <x:v>ACC</x:v>
      </x:c>
      <x:c r="B108" s="74" t="n">
        <x:v>0.053200000000000004</x:v>
      </x:c>
      <x:c r="C108" s="74" t="n">
        <x:v>0.05858685490715631</x:v>
      </x:c>
      <x:c r="D108" s="74" t="n">
        <x:v>-0.005386854907156305</x:v>
      </x:c>
    </x:row>
    <x:row r="109">
      <x:c r="A109" t="str">
        <x:v>MRR</x:v>
      </x:c>
      <x:c r="B109" s="74" t="n">
        <x:v>0.073</x:v>
      </x:c>
      <x:c r="C109" s="74" t="n">
        <x:v>0.07856007144779373</x:v>
      </x:c>
      <x:c r="D109" s="74" t="n">
        <x:v>-0.005560071447793732</x:v>
      </x:c>
    </x:row>
    <x:row r="110">
      <x:c r="A110" t="str">
        <x:v>RLS</x:v>
      </x:c>
      <x:c r="B110" s="74" t="n">
        <x:v>0.0182</x:v>
      </x:c>
      <x:c r="C110" s="74" t="n">
        <x:v>0.026186690482597905</x:v>
      </x:c>
      <x:c r="D110" s="74" t="n">
        <x:v>-0.007986690482597904</x:v>
      </x:c>
    </x:row>
    <x:row r="111">
      <x:c r="A111" t="str">
        <x:v>BCV</x:v>
      </x:c>
      <x:c r="B111" s="74" t="n">
        <x:v>0.0064</x:v>
      </x:c>
      <x:c r="C111" s="74" t="n">
        <x:v>0.016200082212279202</x:v>
      </x:c>
      <x:c r="D111" s="74" t="n">
        <x:v>-0.009800082212279203</x:v>
      </x:c>
    </x:row>
    <x:row r="112">
      <x:c r="A112" t="str">
        <x:v>SPC</x:v>
      </x:c>
      <x:c r="B112" s="74" t="n">
        <x:v>0.017</x:v>
      </x:c>
      <x:c r="C112" s="74" t="n">
        <x:v>0.028627030096200195</x:v>
      </x:c>
      <x:c r="D112" s="74" t="n">
        <x:v>-0.011627030096200194</x:v>
      </x:c>
    </x:row>
    <x:row r="113">
      <x:c r="A113" t="str">
        <x:v>SFA</x:v>
      </x:c>
      <x:c r="B113" s="74" t="n">
        <x:v>0.008</x:v>
      </x:c>
      <x:c r="C113" s="74" t="n">
        <x:v>0.019973216540637412</x:v>
      </x:c>
      <x:c r="D113" s="74" t="n">
        <x:v>-0.011973216540637412</x:v>
      </x:c>
    </x:row>
    <x:row r="114">
      <x:c r="A114" t="str">
        <x:v>BTK</x:v>
      </x:c>
      <x:c r="B114" s="74" t="n">
        <x:v>0.011200000000000002</x:v>
      </x:c>
      <x:c r="C114" s="74" t="n">
        <x:v>0.026186690482597905</x:v>
      </x:c>
      <x:c r="D114" s="74" t="n">
        <x:v>-0.014986690482597903</x:v>
      </x:c>
    </x:row>
    <x:row r="115">
      <x:c r="A115" t="str">
        <x:v>CIT</x:v>
      </x:c>
      <x:c r="B115" s="74" t="n">
        <x:v>0.0848</x:v>
      </x:c>
      <x:c r="C115" s="74" t="n">
        <x:v>0.1025316721326989</x:v>
      </x:c>
      <x:c r="D115" s="74" t="n">
        <x:v>-0.017731672132698897</x:v>
      </x:c>
    </x:row>
    <x:row r="116">
      <x:c r="A116" t="str">
        <x:v>CTH</x:v>
      </x:c>
      <x:c r="B116" s="74" t="n">
        <x:v>0.08779999999999999</x:v>
      </x:c>
      <x:c r="C116" s="74" t="n">
        <x:v>0.10607955664514754</x:v>
      </x:c>
      <x:c r="D116" s="74" t="n">
        <x:v>-0.01827955664514755</x:v>
      </x:c>
    </x:row>
    <x:row r="117">
      <x:c r="A117" t="str">
        <x:v>AGI</x:v>
      </x:c>
      <x:c r="B117" s="74" t="n">
        <x:v>0.0136</x:v>
      </x:c>
      <x:c r="C117" s="74" t="n">
        <x:v>0.03617329875291661</x:v>
      </x:c>
      <x:c r="D117" s="74" t="n">
        <x:v>-0.02257329875291661</x:v>
      </x:c>
    </x:row>
    <x:row r="118">
      <x:c r="A118" t="str">
        <x:v>SRR</x:v>
      </x:c>
      <x:c r="B118" s="74" t="n">
        <x:v>0.06</x:v>
      </x:c>
      <x:c r="C118" s="74" t="n">
        <x:v>0.08877192953402198</x:v>
      </x:c>
      <x:c r="D118" s="74" t="n">
        <x:v>-0.02877192953402198</x:v>
      </x:c>
    </x:row>
    <x:row r="119">
      <x:c r="A119" t="str">
        <x:v>AWR</x:v>
      </x:c>
      <x:c r="B119" s="74" t="n">
        <x:v>0.046799999999999994</x:v>
      </x:c>
      <x:c r="C119" s="74" t="n">
        <x:v>0.08987947443286835</x:v>
      </x:c>
      <x:c r="D119" s="74" t="n">
        <x:v>-0.04307947443286836</x:v>
      </x:c>
    </x:row>
  </x:sheetData>
  <x:mergeCells>
    <x:mergeCell ref="A1:F1"/>
    <x:mergeCell ref="A90:F90"/>
  </x:mergeCells>
  <x:conditionalFormatting sqref="E4:E87">
    <x:cfRule type="colorScale" priority="1">
      <x:colorScale>
        <x:cfvo type="min"/>
        <x:cfvo type="percentile" val="50"/>
        <x:cfvo type="max"/>
        <x:color rgb="FFF4CCCC"/>
        <x:color rgb="FFFFFFFF"/>
        <x:color rgb="FFD9EAD3"/>
      </x:colorScale>
    </x:cfRule>
  </x:conditionalFormatting>
  <x:pageMargins left="0.7" right="0.7" top="0.75" bottom="0.75" header="0.3" footer="0.3"/>
</x:worksheet>
</file>

<file path=xl/worksheets/sheet27.xml><?xml version="1.0" encoding="utf-8"?>
<x:worksheet xmlns:x="http://schemas.openxmlformats.org/spreadsheetml/2006/main">
  <x:sheetFormatPr defaultRowHeight="15"/>
  <x:cols>
    <x:col min="1" max="1" width="8" hidden="0" customWidth="1"/>
    <x:col min="2" max="2" width="24" hidden="0" customWidth="1"/>
    <x:col min="3" max="3" width="8" hidden="0" customWidth="1"/>
    <x:col min="4" max="4" width="24" hidden="0" customWidth="1"/>
    <x:col min="5" max="5" width="14" hidden="0" customWidth="1"/>
    <x:col min="6" max="6" width="16" hidden="0" customWidth="1"/>
    <x:col min="7" max="7" width="16" hidden="0" customWidth="1"/>
    <x:col min="8" max="8" width="16" hidden="0" customWidth="1"/>
  </x:cols>
  <x:sheetData>
    <x:row r="1" ht="30" customHeight="1">
      <x:c r="A1" s="238" t="str">
        <x:v>OPERATION PANCAKE — TE MONEYBALL v1.0 DASHBOARD</x:v>
      </x:c>
      <x:c r="B1" s="238"/>
      <x:c r="C1" s="238"/>
      <x:c r="D1" s="238"/>
      <x:c r="E1" s="238"/>
      <x:c r="F1" s="238"/>
      <x:c r="G1" s="238"/>
      <x:c r="H1" s="238"/>
      <x:c r="I1" s="238"/>
      <x:c r="J1" s="238"/>
    </x:row>
    <x:row r="3">
      <x:c r="A3" s="232" t="str">
        <x:v>KPI</x:v>
      </x:c>
      <x:c r="B3" s="232" t="str">
        <x:v>Value</x:v>
      </x:c>
      <x:c r="C3" s="232" t="str">
        <x:v>Meaning</x:v>
      </x:c>
      <x:c r="D3" s="232" t="str">
        <x:v>Status</x:v>
      </x:c>
    </x:row>
    <x:row r="4">
      <x:c r="A4" t="str">
        <x:v>Eligible TE Cards</x:v>
      </x:c>
      <x:c r="B4" t="n">
        <x:v>67</x:v>
      </x:c>
      <x:c r="C4" t="str">
        <x:v>Solved archetypes only</x:v>
      </x:c>
      <x:c r="D4" t="str">
        <x:v>ACTIVE</x:v>
      </x:c>
    </x:row>
    <x:row r="5">
      <x:c r="A5" t="str">
        <x:v>Pure Blockers Excluded</x:v>
      </x:c>
      <x:c r="B5" t="n">
        <x:v>1</x:v>
      </x:c>
      <x:c r="C5" t="str">
        <x:v>Insufficient formula evidence</x:v>
      </x:c>
      <x:c r="D5" t="str">
        <x:v>EXPECTED</x:v>
      </x:c>
    </x:row>
    <x:row r="6">
      <x:c r="A6" t="str">
        <x:v>FUS Regression</x:v>
      </x:c>
      <x:c r="B6" t="str">
        <x:v>-2.924 + 0.979×OVR</x:v>
      </x:c>
      <x:c r="C6" t="str">
        <x:v>Expected utility baseline</x:v>
      </x:c>
      <x:c r="D6" t="str">
        <x:v>PRELIMINARY</x:v>
      </x:c>
    </x:row>
    <x:row r="7">
      <x:c r="A7" t="str">
        <x:v>Price Data</x:v>
      </x:c>
      <x:c r="B7" t="str">
        <x:v>Not available</x:v>
      </x:c>
      <x:c r="C7" t="str">
        <x:v>Scores are football value, not coin value</x:v>
      </x:c>
      <x:c r="D7" t="str">
        <x:v>PENDING</x:v>
      </x:c>
    </x:row>
    <x:row r="10">
      <x:c r="A10" s="240" t="str">
        <x:v>Top Preliminary Football-Value Cards</x:v>
      </x:c>
      <x:c r="B10" s="240"/>
      <x:c r="C10" s="240"/>
      <x:c r="D10" s="240"/>
      <x:c r="E10" s="240"/>
      <x:c r="F10" s="240"/>
      <x:c r="G10" s="240"/>
      <x:c r="H10" s="240"/>
      <x:c r="I10" s="240"/>
      <x:c r="J10" s="240"/>
    </x:row>
    <x:row r="11">
      <x:c r="A11" s="242" t="str">
        <x:v>Rank</x:v>
      </x:c>
      <x:c r="B11" s="242" t="str">
        <x:v>Player</x:v>
      </x:c>
      <x:c r="C11" s="242" t="str">
        <x:v>OVR</x:v>
      </x:c>
      <x:c r="D11" s="242" t="str">
        <x:v>Archetype</x:v>
      </x:c>
      <x:c r="E11" s="242" t="str">
        <x:v>FUS</x:v>
      </x:c>
      <x:c r="F11" s="242" t="str">
        <x:v>Expected FUS</x:v>
      </x:c>
      <x:c r="G11" s="242" t="str">
        <x:v>Utility Surplus</x:v>
      </x:c>
      <x:c r="H11" s="242" t="str">
        <x:v>Moneyball Score</x:v>
      </x:c>
    </x:row>
    <x:row r="12">
      <x:c r="A12" t="n">
        <x:v>1</x:v>
      </x:c>
      <x:c r="B12" t="str">
        <x:v>Jake Johnson</x:v>
      </x:c>
      <x:c r="C12" t="n">
        <x:v>85</x:v>
      </x:c>
      <x:c r="D12" t="str">
        <x:v>Gritty Possession</x:v>
      </x:c>
      <x:c r="E12" s="46" t="n">
        <x:v>82.34440000000001</x:v>
      </x:c>
      <x:c r="F12" s="46" t="n">
        <x:v>80.25050701938187</x:v>
      </x:c>
      <x:c r="G12" s="46" t="n">
        <x:v>2.0938929806181363</x:v>
      </x:c>
      <x:c r="H12" s="46" t="n">
        <x:v>71.78381105640624</x:v>
      </x:c>
    </x:row>
    <x:row r="13">
      <x:c r="A13" t="n">
        <x:v>2</x:v>
      </x:c>
      <x:c r="B13" t="str">
        <x:v>Jayvontay Conner</x:v>
      </x:c>
      <x:c r="C13" t="n">
        <x:v>81</x:v>
      </x:c>
      <x:c r="D13" t="str">
        <x:v>Gritty Possession</x:v>
      </x:c>
      <x:c r="E13" s="46" t="n">
        <x:v>77.87979999999999</x:v>
      </x:c>
      <x:c r="F13" s="46" t="n">
        <x:v>76.33641105290727</x:v>
      </x:c>
      <x:c r="G13" s="46" t="n">
        <x:v>1.5433889470927227</x:v>
      </x:c>
      <x:c r="H13" s="46" t="n">
        <x:v>66.05664354445108</x:v>
      </x:c>
    </x:row>
    <x:row r="14">
      <x:c r="A14" t="n">
        <x:v>3</x:v>
      </x:c>
      <x:c r="B14" t="str">
        <x:v>Eli Finley</x:v>
      </x:c>
      <x:c r="C14" t="n">
        <x:v>83</x:v>
      </x:c>
      <x:c r="D14" t="str">
        <x:v>Gritty Possession</x:v>
      </x:c>
      <x:c r="E14" s="46" t="n">
        <x:v>79.6874</x:v>
      </x:c>
      <x:c r="F14" s="46" t="n">
        <x:v>78.29345903614457</x:v>
      </x:c>
      <x:c r="G14" s="46" t="n">
        <x:v>1.393940963855428</x:v>
      </x:c>
      <x:c r="H14" s="46" t="n">
        <x:v>64.50186177683604</x:v>
      </x:c>
    </x:row>
    <x:row r="15">
      <x:c r="A15" t="n">
        <x:v>4</x:v>
      </x:c>
      <x:c r="B15" t="str">
        <x:v>Martellus Bennett</x:v>
      </x:c>
      <x:c r="C15" t="n">
        <x:v>80</x:v>
      </x:c>
      <x:c r="D15" t="str">
        <x:v>Gritty Possession</x:v>
      </x:c>
      <x:c r="E15" s="46" t="n">
        <x:v>76.74879999999999</x:v>
      </x:c>
      <x:c r="F15" s="46" t="n">
        <x:v>75.35788706128862</x:v>
      </x:c>
      <x:c r="G15" s="46" t="n">
        <x:v>1.3909129387113666</x:v>
      </x:c>
      <x:c r="H15" s="46" t="n">
        <x:v>64.4703597238549</x:v>
      </x:c>
    </x:row>
    <x:row r="16">
      <x:c r="A16" t="n">
        <x:v>5</x:v>
      </x:c>
      <x:c r="B16" t="str">
        <x:v>Eli Finley</x:v>
      </x:c>
      <x:c r="C16" t="n">
        <x:v>84</x:v>
      </x:c>
      <x:c r="D16" t="str">
        <x:v>Gritty Possession</x:v>
      </x:c>
      <x:c r="E16" s="46" t="n">
        <x:v>80.6098</x:v>
      </x:c>
      <x:c r="F16" s="46" t="n">
        <x:v>79.27198302776321</x:v>
      </x:c>
      <x:c r="G16" s="46" t="n">
        <x:v>1.3378169722367943</x:v>
      </x:c>
      <x:c r="H16" s="46" t="n">
        <x:v>63.917975952456075</x:v>
      </x:c>
    </x:row>
    <x:row r="17">
      <x:c r="A17" t="n">
        <x:v>6</x:v>
      </x:c>
      <x:c r="B17" t="str">
        <x:v>Jelani Thurman</x:v>
      </x:c>
      <x:c r="C17" t="n">
        <x:v>81</x:v>
      </x:c>
      <x:c r="D17" t="str">
        <x:v>Vertical Threat</x:v>
      </x:c>
      <x:c r="E17" s="46" t="n">
        <x:v>77.6562</x:v>
      </x:c>
      <x:c r="F17" s="46" t="n">
        <x:v>76.33641105290727</x:v>
      </x:c>
      <x:c r="G17" s="46" t="n">
        <x:v>1.3197889470927322</x:v>
      </x:c>
      <x:c r="H17" s="46" t="n">
        <x:v>63.730421432194746</x:v>
      </x:c>
    </x:row>
    <x:row r="18">
      <x:c r="A18" t="n">
        <x:v>7</x:v>
      </x:c>
      <x:c r="B18" t="str">
        <x:v>Cole Spence</x:v>
      </x:c>
      <x:c r="C18" t="n">
        <x:v>80</x:v>
      </x:c>
      <x:c r="D18" t="str">
        <x:v>Physical Route Runner</x:v>
      </x:c>
      <x:c r="E18" s="46" t="n">
        <x:v>76.64959999999999</x:v>
      </x:c>
      <x:c r="F18" s="46" t="n">
        <x:v>75.35788706128862</x:v>
      </x:c>
      <x:c r="G18" s="46" t="n">
        <x:v>1.2917129387113704</x:v>
      </x:c>
      <x:c r="H18" s="46" t="n">
        <x:v>63.43833274024206</x:v>
      </x:c>
    </x:row>
    <x:row r="19">
      <x:c r="A19" t="n">
        <x:v>8</x:v>
      </x:c>
      <x:c r="B19" t="str">
        <x:v>Conner Cravaack</x:v>
      </x:c>
      <x:c r="C19" t="n">
        <x:v>81</x:v>
      </x:c>
      <x:c r="D19" t="str">
        <x:v>Gritty Possession</x:v>
      </x:c>
      <x:c r="E19" s="46" t="n">
        <x:v>77.5256</x:v>
      </x:c>
      <x:c r="F19" s="46" t="n">
        <x:v>76.33641105290727</x:v>
      </x:c>
      <x:c r="G19" s="46" t="n">
        <x:v>1.189188947092731</x:v>
      </x:c>
      <x:c r="H19" s="46" t="n">
        <x:v>62.37172461707537</x:v>
      </x:c>
    </x:row>
    <x:row r="20">
      <x:c r="A20" t="n">
        <x:v>9</x:v>
      </x:c>
      <x:c r="B20" t="str">
        <x:v>Todd Heap</x:v>
      </x:c>
      <x:c r="C20" t="n">
        <x:v>80</x:v>
      </x:c>
      <x:c r="D20" t="str">
        <x:v>Gritty Possession</x:v>
      </x:c>
      <x:c r="E20" s="46" t="n">
        <x:v>76.53359999999999</x:v>
      </x:c>
      <x:c r="F20" s="46" t="n">
        <x:v>75.35788706128862</x:v>
      </x:c>
      <x:c r="G20" s="46" t="n">
        <x:v>1.1757129387113707</x:v>
      </x:c>
      <x:c r="H20" s="46" t="n">
        <x:v>62.2315269932754</x:v>
      </x:c>
    </x:row>
    <x:row r="21">
      <x:c r="A21" t="n">
        <x:v>10</x:v>
      </x:c>
      <x:c r="B21" t="str">
        <x:v>Desirrio Riles</x:v>
      </x:c>
      <x:c r="C21" t="n">
        <x:v>80</x:v>
      </x:c>
      <x:c r="D21" t="str">
        <x:v>Physical Route Runner</x:v>
      </x:c>
      <x:c r="E21" s="46" t="n">
        <x:v>76.473</x:v>
      </x:c>
      <x:c r="F21" s="46" t="n">
        <x:v>75.35788706128862</x:v>
      </x:c>
      <x:c r="G21" s="46" t="n">
        <x:v>1.115112938711377</x:v>
      </x:c>
      <x:c r="H21" s="46" t="n">
        <x:v>61.60107502546357</x:v>
      </x:c>
    </x:row>
    <x:row r="24">
      <x:c r="A24" s="244" t="str">
        <x:v>Cards With Weak Preliminary Utility Relative to OVR</x:v>
      </x:c>
      <x:c r="B24" s="244"/>
      <x:c r="C24" s="244"/>
      <x:c r="D24" s="244"/>
      <x:c r="E24" s="244"/>
      <x:c r="F24" s="244"/>
      <x:c r="G24" s="244"/>
      <x:c r="H24" s="244"/>
      <x:c r="I24" s="244"/>
      <x:c r="J24" s="244"/>
    </x:row>
    <x:row r="25">
      <x:c r="A25" s="246" t="str">
        <x:v>Rank</x:v>
      </x:c>
      <x:c r="B25" s="246" t="str">
        <x:v>Player</x:v>
      </x:c>
      <x:c r="C25" s="246" t="str">
        <x:v>OVR</x:v>
      </x:c>
      <x:c r="D25" s="246" t="str">
        <x:v>Archetype</x:v>
      </x:c>
      <x:c r="E25" s="246" t="str">
        <x:v>FUS</x:v>
      </x:c>
      <x:c r="F25" s="246" t="str">
        <x:v>Expected FUS</x:v>
      </x:c>
      <x:c r="G25" s="246" t="str">
        <x:v>Utility Surplus</x:v>
      </x:c>
      <x:c r="H25" s="246" t="str">
        <x:v>Moneyball Score</x:v>
      </x:c>
    </x:row>
    <x:row r="26">
      <x:c r="A26" t="n">
        <x:v>1</x:v>
      </x:c>
      <x:c r="B26" t="str">
        <x:v>Randy Pittman Jr.</x:v>
      </x:c>
      <x:c r="C26" t="n">
        <x:v>80</x:v>
      </x:c>
      <x:c r="D26" t="str">
        <x:v>Vertical Threat</x:v>
      </x:c>
      <x:c r="E26" s="46" t="n">
        <x:v>73.2166</x:v>
      </x:c>
      <x:c r="F26" s="46" t="n">
        <x:v>75.35788706128862</x:v>
      </x:c>
      <x:c r="G26" s="46" t="n">
        <x:v>-2.1412870612886223</x:v>
      </x:c>
      <x:c r="H26" s="46" t="n">
        <x:v>27.723124728720112</x:v>
      </x:c>
    </x:row>
    <x:row r="27">
      <x:c r="A27" t="n">
        <x:v>2</x:v>
      </x:c>
      <x:c r="B27" t="str">
        <x:v>Elija Lofton</x:v>
      </x:c>
      <x:c r="C27" t="n">
        <x:v>82</x:v>
      </x:c>
      <x:c r="D27" t="str">
        <x:v>Vertical Threat</x:v>
      </x:c>
      <x:c r="E27" s="46" t="n">
        <x:v>75.2654</x:v>
      </x:c>
      <x:c r="F27" s="46" t="n">
        <x:v>77.31493504452592</x:v>
      </x:c>
      <x:c r="G27" s="46" t="n">
        <x:v>-2.049535044525925</x:v>
      </x:c>
      <x:c r="H27" s="46" t="n">
        <x:v>28.677666634970155</x:v>
      </x:c>
    </x:row>
    <x:row r="28">
      <x:c r="A28" t="n">
        <x:v>3</x:v>
      </x:c>
      <x:c r="B28" t="str">
        <x:v>Dylan Wade</x:v>
      </x:c>
      <x:c r="C28" t="n">
        <x:v>84</x:v>
      </x:c>
      <x:c r="D28" t="str">
        <x:v>Vertical Threat</x:v>
      </x:c>
      <x:c r="E28" s="46" t="n">
        <x:v>77.325</x:v>
      </x:c>
      <x:c r="F28" s="46" t="n">
        <x:v>79.27198302776321</x:v>
      </x:c>
      <x:c r="G28" s="46" t="n">
        <x:v>-1.9469830277632099</x:v>
      </x:c>
      <x:c r="H28" s="46" t="n">
        <x:v>29.744566317662105</x:v>
      </x:c>
    </x:row>
    <x:row r="29">
      <x:c r="A29" t="n">
        <x:v>4</x:v>
      </x:c>
      <x:c r="B29" t="str">
        <x:v>River Helms</x:v>
      </x:c>
      <x:c r="C29" t="n">
        <x:v>82</x:v>
      </x:c>
      <x:c r="D29" t="str">
        <x:v>Physical Route Runner</x:v>
      </x:c>
      <x:c r="E29" s="46" t="n">
        <x:v>75.9092</x:v>
      </x:c>
      <x:c r="F29" s="46" t="n">
        <x:v>77.31493504452592</x:v>
      </x:c>
      <x:c r="G29" s="46" t="n">
        <x:v>-1.405735044525926</x:v>
      </x:c>
      <x:c r="H29" s="46" t="n">
        <x:v>35.37543853063512</x:v>
      </x:c>
    </x:row>
    <x:row r="30">
      <x:c r="A30" t="n">
        <x:v>5</x:v>
      </x:c>
      <x:c r="B30" t="str">
        <x:v>Jaleel Skinner</x:v>
      </x:c>
      <x:c r="C30" t="n">
        <x:v>81</x:v>
      </x:c>
      <x:c r="D30" t="str">
        <x:v>Vertical Threat</x:v>
      </x:c>
      <x:c r="E30" s="46" t="n">
        <x:v>74.97919999999999</x:v>
      </x:c>
      <x:c r="F30" s="46" t="n">
        <x:v>76.33641105290727</x:v>
      </x:c>
      <x:c r="G30" s="46" t="n">
        <x:v>-1.3572110529072745</x:v>
      </x:c>
      <x:c r="H30" s="46" t="n">
        <x:v>35.88025777159332</x:v>
      </x:c>
    </x:row>
    <x:row r="31">
      <x:c r="A31" t="n">
        <x:v>6</x:v>
      </x:c>
      <x:c r="B31" t="str">
        <x:v>Luke Reynolds</x:v>
      </x:c>
      <x:c r="C31" t="n">
        <x:v>82</x:v>
      </x:c>
      <x:c r="D31" t="str">
        <x:v>Vertical Threat</x:v>
      </x:c>
      <x:c r="E31" s="46" t="n">
        <x:v>75.961</x:v>
      </x:c>
      <x:c r="F31" s="46" t="n">
        <x:v>77.31493504452592</x:v>
      </x:c>
      <x:c r="G31" s="46" t="n">
        <x:v>-1.353935044525926</x:v>
      </x:c>
      <x:c r="H31" s="46" t="n">
        <x:v>35.91433971764265</x:v>
      </x:c>
    </x:row>
    <x:row r="32">
      <x:c r="A32" t="n">
        <x:v>7</x:v>
      </x:c>
      <x:c r="B32" t="str">
        <x:v>Trey'Dez Green</x:v>
      </x:c>
      <x:c r="C32" t="n">
        <x:v>85</x:v>
      </x:c>
      <x:c r="D32" t="str">
        <x:v>Physical Route Runner</x:v>
      </x:c>
      <x:c r="E32" s="46" t="n">
        <x:v>79.2066</x:v>
      </x:c>
      <x:c r="F32" s="46" t="n">
        <x:v>80.25050701938187</x:v>
      </x:c>
      <x:c r="G32" s="46" t="n">
        <x:v>-1.0439070193818765</x:v>
      </x:c>
      <x:c r="H32" s="46" t="n">
        <x:v>39.13971560095786</x:v>
      </x:c>
    </x:row>
    <x:row r="33">
      <x:c r="A33" t="n">
        <x:v>8</x:v>
      </x:c>
      <x:c r="B33" t="str">
        <x:v>Walker Lyons</x:v>
      </x:c>
      <x:c r="C33" t="n">
        <x:v>80</x:v>
      </x:c>
      <x:c r="D33" t="str">
        <x:v>Physical Route Runner</x:v>
      </x:c>
      <x:c r="E33" s="46" t="n">
        <x:v>74.3754</x:v>
      </x:c>
      <x:c r="F33" s="46" t="n">
        <x:v>75.35788706128862</x:v>
      </x:c>
      <x:c r="G33" s="46" t="n">
        <x:v>-0.982487061288623</x:v>
      </x:c>
      <x:c r="H33" s="46" t="n">
        <x:v>39.77869800100432</x:v>
      </x:c>
    </x:row>
    <x:row r="36">
      <x:c r="A36" s="235" t="str">
        <x:v>Most Undervalued Attributes in Preliminary Football Utility Framework</x:v>
      </x:c>
      <x:c r="B36" s="235"/>
      <x:c r="C36" s="235"/>
      <x:c r="D36" s="235"/>
      <x:c r="E36" s="235"/>
      <x:c r="F36" s="235"/>
      <x:c r="G36" s="235"/>
      <x:c r="H36" s="235"/>
      <x:c r="I36" s="235"/>
      <x:c r="J36" s="235"/>
    </x:row>
    <x:row r="37">
      <x:c r="A37" s="237" t="str">
        <x:v>Rank</x:v>
      </x:c>
      <x:c r="B37" s="237" t="str">
        <x:v>Attribute</x:v>
      </x:c>
      <x:c r="C37" s="237" t="str">
        <x:v>Utility−EA Gap</x:v>
      </x:c>
      <x:c r="D37" s="237" t="str">
        <x:v>Interpretation</x:v>
      </x:c>
    </x:row>
    <x:row r="38">
      <x:c r="A38" t="n">
        <x:v>1</x:v>
      </x:c>
      <x:c r="B38" t="str">
        <x:v>COD</x:v>
      </x:c>
      <x:c r="C38" s="74" t="n">
        <x:v>0.0548</x:v>
      </x:c>
      <x:c r="D38" t="str">
        <x:v>Underweighted by EA OVR vs preliminary football utility</x:v>
      </x:c>
    </x:row>
    <x:row r="39">
      <x:c r="A39" t="n">
        <x:v>2</x:v>
      </x:c>
      <x:c r="B39" t="str">
        <x:v>STR</x:v>
      </x:c>
      <x:c r="C39" s="74" t="n">
        <x:v>0.033907462686567164</x:v>
      </x:c>
      <x:c r="D39" t="str">
        <x:v>Underweighted by EA OVR vs preliminary football utility</x:v>
      </x:c>
    </x:row>
    <x:row r="40">
      <x:c r="A40" t="n">
        <x:v>3</x:v>
      </x:c>
      <x:c r="B40" t="str">
        <x:v>SPD</x:v>
      </x:c>
      <x:c r="C40" s="74" t="n">
        <x:v>0.031986279421201885</x:v>
      </x:c>
      <x:c r="D40" t="str">
        <x:v>Underweighted by EA OVR vs preliminary football utility</x:v>
      </x:c>
    </x:row>
    <x:row r="41">
      <x:c r="A41" t="n">
        <x:v>4</x:v>
      </x:c>
      <x:c r="B41" t="str">
        <x:v>IBL</x:v>
      </x:c>
      <x:c r="C41" s="74" t="n">
        <x:v>0.028047790175336908</x:v>
      </x:c>
      <x:c r="D41" t="str">
        <x:v>Underweighted by EA OVR vs preliminary football utility</x:v>
      </x:c>
    </x:row>
    <x:row r="42">
      <x:c r="A42" t="n">
        <x:v>5</x:v>
      </x:c>
      <x:c r="B42" t="str">
        <x:v>RBK</x:v>
      </x:c>
      <x:c r="C42" s="74" t="n">
        <x:v>0.018293906532327465</x:v>
      </x:c>
      <x:c r="D42" t="str">
        <x:v>Underweighted by EA OVR vs preliminary football utility</x:v>
      </x:c>
    </x:row>
    <x:row r="43">
      <x:c r="A43" t="n">
        <x:v>6</x:v>
      </x:c>
      <x:c r="B43" t="str">
        <x:v>LBK</x:v>
      </x:c>
      <x:c r="C43" s="74" t="n">
        <x:v>0.01594728300246341</x:v>
      </x:c>
      <x:c r="D43" t="str">
        <x:v>Underweighted by EA OVR vs preliminary football utility</x:v>
      </x:c>
    </x:row>
    <x:row r="44">
      <x:c r="A44" t="n">
        <x:v>7</x:v>
      </x:c>
      <x:c r="B44" t="str">
        <x:v>PBK</x:v>
      </x:c>
      <x:c r="C44" s="74" t="n">
        <x:v>0.009653649131004381</x:v>
      </x:c>
      <x:c r="D44" t="str">
        <x:v>Underweighted by EA OVR vs preliminary football utility</x:v>
      </x:c>
    </x:row>
    <x:row r="45">
      <x:c r="A45" t="n">
        <x:v>8</x:v>
      </x:c>
      <x:c r="B45" t="str">
        <x:v>TGH</x:v>
      </x:c>
      <x:c r="C45" s="74" t="n">
        <x:v>0.009</x:v>
      </x:c>
      <x:c r="D45" t="str">
        <x:v>Underweighted by EA OVR vs preliminary football utility</x:v>
      </x:c>
    </x:row>
    <x:row r="46">
      <x:c r="A46" t="n">
        <x:v>9</x:v>
      </x:c>
      <x:c r="B46" t="str">
        <x:v>CAR</x:v>
      </x:c>
      <x:c r="C46" s="74" t="n">
        <x:v>0.0048</x:v>
      </x:c>
      <x:c r="D46" t="str">
        <x:v>Underweighted by EA OVR vs preliminary football utility</x:v>
      </x:c>
    </x:row>
    <x:row r="47">
      <x:c r="A47" t="n">
        <x:v>10</x:v>
      </x:c>
      <x:c r="B47" t="str">
        <x:v>PBF</x:v>
      </x:c>
      <x:c r="C47" s="74" t="n">
        <x:v>0.0018402574013230855</x:v>
      </x:c>
      <x:c r="D47" t="str">
        <x:v>Underweighted by EA OVR vs preliminary football utility</x:v>
      </x:c>
    </x:row>
  </x:sheetData>
  <x:mergeCells>
    <x:mergeCell ref="A1:J1"/>
    <x:mergeCell ref="A10:J10"/>
    <x:mergeCell ref="A24:J24"/>
    <x:mergeCell ref="A36:J36"/>
  </x:mergeCells>
  <x:pageMargins left="0.7" right="0.7" top="0.75" bottom="0.75" header="0.3" footer="0.3"/>
</x:worksheet>
</file>

<file path=xl/worksheets/sheet28.xml><?xml version="1.0" encoding="utf-8"?>
<x:worksheet xmlns:x="http://schemas.openxmlformats.org/spreadsheetml/2006/main">
  <x:sheetFormatPr defaultRowHeight="15"/>
  <x:cols>
    <x:col min="1" max="1" width="12" hidden="0" customWidth="1"/>
    <x:col min="2" max="2" width="32" hidden="0" customWidth="1"/>
    <x:col min="3" max="3" width="62" hidden="0" customWidth="1"/>
    <x:col min="4" max="4" width="52" hidden="0" customWidth="1"/>
    <x:col min="5" max="5" width="62" hidden="0" customWidth="1"/>
    <x:col min="6" max="6" width="14" hidden="0" customWidth="1"/>
    <x:col min="7" max="7" width="22" hidden="0" customWidth="1"/>
    <x:col min="8" max="8" width="40" hidden="0" customWidth="1"/>
  </x:cols>
  <x:sheetData>
    <x:row r="1">
      <x:c r="A1" s="227" t="str">
        <x:v>TE Moneyball Research Backlog v1.0</x:v>
      </x:c>
      <x:c r="B1" s="227"/>
      <x:c r="C1" s="227"/>
      <x:c r="D1" s="227"/>
      <x:c r="E1" s="227"/>
      <x:c r="F1" s="227"/>
      <x:c r="G1" s="227"/>
      <x:c r="H1" s="227"/>
    </x:row>
    <x:row r="3">
      <x:c r="A3" s="233" t="str">
        <x:v>Priority</x:v>
      </x:c>
      <x:c r="B3" s="233" t="str">
        <x:v>Research Need</x:v>
      </x:c>
      <x:c r="C3" s="233" t="str">
        <x:v>Why It Matters</x:v>
      </x:c>
      <x:c r="D3" s="233" t="str">
        <x:v>Current Gap</x:v>
      </x:c>
      <x:c r="E3" s="233" t="str">
        <x:v>Proposed Test</x:v>
      </x:c>
      <x:c r="F3" s="233" t="str">
        <x:v>Status</x:v>
      </x:c>
      <x:c r="G3" s="233" t="str">
        <x:v>Owner/Source</x:v>
      </x:c>
      <x:c r="H3" s="233" t="str">
        <x:v>Notes</x:v>
      </x:c>
    </x:row>
    <x:row r="4">
      <x:c r="A4" s="16" t="str">
        <x:v>HIGH</x:v>
      </x:c>
      <x:c r="B4" s="16" t="str">
        <x:v>Gameplay/simulation calibration of role weights</x:v>
      </x:c>
      <x:c r="C4" s="16" t="str">
        <x:v>FUS currently uses transparent but heuristic football weights.</x:v>
      </x:c>
      <x:c r="D4" s="16" t="str">
        <x:v>No empirical outcome calibration.</x:v>
      </x:c>
      <x:c r="E4" s="16" t="str">
        <x:v>Run controlled TE simulations by role; regress outcomes on attributes and role scores.</x:v>
      </x:c>
      <x:c r="F4" s="16" t="str">
        <x:v>OPEN</x:v>
      </x:c>
      <x:c r="G4" s="16" t="str"/>
      <x:c r="H4" s="16" t="str"/>
    </x:row>
    <x:row r="5">
      <x:c r="A5" s="16" t="str">
        <x:v>HIGH</x:v>
      </x:c>
      <x:c r="B5" s="16" t="str">
        <x:v>Reliable market price snapshots</x:v>
      </x:c>
      <x:c r="C5" s="16" t="str">
        <x:v>Convert football value into actual coin Moneyball value.</x:v>
      </x:c>
      <x:c r="D5" s="16" t="str">
        <x:v>No price field populated.</x:v>
      </x:c>
      <x:c r="E5" s="16" t="str">
        <x:v>Capture current price, rolling median, spread/liquidity, date/time.</x:v>
      </x:c>
      <x:c r="F5" s="16" t="str">
        <x:v>OPEN</x:v>
      </x:c>
      <x:c r="G5" s="16" t="str"/>
      <x:c r="H5" s="16" t="str"/>
    </x:row>
    <x:row r="6">
      <x:c r="A6" s="16" t="str">
        <x:v>HIGH</x:v>
      </x:c>
      <x:c r="B6" s="16" t="str">
        <x:v>Abilities / chemistry</x:v>
      </x:c>
      <x:c r="C6" s="16" t="str">
        <x:v>Abilities may dominate small attribute differences.</x:v>
      </x:c>
      <x:c r="D6" s="16" t="str">
        <x:v>No structured ability fields yet.</x:v>
      </x:c>
      <x:c r="E6" s="16" t="str">
        <x:v>Add ability names/costs/chemistry and test performance lift.</x:v>
      </x:c>
      <x:c r="F6" s="16" t="str">
        <x:v>OPEN</x:v>
      </x:c>
      <x:c r="G6" s="16" t="str"/>
      <x:c r="H6" s="16" t="str"/>
    </x:row>
    <x:row r="7">
      <x:c r="A7" s="16" t="str">
        <x:v>HIGH</x:v>
      </x:c>
      <x:c r="B7" s="16" t="str">
        <x:v>Height / weight / physical dimensions</x:v>
      </x:c>
      <x:c r="C7" s="16" t="str">
        <x:v>Mismatch and blocking utility may depend strongly on body size.</x:v>
      </x:c>
      <x:c r="D7" s="16" t="str">
        <x:v>Not present in current TE_Cards schema.</x:v>
      </x:c>
      <x:c r="E7" s="16" t="str">
        <x:v>Add height/weight/body type from reliable card source.</x:v>
      </x:c>
      <x:c r="F7" s="16" t="str">
        <x:v>OPEN</x:v>
      </x:c>
      <x:c r="G7" s="16" t="str"/>
      <x:c r="H7" s="16" t="str"/>
    </x:row>
    <x:row r="8">
      <x:c r="A8" s="16" t="str">
        <x:v>MEDIUM</x:v>
      </x:c>
      <x:c r="B8" s="16" t="str">
        <x:v>Scheme-fit calibration</x:v>
      </x:c>
      <x:c r="C8" s="16" t="str">
        <x:v>Different offenses value receiving/blocking profiles differently.</x:v>
      </x:c>
      <x:c r="D8" s="16" t="str">
        <x:v>No scheme performance outcomes.</x:v>
      </x:c>
      <x:c r="E8" s="16" t="str">
        <x:v>Tag playbooks/packages and simulate role-specific snaps.</x:v>
      </x:c>
      <x:c r="F8" s="16" t="str">
        <x:v>OPEN</x:v>
      </x:c>
      <x:c r="G8" s="16" t="str"/>
      <x:c r="H8" s="16" t="str"/>
    </x:row>
    <x:row r="9">
      <x:c r="A9" s="16" t="str">
        <x:v>MEDIUM</x:v>
      </x:c>
      <x:c r="B9" s="16" t="str">
        <x:v>Counter / matchup testing</x:v>
      </x:c>
      <x:c r="C9" s="16" t="str">
        <x:v>Moneyball should account for opponent fronts and coverage.</x:v>
      </x:c>
      <x:c r="D9" s="16" t="str">
        <x:v>No TE counter results.</x:v>
      </x:c>
      <x:c r="E9" s="16" t="str">
        <x:v>Test TE profiles versus man/zone, press, LB/safety matchups, edge/run fronts.</x:v>
      </x:c>
      <x:c r="F9" s="16" t="str">
        <x:v>OPEN</x:v>
      </x:c>
      <x:c r="G9" s="16" t="str"/>
      <x:c r="H9" s="16" t="str"/>
    </x:row>
    <x:row r="10">
      <x:c r="A10" s="16" t="str">
        <x:v>MEDIUM</x:v>
      </x:c>
      <x:c r="B10" s="16" t="str">
        <x:v>Pure Blocker formula sample</x:v>
      </x:c>
      <x:c r="C10" s="16" t="str">
        <x:v>Complete the fourth TE archetype.</x:v>
      </x:c>
      <x:c r="D10" s="16" t="str">
        <x:v>Only one card.</x:v>
      </x:c>
      <x:c r="E10" s="16" t="str">
        <x:v>Collect ≥5 more Pure Blockers across ≥3 OVR tiers.</x:v>
      </x:c>
      <x:c r="F10" s="16" t="str">
        <x:v>OPEN</x:v>
      </x:c>
      <x:c r="G10" s="16" t="str"/>
      <x:c r="H10" s="16" t="str"/>
    </x:row>
    <x:row r="11">
      <x:c r="A11" s="16" t="str">
        <x:v>LOW</x:v>
      </x:c>
      <x:c r="B11" s="16" t="str">
        <x:v>Prospective solved-model monitoring</x:v>
      </x:c>
      <x:c r="C11" s="16" t="str">
        <x:v>Ensure formula assumptions remain stable after new releases.</x:v>
      </x:c>
      <x:c r="D11" s="16" t="str">
        <x:v>Framework exists; future data pending.</x:v>
      </x:c>
      <x:c r="E11" s="16" t="str">
        <x:v>Auto-score each new TE under frozen archetype formula.</x:v>
      </x:c>
      <x:c r="F11" s="16" t="str">
        <x:v>ACTIVE</x:v>
      </x:c>
      <x:c r="G11" s="16" t="str"/>
      <x:c r="H11" s="16" t="str"/>
    </x:row>
  </x:sheetData>
  <x:mergeCells>
    <x:mergeCell ref="A1:H1"/>
  </x:mergeCells>
  <x:dataValidations count="2">
    <x:dataValidation type="list" sqref="A4:A11">
      <x:formula1>"HIGH,MEDIUM,LOW"</x:formula1>
    </x:dataValidation>
    <x:dataValidation type="list" sqref="F4:F11">
      <x:formula1>"OPEN,ACTIVE,DONE,DEFERRED"</x:formula1>
    </x:dataValidation>
  </x:dataValidations>
  <x:pageMargins left="0.7" right="0.7" top="0.75" bottom="0.75" header="0.3" footer="0.3"/>
</x:worksheet>
</file>

<file path=xl/worksheets/sheet29.xml><?xml version="1.0" encoding="utf-8"?>
<x:worksheet xmlns:x="http://schemas.openxmlformats.org/spreadsheetml/2006/main">
  <x:sheetFormatPr defaultRowHeight="15"/>
  <x:cols>
    <x:col min="1" max="1" width="28" hidden="0" customWidth="1"/>
    <x:col min="2" max="2" width="72" hidden="0" customWidth="1"/>
    <x:col min="3" max="3" width="62" hidden="0" customWidth="1"/>
    <x:col min="4" max="4" width="16" hidden="0" customWidth="1"/>
    <x:col min="5" max="5" width="55" hidden="0" customWidth="1"/>
    <x:col min="6" max="6" width="28" hidden="0" customWidth="1"/>
    <x:col min="7" max="7" width="70" hidden="0" customWidth="1"/>
  </x:cols>
  <x:sheetData>
    <x:row r="1" ht="28" customHeight="1">
      <x:c r="A1" s="248" t="str">
        <x:v>Operation Pancake — TE Moneyball Validation Phase v1.1</x:v>
      </x:c>
      <x:c r="B1" s="248"/>
      <x:c r="C1" s="248"/>
      <x:c r="D1" s="248"/>
      <x:c r="E1" s="248"/>
      <x:c r="F1" s="248"/>
      <x:c r="G1" s="248"/>
      <x:c r="H1" s="248"/>
    </x:row>
    <x:row r="2" ht="40" customHeight="1">
      <x:c r="A2" s="251" t="str">
        <x:v>Goal: validate football-role utility without changing frozen OVR formulas or overwriting Moneyball v1.0. Tests isolate receiving, contested catching, route running, YAC, blocking, and balanced outcomes.</x:v>
      </x:c>
      <x:c r="B2" s="251"/>
      <x:c r="C2" s="251"/>
      <x:c r="D2" s="251"/>
      <x:c r="E2" s="251"/>
      <x:c r="F2" s="251"/>
      <x:c r="G2" s="251"/>
      <x:c r="H2" s="251"/>
    </x:row>
    <x:row r="4">
      <x:c r="A4" s="254" t="str">
        <x:v>Test_ID</x:v>
      </x:c>
      <x:c r="B4" s="254" t="str">
        <x:v>Outcome Family</x:v>
      </x:c>
      <x:c r="C4" s="254" t="str">
        <x:v>Primary Attributes</x:v>
      </x:c>
      <x:c r="D4" s="254" t="str">
        <x:v>Role</x:v>
      </x:c>
      <x:c r="E4" s="254" t="str">
        <x:v>Metrics</x:v>
      </x:c>
      <x:c r="F4" s="254" t="str">
        <x:v>Minimum Practical Sample</x:v>
      </x:c>
      <x:c r="G4" s="254" t="str">
        <x:v>Stopping / Extension Rule</x:v>
      </x:c>
    </x:row>
    <x:row r="5">
      <x:c r="A5" s="16" t="str">
        <x:v>RX-01</x:v>
      </x:c>
      <x:c r="B5" s="16" t="str">
        <x:v>Receiving</x:v>
      </x:c>
      <x:c r="C5" s="16" t="str">
        <x:v>SPD/ACC</x:v>
      </x:c>
      <x:c r="D5" s="16" t="str">
        <x:v>Receiving Threat</x:v>
      </x:c>
      <x:c r="E5" s="16" t="str">
        <x:v>Routes run, targets, receptions, yards, separation, TD</x:v>
      </x:c>
      <x:c r="F5" s="16" t="str">
        <x:v>20 routes/card × 3 batches</x:v>
      </x:c>
      <x:c r="G5" s="16" t="str">
        <x:v>Advance if direction repeats in ≥2/3 batches; extend to 100 routes if effect &lt;5% or mixed.</x:v>
      </x:c>
    </x:row>
    <x:row r="6">
      <x:c r="A6" s="16" t="str">
        <x:v>RX-02</x:v>
      </x:c>
      <x:c r="B6" s="16" t="str">
        <x:v>Receiving</x:v>
      </x:c>
      <x:c r="C6" s="16" t="str">
        <x:v>CTH</x:v>
      </x:c>
      <x:c r="D6" s="16" t="str">
        <x:v>Possession Target</x:v>
      </x:c>
      <x:c r="E6" s="16" t="str">
        <x:v>Targets, receptions, drops</x:v>
      </x:c>
      <x:c r="F6" s="16" t="str">
        <x:v>30 catchable targets/card × 3 batches</x:v>
      </x:c>
      <x:c r="G6" s="16" t="str">
        <x:v>Advance if catch/drop direction repeats ≥2/3; extend if difference &lt;5 percentage points.</x:v>
      </x:c>
    </x:row>
    <x:row r="7">
      <x:c r="A7" s="16" t="str">
        <x:v>RX-03</x:v>
      </x:c>
      <x:c r="B7" s="16" t="str">
        <x:v>Contested</x:v>
      </x:c>
      <x:c r="C7" s="16" t="str">
        <x:v>CIT/STR</x:v>
      </x:c>
      <x:c r="D7" s="16" t="str">
        <x:v>Possession Target</x:v>
      </x:c>
      <x:c r="E7" s="16" t="str">
        <x:v>Contested targets/catches, drops</x:v>
      </x:c>
      <x:c r="F7" s="16" t="str">
        <x:v>20 contested targets/card × 3 batches</x:v>
      </x:c>
      <x:c r="G7" s="16" t="str">
        <x:v>Advance if contested-catch direction repeats ≥2/3; extend to 100 if mixed.</x:v>
      </x:c>
    </x:row>
    <x:row r="8">
      <x:c r="A8" s="16" t="str">
        <x:v>RX-04</x:v>
      </x:c>
      <x:c r="B8" s="16" t="str">
        <x:v>Routes</x:v>
      </x:c>
      <x:c r="C8" s="16" t="str">
        <x:v>SRR/MRR/DRR</x:v>
      </x:c>
      <x:c r="D8" s="16" t="str">
        <x:v>Receiving Threat</x:v>
      </x:c>
      <x:c r="E8" s="16" t="str">
        <x:v>Separation, targets, receptions, yards</x:v>
      </x:c>
      <x:c r="F8" s="16" t="str">
        <x:v>20 relevant routes/card × 3 batches per route depth</x:v>
      </x:c>
      <x:c r="G8" s="16" t="str">
        <x:v>Do not combine route depths; validate each route-running attribute in its own route family.</x:v>
      </x:c>
    </x:row>
    <x:row r="9">
      <x:c r="A9" s="16" t="str">
        <x:v>RX-05</x:v>
      </x:c>
      <x:c r="B9" s="16" t="str">
        <x:v>YAC</x:v>
      </x:c>
      <x:c r="C9" s="16" t="str">
        <x:v>COD</x:v>
      </x:c>
      <x:c r="D9" s="16" t="str">
        <x:v>YAC / Move TE</x:v>
      </x:c>
      <x:c r="E9" s="16" t="str">
        <x:v>Receptions, YAC, broken tackles, first downs</x:v>
      </x:c>
      <x:c r="F9" s="16" t="str">
        <x:v>20 completed catches/card × 3 batches</x:v>
      </x:c>
      <x:c r="G9" s="16" t="str">
        <x:v>Advance if YAC/first-down direction repeats ≥2/3; extend if mixed.</x:v>
      </x:c>
    </x:row>
    <x:row r="10">
      <x:c r="A10" s="16" t="str">
        <x:v>BL-01</x:v>
      </x:c>
      <x:c r="B10" s="16" t="str">
        <x:v>Run block</x:v>
      </x:c>
      <x:c r="C10" s="16" t="str">
        <x:v>RBK/IBL/LBK</x:v>
      </x:c>
      <x:c r="D10" s="16" t="str">
        <x:v>Blocker</x:v>
      </x:c>
      <x:c r="E10" s="16" t="str">
        <x:v>Blocks won/lost, run yards, success rate, stuffs</x:v>
      </x:c>
      <x:c r="F10" s="16" t="str">
        <x:v>20 designed block reps/card × 3 batches</x:v>
      </x:c>
      <x:c r="G10" s="16" t="str">
        <x:v>Advance if block-win and run-success direction agree ≥2/3 batches.</x:v>
      </x:c>
    </x:row>
    <x:row r="11">
      <x:c r="A11" s="16" t="str">
        <x:v>BL-02</x:v>
      </x:c>
      <x:c r="B11" s="16" t="str">
        <x:v>Power block</x:v>
      </x:c>
      <x:c r="C11" s="16" t="str">
        <x:v>STR</x:v>
      </x:c>
      <x:c r="D11" s="16" t="str">
        <x:v>Blocker</x:v>
      </x:c>
      <x:c r="E11" s="16" t="str">
        <x:v>Blocks won/lost, displacement proxy, run success</x:v>
      </x:c>
      <x:c r="F11" s="16" t="str">
        <x:v>20 identical matchup reps/card × 3 batches</x:v>
      </x:c>
      <x:c r="G11" s="16" t="str">
        <x:v>Keep defender/front constant; extend if &lt;5 percentage-point win-rate gap.</x:v>
      </x:c>
    </x:row>
    <x:row r="12">
      <x:c r="A12" s="16" t="str">
        <x:v>BAL-01</x:v>
      </x:c>
      <x:c r="B12" s="16" t="str">
        <x:v>Balanced</x:v>
      </x:c>
      <x:c r="C12" s="16" t="str">
        <x:v>Composite FUS</x:v>
      </x:c>
      <x:c r="D12" s="16" t="str">
        <x:v>Balanced In-Line</x:v>
      </x:c>
      <x:c r="E12" s="16" t="str">
        <x:v>Receiving + blocking outcome index</x:v>
      </x:c>
      <x:c r="F12" s="16" t="str">
        <x:v>20 pass + 20 run reps/card × 3 batches</x:v>
      </x:c>
      <x:c r="G12" s="16" t="str">
        <x:v>Validation only; do not use to tune individual attribute weights.</x:v>
      </x:c>
    </x:row>
    <x:row r="15">
      <x:c r="A15" s="257" t="str">
        <x:v>Research Rule</x:v>
      </x:c>
      <x:c r="B15" s="257" t="str">
        <x:v>Requirement</x:v>
      </x:c>
      <x:c r="C15" s="257" t="str">
        <x:v>Reason</x:v>
      </x:c>
      <x:c r="D15" s="257" t="str">
        <x:v>Status</x:v>
      </x:c>
    </x:row>
    <x:row r="16">
      <x:c r="A16" s="16" t="str">
        <x:v>Freeze v1.0</x:v>
      </x:c>
      <x:c r="B16" s="16" t="str">
        <x:v>Original role/FUS weights remain historical.</x:v>
      </x:c>
      <x:c r="C16" s="16" t="str">
        <x:v>Prevents hindsight rewrite.</x:v>
      </x:c>
      <x:c r="D16" s="16" t="str">
        <x:v>ACTIVE</x:v>
      </x:c>
    </x:row>
    <x:row r="17">
      <x:c r="A17" s="16" t="str">
        <x:v>Development vs validation</x:v>
      </x:c>
      <x:c r="B17" s="16" t="str">
        <x:v>Tune only on development batches; hold out at least 25% of completed matchup batches.</x:v>
      </x:c>
      <x:c r="C17" s="16" t="str">
        <x:v>Prevents fitting and testing on same evidence.</x:v>
      </x:c>
      <x:c r="D17" s="16" t="str">
        <x:v>ACTIVE</x:v>
      </x:c>
    </x:row>
    <x:row r="18">
      <x:c r="A18" s="16" t="str">
        <x:v>Promotion threshold</x:v>
      </x:c>
      <x:c r="B18" s="16" t="str">
        <x:v>Require directionally correct independent validation in ≥80% of held-out matchup batches and no major role-family regression.</x:v>
      </x:c>
      <x:c r="C18" s="16" t="str">
        <x:v>Practical standard for preliminary utility weights.</x:v>
      </x:c>
      <x:c r="D18" s="16" t="str">
        <x:v>ACTIVE</x:v>
      </x:c>
    </x:row>
    <x:row r="19">
      <x:c r="A19" s="16" t="str">
        <x:v>Weight change cap</x:v>
      </x:c>
      <x:c r="B19" s="16" t="str">
        <x:v>First revision: maximum ±25% relative change to any single role weight before renormalization.</x:v>
      </x:c>
      <x:c r="C19" s="16" t="str">
        <x:v>Prevents one noisy experiment dominating the model.</x:v>
      </x:c>
      <x:c r="D19" s="16" t="str">
        <x:v>ACTIVE</x:v>
      </x:c>
    </x:row>
    <x:row r="20">
      <x:c r="A20" s="16" t="str">
        <x:v>No cross-family contamination</x:v>
      </x:c>
      <x:c r="B20" s="16" t="str">
        <x:v>Receiving outcomes tune receiving roles; blocking outcomes tune blocker roles; balanced test is validation only.</x:v>
      </x:c>
      <x:c r="C20" s="16" t="str">
        <x:v>Keeps causal interpretation usable.</x:v>
      </x:c>
      <x:c r="D20" s="16" t="str">
        <x:v>ACTIVE</x:v>
      </x:c>
    </x:row>
  </x:sheetData>
  <x:mergeCells>
    <x:mergeCell ref="A1:H1"/>
    <x:mergeCell ref="A2:H2"/>
  </x:mergeCells>
  <x:pageMargins left="0.7" right="0.7" top="0.75" bottom="0.75" header="0.3" footer="0.3"/>
</x:worksheet>
</file>

<file path=xl/worksheets/sheet30.xml><?xml version="1.0" encoding="utf-8"?>
<x:worksheet xmlns:x="http://schemas.openxmlformats.org/spreadsheetml/2006/main">
  <x:sheetFormatPr defaultRowHeight="15"/>
  <x:cols>
    <x:col min="1" max="1" width="9" hidden="0" customWidth="1"/>
    <x:col min="2" max="2" width="12" hidden="0" customWidth="1"/>
    <x:col min="3" max="3" width="15" hidden="0" customWidth="1"/>
    <x:col min="4" max="4" width="24" hidden="0" customWidth="1"/>
    <x:col min="5" max="5" width="8" hidden="0" customWidth="1"/>
    <x:col min="6" max="6" width="24" hidden="0" customWidth="1"/>
    <x:col min="7" max="7" width="12" hidden="0" customWidth="1"/>
    <x:col min="8" max="8" width="15" hidden="0" customWidth="1"/>
    <x:col min="9" max="9" width="24" hidden="0" customWidth="1"/>
    <x:col min="10" max="10" width="12" hidden="0" customWidth="1"/>
    <x:col min="11" max="11" width="12" hidden="0" customWidth="1"/>
    <x:col min="12" max="12" width="20" hidden="0" customWidth="1"/>
    <x:col min="13" max="13" width="18" hidden="0" customWidth="1"/>
    <x:col min="14" max="14" width="14" hidden="0" customWidth="1"/>
    <x:col min="15" max="15" width="20" hidden="0" customWidth="1"/>
    <x:col min="16" max="16" width="58" hidden="0" customWidth="1"/>
  </x:cols>
  <x:sheetData>
    <x:row r="1">
      <x:c r="A1" s="248" t="str">
        <x:v>High-Information TE Attribute Isolation Pairings</x:v>
      </x:c>
      <x:c r="B1" s="248"/>
      <x:c r="C1" s="248"/>
      <x:c r="D1" s="248"/>
      <x:c r="E1" s="248"/>
      <x:c r="F1" s="248"/>
      <x:c r="G1" s="248"/>
      <x:c r="H1" s="248"/>
      <x:c r="I1" s="248"/>
      <x:c r="J1" s="248"/>
      <x:c r="K1" s="248"/>
      <x:c r="L1" s="248"/>
      <x:c r="M1" s="248"/>
      <x:c r="N1" s="248"/>
      <x:c r="O1" s="248"/>
      <x:c r="P1" s="248"/>
    </x:row>
    <x:row r="4">
      <x:c r="A4" s="254" t="str">
        <x:v>Priority</x:v>
      </x:c>
      <x:c r="B4" s="254" t="str">
        <x:v>Attribute</x:v>
      </x:c>
      <x:c r="C4" s="254" t="str">
        <x:v>High_Card_ID</x:v>
      </x:c>
      <x:c r="D4" s="254" t="str">
        <x:v>High_Player</x:v>
      </x:c>
      <x:c r="E4" s="254" t="str">
        <x:v>OVR</x:v>
      </x:c>
      <x:c r="F4" s="254" t="str">
        <x:v>Archetype</x:v>
      </x:c>
      <x:c r="G4" s="254" t="str">
        <x:v>High_Value</x:v>
      </x:c>
      <x:c r="H4" s="254" t="str">
        <x:v>Low_Card_ID</x:v>
      </x:c>
      <x:c r="I4" s="254" t="str">
        <x:v>Low_Player</x:v>
      </x:c>
      <x:c r="J4" s="254" t="str">
        <x:v>Low_Value</x:v>
      </x:c>
      <x:c r="K4" s="254" t="str">
        <x:v>Target_Gap</x:v>
      </x:c>
      <x:c r="L4" s="254" t="str">
        <x:v>Other_Target_Avg_Diff</x:v>
      </x:c>
      <x:c r="M4" s="254" t="str">
        <x:v>Control_Avg_Diff</x:v>
      </x:c>
      <x:c r="N4" s="254" t="str">
        <x:v>Info_Score</x:v>
      </x:c>
      <x:c r="O4" s="254" t="str">
        <x:v>Readiness</x:v>
      </x:c>
      <x:c r="P4" s="254" t="str">
        <x:v>Protocol</x:v>
      </x:c>
    </x:row>
    <x:row r="5">
      <x:c r="A5" s="16" t="n">
        <x:v>1</x:v>
      </x:c>
      <x:c r="B5" s="16" t="str">
        <x:v>SPD</x:v>
      </x:c>
      <x:c r="C5" s="16" t="str">
        <x:v>TE-0051</x:v>
      </x:c>
      <x:c r="D5" s="16" t="str">
        <x:v>Martellus Bennett</x:v>
      </x:c>
      <x:c r="E5" s="16" t="n">
        <x:v>80</x:v>
      </x:c>
      <x:c r="F5" s="16" t="str">
        <x:v>Gritty Possession</x:v>
      </x:c>
      <x:c r="G5" s="16" t="n">
        <x:v>82</x:v>
      </x:c>
      <x:c r="H5" s="16" t="str">
        <x:v>TE-0067</x:v>
      </x:c>
      <x:c r="I5" s="16" t="str">
        <x:v>Ty Washington</x:v>
      </x:c>
      <x:c r="J5" s="16" t="n">
        <x:v>70</x:v>
      </x:c>
      <x:c r="K5" s="16" t="n">
        <x:v>12</x:v>
      </x:c>
      <x:c r="L5" s="16" t="n">
        <x:v>4.09</x:v>
      </x:c>
      <x:c r="M5" s="16" t="n">
        <x:v>5.8</x:v>
      </x:c>
      <x:c r="N5" s="16" t="n">
        <x:v>28.43</x:v>
      </x:c>
      <x:c r="O5" s="16" t="str">
        <x:v>READY</x:v>
      </x:c>
      <x:c r="P5" s="16" t="str">
        <x:v>Same OVR; use identical play calls/opponents/settings.</x:v>
      </x:c>
    </x:row>
    <x:row r="6">
      <x:c r="A6" s="16" t="n">
        <x:v>2</x:v>
      </x:c>
      <x:c r="B6" s="16" t="str">
        <x:v>ACC</x:v>
      </x:c>
      <x:c r="C6" s="16" t="str">
        <x:v>TE-0044</x:v>
      </x:c>
      <x:c r="D6" s="16" t="str">
        <x:v>Jelani Thurman</x:v>
      </x:c>
      <x:c r="E6" s="16" t="n">
        <x:v>81</x:v>
      </x:c>
      <x:c r="F6" s="16" t="str">
        <x:v>Vertical Threat</x:v>
      </x:c>
      <x:c r="G6" s="16" t="n">
        <x:v>83</x:v>
      </x:c>
      <x:c r="H6" s="16" t="str">
        <x:v>TE-0040</x:v>
      </x:c>
      <x:c r="I6" s="16" t="str">
        <x:v>Hayden Hansen</x:v>
      </x:c>
      <x:c r="J6" s="16" t="n">
        <x:v>71</x:v>
      </x:c>
      <x:c r="K6" s="16" t="n">
        <x:v>12</x:v>
      </x:c>
      <x:c r="L6" s="16" t="n">
        <x:v>6.36</x:v>
      </x:c>
      <x:c r="M6" s="16" t="n">
        <x:v>5.27</x:v>
      </x:c>
      <x:c r="N6" s="16" t="n">
        <x:v>26.48</x:v>
      </x:c>
      <x:c r="O6" s="16" t="str">
        <x:v>READY</x:v>
      </x:c>
      <x:c r="P6" s="16" t="str">
        <x:v>Same OVR; use identical play calls/opponents/settings.</x:v>
      </x:c>
    </x:row>
    <x:row r="7">
      <x:c r="A7" s="16" t="n">
        <x:v>3</x:v>
      </x:c>
      <x:c r="B7" s="16" t="str">
        <x:v>COD</x:v>
      </x:c>
      <x:c r="C7" s="16" t="str">
        <x:v>TE-0044</x:v>
      </x:c>
      <x:c r="D7" s="16" t="str">
        <x:v>Jelani Thurman</x:v>
      </x:c>
      <x:c r="E7" s="16" t="n">
        <x:v>81</x:v>
      </x:c>
      <x:c r="F7" s="16" t="str">
        <x:v>Vertical Threat</x:v>
      </x:c>
      <x:c r="G7" s="16" t="n">
        <x:v>81</x:v>
      </x:c>
      <x:c r="H7" s="16" t="str">
        <x:v>TE-0040</x:v>
      </x:c>
      <x:c r="I7" s="16" t="str">
        <x:v>Hayden Hansen</x:v>
      </x:c>
      <x:c r="J7" s="16" t="n">
        <x:v>61</x:v>
      </x:c>
      <x:c r="K7" s="16" t="n">
        <x:v>20</x:v>
      </x:c>
      <x:c r="L7" s="16" t="n">
        <x:v>5.64</x:v>
      </x:c>
      <x:c r="M7" s="16" t="n">
        <x:v>5.27</x:v>
      </x:c>
      <x:c r="N7" s="16" t="n">
        <x:v>51.2</x:v>
      </x:c>
      <x:c r="O7" s="16" t="str">
        <x:v>READY</x:v>
      </x:c>
      <x:c r="P7" s="16" t="str">
        <x:v>Same OVR; use identical play calls/opponents/settings.</x:v>
      </x:c>
    </x:row>
    <x:row r="8">
      <x:c r="A8" s="16" t="n">
        <x:v>4</x:v>
      </x:c>
      <x:c r="B8" s="16" t="str">
        <x:v>STR</x:v>
      </x:c>
      <x:c r="C8" s="16" t="str">
        <x:v>TE-0064</x:v>
      </x:c>
      <x:c r="D8" s="16" t="str">
        <x:v>Jeremy Shockey</x:v>
      </x:c>
      <x:c r="E8" s="16" t="n">
        <x:v>80</x:v>
      </x:c>
      <x:c r="F8" s="16" t="str">
        <x:v>Gritty Possession</x:v>
      </x:c>
      <x:c r="G8" s="16" t="n">
        <x:v>81</x:v>
      </x:c>
      <x:c r="H8" s="16" t="str">
        <x:v>TE-0057</x:v>
      </x:c>
      <x:c r="I8" s="16" t="str">
        <x:v>Nate Kurisky</x:v>
      </x:c>
      <x:c r="J8" s="16" t="n">
        <x:v>62</x:v>
      </x:c>
      <x:c r="K8" s="16" t="n">
        <x:v>19</x:v>
      </x:c>
      <x:c r="L8" s="16" t="n">
        <x:v>3.64</x:v>
      </x:c>
      <x:c r="M8" s="16" t="n">
        <x:v>6.13</x:v>
      </x:c>
      <x:c r="N8" s="16" t="n">
        <x:v>49.68</x:v>
      </x:c>
      <x:c r="O8" s="16" t="str">
        <x:v>READY</x:v>
      </x:c>
      <x:c r="P8" s="16" t="str">
        <x:v>Same OVR; use identical play calls/opponents/settings.</x:v>
      </x:c>
    </x:row>
    <x:row r="9">
      <x:c r="A9" s="16" t="n">
        <x:v>5</x:v>
      </x:c>
      <x:c r="B9" s="16" t="str">
        <x:v>CTH</x:v>
      </x:c>
      <x:c r="C9" s="16" t="str">
        <x:v>TE-0052</x:v>
      </x:c>
      <x:c r="D9" s="16" t="str">
        <x:v>Ethan Davis</x:v>
      </x:c>
      <x:c r="E9" s="16" t="n">
        <x:v>80</x:v>
      </x:c>
      <x:c r="F9" s="16" t="str">
        <x:v>Physical Route Runner</x:v>
      </x:c>
      <x:c r="G9" s="16" t="n">
        <x:v>83</x:v>
      </x:c>
      <x:c r="H9" s="16" t="str">
        <x:v>TE-0056</x:v>
      </x:c>
      <x:c r="I9" s="16" t="str">
        <x:v>Preston Howard</x:v>
      </x:c>
      <x:c r="J9" s="16" t="n">
        <x:v>75</x:v>
      </x:c>
      <x:c r="K9" s="16" t="n">
        <x:v>8</x:v>
      </x:c>
      <x:c r="L9" s="16" t="n">
        <x:v>5.09</x:v>
      </x:c>
      <x:c r="M9" s="16" t="n">
        <x:v>6.47</x:v>
      </x:c>
      <x:c r="N9" s="16" t="n">
        <x:v>15.03</x:v>
      </x:c>
      <x:c r="O9" s="16" t="str">
        <x:v>READY</x:v>
      </x:c>
      <x:c r="P9" s="16" t="str">
        <x:v>Same OVR; use identical play calls/opponents/settings.</x:v>
      </x:c>
    </x:row>
    <x:row r="10">
      <x:c r="A10" s="16" t="n">
        <x:v>6</x:v>
      </x:c>
      <x:c r="B10" s="16" t="str">
        <x:v>CIT</x:v>
      </x:c>
      <x:c r="C10" s="16" t="str">
        <x:v>TE-0045</x:v>
      </x:c>
      <x:c r="D10" s="16" t="str">
        <x:v>Hunter Welcing</x:v>
      </x:c>
      <x:c r="E10" s="16" t="n">
        <x:v>81</x:v>
      </x:c>
      <x:c r="F10" s="16" t="str">
        <x:v>Physical Route Runner</x:v>
      </x:c>
      <x:c r="G10" s="16" t="n">
        <x:v>81</x:v>
      </x:c>
      <x:c r="H10" s="16" t="str">
        <x:v>TE-0043</x:v>
      </x:c>
      <x:c r="I10" s="16" t="str">
        <x:v>Jaleel Skinner</x:v>
      </x:c>
      <x:c r="J10" s="16" t="n">
        <x:v>55</x:v>
      </x:c>
      <x:c r="K10" s="16" t="n">
        <x:v>26</x:v>
      </x:c>
      <x:c r="L10" s="16" t="n">
        <x:v>6.09</x:v>
      </x:c>
      <x:c r="M10" s="16" t="n">
        <x:v>8.8</x:v>
      </x:c>
      <x:c r="N10" s="16" t="n">
        <x:v>66.63</x:v>
      </x:c>
      <x:c r="O10" s="16" t="str">
        <x:v>READY</x:v>
      </x:c>
      <x:c r="P10" s="16" t="str">
        <x:v>Same OVR; use identical play calls/opponents/settings.</x:v>
      </x:c>
    </x:row>
    <x:row r="11">
      <x:c r="A11" s="16" t="n">
        <x:v>7</x:v>
      </x:c>
      <x:c r="B11" s="16" t="str">
        <x:v>SRR</x:v>
      </x:c>
      <x:c r="C11" s="16" t="str">
        <x:v>TE-0050</x:v>
      </x:c>
      <x:c r="D11" s="16" t="str">
        <x:v>Matt Wagner</x:v>
      </x:c>
      <x:c r="E11" s="16" t="n">
        <x:v>80</x:v>
      </x:c>
      <x:c r="F11" s="16" t="str">
        <x:v>Vertical Threat</x:v>
      </x:c>
      <x:c r="G11" s="16" t="n">
        <x:v>84</x:v>
      </x:c>
      <x:c r="H11" s="16" t="str">
        <x:v>TE-0060</x:v>
      </x:c>
      <x:c r="I11" s="16" t="str">
        <x:v>Randy Pittman Jr.</x:v>
      </x:c>
      <x:c r="J11" s="16" t="n">
        <x:v>68</x:v>
      </x:c>
      <x:c r="K11" s="16" t="n">
        <x:v>16</x:v>
      </x:c>
      <x:c r="L11" s="16" t="n">
        <x:v>5.91</x:v>
      </x:c>
      <x:c r="M11" s="16" t="n">
        <x:v>10</x:v>
      </x:c>
      <x:c r="N11" s="16" t="n">
        <x:v>36.09</x:v>
      </x:c>
      <x:c r="O11" s="16" t="str">
        <x:v>READY</x:v>
      </x:c>
      <x:c r="P11" s="16" t="str">
        <x:v>Same OVR; use identical play calls/opponents/settings.</x:v>
      </x:c>
    </x:row>
    <x:row r="12">
      <x:c r="A12" s="16" t="n">
        <x:v>8</x:v>
      </x:c>
      <x:c r="B12" s="16" t="str">
        <x:v>MRR</x:v>
      </x:c>
      <x:c r="C12" s="16" t="str">
        <x:v>TE-0036</x:v>
      </x:c>
      <x:c r="D12" s="16" t="str">
        <x:v>Jayvontay Conner</x:v>
      </x:c>
      <x:c r="E12" s="16" t="n">
        <x:v>81</x:v>
      </x:c>
      <x:c r="F12" s="16" t="str">
        <x:v>Gritty Possession</x:v>
      </x:c>
      <x:c r="G12" s="16" t="n">
        <x:v>85</x:v>
      </x:c>
      <x:c r="H12" s="16" t="str">
        <x:v>TE-0044</x:v>
      </x:c>
      <x:c r="I12" s="16" t="str">
        <x:v>Jelani Thurman</x:v>
      </x:c>
      <x:c r="J12" s="16" t="n">
        <x:v>68</x:v>
      </x:c>
      <x:c r="K12" s="16" t="n">
        <x:v>17</x:v>
      </x:c>
      <x:c r="L12" s="16" t="n">
        <x:v>9</x:v>
      </x:c>
      <x:c r="M12" s="16" t="n">
        <x:v>6.73</x:v>
      </x:c>
      <x:c r="N12" s="16" t="n">
        <x:v>37.96</x:v>
      </x:c>
      <x:c r="O12" s="16" t="str">
        <x:v>READY</x:v>
      </x:c>
      <x:c r="P12" s="16" t="str">
        <x:v>Same OVR; use identical play calls/opponents/settings.</x:v>
      </x:c>
    </x:row>
    <x:row r="13">
      <x:c r="A13" s="16" t="n">
        <x:v>9</x:v>
      </x:c>
      <x:c r="B13" s="16" t="str">
        <x:v>DRR</x:v>
      </x:c>
      <x:c r="C13" s="16" t="str">
        <x:v>TE-0036</x:v>
      </x:c>
      <x:c r="D13" s="16" t="str">
        <x:v>Jayvontay Conner</x:v>
      </x:c>
      <x:c r="E13" s="16" t="n">
        <x:v>81</x:v>
      </x:c>
      <x:c r="F13" s="16" t="str">
        <x:v>Gritty Possession</x:v>
      </x:c>
      <x:c r="G13" s="16" t="n">
        <x:v>85</x:v>
      </x:c>
      <x:c r="H13" s="16" t="str">
        <x:v>TE-0044</x:v>
      </x:c>
      <x:c r="I13" s="16" t="str">
        <x:v>Jelani Thurman</x:v>
      </x:c>
      <x:c r="J13" s="16" t="n">
        <x:v>62</x:v>
      </x:c>
      <x:c r="K13" s="16" t="n">
        <x:v>23</x:v>
      </x:c>
      <x:c r="L13" s="16" t="n">
        <x:v>8.45</x:v>
      </x:c>
      <x:c r="M13" s="16" t="n">
        <x:v>6.73</x:v>
      </x:c>
      <x:c r="N13" s="16" t="n">
        <x:v>56.51</x:v>
      </x:c>
      <x:c r="O13" s="16" t="str">
        <x:v>READY</x:v>
      </x:c>
      <x:c r="P13" s="16" t="str">
        <x:v>Same OVR; use identical play calls/opponents/settings.</x:v>
      </x:c>
    </x:row>
    <x:row r="14">
      <x:c r="A14" s="16" t="n">
        <x:v>10</x:v>
      </x:c>
      <x:c r="B14" s="16" t="str">
        <x:v>RBK</x:v>
      </x:c>
      <x:c r="C14" s="16" t="str">
        <x:v>TE-0033</x:v>
      </x:c>
      <x:c r="D14" s="16" t="str">
        <x:v>Luke Lindenmeyer</x:v>
      </x:c>
      <x:c r="E14" s="16" t="n">
        <x:v>82</x:v>
      </x:c>
      <x:c r="F14" s="16" t="str">
        <x:v>Physical Route Runner</x:v>
      </x:c>
      <x:c r="G14" s="16" t="n">
        <x:v>83</x:v>
      </x:c>
      <x:c r="H14" s="16" t="str">
        <x:v>TE-0031</x:v>
      </x:c>
      <x:c r="I14" s="16" t="str">
        <x:v>River Helms</x:v>
      </x:c>
      <x:c r="J14" s="16" t="n">
        <x:v>60</x:v>
      </x:c>
      <x:c r="K14" s="16" t="n">
        <x:v>23</x:v>
      </x:c>
      <x:c r="L14" s="16" t="n">
        <x:v>9.91</x:v>
      </x:c>
      <x:c r="M14" s="16" t="n">
        <x:v>7.07</x:v>
      </x:c>
      <x:c r="N14" s="16" t="n">
        <x:v>54.85</x:v>
      </x:c>
      <x:c r="O14" s="16" t="str">
        <x:v>READY</x:v>
      </x:c>
      <x:c r="P14" s="16" t="str">
        <x:v>Same OVR; use identical play calls/opponents/settings.</x:v>
      </x:c>
    </x:row>
    <x:row r="15">
      <x:c r="A15" s="16" t="n">
        <x:v>11</x:v>
      </x:c>
      <x:c r="B15" s="16" t="str">
        <x:v>IBL</x:v>
      </x:c>
      <x:c r="C15" s="16" t="str">
        <x:v>TE-0024</x:v>
      </x:c>
      <x:c r="D15" s="16" t="str">
        <x:v>Brody Foley</x:v>
      </x:c>
      <x:c r="E15" s="16" t="n">
        <x:v>83</x:v>
      </x:c>
      <x:c r="F15" s="16" t="str">
        <x:v>Physical Route Runner</x:v>
      </x:c>
      <x:c r="G15" s="16" t="n">
        <x:v>84</x:v>
      </x:c>
      <x:c r="H15" s="16" t="str">
        <x:v>TE-0026</x:v>
      </x:c>
      <x:c r="I15" s="16" t="str">
        <x:v>Brett Norfleet</x:v>
      </x:c>
      <x:c r="J15" s="16" t="n">
        <x:v>62</x:v>
      </x:c>
      <x:c r="K15" s="16" t="n">
        <x:v>22</x:v>
      </x:c>
      <x:c r="L15" s="16" t="n">
        <x:v>7</x:v>
      </x:c>
      <x:c r="M15" s="16" t="n">
        <x:v>5.93</x:v>
      </x:c>
      <x:c r="N15" s="16" t="n">
        <x:v>55.44</x:v>
      </x:c>
      <x:c r="O15" s="16" t="str">
        <x:v>READY</x:v>
      </x:c>
      <x:c r="P15" s="16" t="str">
        <x:v>Same OVR; use identical play calls/opponents/settings.</x:v>
      </x:c>
    </x:row>
    <x:row r="16">
      <x:c r="A16" s="16" t="n">
        <x:v>12</x:v>
      </x:c>
      <x:c r="B16" s="16" t="str">
        <x:v>LBK</x:v>
      </x:c>
      <x:c r="C16" s="16" t="str">
        <x:v>TE-0065</x:v>
      </x:c>
      <x:c r="D16" s="16" t="str">
        <x:v>Cole Spence</x:v>
      </x:c>
      <x:c r="E16" s="16" t="n">
        <x:v>80</x:v>
      </x:c>
      <x:c r="F16" s="16" t="str">
        <x:v>Physical Route Runner</x:v>
      </x:c>
      <x:c r="G16" s="16" t="n">
        <x:v>82</x:v>
      </x:c>
      <x:c r="H16" s="16" t="str">
        <x:v>TE-0060</x:v>
      </x:c>
      <x:c r="I16" s="16" t="str">
        <x:v>Randy Pittman Jr.</x:v>
      </x:c>
      <x:c r="J16" s="16" t="n">
        <x:v>41</x:v>
      </x:c>
      <x:c r="K16" s="16" t="n">
        <x:v>41</x:v>
      </x:c>
      <x:c r="L16" s="16" t="n">
        <x:v>9</x:v>
      </x:c>
      <x:c r="M16" s="16" t="n">
        <x:v>9.07</x:v>
      </x:c>
      <x:c r="N16" s="16" t="n">
        <x:v>108.56</x:v>
      </x:c>
      <x:c r="O16" s="16" t="str">
        <x:v>READY</x:v>
      </x:c>
      <x:c r="P16" s="16" t="str">
        <x:v>Same OVR; use identical play calls/opponents/settings.</x:v>
      </x:c>
    </x:row>
  </x:sheetData>
  <x:mergeCells>
    <x:mergeCell ref="A1:P1"/>
  </x:mergeCells>
  <x:pageMargins left="0.7" right="0.7" top="0.75" bottom="0.75" header="0.3" footer="0.3"/>
</x:worksheet>
</file>

<file path=xl/worksheets/sheet31.xml><?xml version="1.0" encoding="utf-8"?>
<x:worksheet xmlns:x="http://schemas.openxmlformats.org/spreadsheetml/2006/main">
  <x:sheetFormatPr defaultRowHeight="15"/>
  <x:cols>
    <x:col min="1" max="1" width="14" hidden="0" customWidth="1"/>
    <x:col min="2" max="2" width="12" hidden="0" customWidth="1"/>
    <x:col min="3" max="3" width="10" hidden="0" customWidth="1"/>
    <x:col min="4" max="4" width="8" hidden="0" customWidth="1"/>
    <x:col min="5" max="5" width="14" hidden="0" customWidth="1"/>
    <x:col min="6" max="6" width="24" hidden="0" customWidth="1"/>
    <x:col min="7" max="7" width="8" hidden="0" customWidth="1"/>
    <x:col min="8" max="8" width="24" hidden="0" customWidth="1"/>
    <x:col min="9" max="9" width="28" hidden="0" customWidth="1"/>
    <x:col min="10" max="10" width="14" hidden="0" customWidth="1"/>
    <x:col min="11" max="11" width="24" hidden="0" customWidth="1"/>
    <x:col min="12" max="12" width="22"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s>
  <x:sheetData>
    <x:row r="1">
      <x:c r="A1" s="248" t="str">
        <x:v>TE Gameplay / Simulation Raw Log — one row per card per batch</x:v>
      </x:c>
      <x:c r="B1" s="248"/>
      <x:c r="C1" s="248"/>
      <x:c r="D1" s="248"/>
      <x:c r="E1" s="248"/>
      <x:c r="F1" s="248"/>
      <x:c r="G1" s="248"/>
      <x:c r="H1" s="248"/>
      <x:c r="I1" s="248"/>
      <x:c r="J1" s="248"/>
      <x:c r="K1" s="248"/>
      <x:c r="L1" s="248"/>
      <x:c r="M1" s="248"/>
      <x:c r="N1" s="248"/>
      <x:c r="O1" s="248"/>
      <x:c r="P1" s="248"/>
      <x:c r="Q1" s="248"/>
      <x:c r="R1" s="248"/>
      <x:c r="S1" s="248"/>
      <x:c r="T1" s="248"/>
      <x:c r="U1" s="248"/>
      <x:c r="V1" s="248"/>
      <x:c r="W1" s="248"/>
      <x:c r="X1" s="248"/>
      <x:c r="Y1" s="248"/>
      <x:c r="Z1" s="248"/>
      <x:c r="AA1" s="248"/>
      <x:c r="AB1" s="248"/>
      <x:c r="AC1" s="248"/>
      <x:c r="AD1" s="248"/>
      <x:c r="AE1" s="248"/>
      <x:c r="AF1" s="248"/>
      <x:c r="AG1" s="248"/>
    </x:row>
    <x:row r="4">
      <x:c r="A4" s="254" t="str">
        <x:v>Run_ID</x:v>
      </x:c>
      <x:c r="B4" s="254" t="str">
        <x:v>Date</x:v>
      </x:c>
      <x:c r="C4" s="254" t="str">
        <x:v>Test_ID</x:v>
      </x:c>
      <x:c r="D4" s="254" t="str">
        <x:v>Batch</x:v>
      </x:c>
      <x:c r="E4" s="254" t="str">
        <x:v>Card_ID</x:v>
      </x:c>
      <x:c r="F4" s="254" t="str">
        <x:v>Player</x:v>
      </x:c>
      <x:c r="G4" s="254" t="str">
        <x:v>OVR</x:v>
      </x:c>
      <x:c r="H4" s="254" t="str">
        <x:v>Archetype</x:v>
      </x:c>
      <x:c r="I4" s="254" t="str">
        <x:v>Opponent/Defense</x:v>
      </x:c>
      <x:c r="J4" s="254" t="str">
        <x:v>Difficulty</x:v>
      </x:c>
      <x:c r="K4" s="254" t="str">
        <x:v>Playbook/Scheme</x:v>
      </x:c>
      <x:c r="L4" s="254" t="str">
        <x:v>Role</x:v>
      </x:c>
      <x:c r="M4" s="254" t="str">
        <x:v>Snaps</x:v>
      </x:c>
      <x:c r="N4" s="254" t="str">
        <x:v>Routes</x:v>
      </x:c>
      <x:c r="O4" s="254" t="str">
        <x:v>Targets</x:v>
      </x:c>
      <x:c r="P4" s="254" t="str">
        <x:v>Catchable_Targets</x:v>
      </x:c>
      <x:c r="Q4" s="254" t="str">
        <x:v>Receptions</x:v>
      </x:c>
      <x:c r="R4" s="254" t="str">
        <x:v>Yards</x:v>
      </x:c>
      <x:c r="S4" s="254" t="str">
        <x:v>YAC</x:v>
      </x:c>
      <x:c r="T4" s="254" t="str">
        <x:v>TD</x:v>
      </x:c>
      <x:c r="U4" s="254" t="str">
        <x:v>Drops</x:v>
      </x:c>
      <x:c r="V4" s="254" t="str">
        <x:v>Contested_Targets</x:v>
      </x:c>
      <x:c r="W4" s="254" t="str">
        <x:v>Contested_Catches</x:v>
      </x:c>
      <x:c r="X4" s="254" t="str">
        <x:v>Separation_Wins</x:v>
      </x:c>
      <x:c r="Y4" s="254" t="str">
        <x:v>Blocks_Attempted</x:v>
      </x:c>
      <x:c r="Z4" s="254" t="str">
        <x:v>Blocks_Won</x:v>
      </x:c>
      <x:c r="AA4" s="254" t="str">
        <x:v>Blocks_Lost</x:v>
      </x:c>
      <x:c r="AB4" s="254" t="str">
        <x:v>Pressures_Allowed</x:v>
      </x:c>
      <x:c r="AC4" s="254" t="str">
        <x:v>Run_Attempts_Behind_TE</x:v>
      </x:c>
      <x:c r="AD4" s="254" t="str">
        <x:v>Run_Successes</x:v>
      </x:c>
      <x:c r="AE4" s="254" t="str">
        <x:v>Run_Yards</x:v>
      </x:c>
      <x:c r="AF4" s="254" t="str">
        <x:v>Broken_Tackles</x:v>
      </x:c>
      <x:c r="AG4" s="254" t="str">
        <x:v>First_Downs</x:v>
      </x:c>
    </x:row>
  </x:sheetData>
  <x:mergeCells>
    <x:mergeCell ref="A1:AG1"/>
  </x:mergeCells>
  <x:dataValidations count="2">
    <x:dataValidation type="list" sqref="C5:C304">
      <x:formula1>"RX-01,RX-02,RX-03,RX-04,RX-05,BL-01,BL-02,BAL-01"</x:formula1>
    </x:dataValidation>
    <x:dataValidation type="list" sqref="L5:L304">
      <x:formula1>"Receiving Threat,Possession Target,Blocker,Balanced In-Line,Mismatch Weapon,YAC / Move TE"</x:formula1>
    </x:dataValidation>
  </x:dataValidations>
  <x:pageMargins left="0.7" right="0.7" top="0.75" bottom="0.75" header="0.3" footer="0.3"/>
  <x:tableParts count="1">
    <x:tablePart xmlns:r="http://schemas.openxmlformats.org/officeDocument/2006/relationships" r:id="R2e91b1e7bb6144e7"/>
  </x:tableParts>
</x:worksheet>
</file>

<file path=xl/worksheets/sheet32.xml><?xml version="1.0" encoding="utf-8"?>
<x:worksheet xmlns:x="http://schemas.openxmlformats.org/spreadsheetml/2006/main">
  <x:sheetFormatPr defaultRowHeight="15"/>
  <x:cols>
    <x:col min="1" max="1" width="14" hidden="0" customWidth="1"/>
    <x:col min="2" max="2" width="10" hidden="0" customWidth="1"/>
    <x:col min="3" max="3" width="12" hidden="0" customWidth="1"/>
    <x:col min="4" max="4" width="22" hidden="0" customWidth="1"/>
    <x:col min="5" max="5" width="22" hidden="0" customWidth="1"/>
    <x:col min="6" max="6" width="12" hidden="0" customWidth="1"/>
    <x:col min="7" max="7" width="12" hidden="0" customWidth="1"/>
    <x:col min="8" max="8" width="16" hidden="0" customWidth="1"/>
    <x:col min="9" max="9" width="16" hidden="0" customWidth="1"/>
    <x:col min="10" max="10" width="14" hidden="0" customWidth="1"/>
    <x:col min="11" max="11" width="14" hidden="0" customWidth="1"/>
    <x:col min="12" max="12" width="20" hidden="0" customWidth="1"/>
    <x:col min="13" max="13" width="14" hidden="0" customWidth="1"/>
    <x:col min="14" max="14" width="14" hidden="0" customWidth="1"/>
    <x:col min="15" max="15" width="16" hidden="0" customWidth="1"/>
    <x:col min="16" max="16" width="12" hidden="0" customWidth="1"/>
    <x:col min="17" max="17" width="50" hidden="0" customWidth="1"/>
  </x:cols>
  <x:sheetData>
    <x:row r="1">
      <x:c r="A1" s="248" t="str">
        <x:v>TE Validation Batch Summary</x:v>
      </x:c>
      <x:c r="B1" s="248"/>
      <x:c r="C1" s="248"/>
      <x:c r="D1" s="248"/>
      <x:c r="E1" s="248"/>
      <x:c r="F1" s="248"/>
      <x:c r="G1" s="248"/>
      <x:c r="H1" s="248"/>
      <x:c r="I1" s="248"/>
      <x:c r="J1" s="248"/>
      <x:c r="K1" s="248"/>
      <x:c r="L1" s="248"/>
      <x:c r="M1" s="248"/>
      <x:c r="N1" s="248"/>
      <x:c r="O1" s="248"/>
      <x:c r="P1" s="248"/>
      <x:c r="Q1" s="248"/>
    </x:row>
    <x:row r="4">
      <x:c r="A4" s="254" t="str">
        <x:v>Summary_ID</x:v>
      </x:c>
      <x:c r="B4" s="254" t="str">
        <x:v>Test_ID</x:v>
      </x:c>
      <x:c r="C4" s="254" t="str">
        <x:v>Attribute</x:v>
      </x:c>
      <x:c r="D4" s="254" t="str">
        <x:v>High_Card</x:v>
      </x:c>
      <x:c r="E4" s="254" t="str">
        <x:v>Low_Card</x:v>
      </x:c>
      <x:c r="F4" s="254" t="str">
        <x:v>High_Reps</x:v>
      </x:c>
      <x:c r="G4" s="254" t="str">
        <x:v>Low_Reps</x:v>
      </x:c>
      <x:c r="H4" s="254" t="str">
        <x:v>High_Rate/Avg</x:v>
      </x:c>
      <x:c r="I4" s="254" t="str">
        <x:v>Low_Rate/Avg</x:v>
      </x:c>
      <x:c r="J4" s="254" t="str">
        <x:v>Effect</x:v>
      </x:c>
      <x:c r="K4" s="254" t="str">
        <x:v>Direction</x:v>
      </x:c>
      <x:c r="L4" s="254" t="str">
        <x:v>Development_or_Holdout</x:v>
      </x:c>
      <x:c r="M4" s="254" t="str">
        <x:v>Repeat_Count</x:v>
      </x:c>
      <x:c r="N4" s="254" t="str">
        <x:v>Decision</x:v>
      </x:c>
      <x:c r="O4" s="254" t="str">
        <x:v>Weight_Action</x:v>
      </x:c>
      <x:c r="P4" s="254" t="str">
        <x:v>Reviewed</x:v>
      </x:c>
      <x:c r="Q4" s="254" t="str">
        <x:v>Notes</x:v>
      </x:c>
    </x:row>
  </x:sheetData>
  <x:mergeCells>
    <x:mergeCell ref="A1:Q1"/>
  </x:mergeCells>
  <x:dataValidations count="4">
    <x:dataValidation type="list" sqref="L5:L104">
      <x:formula1>"DEVELOPMENT,HOLDOUT"</x:formula1>
    </x:dataValidation>
    <x:dataValidation type="list" sqref="N5:N104">
      <x:formula1>"PASS,EXTEND,FAIL,UNRESOLVED"</x:formula1>
    </x:dataValidation>
    <x:dataValidation type="list" sqref="O5:O104">
      <x:formula1>"NO CHANGE,INCREASE,DECREASE,REJECT"</x:formula1>
    </x:dataValidation>
    <x:dataValidation type="list" sqref="P5:P104">
      <x:formula1>"YES,NO"</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4" hidden="0" customWidth="1"/>
    <x:col min="2" max="2" width="20" hidden="0" customWidth="1"/>
    <x:col min="3" max="3" width="14" hidden="0" customWidth="1"/>
    <x:col min="4" max="4" width="24" hidden="0" customWidth="1"/>
    <x:col min="5" max="5" width="8" hidden="0" customWidth="1"/>
    <x:col min="6" max="6" width="24" hidden="0" customWidth="1"/>
    <x:col min="7" max="7" width="16" hidden="0" customWidth="1"/>
    <x:col min="8" max="8" width="16" hidden="0" customWidth="1"/>
    <x:col min="9" max="9" width="14" hidden="0" customWidth="1"/>
    <x:col min="10" max="10" width="14" hidden="0" customWidth="1"/>
    <x:col min="11" max="11" width="20" hidden="0" customWidth="1"/>
    <x:col min="12" max="12" width="16" hidden="0" customWidth="1"/>
    <x:col min="13" max="13" width="12" hidden="0" customWidth="1"/>
    <x:col min="14" max="14" width="22" hidden="0" customWidth="1"/>
    <x:col min="15" max="15" width="18" hidden="0" customWidth="1"/>
    <x:col min="16" max="16" width="16" hidden="0" customWidth="1"/>
    <x:col min="17" max="17" width="20" hidden="0" customWidth="1"/>
    <x:col min="18" max="18" width="16" hidden="0" customWidth="1"/>
  </x:cols>
  <x:sheetData>
    <x:row r="1">
      <x:c r="A1" s="248" t="str">
        <x:v>TE Market Price Ingestion — No Invented Prices</x:v>
      </x:c>
      <x:c r="B1" s="248"/>
      <x:c r="C1" s="248"/>
      <x:c r="D1" s="248"/>
      <x:c r="E1" s="248"/>
      <x:c r="F1" s="248"/>
      <x:c r="G1" s="248"/>
      <x:c r="H1" s="248"/>
      <x:c r="I1" s="248"/>
      <x:c r="J1" s="248"/>
      <x:c r="K1" s="248"/>
      <x:c r="L1" s="248"/>
      <x:c r="M1" s="248"/>
      <x:c r="N1" s="248"/>
      <x:c r="O1" s="248"/>
      <x:c r="P1" s="248"/>
      <x:c r="Q1" s="248"/>
      <x:c r="R1" s="248"/>
    </x:row>
    <x:row r="4">
      <x:c r="A4" s="254" t="str">
        <x:v>Price_ID</x:v>
      </x:c>
      <x:c r="B4" s="254" t="str">
        <x:v>Timestamp</x:v>
      </x:c>
      <x:c r="C4" s="254" t="str">
        <x:v>Card_ID</x:v>
      </x:c>
      <x:c r="D4" s="254" t="str">
        <x:v>Player</x:v>
      </x:c>
      <x:c r="E4" s="254" t="str">
        <x:v>OVR</x:v>
      </x:c>
      <x:c r="F4" s="254" t="str">
        <x:v>Archetype</x:v>
      </x:c>
      <x:c r="G4" s="254" t="str">
        <x:v>Current_Price</x:v>
      </x:c>
      <x:c r="H4" s="254" t="str">
        <x:v>Rolling_Median</x:v>
      </x:c>
      <x:c r="I4" s="254" t="str">
        <x:v>Recent_Low</x:v>
      </x:c>
      <x:c r="J4" s="254" t="str">
        <x:v>Recent_High</x:v>
      </x:c>
      <x:c r="K4" s="254" t="str">
        <x:v>Listings/Population</x:v>
      </x:c>
      <x:c r="L4" s="254" t="str">
        <x:v>Liquidity_Index</x:v>
      </x:c>
      <x:c r="M4" s="254" t="str">
        <x:v>FUS</x:v>
      </x:c>
      <x:c r="N4" s="254" t="str">
        <x:v>Best_Role</x:v>
      </x:c>
      <x:c r="O4" s="254" t="str">
        <x:v>Best_Role_Score</x:v>
      </x:c>
      <x:c r="P4" s="254" t="str">
        <x:v>Price_per_FUS</x:v>
      </x:c>
      <x:c r="Q4" s="254" t="str">
        <x:v>Price_per_Role_Score</x:v>
      </x:c>
      <x:c r="R4" s="254" t="str">
        <x:v>Value_Tier</x:v>
      </x:c>
    </x:row>
    <x:row r="5">
      <x:c r="A5"/>
      <x:c r="B5"/>
      <x:c r="C5" t="str">
        <x:v>TE-0003</x:v>
      </x:c>
      <x:c r="D5" t="str">
        <x:v>Jake Johnson</x:v>
      </x:c>
      <x:c r="E5" t="n">
        <x:v>85</x:v>
      </x:c>
      <x:c r="F5" t="str">
        <x:v>Gritty Possession</x:v>
      </x:c>
      <x:c r="G5" s="258"/>
      <x:c r="H5" s="258"/>
      <x:c r="I5" s="258"/>
      <x:c r="J5" s="258"/>
      <x:c r="K5" s="258"/>
      <x:c r="L5" s="258"/>
      <x:c r="M5" s="258" t="n">
        <x:v>82.34440000000001</x:v>
      </x:c>
      <x:c r="N5" s="258" t="str">
        <x:v>Mismatch Weapon</x:v>
      </x:c>
      <x:c r="O5" s="258" t="n">
        <x:v>85.12</x:v>
      </x:c>
      <x:c r="P5" s="258" t="str">
        <x:f>IF(OR(G5="",M5=""),"",G5/M5)</x:f>
      </x:c>
      <x:c r="Q5" s="258" t="str">
        <x:f>IF(OR(G5="",O5=""),"",G5/O5)</x:f>
      </x:c>
      <x:c r="R5"/>
    </x:row>
    <x:row r="6">
      <x:c r="A6"/>
      <x:c r="B6"/>
      <x:c r="C6" t="str">
        <x:v>TE-0036</x:v>
      </x:c>
      <x:c r="D6" t="str">
        <x:v>Jayvontay Conner</x:v>
      </x:c>
      <x:c r="E6" t="n">
        <x:v>81</x:v>
      </x:c>
      <x:c r="F6" t="str">
        <x:v>Gritty Possession</x:v>
      </x:c>
      <x:c r="G6" s="258"/>
      <x:c r="H6" s="258"/>
      <x:c r="I6" s="258"/>
      <x:c r="J6" s="258"/>
      <x:c r="K6" s="258"/>
      <x:c r="L6" s="258"/>
      <x:c r="M6" s="258" t="n">
        <x:v>77.87979999999999</x:v>
      </x:c>
      <x:c r="N6" s="258" t="str">
        <x:v>Receiving Threat</x:v>
      </x:c>
      <x:c r="O6" s="258" t="n">
        <x:v>80.83</x:v>
      </x:c>
      <x:c r="P6" s="258" t="str">
        <x:f>IF(OR(G6="",M6=""),"",G6/M6)</x:f>
      </x:c>
      <x:c r="Q6" s="258" t="str">
        <x:f>IF(OR(G6="",O6=""),"",G6/O6)</x:f>
      </x:c>
      <x:c r="R6"/>
    </x:row>
    <x:row r="7">
      <x:c r="A7"/>
      <x:c r="B7"/>
      <x:c r="C7" t="str">
        <x:v>TE-0020</x:v>
      </x:c>
      <x:c r="D7" t="str">
        <x:v>Eli Finley</x:v>
      </x:c>
      <x:c r="E7" t="n">
        <x:v>83</x:v>
      </x:c>
      <x:c r="F7" t="str">
        <x:v>Gritty Possession</x:v>
      </x:c>
      <x:c r="G7" s="258"/>
      <x:c r="H7" s="258"/>
      <x:c r="I7" s="258"/>
      <x:c r="J7" s="258"/>
      <x:c r="K7" s="258"/>
      <x:c r="L7" s="258"/>
      <x:c r="M7" s="258" t="n">
        <x:v>79.6874</x:v>
      </x:c>
      <x:c r="N7" s="258" t="str">
        <x:v>Possession Target</x:v>
      </x:c>
      <x:c r="O7" s="258" t="n">
        <x:v>82.17</x:v>
      </x:c>
      <x:c r="P7" s="258" t="str">
        <x:f>IF(OR(G7="",M7=""),"",G7/M7)</x:f>
      </x:c>
      <x:c r="Q7" s="258" t="str">
        <x:f>IF(OR(G7="",O7=""),"",G7/O7)</x:f>
      </x:c>
      <x:c r="R7"/>
    </x:row>
    <x:row r="8">
      <x:c r="A8"/>
      <x:c r="B8"/>
      <x:c r="C8" t="str">
        <x:v>TE-0051</x:v>
      </x:c>
      <x:c r="D8" t="str">
        <x:v>Martellus Bennett</x:v>
      </x:c>
      <x:c r="E8" t="n">
        <x:v>80</x:v>
      </x:c>
      <x:c r="F8" t="str">
        <x:v>Gritty Possession</x:v>
      </x:c>
      <x:c r="G8" s="258"/>
      <x:c r="H8" s="258"/>
      <x:c r="I8" s="258"/>
      <x:c r="J8" s="258"/>
      <x:c r="K8" s="258"/>
      <x:c r="L8" s="258"/>
      <x:c r="M8" s="258" t="n">
        <x:v>76.74879999999999</x:v>
      </x:c>
      <x:c r="N8" s="258" t="str">
        <x:v>Mismatch Weapon</x:v>
      </x:c>
      <x:c r="O8" s="258" t="n">
        <x:v>78.25</x:v>
      </x:c>
      <x:c r="P8" s="258" t="str">
        <x:f>IF(OR(G8="",M8=""),"",G8/M8)</x:f>
      </x:c>
      <x:c r="Q8" s="258" t="str">
        <x:f>IF(OR(G8="",O8=""),"",G8/O8)</x:f>
      </x:c>
      <x:c r="R8"/>
    </x:row>
    <x:row r="9">
      <x:c r="A9"/>
      <x:c r="B9"/>
      <x:c r="C9" t="str">
        <x:v>TE-0011</x:v>
      </x:c>
      <x:c r="D9" t="str">
        <x:v>Eli Finley</x:v>
      </x:c>
      <x:c r="E9" t="n">
        <x:v>84</x:v>
      </x:c>
      <x:c r="F9" t="str">
        <x:v>Gritty Possession</x:v>
      </x:c>
      <x:c r="G9" s="258"/>
      <x:c r="H9" s="258"/>
      <x:c r="I9" s="258"/>
      <x:c r="J9" s="258"/>
      <x:c r="K9" s="258"/>
      <x:c r="L9" s="258"/>
      <x:c r="M9" s="258" t="n">
        <x:v>80.6098</x:v>
      </x:c>
      <x:c r="N9" s="258" t="str">
        <x:v>Possession Target</x:v>
      </x:c>
      <x:c r="O9" s="258" t="n">
        <x:v>83.17</x:v>
      </x:c>
      <x:c r="P9" s="258" t="str">
        <x:f>IF(OR(G9="",M9=""),"",G9/M9)</x:f>
      </x:c>
      <x:c r="Q9" s="258" t="str">
        <x:f>IF(OR(G9="",O9=""),"",G9/O9)</x:f>
      </x:c>
      <x:c r="R9"/>
    </x:row>
    <x:row r="10">
      <x:c r="A10"/>
      <x:c r="B10"/>
      <x:c r="C10" t="str">
        <x:v>TE-0044</x:v>
      </x:c>
      <x:c r="D10" t="str">
        <x:v>Jelani Thurman</x:v>
      </x:c>
      <x:c r="E10" t="n">
        <x:v>81</x:v>
      </x:c>
      <x:c r="F10" t="str">
        <x:v>Vertical Threat</x:v>
      </x:c>
      <x:c r="G10" s="258"/>
      <x:c r="H10" s="258"/>
      <x:c r="I10" s="258"/>
      <x:c r="J10" s="258"/>
      <x:c r="K10" s="258"/>
      <x:c r="L10" s="258"/>
      <x:c r="M10" s="258" t="n">
        <x:v>77.6562</x:v>
      </x:c>
      <x:c r="N10" s="258" t="str">
        <x:v>Blocker</x:v>
      </x:c>
      <x:c r="O10" s="258" t="n">
        <x:v>80.9</x:v>
      </x:c>
      <x:c r="P10" s="258" t="str">
        <x:f>IF(OR(G10="",M10=""),"",G10/M10)</x:f>
      </x:c>
      <x:c r="Q10" s="258" t="str">
        <x:f>IF(OR(G10="",O10=""),"",G10/O10)</x:f>
      </x:c>
      <x:c r="R10"/>
    </x:row>
    <x:row r="11">
      <x:c r="A11"/>
      <x:c r="B11"/>
      <x:c r="C11" t="str">
        <x:v>TE-0065</x:v>
      </x:c>
      <x:c r="D11" t="str">
        <x:v>Cole Spence</x:v>
      </x:c>
      <x:c r="E11" t="n">
        <x:v>80</x:v>
      </x:c>
      <x:c r="F11" t="str">
        <x:v>Physical Route Runner</x:v>
      </x:c>
      <x:c r="G11" s="258"/>
      <x:c r="H11" s="258"/>
      <x:c r="I11" s="258"/>
      <x:c r="J11" s="258"/>
      <x:c r="K11" s="258"/>
      <x:c r="L11" s="258"/>
      <x:c r="M11" s="258" t="n">
        <x:v>76.64959999999999</x:v>
      </x:c>
      <x:c r="N11" s="258" t="str">
        <x:v>Blocker</x:v>
      </x:c>
      <x:c r="O11" s="258" t="n">
        <x:v>78.1</x:v>
      </x:c>
      <x:c r="P11" s="258" t="str">
        <x:f>IF(OR(G11="",M11=""),"",G11/M11)</x:f>
      </x:c>
      <x:c r="Q11" s="258" t="str">
        <x:f>IF(OR(G11="",O11=""),"",G11/O11)</x:f>
      </x:c>
      <x:c r="R11"/>
    </x:row>
    <x:row r="12">
      <x:c r="A12"/>
      <x:c r="B12"/>
      <x:c r="C12" t="str">
        <x:v>TE-0039</x:v>
      </x:c>
      <x:c r="D12" t="str">
        <x:v>Conner Cravaack</x:v>
      </x:c>
      <x:c r="E12" t="n">
        <x:v>81</x:v>
      </x:c>
      <x:c r="F12" t="str">
        <x:v>Gritty Possession</x:v>
      </x:c>
      <x:c r="G12" s="258"/>
      <x:c r="H12" s="258"/>
      <x:c r="I12" s="258"/>
      <x:c r="J12" s="258"/>
      <x:c r="K12" s="258"/>
      <x:c r="L12" s="258"/>
      <x:c r="M12" s="258" t="n">
        <x:v>77.5256</x:v>
      </x:c>
      <x:c r="N12" s="258" t="str">
        <x:v>Possession Target</x:v>
      </x:c>
      <x:c r="O12" s="258" t="n">
        <x:v>80.17</x:v>
      </x:c>
      <x:c r="P12" s="258" t="str">
        <x:f>IF(OR(G12="",M12=""),"",G12/M12)</x:f>
      </x:c>
      <x:c r="Q12" s="258" t="str">
        <x:f>IF(OR(G12="",O12=""),"",G12/O12)</x:f>
      </x:c>
      <x:c r="R12"/>
    </x:row>
    <x:row r="13">
      <x:c r="A13"/>
      <x:c r="B13"/>
      <x:c r="C13" t="str">
        <x:v>TE-0055</x:v>
      </x:c>
      <x:c r="D13" t="str">
        <x:v>Todd Heap</x:v>
      </x:c>
      <x:c r="E13" t="n">
        <x:v>80</x:v>
      </x:c>
      <x:c r="F13" t="str">
        <x:v>Gritty Possession</x:v>
      </x:c>
      <x:c r="G13" s="258"/>
      <x:c r="H13" s="258"/>
      <x:c r="I13" s="258"/>
      <x:c r="J13" s="258"/>
      <x:c r="K13" s="258"/>
      <x:c r="L13" s="258"/>
      <x:c r="M13" s="258" t="n">
        <x:v>76.53359999999999</x:v>
      </x:c>
      <x:c r="N13" s="258" t="str">
        <x:v>Mismatch Weapon</x:v>
      </x:c>
      <x:c r="O13" s="258" t="n">
        <x:v>77.77</x:v>
      </x:c>
      <x:c r="P13" s="258" t="str">
        <x:f>IF(OR(G13="",M13=""),"",G13/M13)</x:f>
      </x:c>
      <x:c r="Q13" s="258" t="str">
        <x:f>IF(OR(G13="",O13=""),"",G13/O13)</x:f>
      </x:c>
      <x:c r="R13"/>
    </x:row>
    <x:row r="14">
      <x:c r="A14"/>
      <x:c r="B14"/>
      <x:c r="C14" t="str">
        <x:v>TE-0063</x:v>
      </x:c>
      <x:c r="D14" t="str">
        <x:v>Desirrio Riles</x:v>
      </x:c>
      <x:c r="E14" t="n">
        <x:v>80</x:v>
      </x:c>
      <x:c r="F14" t="str">
        <x:v>Physical Route Runner</x:v>
      </x:c>
      <x:c r="G14" s="258"/>
      <x:c r="H14" s="258"/>
      <x:c r="I14" s="258"/>
      <x:c r="J14" s="258"/>
      <x:c r="K14" s="258"/>
      <x:c r="L14" s="258"/>
      <x:c r="M14" s="258" t="n">
        <x:v>76.473</x:v>
      </x:c>
      <x:c r="N14" s="258" t="str">
        <x:v>Blocker</x:v>
      </x:c>
      <x:c r="O14" s="258" t="n">
        <x:v>77.45</x:v>
      </x:c>
      <x:c r="P14" s="258" t="str">
        <x:f>IF(OR(G14="",M14=""),"",G14/M14)</x:f>
      </x:c>
      <x:c r="Q14" s="258" t="str">
        <x:f>IF(OR(G14="",O14=""),"",G14/O14)</x:f>
      </x:c>
      <x:c r="R14"/>
    </x:row>
    <x:row r="15">
      <x:c r="A15"/>
      <x:c r="B15"/>
      <x:c r="C15" t="str">
        <x:v>TE-0008</x:v>
      </x:c>
      <x:c r="D15" t="str">
        <x:v>Lawson Luckie</x:v>
      </x:c>
      <x:c r="E15" t="n">
        <x:v>85</x:v>
      </x:c>
      <x:c r="F15" t="str">
        <x:v>Gritty Possession</x:v>
      </x:c>
      <x:c r="G15" s="258"/>
      <x:c r="H15" s="258"/>
      <x:c r="I15" s="258"/>
      <x:c r="J15" s="258"/>
      <x:c r="K15" s="258"/>
      <x:c r="L15" s="258"/>
      <x:c r="M15" s="258" t="n">
        <x:v>81.3646</x:v>
      </x:c>
      <x:c r="N15" s="258" t="str">
        <x:v>Receiving Threat</x:v>
      </x:c>
      <x:c r="O15" s="258" t="n">
        <x:v>83.55</x:v>
      </x:c>
      <x:c r="P15" s="258" t="str">
        <x:f>IF(OR(G15="",M15=""),"",G15/M15)</x:f>
      </x:c>
      <x:c r="Q15" s="258" t="str">
        <x:f>IF(OR(G15="",O15=""),"",G15/O15)</x:f>
      </x:c>
      <x:c r="R15"/>
    </x:row>
    <x:row r="16">
      <x:c r="A16"/>
      <x:c r="B16"/>
      <x:c r="C16" t="str">
        <x:v>TE-0037</x:v>
      </x:c>
      <x:c r="D16" t="str">
        <x:v>Ozzie Newsome</x:v>
      </x:c>
      <x:c r="E16" t="n">
        <x:v>81</x:v>
      </x:c>
      <x:c r="F16" t="str">
        <x:v>Gritty Possession</x:v>
      </x:c>
      <x:c r="G16" s="258"/>
      <x:c r="H16" s="258"/>
      <x:c r="I16" s="258"/>
      <x:c r="J16" s="258"/>
      <x:c r="K16" s="258"/>
      <x:c r="L16" s="258"/>
      <x:c r="M16" s="258" t="n">
        <x:v>77.376</x:v>
      </x:c>
      <x:c r="N16" s="258" t="str">
        <x:v>Possession Target</x:v>
      </x:c>
      <x:c r="O16" s="258" t="n">
        <x:v>78.65</x:v>
      </x:c>
      <x:c r="P16" s="258" t="str">
        <x:f>IF(OR(G16="",M16=""),"",G16/M16)</x:f>
      </x:c>
      <x:c r="Q16" s="258" t="str">
        <x:f>IF(OR(G16="",O16=""),"",G16/O16)</x:f>
      </x:c>
      <x:c r="R16"/>
    </x:row>
    <x:row r="17">
      <x:c r="A17"/>
      <x:c r="B17"/>
      <x:c r="C17" t="str">
        <x:v>TE-0001</x:v>
      </x:c>
      <x:c r="D17" t="str">
        <x:v>River Helms</x:v>
      </x:c>
      <x:c r="E17" t="n">
        <x:v>85</x:v>
      </x:c>
      <x:c r="F17" t="str">
        <x:v>Gritty Possession</x:v>
      </x:c>
      <x:c r="G17" s="258"/>
      <x:c r="H17" s="258"/>
      <x:c r="I17" s="258"/>
      <x:c r="J17" s="258"/>
      <x:c r="K17" s="258"/>
      <x:c r="L17" s="258"/>
      <x:c r="M17" s="258" t="n">
        <x:v>81.288</x:v>
      </x:c>
      <x:c r="N17" s="258" t="str">
        <x:v>Possession Target</x:v>
      </x:c>
      <x:c r="O17" s="258" t="n">
        <x:v>83.21</x:v>
      </x:c>
      <x:c r="P17" s="258" t="str">
        <x:f>IF(OR(G17="",M17=""),"",G17/M17)</x:f>
      </x:c>
      <x:c r="Q17" s="258" t="str">
        <x:f>IF(OR(G17="",O17=""),"",G17/O17)</x:f>
      </x:c>
      <x:c r="R17"/>
    </x:row>
    <x:row r="18">
      <x:c r="A18"/>
      <x:c r="B18"/>
      <x:c r="C18" t="str">
        <x:v>TE-0033</x:v>
      </x:c>
      <x:c r="D18" t="str">
        <x:v>Luke Lindenmeyer</x:v>
      </x:c>
      <x:c r="E18" t="n">
        <x:v>82</x:v>
      </x:c>
      <x:c r="F18" t="str">
        <x:v>Physical Route Runner</x:v>
      </x:c>
      <x:c r="G18" s="258"/>
      <x:c r="H18" s="258"/>
      <x:c r="I18" s="258"/>
      <x:c r="J18" s="258"/>
      <x:c r="K18" s="258"/>
      <x:c r="L18" s="258"/>
      <x:c r="M18" s="258" t="n">
        <x:v>78.2864</x:v>
      </x:c>
      <x:c r="N18" s="258" t="str">
        <x:v>Blocker</x:v>
      </x:c>
      <x:c r="O18" s="258" t="n">
        <x:v>82.5</x:v>
      </x:c>
      <x:c r="P18" s="258" t="str">
        <x:f>IF(OR(G18="",M18=""),"",G18/M18)</x:f>
      </x:c>
      <x:c r="Q18" s="258" t="str">
        <x:f>IF(OR(G18="",O18=""),"",G18/O18)</x:f>
      </x:c>
      <x:c r="R18"/>
    </x:row>
    <x:row r="19">
      <x:c r="A19"/>
      <x:c r="B19"/>
      <x:c r="C19" t="str">
        <x:v>TE-0061</x:v>
      </x:c>
      <x:c r="D19" t="str">
        <x:v>Jaden Platt</x:v>
      </x:c>
      <x:c r="E19" t="n">
        <x:v>80</x:v>
      </x:c>
      <x:c r="F19" t="str">
        <x:v>Physical Route Runner</x:v>
      </x:c>
      <x:c r="G19" s="258"/>
      <x:c r="H19" s="258"/>
      <x:c r="I19" s="258"/>
      <x:c r="J19" s="258"/>
      <x:c r="K19" s="258"/>
      <x:c r="L19" s="258"/>
      <x:c r="M19" s="258" t="n">
        <x:v>76.3142</x:v>
      </x:c>
      <x:c r="N19" s="258" t="str">
        <x:v>Possession Target</x:v>
      </x:c>
      <x:c r="O19" s="258" t="n">
        <x:v>77.78</x:v>
      </x:c>
      <x:c r="P19" s="258" t="str">
        <x:f>IF(OR(G19="",M19=""),"",G19/M19)</x:f>
      </x:c>
      <x:c r="Q19" s="258" t="str">
        <x:f>IF(OR(G19="",O19=""),"",G19/O19)</x:f>
      </x:c>
      <x:c r="R19"/>
    </x:row>
    <x:row r="20">
      <x:c r="A20"/>
      <x:c r="B20"/>
      <x:c r="C20" t="str">
        <x:v>TE-0057</x:v>
      </x:c>
      <x:c r="D20" t="str">
        <x:v>Nate Kurisky</x:v>
      </x:c>
      <x:c r="E20" t="n">
        <x:v>80</x:v>
      </x:c>
      <x:c r="F20" t="str">
        <x:v>Physical Route Runner</x:v>
      </x:c>
      <x:c r="G20" s="258"/>
      <x:c r="H20" s="258"/>
      <x:c r="I20" s="258"/>
      <x:c r="J20" s="258"/>
      <x:c r="K20" s="258"/>
      <x:c r="L20" s="258"/>
      <x:c r="M20" s="258" t="n">
        <x:v>76.3022</x:v>
      </x:c>
      <x:c r="N20" s="258" t="str">
        <x:v>Receiving Threat</x:v>
      </x:c>
      <x:c r="O20" s="258" t="n">
        <x:v>77.52</x:v>
      </x:c>
      <x:c r="P20" s="258" t="str">
        <x:f>IF(OR(G20="",M20=""),"",G20/M20)</x:f>
      </x:c>
      <x:c r="Q20" s="258" t="str">
        <x:f>IF(OR(G20="",O20=""),"",G20/O20)</x:f>
      </x:c>
      <x:c r="R20"/>
    </x:row>
    <x:row r="21">
      <x:c r="A21"/>
      <x:c r="B21"/>
      <x:c r="C21" t="str">
        <x:v>TE-0013</x:v>
      </x:c>
      <x:c r="D21" t="str">
        <x:v>Ozzie Newsome</x:v>
      </x:c>
      <x:c r="E21" t="n">
        <x:v>84</x:v>
      </x:c>
      <x:c r="F21" t="str">
        <x:v>Gritty Possession</x:v>
      </x:c>
      <x:c r="G21" s="258"/>
      <x:c r="H21" s="258"/>
      <x:c r="I21" s="258"/>
      <x:c r="J21" s="258"/>
      <x:c r="K21" s="258"/>
      <x:c r="L21" s="258"/>
      <x:c r="M21" s="258" t="n">
        <x:v>80.20859999999999</x:v>
      </x:c>
      <x:c r="N21" s="258" t="str">
        <x:v>Possession Target</x:v>
      </x:c>
      <x:c r="O21" s="258" t="n">
        <x:v>81.35</x:v>
      </x:c>
      <x:c r="P21" s="258" t="str">
        <x:f>IF(OR(G21="",M21=""),"",G21/M21)</x:f>
      </x:c>
      <x:c r="Q21" s="258" t="str">
        <x:f>IF(OR(G21="",O21=""),"",G21/O21)</x:f>
      </x:c>
      <x:c r="R21"/>
    </x:row>
    <x:row r="22">
      <x:c r="A22"/>
      <x:c r="B22"/>
      <x:c r="C22" t="str">
        <x:v>TE-0047</x:v>
      </x:c>
      <x:c r="D22" t="str">
        <x:v>Christian Bentancur</x:v>
      </x:c>
      <x:c r="E22" t="n">
        <x:v>80</x:v>
      </x:c>
      <x:c r="F22" t="str">
        <x:v>Gritty Possession</x:v>
      </x:c>
      <x:c r="G22" s="258"/>
      <x:c r="H22" s="258"/>
      <x:c r="I22" s="258"/>
      <x:c r="J22" s="258"/>
      <x:c r="K22" s="258"/>
      <x:c r="L22" s="258"/>
      <x:c r="M22" s="258" t="n">
        <x:v>76.1862</x:v>
      </x:c>
      <x:c r="N22" s="258" t="str">
        <x:v>Possession Target</x:v>
      </x:c>
      <x:c r="O22" s="258" t="n">
        <x:v>78.36</x:v>
      </x:c>
      <x:c r="P22" s="258" t="str">
        <x:f>IF(OR(G22="",M22=""),"",G22/M22)</x:f>
      </x:c>
      <x:c r="Q22" s="258" t="str">
        <x:f>IF(OR(G22="",O22=""),"",G22/O22)</x:f>
      </x:c>
      <x:c r="R22"/>
    </x:row>
    <x:row r="23">
      <x:c r="A23"/>
      <x:c r="B23"/>
      <x:c r="C23" t="str">
        <x:v>TE-0040</x:v>
      </x:c>
      <x:c r="D23" t="str">
        <x:v>Hayden Hansen</x:v>
      </x:c>
      <x:c r="E23" t="n">
        <x:v>81</x:v>
      </x:c>
      <x:c r="F23" t="str">
        <x:v>Physical Route Runner</x:v>
      </x:c>
      <x:c r="G23" s="258"/>
      <x:c r="H23" s="258"/>
      <x:c r="I23" s="258"/>
      <x:c r="J23" s="258"/>
      <x:c r="K23" s="258"/>
      <x:c r="L23" s="258"/>
      <x:c r="M23" s="258" t="n">
        <x:v>77.076</x:v>
      </x:c>
      <x:c r="N23" s="258" t="str">
        <x:v>Blocker</x:v>
      </x:c>
      <x:c r="O23" s="258" t="n">
        <x:v>81.65</x:v>
      </x:c>
      <x:c r="P23" s="258" t="str">
        <x:f>IF(OR(G23="",M23=""),"",G23/M23)</x:f>
      </x:c>
      <x:c r="Q23" s="258" t="str">
        <x:f>IF(OR(G23="",O23=""),"",G23/O23)</x:f>
      </x:c>
      <x:c r="R23"/>
    </x:row>
    <x:row r="24">
      <x:c r="A24"/>
      <x:c r="B24"/>
      <x:c r="C24" t="str">
        <x:v>TE-0024</x:v>
      </x:c>
      <x:c r="D24" t="str">
        <x:v>Brody Foley</x:v>
      </x:c>
      <x:c r="E24" t="n">
        <x:v>83</x:v>
      </x:c>
      <x:c r="F24" t="str">
        <x:v>Physical Route Runner</x:v>
      </x:c>
      <x:c r="G24" s="258"/>
      <x:c r="H24" s="258"/>
      <x:c r="I24" s="258"/>
      <x:c r="J24" s="258"/>
      <x:c r="K24" s="258"/>
      <x:c r="L24" s="258"/>
      <x:c r="M24" s="258" t="n">
        <x:v>79.0268</x:v>
      </x:c>
      <x:c r="N24" s="258" t="str">
        <x:v>Blocker</x:v>
      </x:c>
      <x:c r="O24" s="258" t="n">
        <x:v>81.4</x:v>
      </x:c>
      <x:c r="P24" s="258" t="str">
        <x:f>IF(OR(G24="",M24=""),"",G24/M24)</x:f>
      </x:c>
      <x:c r="Q24" s="258" t="str">
        <x:f>IF(OR(G24="",O24=""),"",G24/O24)</x:f>
      </x:c>
      <x:c r="R24"/>
    </x:row>
    <x:row r="25">
      <x:c r="A25"/>
      <x:c r="B25"/>
      <x:c r="C25" t="str">
        <x:v>TE-0048</x:v>
      </x:c>
      <x:c r="D25" t="str">
        <x:v>Jalen Hoffman</x:v>
      </x:c>
      <x:c r="E25" t="n">
        <x:v>80</x:v>
      </x:c>
      <x:c r="F25" t="str">
        <x:v>Gritty Possession</x:v>
      </x:c>
      <x:c r="G25" s="258"/>
      <x:c r="H25" s="258"/>
      <x:c r="I25" s="258"/>
      <x:c r="J25" s="258"/>
      <x:c r="K25" s="258"/>
      <x:c r="L25" s="258"/>
      <x:c r="M25" s="258" t="n">
        <x:v>76.081</x:v>
      </x:c>
      <x:c r="N25" s="258" t="str">
        <x:v>Possession Target</x:v>
      </x:c>
      <x:c r="O25" s="258" t="n">
        <x:v>76.82</x:v>
      </x:c>
      <x:c r="P25" s="258" t="str">
        <x:f>IF(OR(G25="",M25=""),"",G25/M25)</x:f>
      </x:c>
      <x:c r="Q25" s="258" t="str">
        <x:f>IF(OR(G25="",O25=""),"",G25/O25)</x:f>
      </x:c>
      <x:c r="R25"/>
    </x:row>
    <x:row r="26">
      <x:c r="A26"/>
      <x:c r="B26"/>
      <x:c r="C26" t="str">
        <x:v>TE-0018</x:v>
      </x:c>
      <x:c r="D26" t="str">
        <x:v>Garrett Oakley</x:v>
      </x:c>
      <x:c r="E26" t="n">
        <x:v>84</x:v>
      </x:c>
      <x:c r="F26" t="str">
        <x:v>Physical Route Runner</x:v>
      </x:c>
      <x:c r="G26" s="258"/>
      <x:c r="H26" s="258"/>
      <x:c r="I26" s="258"/>
      <x:c r="J26" s="258"/>
      <x:c r="K26" s="258"/>
      <x:c r="L26" s="258"/>
      <x:c r="M26" s="258" t="n">
        <x:v>79.9524</x:v>
      </x:c>
      <x:c r="N26" s="258" t="str">
        <x:v>Possession Target</x:v>
      </x:c>
      <x:c r="O26" s="258" t="n">
        <x:v>82.74</x:v>
      </x:c>
      <x:c r="P26" s="258" t="str">
        <x:f>IF(OR(G26="",M26=""),"",G26/M26)</x:f>
      </x:c>
      <x:c r="Q26" s="258" t="str">
        <x:f>IF(OR(G26="",O26=""),"",G26/O26)</x:f>
      </x:c>
      <x:c r="R26"/>
    </x:row>
    <x:row r="27">
      <x:c r="A27"/>
      <x:c r="B27"/>
      <x:c r="C27" t="str">
        <x:v>TE-0015</x:v>
      </x:c>
      <x:c r="D27" t="str">
        <x:v>Peter Clarke</x:v>
      </x:c>
      <x:c r="E27" t="n">
        <x:v>84</x:v>
      </x:c>
      <x:c r="F27" t="str">
        <x:v>Physical Route Runner</x:v>
      </x:c>
      <x:c r="G27" s="258"/>
      <x:c r="H27" s="258"/>
      <x:c r="I27" s="258"/>
      <x:c r="J27" s="258"/>
      <x:c r="K27" s="258"/>
      <x:c r="L27" s="258"/>
      <x:c r="M27" s="258" t="n">
        <x:v>79.9058</x:v>
      </x:c>
      <x:c r="N27" s="258" t="str">
        <x:v>Possession Target</x:v>
      </x:c>
      <x:c r="O27" s="258" t="n">
        <x:v>81.91</x:v>
      </x:c>
      <x:c r="P27" s="258" t="str">
        <x:f>IF(OR(G27="",M27=""),"",G27/M27)</x:f>
      </x:c>
      <x:c r="Q27" s="258" t="str">
        <x:f>IF(OR(G27="",O27=""),"",G27/O27)</x:f>
      </x:c>
      <x:c r="R27"/>
    </x:row>
    <x:row r="28">
      <x:c r="A28"/>
      <x:c r="B28"/>
      <x:c r="C28" t="str">
        <x:v>TE-0054</x:v>
      </x:c>
      <x:c r="D28" t="str">
        <x:v>Donovan Green</x:v>
      </x:c>
      <x:c r="E28" t="n">
        <x:v>80</x:v>
      </x:c>
      <x:c r="F28" t="str">
        <x:v>Physical Route Runner</x:v>
      </x:c>
      <x:c r="G28" s="258"/>
      <x:c r="H28" s="258"/>
      <x:c r="I28" s="258"/>
      <x:c r="J28" s="258"/>
      <x:c r="K28" s="258"/>
      <x:c r="L28" s="258"/>
      <x:c r="M28" s="258" t="n">
        <x:v>75.95519999999999</x:v>
      </x:c>
      <x:c r="N28" s="258" t="str">
        <x:v>Receiving Threat</x:v>
      </x:c>
      <x:c r="O28" s="258" t="n">
        <x:v>78.51</x:v>
      </x:c>
      <x:c r="P28" s="258" t="str">
        <x:f>IF(OR(G28="",M28=""),"",G28/M28)</x:f>
      </x:c>
      <x:c r="Q28" s="258" t="str">
        <x:f>IF(OR(G28="",O28=""),"",G28/O28)</x:f>
      </x:c>
      <x:c r="R28"/>
    </x:row>
    <x:row r="29">
      <x:c r="A29"/>
      <x:c r="B29"/>
      <x:c r="C29" t="str">
        <x:v>TE-0066</x:v>
      </x:c>
      <x:c r="D29" t="str">
        <x:v>Hunter Tipton</x:v>
      </x:c>
      <x:c r="E29" t="n">
        <x:v>80</x:v>
      </x:c>
      <x:c r="F29" t="str">
        <x:v>Vertical Threat</x:v>
      </x:c>
      <x:c r="G29" s="258"/>
      <x:c r="H29" s="258"/>
      <x:c r="I29" s="258"/>
      <x:c r="J29" s="258"/>
      <x:c r="K29" s="258"/>
      <x:c r="L29" s="258"/>
      <x:c r="M29" s="258" t="n">
        <x:v>75.8662</x:v>
      </x:c>
      <x:c r="N29" s="258" t="str">
        <x:v>Possession Target</x:v>
      </x:c>
      <x:c r="O29" s="258" t="n">
        <x:v>76.57</x:v>
      </x:c>
      <x:c r="P29" s="258" t="str">
        <x:f>IF(OR(G29="",M29=""),"",G29/M29)</x:f>
      </x:c>
      <x:c r="Q29" s="258" t="str">
        <x:f>IF(OR(G29="",O29=""),"",G29/O29)</x:f>
      </x:c>
      <x:c r="R29"/>
    </x:row>
    <x:row r="30">
      <x:c r="A30"/>
      <x:c r="B30"/>
      <x:c r="C30" t="str">
        <x:v>TE-0064</x:v>
      </x:c>
      <x:c r="D30" t="str">
        <x:v>Jeremy Shockey</x:v>
      </x:c>
      <x:c r="E30" t="n">
        <x:v>80</x:v>
      </x:c>
      <x:c r="F30" t="str">
        <x:v>Gritty Possession</x:v>
      </x:c>
      <x:c r="G30" s="258"/>
      <x:c r="H30" s="258"/>
      <x:c r="I30" s="258"/>
      <x:c r="J30" s="258"/>
      <x:c r="K30" s="258"/>
      <x:c r="L30" s="258"/>
      <x:c r="M30" s="258" t="n">
        <x:v>75.864</x:v>
      </x:c>
      <x:c r="N30" s="258" t="str">
        <x:v>Mismatch Weapon</x:v>
      </x:c>
      <x:c r="O30" s="258" t="n">
        <x:v>78.15</x:v>
      </x:c>
      <x:c r="P30" s="258" t="str">
        <x:f>IF(OR(G30="",M30=""),"",G30/M30)</x:f>
      </x:c>
      <x:c r="Q30" s="258" t="str">
        <x:f>IF(OR(G30="",O30=""),"",G30/O30)</x:f>
      </x:c>
      <x:c r="R30"/>
    </x:row>
    <x:row r="31">
      <x:c r="A31"/>
      <x:c r="B31"/>
      <x:c r="C31" t="str">
        <x:v>TE-0010</x:v>
      </x:c>
      <x:c r="D31" t="str">
        <x:v>Pierce Walsh</x:v>
      </x:c>
      <x:c r="E31" t="n">
        <x:v>84</x:v>
      </x:c>
      <x:c r="F31" t="str">
        <x:v>Gritty Possession</x:v>
      </x:c>
      <x:c r="G31" s="258"/>
      <x:c r="H31" s="258"/>
      <x:c r="I31" s="258"/>
      <x:c r="J31" s="258"/>
      <x:c r="K31" s="258"/>
      <x:c r="L31" s="258"/>
      <x:c r="M31" s="258" t="n">
        <x:v>79.7174</x:v>
      </x:c>
      <x:c r="N31" s="258" t="str">
        <x:v>Possession Target</x:v>
      </x:c>
      <x:c r="O31" s="258" t="n">
        <x:v>81.5</x:v>
      </x:c>
      <x:c r="P31" s="258" t="str">
        <x:f>IF(OR(G31="",M31=""),"",G31/M31)</x:f>
      </x:c>
      <x:c r="Q31" s="258" t="str">
        <x:f>IF(OR(G31="",O31=""),"",G31/O31)</x:f>
      </x:c>
      <x:c r="R31"/>
    </x:row>
    <x:row r="32">
      <x:c r="A32"/>
      <x:c r="B32"/>
      <x:c r="C32" t="str">
        <x:v>TE-0009</x:v>
      </x:c>
      <x:c r="D32" t="str">
        <x:v>Dorian Thomas</x:v>
      </x:c>
      <x:c r="E32" t="n">
        <x:v>85</x:v>
      </x:c>
      <x:c r="F32" t="str">
        <x:v>Physical Route Runner</x:v>
      </x:c>
      <x:c r="G32" s="258"/>
      <x:c r="H32" s="258"/>
      <x:c r="I32" s="258"/>
      <x:c r="J32" s="258"/>
      <x:c r="K32" s="258"/>
      <x:c r="L32" s="258"/>
      <x:c r="M32" s="258" t="n">
        <x:v>80.5882</x:v>
      </x:c>
      <x:c r="N32" s="258" t="str">
        <x:v>Possession Target</x:v>
      </x:c>
      <x:c r="O32" s="258" t="n">
        <x:v>82.79</x:v>
      </x:c>
      <x:c r="P32" s="258" t="str">
        <x:f>IF(OR(G32="",M32=""),"",G32/M32)</x:f>
      </x:c>
      <x:c r="Q32" s="258" t="str">
        <x:f>IF(OR(G32="",O32=""),"",G32/O32)</x:f>
      </x:c>
      <x:c r="R32"/>
    </x:row>
    <x:row r="33">
      <x:c r="A33"/>
      <x:c r="B33"/>
      <x:c r="C33" t="str">
        <x:v>TE-0038</x:v>
      </x:c>
      <x:c r="D33" t="str">
        <x:v>Jalen Hoffman</x:v>
      </x:c>
      <x:c r="E33" t="n">
        <x:v>81</x:v>
      </x:c>
      <x:c r="F33" t="str">
        <x:v>Gritty Possession</x:v>
      </x:c>
      <x:c r="G33" s="258"/>
      <x:c r="H33" s="258"/>
      <x:c r="I33" s="258"/>
      <x:c r="J33" s="258"/>
      <x:c r="K33" s="258"/>
      <x:c r="L33" s="258"/>
      <x:c r="M33" s="258" t="n">
        <x:v>76.65899999999999</x:v>
      </x:c>
      <x:c r="N33" s="258" t="str">
        <x:v>Possession Target</x:v>
      </x:c>
      <x:c r="O33" s="258" t="n">
        <x:v>77.64</x:v>
      </x:c>
      <x:c r="P33" s="258" t="str">
        <x:f>IF(OR(G33="",M33=""),"",G33/M33)</x:f>
      </x:c>
      <x:c r="Q33" s="258" t="str">
        <x:f>IF(OR(G33="",O33=""),"",G33/O33)</x:f>
      </x:c>
      <x:c r="R33"/>
    </x:row>
    <x:row r="34">
      <x:c r="A34"/>
      <x:c r="B34"/>
      <x:c r="C34" t="str">
        <x:v>TE-0032</x:v>
      </x:c>
      <x:c r="D34" t="str">
        <x:v>Jake Johnson</x:v>
      </x:c>
      <x:c r="E34" t="n">
        <x:v>82</x:v>
      </x:c>
      <x:c r="F34" t="str">
        <x:v>Physical Route Runner</x:v>
      </x:c>
      <x:c r="G34" s="258"/>
      <x:c r="H34" s="258"/>
      <x:c r="I34" s="258"/>
      <x:c r="J34" s="258"/>
      <x:c r="K34" s="258"/>
      <x:c r="L34" s="258"/>
      <x:c r="M34" s="258" t="n">
        <x:v>77.41279999999999</x:v>
      </x:c>
      <x:c r="N34" s="258" t="str">
        <x:v>Mismatch Weapon</x:v>
      </x:c>
      <x:c r="O34" s="258" t="n">
        <x:v>81.77</x:v>
      </x:c>
      <x:c r="P34" s="258" t="str">
        <x:f>IF(OR(G34="",M34=""),"",G34/M34)</x:f>
      </x:c>
      <x:c r="Q34" s="258" t="str">
        <x:f>IF(OR(G34="",O34=""),"",G34/O34)</x:f>
      </x:c>
      <x:c r="R34"/>
    </x:row>
    <x:row r="35">
      <x:c r="A35"/>
      <x:c r="B35"/>
      <x:c r="C35" t="str">
        <x:v>TE-0006</x:v>
      </x:c>
      <x:c r="D35" t="str">
        <x:v>Jamari Johnson</x:v>
      </x:c>
      <x:c r="E35" t="n">
        <x:v>85</x:v>
      </x:c>
      <x:c r="F35" t="str">
        <x:v>Physical Route Runner</x:v>
      </x:c>
      <x:c r="G35" s="258"/>
      <x:c r="H35" s="258"/>
      <x:c r="I35" s="258"/>
      <x:c r="J35" s="258"/>
      <x:c r="K35" s="258"/>
      <x:c r="L35" s="258"/>
      <x:c r="M35" s="258" t="n">
        <x:v>80.1818</x:v>
      </x:c>
      <x:c r="N35" s="258" t="str">
        <x:v>Mismatch Weapon</x:v>
      </x:c>
      <x:c r="O35" s="258" t="n">
        <x:v>82.91</x:v>
      </x:c>
      <x:c r="P35" s="258" t="str">
        <x:f>IF(OR(G35="",M35=""),"",G35/M35)</x:f>
      </x:c>
      <x:c r="Q35" s="258" t="str">
        <x:f>IF(OR(G35="",O35=""),"",G35/O35)</x:f>
      </x:c>
      <x:c r="R35"/>
    </x:row>
    <x:row r="36">
      <x:c r="A36"/>
      <x:c r="B36"/>
      <x:c r="C36" t="str">
        <x:v>TE-0007</x:v>
      </x:c>
      <x:c r="D36" t="str">
        <x:v>Jamari Johnson</x:v>
      </x:c>
      <x:c r="E36" t="n">
        <x:v>85</x:v>
      </x:c>
      <x:c r="F36" t="str">
        <x:v>Physical Route Runner</x:v>
      </x:c>
      <x:c r="G36" s="258"/>
      <x:c r="H36" s="258"/>
      <x:c r="I36" s="258"/>
      <x:c r="J36" s="258"/>
      <x:c r="K36" s="258"/>
      <x:c r="L36" s="258"/>
      <x:c r="M36" s="258" t="n">
        <x:v>80.1818</x:v>
      </x:c>
      <x:c r="N36" s="258" t="str">
        <x:v>Mismatch Weapon</x:v>
      </x:c>
      <x:c r="O36" s="258" t="n">
        <x:v>82.91</x:v>
      </x:c>
      <x:c r="P36" s="258" t="str">
        <x:f>IF(OR(G36="",M36=""),"",G36/M36)</x:f>
      </x:c>
      <x:c r="Q36" s="258" t="str">
        <x:f>IF(OR(G36="",O36=""),"",G36/O36)</x:f>
      </x:c>
      <x:c r="R36"/>
    </x:row>
    <x:row r="37">
      <x:c r="A37"/>
      <x:c r="B37"/>
      <x:c r="C37" t="str">
        <x:v>TE-0029</x:v>
      </x:c>
      <x:c r="D37" t="str">
        <x:v>Keyan Burnett</x:v>
      </x:c>
      <x:c r="E37" t="n">
        <x:v>82</x:v>
      </x:c>
      <x:c r="F37" t="str">
        <x:v>Vertical Threat</x:v>
      </x:c>
      <x:c r="G37" s="258"/>
      <x:c r="H37" s="258"/>
      <x:c r="I37" s="258"/>
      <x:c r="J37" s="258"/>
      <x:c r="K37" s="258"/>
      <x:c r="L37" s="258"/>
      <x:c r="M37" s="258" t="n">
        <x:v>77.0706</x:v>
      </x:c>
      <x:c r="N37" s="258" t="str">
        <x:v>Receiving Threat</x:v>
      </x:c>
      <x:c r="O37" s="258" t="n">
        <x:v>80.37</x:v>
      </x:c>
      <x:c r="P37" s="258" t="str">
        <x:f>IF(OR(G37="",M37=""),"",G37/M37)</x:f>
      </x:c>
      <x:c r="Q37" s="258" t="str">
        <x:f>IF(OR(G37="",O37=""),"",G37/O37)</x:f>
      </x:c>
      <x:c r="R37"/>
    </x:row>
    <x:row r="38">
      <x:c r="A38"/>
      <x:c r="B38"/>
      <x:c r="C38" t="str">
        <x:v>TE-0016</x:v>
      </x:c>
      <x:c r="D38" t="str">
        <x:v>Dorian Fleming</x:v>
      </x:c>
      <x:c r="E38" t="n">
        <x:v>84</x:v>
      </x:c>
      <x:c r="F38" t="str">
        <x:v>Physical Route Runner</x:v>
      </x:c>
      <x:c r="G38" s="258"/>
      <x:c r="H38" s="258"/>
      <x:c r="I38" s="258"/>
      <x:c r="J38" s="258"/>
      <x:c r="K38" s="258"/>
      <x:c r="L38" s="258"/>
      <x:c r="M38" s="258" t="n">
        <x:v>78.9992</x:v>
      </x:c>
      <x:c r="N38" s="258" t="str">
        <x:v>Receiving Threat</x:v>
      </x:c>
      <x:c r="O38" s="258" t="n">
        <x:v>82.19</x:v>
      </x:c>
      <x:c r="P38" s="258" t="str">
        <x:f>IF(OR(G38="",M38=""),"",G38/M38)</x:f>
      </x:c>
      <x:c r="Q38" s="258" t="str">
        <x:f>IF(OR(G38="",O38=""),"",G38/O38)</x:f>
      </x:c>
      <x:c r="R38"/>
    </x:row>
    <x:row r="39">
      <x:c r="A39"/>
      <x:c r="B39"/>
      <x:c r="C39" t="str">
        <x:v>TE-0021</x:v>
      </x:c>
      <x:c r="D39" t="str">
        <x:v>Rocky Beers</x:v>
      </x:c>
      <x:c r="E39" t="n">
        <x:v>83</x:v>
      </x:c>
      <x:c r="F39" t="str">
        <x:v>Physical Route Runner</x:v>
      </x:c>
      <x:c r="G39" s="258"/>
      <x:c r="H39" s="258"/>
      <x:c r="I39" s="258"/>
      <x:c r="J39" s="258"/>
      <x:c r="K39" s="258"/>
      <x:c r="L39" s="258"/>
      <x:c r="M39" s="258" t="n">
        <x:v>77.9854</x:v>
      </x:c>
      <x:c r="N39" s="258" t="str">
        <x:v>Possession Target</x:v>
      </x:c>
      <x:c r="O39" s="258" t="n">
        <x:v>81.1</x:v>
      </x:c>
      <x:c r="P39" s="258" t="str">
        <x:f>IF(OR(G39="",M39=""),"",G39/M39)</x:f>
      </x:c>
      <x:c r="Q39" s="258" t="str">
        <x:f>IF(OR(G39="",O39=""),"",G39/O39)</x:f>
      </x:c>
      <x:c r="R39"/>
    </x:row>
    <x:row r="40">
      <x:c r="A40"/>
      <x:c r="B40"/>
      <x:c r="C40" t="str">
        <x:v>TE-0023</x:v>
      </x:c>
      <x:c r="D40" t="str">
        <x:v>Decker DeGraaf</x:v>
      </x:c>
      <x:c r="E40" t="n">
        <x:v>83</x:v>
      </x:c>
      <x:c r="F40" t="str">
        <x:v>Physical Route Runner</x:v>
      </x:c>
      <x:c r="G40" s="258"/>
      <x:c r="H40" s="258"/>
      <x:c r="I40" s="258"/>
      <x:c r="J40" s="258"/>
      <x:c r="K40" s="258"/>
      <x:c r="L40" s="258"/>
      <x:c r="M40" s="258" t="n">
        <x:v>77.9846</x:v>
      </x:c>
      <x:c r="N40" s="258" t="str">
        <x:v>Receiving Threat</x:v>
      </x:c>
      <x:c r="O40" s="258" t="n">
        <x:v>82.44</x:v>
      </x:c>
      <x:c r="P40" s="258" t="str">
        <x:f>IF(OR(G40="",M40=""),"",G40/M40)</x:f>
      </x:c>
      <x:c r="Q40" s="258" t="str">
        <x:f>IF(OR(G40="",O40=""),"",G40/O40)</x:f>
      </x:c>
      <x:c r="R40"/>
    </x:row>
    <x:row r="41">
      <x:c r="A41"/>
      <x:c r="B41"/>
      <x:c r="C41" t="str">
        <x:v>TE-0025</x:v>
      </x:c>
      <x:c r="D41" t="str">
        <x:v>Jeremiah Hasley</x:v>
      </x:c>
      <x:c r="E41" t="n">
        <x:v>83</x:v>
      </x:c>
      <x:c r="F41" t="str">
        <x:v>Vertical Threat</x:v>
      </x:c>
      <x:c r="G41" s="258"/>
      <x:c r="H41" s="258"/>
      <x:c r="I41" s="258"/>
      <x:c r="J41" s="258"/>
      <x:c r="K41" s="258"/>
      <x:c r="L41" s="258"/>
      <x:c r="M41" s="258" t="n">
        <x:v>77.93599999999999</x:v>
      </x:c>
      <x:c r="N41" s="258" t="str">
        <x:v>Receiving Threat</x:v>
      </x:c>
      <x:c r="O41" s="258" t="n">
        <x:v>81.45</x:v>
      </x:c>
      <x:c r="P41" s="258" t="str">
        <x:f>IF(OR(G41="",M41=""),"",G41/M41)</x:f>
      </x:c>
      <x:c r="Q41" s="258" t="str">
        <x:f>IF(OR(G41="",O41=""),"",G41/O41)</x:f>
      </x:c>
      <x:c r="R41"/>
    </x:row>
    <x:row r="42">
      <x:c r="A42"/>
      <x:c r="B42"/>
      <x:c r="C42" t="str">
        <x:v>TE-0056</x:v>
      </x:c>
      <x:c r="D42" t="str">
        <x:v>Preston Howard</x:v>
      </x:c>
      <x:c r="E42" t="n">
        <x:v>80</x:v>
      </x:c>
      <x:c r="F42" t="str">
        <x:v>Vertical Threat</x:v>
      </x:c>
      <x:c r="G42" s="258"/>
      <x:c r="H42" s="258"/>
      <x:c r="I42" s="258"/>
      <x:c r="J42" s="258"/>
      <x:c r="K42" s="258"/>
      <x:c r="L42" s="258"/>
      <x:c r="M42" s="258" t="n">
        <x:v>74.9822</x:v>
      </x:c>
      <x:c r="N42" s="258" t="str">
        <x:v>Receiving Threat</x:v>
      </x:c>
      <x:c r="O42" s="258" t="n">
        <x:v>77.32</x:v>
      </x:c>
      <x:c r="P42" s="258" t="str">
        <x:f>IF(OR(G42="",M42=""),"",G42/M42)</x:f>
      </x:c>
      <x:c r="Q42" s="258" t="str">
        <x:f>IF(OR(G42="",O42=""),"",G42/O42)</x:f>
      </x:c>
      <x:c r="R42"/>
    </x:row>
    <x:row r="43">
      <x:c r="A43"/>
      <x:c r="B43"/>
      <x:c r="C43" t="str">
        <x:v>TE-0014</x:v>
      </x:c>
      <x:c r="D43" t="str">
        <x:v>Benjamin Brahmer</x:v>
      </x:c>
      <x:c r="E43" t="n">
        <x:v>84</x:v>
      </x:c>
      <x:c r="F43" t="str">
        <x:v>Vertical Threat</x:v>
      </x:c>
      <x:c r="G43" s="258"/>
      <x:c r="H43" s="258"/>
      <x:c r="I43" s="258"/>
      <x:c r="J43" s="258"/>
      <x:c r="K43" s="258"/>
      <x:c r="L43" s="258"/>
      <x:c r="M43" s="258" t="n">
        <x:v>78.8374</x:v>
      </x:c>
      <x:c r="N43" s="258" t="str">
        <x:v>Possession Target</x:v>
      </x:c>
      <x:c r="O43" s="258" t="n">
        <x:v>81.22</x:v>
      </x:c>
      <x:c r="P43" s="258" t="str">
        <x:f>IF(OR(G43="",M43=""),"",G43/M43)</x:f>
      </x:c>
      <x:c r="Q43" s="258" t="str">
        <x:f>IF(OR(G43="",O43=""),"",G43/O43)</x:f>
      </x:c>
      <x:c r="R43"/>
    </x:row>
    <x:row r="44">
      <x:c r="A44"/>
      <x:c r="B44"/>
      <x:c r="C44" t="str">
        <x:v>TE-0046</x:v>
      </x:c>
      <x:c r="D44" t="str">
        <x:v>Hunter Tipton</x:v>
      </x:c>
      <x:c r="E44" t="n">
        <x:v>80</x:v>
      </x:c>
      <x:c r="F44" t="str">
        <x:v>Vertical Threat</x:v>
      </x:c>
      <x:c r="G44" s="258"/>
      <x:c r="H44" s="258"/>
      <x:c r="I44" s="258"/>
      <x:c r="J44" s="258"/>
      <x:c r="K44" s="258"/>
      <x:c r="L44" s="258"/>
      <x:c r="M44" s="258" t="n">
        <x:v>74.9102</x:v>
      </x:c>
      <x:c r="N44" s="258" t="str">
        <x:v>Mismatch Weapon</x:v>
      </x:c>
      <x:c r="O44" s="258" t="n">
        <x:v>76.62</x:v>
      </x:c>
      <x:c r="P44" s="258" t="str">
        <x:f>IF(OR(G44="",M44=""),"",G44/M44)</x:f>
      </x:c>
      <x:c r="Q44" s="258" t="str">
        <x:f>IF(OR(G44="",O44=""),"",G44/O44)</x:f>
      </x:c>
      <x:c r="R44"/>
    </x:row>
    <x:row r="45">
      <x:c r="A45"/>
      <x:c r="B45"/>
      <x:c r="C45" t="str">
        <x:v>TE-0050</x:v>
      </x:c>
      <x:c r="D45" t="str">
        <x:v>Matt Wagner</x:v>
      </x:c>
      <x:c r="E45" t="n">
        <x:v>80</x:v>
      </x:c>
      <x:c r="F45" t="str">
        <x:v>Vertical Threat</x:v>
      </x:c>
      <x:c r="G45" s="258"/>
      <x:c r="H45" s="258"/>
      <x:c r="I45" s="258"/>
      <x:c r="J45" s="258"/>
      <x:c r="K45" s="258"/>
      <x:c r="L45" s="258"/>
      <x:c r="M45" s="258" t="n">
        <x:v>74.8966</x:v>
      </x:c>
      <x:c r="N45" s="258" t="str">
        <x:v>Receiving Threat</x:v>
      </x:c>
      <x:c r="O45" s="258" t="n">
        <x:v>78.97</x:v>
      </x:c>
      <x:c r="P45" s="258" t="str">
        <x:f>IF(OR(G45="",M45=""),"",G45/M45)</x:f>
      </x:c>
      <x:c r="Q45" s="258" t="str">
        <x:f>IF(OR(G45="",O45=""),"",G45/O45)</x:f>
      </x:c>
      <x:c r="R45"/>
    </x:row>
    <x:row r="46">
      <x:c r="A46"/>
      <x:c r="B46"/>
      <x:c r="C46" t="str">
        <x:v>TE-0067</x:v>
      </x:c>
      <x:c r="D46" t="str">
        <x:v>Ty Washington</x:v>
      </x:c>
      <x:c r="E46" t="n">
        <x:v>80</x:v>
      </x:c>
      <x:c r="F46" t="str">
        <x:v>Physical Route Runner</x:v>
      </x:c>
      <x:c r="G46" s="258"/>
      <x:c r="H46" s="258"/>
      <x:c r="I46" s="258"/>
      <x:c r="J46" s="258"/>
      <x:c r="K46" s="258"/>
      <x:c r="L46" s="258"/>
      <x:c r="M46" s="258" t="n">
        <x:v>74.8794</x:v>
      </x:c>
      <x:c r="N46" s="258" t="str">
        <x:v>Receiving Threat</x:v>
      </x:c>
      <x:c r="O46" s="258" t="n">
        <x:v>76.39</x:v>
      </x:c>
      <x:c r="P46" s="258" t="str">
        <x:f>IF(OR(G46="",M46=""),"",G46/M46)</x:f>
      </x:c>
      <x:c r="Q46" s="258" t="str">
        <x:f>IF(OR(G46="",O46=""),"",G46/O46)</x:f>
      </x:c>
      <x:c r="R46"/>
    </x:row>
    <x:row r="47">
      <x:c r="A47"/>
      <x:c r="B47"/>
      <x:c r="C47" t="str">
        <x:v>TE-0068</x:v>
      </x:c>
      <x:c r="D47" t="str">
        <x:v>Ty Washington</x:v>
      </x:c>
      <x:c r="E47" t="n">
        <x:v>80</x:v>
      </x:c>
      <x:c r="F47" t="str">
        <x:v>Physical Route Runner</x:v>
      </x:c>
      <x:c r="G47" s="258"/>
      <x:c r="H47" s="258"/>
      <x:c r="I47" s="258"/>
      <x:c r="J47" s="258"/>
      <x:c r="K47" s="258"/>
      <x:c r="L47" s="258"/>
      <x:c r="M47" s="258" t="n">
        <x:v>74.8794</x:v>
      </x:c>
      <x:c r="N47" s="258" t="str">
        <x:v>Receiving Threat</x:v>
      </x:c>
      <x:c r="O47" s="258" t="n">
        <x:v>76.39</x:v>
      </x:c>
      <x:c r="P47" s="258" t="str">
        <x:f>IF(OR(G47="",M47=""),"",G47/M47)</x:f>
      </x:c>
      <x:c r="Q47" s="258" t="str">
        <x:f>IF(OR(G47="",O47=""),"",G47/O47)</x:f>
      </x:c>
      <x:c r="R47"/>
    </x:row>
    <x:row r="48">
      <x:c r="A48"/>
      <x:c r="B48"/>
      <x:c r="C48" t="str">
        <x:v>TE-0052</x:v>
      </x:c>
      <x:c r="D48" t="str">
        <x:v>Ethan Davis</x:v>
      </x:c>
      <x:c r="E48" t="n">
        <x:v>80</x:v>
      </x:c>
      <x:c r="F48" t="str">
        <x:v>Physical Route Runner</x:v>
      </x:c>
      <x:c r="G48" s="258"/>
      <x:c r="H48" s="258"/>
      <x:c r="I48" s="258"/>
      <x:c r="J48" s="258"/>
      <x:c r="K48" s="258"/>
      <x:c r="L48" s="258"/>
      <x:c r="M48" s="258" t="n">
        <x:v>74.8744</x:v>
      </x:c>
      <x:c r="N48" s="258" t="str">
        <x:v>Receiving Threat</x:v>
      </x:c>
      <x:c r="O48" s="258" t="n">
        <x:v>78.61</x:v>
      </x:c>
      <x:c r="P48" s="258" t="str">
        <x:f>IF(OR(G48="",M48=""),"",G48/M48)</x:f>
      </x:c>
      <x:c r="Q48" s="258" t="str">
        <x:f>IF(OR(G48="",O48=""),"",G48/O48)</x:f>
      </x:c>
      <x:c r="R48"/>
    </x:row>
    <x:row r="49">
      <x:c r="A49"/>
      <x:c r="B49"/>
      <x:c r="C49" t="str">
        <x:v>TE-0062</x:v>
      </x:c>
      <x:c r="D49" t="str">
        <x:v>Max Reese</x:v>
      </x:c>
      <x:c r="E49" t="n">
        <x:v>80</x:v>
      </x:c>
      <x:c r="F49" t="str">
        <x:v>Physical Route Runner</x:v>
      </x:c>
      <x:c r="G49" s="258"/>
      <x:c r="H49" s="258"/>
      <x:c r="I49" s="258"/>
      <x:c r="J49" s="258"/>
      <x:c r="K49" s="258"/>
      <x:c r="L49" s="258"/>
      <x:c r="M49" s="258" t="n">
        <x:v>74.8496</x:v>
      </x:c>
      <x:c r="N49" s="258" t="str">
        <x:v>Possession Target</x:v>
      </x:c>
      <x:c r="O49" s="258" t="n">
        <x:v>77.24</x:v>
      </x:c>
      <x:c r="P49" s="258" t="str">
        <x:f>IF(OR(G49="",M49=""),"",G49/M49)</x:f>
      </x:c>
      <x:c r="Q49" s="258" t="str">
        <x:f>IF(OR(G49="",O49=""),"",G49/O49)</x:f>
      </x:c>
      <x:c r="R49"/>
    </x:row>
    <x:row r="50">
      <x:c r="A50"/>
      <x:c r="B50"/>
      <x:c r="C50" t="str">
        <x:v>TE-0049</x:v>
      </x:c>
      <x:c r="D50" t="str">
        <x:v>Peter Clarke</x:v>
      </x:c>
      <x:c r="E50" t="n">
        <x:v>80</x:v>
      </x:c>
      <x:c r="F50" t="str">
        <x:v>Vertical Threat</x:v>
      </x:c>
      <x:c r="G50" s="258"/>
      <x:c r="H50" s="258"/>
      <x:c r="I50" s="258"/>
      <x:c r="J50" s="258"/>
      <x:c r="K50" s="258"/>
      <x:c r="L50" s="258"/>
      <x:c r="M50" s="258" t="n">
        <x:v>74.8468</x:v>
      </x:c>
      <x:c r="N50" s="258" t="str">
        <x:v>Receiving Threat</x:v>
      </x:c>
      <x:c r="O50" s="258" t="n">
        <x:v>78.38</x:v>
      </x:c>
      <x:c r="P50" s="258" t="str">
        <x:f>IF(OR(G50="",M50=""),"",G50/M50)</x:f>
      </x:c>
      <x:c r="Q50" s="258" t="str">
        <x:f>IF(OR(G50="",O50=""),"",G50/O50)</x:f>
      </x:c>
      <x:c r="R50"/>
    </x:row>
    <x:row r="51">
      <x:c r="A51"/>
      <x:c r="B51"/>
      <x:c r="C51" t="str">
        <x:v>TE-0042</x:v>
      </x:c>
      <x:c r="D51" t="str">
        <x:v>Mason Mini</x:v>
      </x:c>
      <x:c r="E51" t="n">
        <x:v>81</x:v>
      </x:c>
      <x:c r="F51" t="str">
        <x:v>Vertical Threat</x:v>
      </x:c>
      <x:c r="G51" s="258"/>
      <x:c r="H51" s="258"/>
      <x:c r="I51" s="258"/>
      <x:c r="J51" s="258"/>
      <x:c r="K51" s="258"/>
      <x:c r="L51" s="258"/>
      <x:c r="M51" s="258" t="n">
        <x:v>75.7952</x:v>
      </x:c>
      <x:c r="N51" s="258" t="str">
        <x:v>Mismatch Weapon</x:v>
      </x:c>
      <x:c r="O51" s="258" t="n">
        <x:v>79.79</x:v>
      </x:c>
      <x:c r="P51" s="258" t="str">
        <x:f>IF(OR(G51="",M51=""),"",G51/M51)</x:f>
      </x:c>
      <x:c r="Q51" s="258" t="str">
        <x:f>IF(OR(G51="",O51=""),"",G51/O51)</x:f>
      </x:c>
      <x:c r="R51"/>
    </x:row>
    <x:row r="52">
      <x:c r="A52"/>
      <x:c r="B52"/>
      <x:c r="C52" t="str">
        <x:v>TE-0041</x:v>
      </x:c>
      <x:c r="D52" t="str">
        <x:v>Lawson Luckie</x:v>
      </x:c>
      <x:c r="E52" t="n">
        <x:v>81</x:v>
      </x:c>
      <x:c r="F52" t="str">
        <x:v>Physical Route Runner</x:v>
      </x:c>
      <x:c r="G52" s="258"/>
      <x:c r="H52" s="258"/>
      <x:c r="I52" s="258"/>
      <x:c r="J52" s="258"/>
      <x:c r="K52" s="258"/>
      <x:c r="L52" s="258"/>
      <x:c r="M52" s="258" t="n">
        <x:v>75.7758</x:v>
      </x:c>
      <x:c r="N52" s="258" t="str">
        <x:v>Receiving Threat</x:v>
      </x:c>
      <x:c r="O52" s="258" t="n">
        <x:v>78.64</x:v>
      </x:c>
      <x:c r="P52" s="258" t="str">
        <x:f>IF(OR(G52="",M52=""),"",G52/M52)</x:f>
      </x:c>
      <x:c r="Q52" s="258" t="str">
        <x:f>IF(OR(G52="",O52=""),"",G52/O52)</x:f>
      </x:c>
      <x:c r="R52"/>
    </x:row>
    <x:row r="53">
      <x:c r="A53"/>
      <x:c r="B53"/>
      <x:c r="C53" t="str">
        <x:v>TE-0004</x:v>
      </x:c>
      <x:c r="D53" t="str">
        <x:v>Terrance Carter Jr.</x:v>
      </x:c>
      <x:c r="E53" t="n">
        <x:v>85</x:v>
      </x:c>
      <x:c r="F53" t="str">
        <x:v>Physical Route Runner</x:v>
      </x:c>
      <x:c r="G53" s="258"/>
      <x:c r="H53" s="258"/>
      <x:c r="I53" s="258"/>
      <x:c r="J53" s="258"/>
      <x:c r="K53" s="258"/>
      <x:c r="L53" s="258"/>
      <x:c r="M53" s="258" t="n">
        <x:v>79.666</x:v>
      </x:c>
      <x:c r="N53" s="258" t="str">
        <x:v>Receiving Threat</x:v>
      </x:c>
      <x:c r="O53" s="258" t="n">
        <x:v>82.69</x:v>
      </x:c>
      <x:c r="P53" s="258" t="str">
        <x:f>IF(OR(G53="",M53=""),"",G53/M53)</x:f>
      </x:c>
      <x:c r="Q53" s="258" t="str">
        <x:f>IF(OR(G53="",O53=""),"",G53/O53)</x:f>
      </x:c>
      <x:c r="R53"/>
    </x:row>
    <x:row r="54">
      <x:c r="A54"/>
      <x:c r="B54"/>
      <x:c r="C54" t="str">
        <x:v>TE-0002</x:v>
      </x:c>
      <x:c r="D54" t="str">
        <x:v>Kaelan Chudzinski</x:v>
      </x:c>
      <x:c r="E54" t="n">
        <x:v>85</x:v>
      </x:c>
      <x:c r="F54" t="str">
        <x:v>Vertical Threat</x:v>
      </x:c>
      <x:c r="G54" s="258"/>
      <x:c r="H54" s="258"/>
      <x:c r="I54" s="258"/>
      <x:c r="J54" s="258"/>
      <x:c r="K54" s="258"/>
      <x:c r="L54" s="258"/>
      <x:c r="M54" s="258" t="n">
        <x:v>79.655</x:v>
      </x:c>
      <x:c r="N54" s="258" t="str">
        <x:v>Mismatch Weapon</x:v>
      </x:c>
      <x:c r="O54" s="258" t="n">
        <x:v>83.26</x:v>
      </x:c>
      <x:c r="P54" s="258" t="str">
        <x:f>IF(OR(G54="",M54=""),"",G54/M54)</x:f>
      </x:c>
      <x:c r="Q54" s="258" t="str">
        <x:f>IF(OR(G54="",O54=""),"",G54/O54)</x:f>
      </x:c>
      <x:c r="R54"/>
    </x:row>
    <x:row r="55">
      <x:c r="A55"/>
      <x:c r="B55"/>
      <x:c r="C55" t="str">
        <x:v>TE-0026</x:v>
      </x:c>
      <x:c r="D55" t="str">
        <x:v>Brett Norfleet</x:v>
      </x:c>
      <x:c r="E55" t="n">
        <x:v>83</x:v>
      </x:c>
      <x:c r="F55" t="str">
        <x:v>Physical Route Runner</x:v>
      </x:c>
      <x:c r="G55" s="258"/>
      <x:c r="H55" s="258"/>
      <x:c r="I55" s="258"/>
      <x:c r="J55" s="258"/>
      <x:c r="K55" s="258"/>
      <x:c r="L55" s="258"/>
      <x:c r="M55" s="258" t="n">
        <x:v>77.6026</x:v>
      </x:c>
      <x:c r="N55" s="258" t="str">
        <x:v>Receiving Threat</x:v>
      </x:c>
      <x:c r="O55" s="258" t="n">
        <x:v>81.36</x:v>
      </x:c>
      <x:c r="P55" s="258" t="str">
        <x:f>IF(OR(G55="",M55=""),"",G55/M55)</x:f>
      </x:c>
      <x:c r="Q55" s="258" t="str">
        <x:f>IF(OR(G55="",O55=""),"",G55/O55)</x:f>
      </x:c>
      <x:c r="R55"/>
    </x:row>
    <x:row r="56">
      <x:c r="A56"/>
      <x:c r="B56"/>
      <x:c r="C56" t="str">
        <x:v>TE-0028</x:v>
      </x:c>
      <x:c r="D56" t="str">
        <x:v>Jeremy Shockey</x:v>
      </x:c>
      <x:c r="E56" t="n">
        <x:v>83</x:v>
      </x:c>
      <x:c r="F56" t="str">
        <x:v>Physical Route Runner</x:v>
      </x:c>
      <x:c r="G56" s="258"/>
      <x:c r="H56" s="258"/>
      <x:c r="I56" s="258"/>
      <x:c r="J56" s="258"/>
      <x:c r="K56" s="258"/>
      <x:c r="L56" s="258"/>
      <x:c r="M56" s="258" t="n">
        <x:v>77.4918</x:v>
      </x:c>
      <x:c r="N56" s="258" t="str">
        <x:v>Receiving Threat</x:v>
      </x:c>
      <x:c r="O56" s="258" t="n">
        <x:v>80.98</x:v>
      </x:c>
      <x:c r="P56" s="258" t="str">
        <x:f>IF(OR(G56="",M56=""),"",G56/M56)</x:f>
      </x:c>
      <x:c r="Q56" s="258" t="str">
        <x:f>IF(OR(G56="",O56=""),"",G56/O56)</x:f>
      </x:c>
      <x:c r="R56"/>
    </x:row>
    <x:row r="57">
      <x:c r="A57"/>
      <x:c r="B57"/>
      <x:c r="C57" t="str">
        <x:v>TE-0053</x:v>
      </x:c>
      <x:c r="D57" t="str">
        <x:v>Vernon Davis</x:v>
      </x:c>
      <x:c r="E57" t="n">
        <x:v>80</x:v>
      </x:c>
      <x:c r="F57" t="str">
        <x:v>Vertical Threat</x:v>
      </x:c>
      <x:c r="G57" s="258"/>
      <x:c r="H57" s="258"/>
      <x:c r="I57" s="258"/>
      <x:c r="J57" s="258"/>
      <x:c r="K57" s="258"/>
      <x:c r="L57" s="258"/>
      <x:c r="M57" s="258" t="n">
        <x:v>74.553</x:v>
      </x:c>
      <x:c r="N57" s="258" t="str">
        <x:v>Receiving Threat</x:v>
      </x:c>
      <x:c r="O57" s="258" t="n">
        <x:v>78.54</x:v>
      </x:c>
      <x:c r="P57" s="258" t="str">
        <x:f>IF(OR(G57="",M57=""),"",G57/M57)</x:f>
      </x:c>
      <x:c r="Q57" s="258" t="str">
        <x:f>IF(OR(G57="",O57=""),"",G57/O57)</x:f>
      </x:c>
      <x:c r="R57"/>
    </x:row>
    <x:row r="58">
      <x:c r="A58"/>
      <x:c r="B58"/>
      <x:c r="C58" t="str">
        <x:v>TE-0022</x:v>
      </x:c>
      <x:c r="D58" t="str">
        <x:v>Kaelan Chudzinski</x:v>
      </x:c>
      <x:c r="E58" t="n">
        <x:v>83</x:v>
      </x:c>
      <x:c r="F58" t="str">
        <x:v>Vertical Threat</x:v>
      </x:c>
      <x:c r="G58" s="258"/>
      <x:c r="H58" s="258"/>
      <x:c r="I58" s="258"/>
      <x:c r="J58" s="258"/>
      <x:c r="K58" s="258"/>
      <x:c r="L58" s="258"/>
      <x:c r="M58" s="258" t="n">
        <x:v>77.467</x:v>
      </x:c>
      <x:c r="N58" s="258" t="str">
        <x:v>Receiving Threat</x:v>
      </x:c>
      <x:c r="O58" s="258" t="n">
        <x:v>81.24</x:v>
      </x:c>
      <x:c r="P58" s="258" t="str">
        <x:f>IF(OR(G58="",M58=""),"",G58/M58)</x:f>
      </x:c>
      <x:c r="Q58" s="258" t="str">
        <x:f>IF(OR(G58="",O58=""),"",G58/O58)</x:f>
      </x:c>
      <x:c r="R58"/>
    </x:row>
    <x:row r="59">
      <x:c r="A59"/>
      <x:c r="B59"/>
      <x:c r="C59" t="str">
        <x:v>TE-0027</x:v>
      </x:c>
      <x:c r="D59" t="str">
        <x:v>Toby Payne</x:v>
      </x:c>
      <x:c r="E59" t="n">
        <x:v>83</x:v>
      </x:c>
      <x:c r="F59" t="str">
        <x:v>Physical Route Runner</x:v>
      </x:c>
      <x:c r="G59" s="258"/>
      <x:c r="H59" s="258"/>
      <x:c r="I59" s="258"/>
      <x:c r="J59" s="258"/>
      <x:c r="K59" s="258"/>
      <x:c r="L59" s="258"/>
      <x:c r="M59" s="258" t="n">
        <x:v>77.4646</x:v>
      </x:c>
      <x:c r="N59" s="258" t="str">
        <x:v>Possession Target</x:v>
      </x:c>
      <x:c r="O59" s="258" t="n">
        <x:v>81.61</x:v>
      </x:c>
      <x:c r="P59" s="258" t="str">
        <x:f>IF(OR(G59="",M59=""),"",G59/M59)</x:f>
      </x:c>
      <x:c r="Q59" s="258" t="str">
        <x:f>IF(OR(G59="",O59=""),"",G59/O59)</x:f>
      </x:c>
      <x:c r="R59"/>
    </x:row>
    <x:row r="60">
      <x:c r="A60"/>
      <x:c r="B60"/>
      <x:c r="C60" t="str">
        <x:v>TE-0030</x:v>
      </x:c>
      <x:c r="D60" t="str">
        <x:v>Eli Finley</x:v>
      </x:c>
      <x:c r="E60" t="n">
        <x:v>82</x:v>
      </x:c>
      <x:c r="F60" t="str">
        <x:v>Physical Route Runner</x:v>
      </x:c>
      <x:c r="G60" s="258"/>
      <x:c r="H60" s="258"/>
      <x:c r="I60" s="258"/>
      <x:c r="J60" s="258"/>
      <x:c r="K60" s="258"/>
      <x:c r="L60" s="258"/>
      <x:c r="M60" s="258" t="n">
        <x:v>76.4646</x:v>
      </x:c>
      <x:c r="N60" s="258" t="str">
        <x:v>Possession Target</x:v>
      </x:c>
      <x:c r="O60" s="258" t="n">
        <x:v>79.84</x:v>
      </x:c>
      <x:c r="P60" s="258" t="str">
        <x:f>IF(OR(G60="",M60=""),"",G60/M60)</x:f>
      </x:c>
      <x:c r="Q60" s="258" t="str">
        <x:f>IF(OR(G60="",O60=""),"",G60/O60)</x:f>
      </x:c>
      <x:c r="R60"/>
    </x:row>
    <x:row r="61">
      <x:c r="A61"/>
      <x:c r="B61"/>
      <x:c r="C61" t="str">
        <x:v>TE-0045</x:v>
      </x:c>
      <x:c r="D61" t="str">
        <x:v>Hunter Welcing</x:v>
      </x:c>
      <x:c r="E61" t="n">
        <x:v>81</x:v>
      </x:c>
      <x:c r="F61" t="str">
        <x:v>Physical Route Runner</x:v>
      </x:c>
      <x:c r="G61" s="258"/>
      <x:c r="H61" s="258"/>
      <x:c r="I61" s="258"/>
      <x:c r="J61" s="258"/>
      <x:c r="K61" s="258"/>
      <x:c r="L61" s="258"/>
      <x:c r="M61" s="258" t="n">
        <x:v>75.4278</x:v>
      </x:c>
      <x:c r="N61" s="258" t="str">
        <x:v>Possession Target</x:v>
      </x:c>
      <x:c r="O61" s="258" t="n">
        <x:v>79.43</x:v>
      </x:c>
      <x:c r="P61" s="258" t="str">
        <x:f>IF(OR(G61="",M61=""),"",G61/M61)</x:f>
      </x:c>
      <x:c r="Q61" s="258" t="str">
        <x:f>IF(OR(G61="",O61=""),"",G61/O61)</x:f>
      </x:c>
      <x:c r="R61"/>
    </x:row>
    <x:row r="62">
      <x:c r="A62"/>
      <x:c r="B62"/>
      <x:c r="C62" t="str">
        <x:v>TE-0017</x:v>
      </x:c>
      <x:c r="D62" t="str">
        <x:v>Luke Hasz</x:v>
      </x:c>
      <x:c r="E62" t="n">
        <x:v>84</x:v>
      </x:c>
      <x:c r="F62" t="str">
        <x:v>Vertical Threat</x:v>
      </x:c>
      <x:c r="G62" s="258"/>
      <x:c r="H62" s="258"/>
      <x:c r="I62" s="258"/>
      <x:c r="J62" s="258"/>
      <x:c r="K62" s="258"/>
      <x:c r="L62" s="258"/>
      <x:c r="M62" s="258" t="n">
        <x:v>78.3318</x:v>
      </x:c>
      <x:c r="N62" s="258" t="str">
        <x:v>Receiving Threat</x:v>
      </x:c>
      <x:c r="O62" s="258" t="n">
        <x:v>82.27</x:v>
      </x:c>
      <x:c r="P62" s="258" t="str">
        <x:f>IF(OR(G62="",M62=""),"",G62/M62)</x:f>
      </x:c>
      <x:c r="Q62" s="258" t="str">
        <x:f>IF(OR(G62="",O62=""),"",G62/O62)</x:f>
      </x:c>
      <x:c r="R62"/>
    </x:row>
    <x:row r="63">
      <x:c r="A63"/>
      <x:c r="B63"/>
      <x:c r="C63" t="str">
        <x:v>TE-0058</x:v>
      </x:c>
      <x:c r="D63" t="str">
        <x:v>Walker Lyons</x:v>
      </x:c>
      <x:c r="E63" t="n">
        <x:v>80</x:v>
      </x:c>
      <x:c r="F63" t="str">
        <x:v>Physical Route Runner</x:v>
      </x:c>
      <x:c r="G63" s="258"/>
      <x:c r="H63" s="258"/>
      <x:c r="I63" s="258"/>
      <x:c r="J63" s="258"/>
      <x:c r="K63" s="258"/>
      <x:c r="L63" s="258"/>
      <x:c r="M63" s="258" t="n">
        <x:v>74.3754</x:v>
      </x:c>
      <x:c r="N63" s="258" t="str">
        <x:v>Receiving Threat</x:v>
      </x:c>
      <x:c r="O63" s="258" t="n">
        <x:v>79.24</x:v>
      </x:c>
      <x:c r="P63" s="258" t="str">
        <x:f>IF(OR(G63="",M63=""),"",G63/M63)</x:f>
      </x:c>
      <x:c r="Q63" s="258" t="str">
        <x:f>IF(OR(G63="",O63=""),"",G63/O63)</x:f>
      </x:c>
      <x:c r="R63"/>
    </x:row>
    <x:row r="64">
      <x:c r="A64"/>
      <x:c r="B64"/>
      <x:c r="C64" t="str">
        <x:v>TE-0059</x:v>
      </x:c>
      <x:c r="D64" t="str">
        <x:v>Walker Lyons</x:v>
      </x:c>
      <x:c r="E64" t="n">
        <x:v>80</x:v>
      </x:c>
      <x:c r="F64" t="str">
        <x:v>Physical Route Runner</x:v>
      </x:c>
      <x:c r="G64" s="258"/>
      <x:c r="H64" s="258"/>
      <x:c r="I64" s="258"/>
      <x:c r="J64" s="258"/>
      <x:c r="K64" s="258"/>
      <x:c r="L64" s="258"/>
      <x:c r="M64" s="258" t="n">
        <x:v>74.3754</x:v>
      </x:c>
      <x:c r="N64" s="258" t="str">
        <x:v>Receiving Threat</x:v>
      </x:c>
      <x:c r="O64" s="258" t="n">
        <x:v>79.24</x:v>
      </x:c>
      <x:c r="P64" s="258" t="str">
        <x:f>IF(OR(G64="",M64=""),"",G64/M64)</x:f>
      </x:c>
      <x:c r="Q64" s="258" t="str">
        <x:f>IF(OR(G64="",O64=""),"",G64/O64)</x:f>
      </x:c>
      <x:c r="R64"/>
    </x:row>
    <x:row r="65">
      <x:c r="A65"/>
      <x:c r="B65"/>
      <x:c r="C65" t="str">
        <x:v>TE-0005</x:v>
      </x:c>
      <x:c r="D65" t="str">
        <x:v>Trey'Dez Green</x:v>
      </x:c>
      <x:c r="E65" t="n">
        <x:v>85</x:v>
      </x:c>
      <x:c r="F65" t="str">
        <x:v>Physical Route Runner</x:v>
      </x:c>
      <x:c r="G65" s="258"/>
      <x:c r="H65" s="258"/>
      <x:c r="I65" s="258"/>
      <x:c r="J65" s="258"/>
      <x:c r="K65" s="258"/>
      <x:c r="L65" s="258"/>
      <x:c r="M65" s="258" t="n">
        <x:v>79.2066</x:v>
      </x:c>
      <x:c r="N65" s="258" t="str">
        <x:v>Receiving Threat</x:v>
      </x:c>
      <x:c r="O65" s="258" t="n">
        <x:v>84.28</x:v>
      </x:c>
      <x:c r="P65" s="258" t="str">
        <x:f>IF(OR(G65="",M65=""),"",G65/M65)</x:f>
      </x:c>
      <x:c r="Q65" s="258" t="str">
        <x:f>IF(OR(G65="",O65=""),"",G65/O65)</x:f>
      </x:c>
      <x:c r="R65"/>
    </x:row>
    <x:row r="66">
      <x:c r="A66"/>
      <x:c r="B66"/>
      <x:c r="C66" t="str">
        <x:v>TE-0035</x:v>
      </x:c>
      <x:c r="D66" t="str">
        <x:v>Luke Reynolds</x:v>
      </x:c>
      <x:c r="E66" t="n">
        <x:v>82</x:v>
      </x:c>
      <x:c r="F66" t="str">
        <x:v>Vertical Threat</x:v>
      </x:c>
      <x:c r="G66" s="258"/>
      <x:c r="H66" s="258"/>
      <x:c r="I66" s="258"/>
      <x:c r="J66" s="258"/>
      <x:c r="K66" s="258"/>
      <x:c r="L66" s="258"/>
      <x:c r="M66" s="258" t="n">
        <x:v>75.961</x:v>
      </x:c>
      <x:c r="N66" s="258" t="str">
        <x:v>Mismatch Weapon</x:v>
      </x:c>
      <x:c r="O66" s="258" t="n">
        <x:v>81</x:v>
      </x:c>
      <x:c r="P66" s="258" t="str">
        <x:f>IF(OR(G66="",M66=""),"",G66/M66)</x:f>
      </x:c>
      <x:c r="Q66" s="258" t="str">
        <x:f>IF(OR(G66="",O66=""),"",G66/O66)</x:f>
      </x:c>
      <x:c r="R66"/>
    </x:row>
    <x:row r="67">
      <x:c r="A67"/>
      <x:c r="B67"/>
      <x:c r="C67" t="str">
        <x:v>TE-0043</x:v>
      </x:c>
      <x:c r="D67" t="str">
        <x:v>Jaleel Skinner</x:v>
      </x:c>
      <x:c r="E67" t="n">
        <x:v>81</x:v>
      </x:c>
      <x:c r="F67" t="str">
        <x:v>Vertical Threat</x:v>
      </x:c>
      <x:c r="G67" s="258"/>
      <x:c r="H67" s="258"/>
      <x:c r="I67" s="258"/>
      <x:c r="J67" s="258"/>
      <x:c r="K67" s="258"/>
      <x:c r="L67" s="258"/>
      <x:c r="M67" s="258" t="n">
        <x:v>74.97919999999999</x:v>
      </x:c>
      <x:c r="N67" s="258" t="str">
        <x:v>Receiving Threat</x:v>
      </x:c>
      <x:c r="O67" s="258" t="n">
        <x:v>80.64</x:v>
      </x:c>
      <x:c r="P67" s="258" t="str">
        <x:f>IF(OR(G67="",M67=""),"",G67/M67)</x:f>
      </x:c>
      <x:c r="Q67" s="258" t="str">
        <x:f>IF(OR(G67="",O67=""),"",G67/O67)</x:f>
      </x:c>
      <x:c r="R67"/>
    </x:row>
    <x:row r="68">
      <x:c r="A68"/>
      <x:c r="B68"/>
      <x:c r="C68" t="str">
        <x:v>TE-0031</x:v>
      </x:c>
      <x:c r="D68" t="str">
        <x:v>River Helms</x:v>
      </x:c>
      <x:c r="E68" t="n">
        <x:v>82</x:v>
      </x:c>
      <x:c r="F68" t="str">
        <x:v>Physical Route Runner</x:v>
      </x:c>
      <x:c r="G68" s="258"/>
      <x:c r="H68" s="258"/>
      <x:c r="I68" s="258"/>
      <x:c r="J68" s="258"/>
      <x:c r="K68" s="258"/>
      <x:c r="L68" s="258"/>
      <x:c r="M68" s="258" t="n">
        <x:v>75.9092</x:v>
      </x:c>
      <x:c r="N68" s="258" t="str">
        <x:v>Receiving Threat</x:v>
      </x:c>
      <x:c r="O68" s="258" t="n">
        <x:v>79.57</x:v>
      </x:c>
      <x:c r="P68" s="258" t="str">
        <x:f>IF(OR(G68="",M68=""),"",G68/M68)</x:f>
      </x:c>
      <x:c r="Q68" s="258" t="str">
        <x:f>IF(OR(G68="",O68=""),"",G68/O68)</x:f>
      </x:c>
      <x:c r="R68"/>
    </x:row>
    <x:row r="69">
      <x:c r="A69"/>
      <x:c r="B69"/>
      <x:c r="C69" t="str">
        <x:v>TE-0019</x:v>
      </x:c>
      <x:c r="D69" t="str">
        <x:v>Dylan Wade</x:v>
      </x:c>
      <x:c r="E69" t="n">
        <x:v>84</x:v>
      </x:c>
      <x:c r="F69" t="str">
        <x:v>Vertical Threat</x:v>
      </x:c>
      <x:c r="G69" s="258"/>
      <x:c r="H69" s="258"/>
      <x:c r="I69" s="258"/>
      <x:c r="J69" s="258"/>
      <x:c r="K69" s="258"/>
      <x:c r="L69" s="258"/>
      <x:c r="M69" s="258" t="n">
        <x:v>77.325</x:v>
      </x:c>
      <x:c r="N69" s="258" t="str">
        <x:v>Receiving Threat</x:v>
      </x:c>
      <x:c r="O69" s="258" t="n">
        <x:v>82.73</x:v>
      </x:c>
      <x:c r="P69" s="258" t="str">
        <x:f>IF(OR(G69="",M69=""),"",G69/M69)</x:f>
      </x:c>
      <x:c r="Q69" s="258" t="str">
        <x:f>IF(OR(G69="",O69=""),"",G69/O69)</x:f>
      </x:c>
      <x:c r="R69"/>
    </x:row>
    <x:row r="70">
      <x:c r="A70"/>
      <x:c r="B70"/>
      <x:c r="C70" t="str">
        <x:v>TE-0034</x:v>
      </x:c>
      <x:c r="D70" t="str">
        <x:v>Elija Lofton</x:v>
      </x:c>
      <x:c r="E70" t="n">
        <x:v>82</x:v>
      </x:c>
      <x:c r="F70" t="str">
        <x:v>Vertical Threat</x:v>
      </x:c>
      <x:c r="G70" s="258"/>
      <x:c r="H70" s="258"/>
      <x:c r="I70" s="258"/>
      <x:c r="J70" s="258"/>
      <x:c r="K70" s="258"/>
      <x:c r="L70" s="258"/>
      <x:c r="M70" s="258" t="n">
        <x:v>75.2654</x:v>
      </x:c>
      <x:c r="N70" s="258" t="str">
        <x:v>YAC / Move TE</x:v>
      </x:c>
      <x:c r="O70" s="258" t="n">
        <x:v>81.95</x:v>
      </x:c>
      <x:c r="P70" s="258" t="str">
        <x:f>IF(OR(G70="",M70=""),"",G70/M70)</x:f>
      </x:c>
      <x:c r="Q70" s="258" t="str">
        <x:f>IF(OR(G70="",O70=""),"",G70/O70)</x:f>
      </x:c>
      <x:c r="R70"/>
    </x:row>
    <x:row r="71">
      <x:c r="A71"/>
      <x:c r="B71"/>
      <x:c r="C71" t="str">
        <x:v>TE-0060</x:v>
      </x:c>
      <x:c r="D71" t="str">
        <x:v>Randy Pittman Jr.</x:v>
      </x:c>
      <x:c r="E71" t="n">
        <x:v>80</x:v>
      </x:c>
      <x:c r="F71" t="str">
        <x:v>Vertical Threat</x:v>
      </x:c>
      <x:c r="G71" s="258"/>
      <x:c r="H71" s="258"/>
      <x:c r="I71" s="258"/>
      <x:c r="J71" s="258"/>
      <x:c r="K71" s="258"/>
      <x:c r="L71" s="258"/>
      <x:c r="M71" s="258" t="n">
        <x:v>73.2166</x:v>
      </x:c>
      <x:c r="N71" s="258" t="str">
        <x:v>Receiving Threat</x:v>
      </x:c>
      <x:c r="O71" s="258" t="n">
        <x:v>77.53</x:v>
      </x:c>
      <x:c r="P71" s="258" t="str">
        <x:f>IF(OR(G71="",M71=""),"",G71/M71)</x:f>
      </x:c>
      <x:c r="Q71" s="258" t="str">
        <x:f>IF(OR(G71="",O71=""),"",G71/O71)</x:f>
      </x:c>
      <x:c r="R71"/>
    </x:row>
  </x:sheetData>
  <x:mergeCells>
    <x:mergeCell ref="A1:R1"/>
  </x:mergeCells>
  <x:dataValidations count="1">
    <x:dataValidation type="list" sqref="R5:R304">
      <x:formula1>"ELITE VALUE,GOOD VALUE,FAIR,EXPENSIVE,AVOID,UNRATED"</x:formula1>
    </x:dataValidation>
  </x:dataValidations>
  <x:pageMargins left="0.7" right="0.7" top="0.75" bottom="0.75" header="0.3" footer="0.3"/>
  <x:tableParts count="1">
    <x:tablePart xmlns:r="http://schemas.openxmlformats.org/officeDocument/2006/relationships" r:id="R5f36c0bfe7cb4ef3"/>
  </x:tableParts>
</x:worksheet>
</file>

<file path=xl/worksheets/sheet34.xml><?xml version="1.0" encoding="utf-8"?>
<x:worksheet xmlns:x="http://schemas.openxmlformats.org/spreadsheetml/2006/main">
  <x:sheetFormatPr defaultRowHeight="15"/>
  <x:cols>
    <x:col min="1" max="1" width="14" hidden="0" customWidth="1"/>
    <x:col min="2" max="2" width="22" hidden="0" customWidth="1"/>
    <x:col min="3" max="3" width="12" hidden="0" customWidth="1"/>
    <x:col min="4" max="4" width="14" hidden="0" customWidth="1"/>
    <x:col min="5" max="5" width="18" hidden="0" customWidth="1"/>
    <x:col min="6" max="6" width="24" hidden="0" customWidth="1"/>
    <x:col min="7" max="7" width="16" hidden="0" customWidth="1"/>
    <x:col min="8" max="8" width="16" hidden="0" customWidth="1"/>
    <x:col min="9" max="9" width="24" hidden="0" customWidth="1"/>
    <x:col min="10" max="10" width="18" hidden="0" customWidth="1"/>
    <x:col min="11" max="11" width="16" hidden="0" customWidth="1"/>
    <x:col min="12" max="12" width="58" hidden="0" customWidth="1"/>
  </x:cols>
  <x:sheetData>
    <x:row r="1">
      <x:c r="A1" s="248" t="str">
        <x:v>TE Role Weight Calibration Ledger — v1.0 Frozen, v1.1 Candidate Only After Validation</x:v>
      </x:c>
      <x:c r="B1" s="248"/>
      <x:c r="C1" s="248"/>
      <x:c r="D1" s="248"/>
      <x:c r="E1" s="248"/>
      <x:c r="F1" s="248"/>
      <x:c r="G1" s="248"/>
      <x:c r="H1" s="248"/>
      <x:c r="I1" s="248"/>
      <x:c r="J1" s="248"/>
      <x:c r="K1" s="248"/>
      <x:c r="L1" s="248"/>
    </x:row>
    <x:row r="4">
      <x:c r="A4" s="254" t="str">
        <x:v>Calibration_ID</x:v>
      </x:c>
      <x:c r="B4" s="254" t="str">
        <x:v>Role</x:v>
      </x:c>
      <x:c r="C4" s="254" t="str">
        <x:v>Attribute</x:v>
      </x:c>
      <x:c r="D4" s="254" t="str">
        <x:v>v1.0_Weight</x:v>
      </x:c>
      <x:c r="E4" s="254" t="str">
        <x:v>Evidence_Test</x:v>
      </x:c>
      <x:c r="F4" s="254" t="str">
        <x:v>Development_Result</x:v>
      </x:c>
      <x:c r="G4" s="254" t="str">
        <x:v>Proposed_Weight</x:v>
      </x:c>
      <x:c r="H4" s="254" t="str">
        <x:v>Relative_Change</x:v>
      </x:c>
      <x:c r="I4" s="254" t="str">
        <x:v>Holdout_Result</x:v>
      </x:c>
      <x:c r="J4" s="254" t="str">
        <x:v>Promotion_Status</x:v>
      </x:c>
      <x:c r="K4" s="254" t="str">
        <x:v>Effective_Version</x:v>
      </x:c>
      <x:c r="L4" s="254" t="str">
        <x:v>Notes</x:v>
      </x:c>
    </x:row>
    <x:row r="5">
      <x:c r="A5" t="str">
        <x:v>CAL-001</x:v>
      </x:c>
      <x:c r="B5" t="str">
        <x:v>Receiving Threat</x:v>
      </x:c>
      <x:c r="C5" t="str">
        <x:v>SPD</x:v>
      </x:c>
      <x:c r="D5" t="n">
        <x:v>15</x:v>
      </x:c>
      <x:c r="E5"/>
      <x:c r="F5"/>
      <x:c r="G5"/>
      <x:c r="H5"/>
      <x:c r="I5"/>
      <x:c r="J5" t="str">
        <x:v>FROZEN v1.0</x:v>
      </x:c>
      <x:c r="K5" t="str">
        <x:v>v1.0</x:v>
      </x:c>
      <x:c r="L5" t="str">
        <x:v>No change until development + independent holdout support promotion.</x:v>
      </x:c>
    </x:row>
    <x:row r="6">
      <x:c r="A6" t="str">
        <x:v>CAL-002</x:v>
      </x:c>
      <x:c r="B6" t="str">
        <x:v>Receiving Threat</x:v>
      </x:c>
      <x:c r="C6" t="str">
        <x:v>ACC</x:v>
      </x:c>
      <x:c r="D6" t="n">
        <x:v>10</x:v>
      </x:c>
      <x:c r="E6"/>
      <x:c r="F6"/>
      <x:c r="G6"/>
      <x:c r="H6"/>
      <x:c r="I6"/>
      <x:c r="J6" t="str">
        <x:v>FROZEN v1.0</x:v>
      </x:c>
      <x:c r="K6" t="str">
        <x:v>v1.0</x:v>
      </x:c>
      <x:c r="L6" t="str">
        <x:v>No change until development + independent holdout support promotion.</x:v>
      </x:c>
    </x:row>
    <x:row r="7">
      <x:c r="A7" t="str">
        <x:v>CAL-003</x:v>
      </x:c>
      <x:c r="B7" t="str">
        <x:v>Receiving Threat</x:v>
      </x:c>
      <x:c r="C7" t="str">
        <x:v>CTH</x:v>
      </x:c>
      <x:c r="D7" t="n">
        <x:v>12</x:v>
      </x:c>
      <x:c r="E7"/>
      <x:c r="F7"/>
      <x:c r="G7"/>
      <x:c r="H7"/>
      <x:c r="I7"/>
      <x:c r="J7" t="str">
        <x:v>FROZEN v1.0</x:v>
      </x:c>
      <x:c r="K7" t="str">
        <x:v>v1.0</x:v>
      </x:c>
      <x:c r="L7" t="str">
        <x:v>No change until development + independent holdout support promotion.</x:v>
      </x:c>
    </x:row>
    <x:row r="8">
      <x:c r="A8" t="str">
        <x:v>CAL-004</x:v>
      </x:c>
      <x:c r="B8" t="str">
        <x:v>Receiving Threat</x:v>
      </x:c>
      <x:c r="C8" t="str">
        <x:v>CIT</x:v>
      </x:c>
      <x:c r="D8" t="n">
        <x:v>8</x:v>
      </x:c>
      <x:c r="E8"/>
      <x:c r="F8"/>
      <x:c r="G8"/>
      <x:c r="H8"/>
      <x:c r="I8"/>
      <x:c r="J8" t="str">
        <x:v>FROZEN v1.0</x:v>
      </x:c>
      <x:c r="K8" t="str">
        <x:v>v1.0</x:v>
      </x:c>
      <x:c r="L8" t="str">
        <x:v>No change until development + independent holdout support promotion.</x:v>
      </x:c>
    </x:row>
    <x:row r="9">
      <x:c r="A9" t="str">
        <x:v>CAL-005</x:v>
      </x:c>
      <x:c r="B9" t="str">
        <x:v>Receiving Threat</x:v>
      </x:c>
      <x:c r="C9" t="str">
        <x:v>SRR</x:v>
      </x:c>
      <x:c r="D9" t="n">
        <x:v>8</x:v>
      </x:c>
      <x:c r="E9"/>
      <x:c r="F9"/>
      <x:c r="G9"/>
      <x:c r="H9"/>
      <x:c r="I9"/>
      <x:c r="J9" t="str">
        <x:v>FROZEN v1.0</x:v>
      </x:c>
      <x:c r="K9" t="str">
        <x:v>v1.0</x:v>
      </x:c>
      <x:c r="L9" t="str">
        <x:v>No change until development + independent holdout support promotion.</x:v>
      </x:c>
    </x:row>
    <x:row r="10">
      <x:c r="A10" t="str">
        <x:v>CAL-006</x:v>
      </x:c>
      <x:c r="B10" t="str">
        <x:v>Receiving Threat</x:v>
      </x:c>
      <x:c r="C10" t="str">
        <x:v>MRR</x:v>
      </x:c>
      <x:c r="D10" t="n">
        <x:v>12</x:v>
      </x:c>
      <x:c r="E10"/>
      <x:c r="F10"/>
      <x:c r="G10"/>
      <x:c r="H10"/>
      <x:c r="I10"/>
      <x:c r="J10" t="str">
        <x:v>FROZEN v1.0</x:v>
      </x:c>
      <x:c r="K10" t="str">
        <x:v>v1.0</x:v>
      </x:c>
      <x:c r="L10" t="str">
        <x:v>No change until development + independent holdout support promotion.</x:v>
      </x:c>
    </x:row>
    <x:row r="11">
      <x:c r="A11" t="str">
        <x:v>CAL-007</x:v>
      </x:c>
      <x:c r="B11" t="str">
        <x:v>Receiving Threat</x:v>
      </x:c>
      <x:c r="C11" t="str">
        <x:v>DRR</x:v>
      </x:c>
      <x:c r="D11" t="n">
        <x:v>10</x:v>
      </x:c>
      <x:c r="E11"/>
      <x:c r="F11"/>
      <x:c r="G11"/>
      <x:c r="H11"/>
      <x:c r="I11"/>
      <x:c r="J11" t="str">
        <x:v>FROZEN v1.0</x:v>
      </x:c>
      <x:c r="K11" t="str">
        <x:v>v1.0</x:v>
      </x:c>
      <x:c r="L11" t="str">
        <x:v>No change until development + independent holdout support promotion.</x:v>
      </x:c>
    </x:row>
    <x:row r="12">
      <x:c r="A12" t="str">
        <x:v>CAL-008</x:v>
      </x:c>
      <x:c r="B12" t="str">
        <x:v>Receiving Threat</x:v>
      </x:c>
      <x:c r="C12" t="str">
        <x:v>SPC</x:v>
      </x:c>
      <x:c r="D12" t="n">
        <x:v>5</x:v>
      </x:c>
      <x:c r="E12"/>
      <x:c r="F12"/>
      <x:c r="G12"/>
      <x:c r="H12"/>
      <x:c r="I12"/>
      <x:c r="J12" t="str">
        <x:v>FROZEN v1.0</x:v>
      </x:c>
      <x:c r="K12" t="str">
        <x:v>v1.0</x:v>
      </x:c>
      <x:c r="L12" t="str">
        <x:v>No change until development + independent holdout support promotion.</x:v>
      </x:c>
    </x:row>
    <x:row r="13">
      <x:c r="A13" t="str">
        <x:v>CAL-009</x:v>
      </x:c>
      <x:c r="B13" t="str">
        <x:v>Receiving Threat</x:v>
      </x:c>
      <x:c r="C13" t="str">
        <x:v>RLS</x:v>
      </x:c>
      <x:c r="D13" t="n">
        <x:v>5</x:v>
      </x:c>
      <x:c r="E13"/>
      <x:c r="F13"/>
      <x:c r="G13"/>
      <x:c r="H13"/>
      <x:c r="I13"/>
      <x:c r="J13" t="str">
        <x:v>FROZEN v1.0</x:v>
      </x:c>
      <x:c r="K13" t="str">
        <x:v>v1.0</x:v>
      </x:c>
      <x:c r="L13" t="str">
        <x:v>No change until development + independent holdout support promotion.</x:v>
      </x:c>
    </x:row>
    <x:row r="14">
      <x:c r="A14" t="str">
        <x:v>CAL-010</x:v>
      </x:c>
      <x:c r="B14" t="str">
        <x:v>Receiving Threat</x:v>
      </x:c>
      <x:c r="C14" t="str">
        <x:v>COD</x:v>
      </x:c>
      <x:c r="D14" t="n">
        <x:v>8</x:v>
      </x:c>
      <x:c r="E14"/>
      <x:c r="F14"/>
      <x:c r="G14"/>
      <x:c r="H14"/>
      <x:c r="I14"/>
      <x:c r="J14" t="str">
        <x:v>FROZEN v1.0</x:v>
      </x:c>
      <x:c r="K14" t="str">
        <x:v>v1.0</x:v>
      </x:c>
      <x:c r="L14" t="str">
        <x:v>No change until development + independent holdout support promotion.</x:v>
      </x:c>
    </x:row>
    <x:row r="15">
      <x:c r="A15" t="str">
        <x:v>CAL-011</x:v>
      </x:c>
      <x:c r="B15" t="str">
        <x:v>Receiving Threat</x:v>
      </x:c>
      <x:c r="C15" t="str">
        <x:v>JMP</x:v>
      </x:c>
      <x:c r="D15" t="n">
        <x:v>4</x:v>
      </x:c>
      <x:c r="E15"/>
      <x:c r="F15"/>
      <x:c r="G15"/>
      <x:c r="H15"/>
      <x:c r="I15"/>
      <x:c r="J15" t="str">
        <x:v>FROZEN v1.0</x:v>
      </x:c>
      <x:c r="K15" t="str">
        <x:v>v1.0</x:v>
      </x:c>
      <x:c r="L15" t="str">
        <x:v>No change until development + independent holdout support promotion.</x:v>
      </x:c>
    </x:row>
    <x:row r="16">
      <x:c r="A16" t="str">
        <x:v>CAL-012</x:v>
      </x:c>
      <x:c r="B16" t="str">
        <x:v>Receiving Threat</x:v>
      </x:c>
      <x:c r="C16" t="str">
        <x:v>AWR</x:v>
      </x:c>
      <x:c r="D16" t="n">
        <x:v>3</x:v>
      </x:c>
      <x:c r="E16"/>
      <x:c r="F16"/>
      <x:c r="G16"/>
      <x:c r="H16"/>
      <x:c r="I16"/>
      <x:c r="J16" t="str">
        <x:v>FROZEN v1.0</x:v>
      </x:c>
      <x:c r="K16" t="str">
        <x:v>v1.0</x:v>
      </x:c>
      <x:c r="L16" t="str">
        <x:v>No change until development + independent holdout support promotion.</x:v>
      </x:c>
    </x:row>
    <x:row r="17">
      <x:c r="A17" t="str">
        <x:v>CAL-013</x:v>
      </x:c>
      <x:c r="B17" t="str">
        <x:v>Possession Target</x:v>
      </x:c>
      <x:c r="C17" t="str">
        <x:v>CTH</x:v>
      </x:c>
      <x:c r="D17" t="n">
        <x:v>15</x:v>
      </x:c>
      <x:c r="E17"/>
      <x:c r="F17"/>
      <x:c r="G17"/>
      <x:c r="H17"/>
      <x:c r="I17"/>
      <x:c r="J17" t="str">
        <x:v>FROZEN v1.0</x:v>
      </x:c>
      <x:c r="K17" t="str">
        <x:v>v1.0</x:v>
      </x:c>
      <x:c r="L17" t="str">
        <x:v>No change until development + independent holdout support promotion.</x:v>
      </x:c>
    </x:row>
    <x:row r="18">
      <x:c r="A18" t="str">
        <x:v>CAL-014</x:v>
      </x:c>
      <x:c r="B18" t="str">
        <x:v>Possession Target</x:v>
      </x:c>
      <x:c r="C18" t="str">
        <x:v>CIT</x:v>
      </x:c>
      <x:c r="D18" t="n">
        <x:v>20</x:v>
      </x:c>
      <x:c r="E18"/>
      <x:c r="F18"/>
      <x:c r="G18"/>
      <x:c r="H18"/>
      <x:c r="I18"/>
      <x:c r="J18" t="str">
        <x:v>FROZEN v1.0</x:v>
      </x:c>
      <x:c r="K18" t="str">
        <x:v>v1.0</x:v>
      </x:c>
      <x:c r="L18" t="str">
        <x:v>No change until development + independent holdout support promotion.</x:v>
      </x:c>
    </x:row>
    <x:row r="19">
      <x:c r="A19" t="str">
        <x:v>CAL-015</x:v>
      </x:c>
      <x:c r="B19" t="str">
        <x:v>Possession Target</x:v>
      </x:c>
      <x:c r="C19" t="str">
        <x:v>SRR</x:v>
      </x:c>
      <x:c r="D19" t="n">
        <x:v>15</x:v>
      </x:c>
      <x:c r="E19"/>
      <x:c r="F19"/>
      <x:c r="G19"/>
      <x:c r="H19"/>
      <x:c r="I19"/>
      <x:c r="J19" t="str">
        <x:v>FROZEN v1.0</x:v>
      </x:c>
      <x:c r="K19" t="str">
        <x:v>v1.0</x:v>
      </x:c>
      <x:c r="L19" t="str">
        <x:v>No change until development + independent holdout support promotion.</x:v>
      </x:c>
    </x:row>
    <x:row r="20">
      <x:c r="A20" t="str">
        <x:v>CAL-016</x:v>
      </x:c>
      <x:c r="B20" t="str">
        <x:v>Possession Target</x:v>
      </x:c>
      <x:c r="C20" t="str">
        <x:v>MRR</x:v>
      </x:c>
      <x:c r="D20" t="n">
        <x:v>12</x:v>
      </x:c>
      <x:c r="E20"/>
      <x:c r="F20"/>
      <x:c r="G20"/>
      <x:c r="H20"/>
      <x:c r="I20"/>
      <x:c r="J20" t="str">
        <x:v>FROZEN v1.0</x:v>
      </x:c>
      <x:c r="K20" t="str">
        <x:v>v1.0</x:v>
      </x:c>
      <x:c r="L20" t="str">
        <x:v>No change until development + independent holdout support promotion.</x:v>
      </x:c>
    </x:row>
    <x:row r="21">
      <x:c r="A21" t="str">
        <x:v>CAL-017</x:v>
      </x:c>
      <x:c r="B21" t="str">
        <x:v>Possession Target</x:v>
      </x:c>
      <x:c r="C21" t="str">
        <x:v>AWR</x:v>
      </x:c>
      <x:c r="D21" t="n">
        <x:v>10</x:v>
      </x:c>
      <x:c r="E21"/>
      <x:c r="F21"/>
      <x:c r="G21"/>
      <x:c r="H21"/>
      <x:c r="I21"/>
      <x:c r="J21" t="str">
        <x:v>FROZEN v1.0</x:v>
      </x:c>
      <x:c r="K21" t="str">
        <x:v>v1.0</x:v>
      </x:c>
      <x:c r="L21" t="str">
        <x:v>No change until development + independent holdout support promotion.</x:v>
      </x:c>
    </x:row>
    <x:row r="22">
      <x:c r="A22" t="str">
        <x:v>CAL-018</x:v>
      </x:c>
      <x:c r="B22" t="str">
        <x:v>Possession Target</x:v>
      </x:c>
      <x:c r="C22" t="str">
        <x:v>STR</x:v>
      </x:c>
      <x:c r="D22" t="n">
        <x:v>6</x:v>
      </x:c>
      <x:c r="E22"/>
      <x:c r="F22"/>
      <x:c r="G22"/>
      <x:c r="H22"/>
      <x:c r="I22"/>
      <x:c r="J22" t="str">
        <x:v>FROZEN v1.0</x:v>
      </x:c>
      <x:c r="K22" t="str">
        <x:v>v1.0</x:v>
      </x:c>
      <x:c r="L22" t="str">
        <x:v>No change until development + independent holdout support promotion.</x:v>
      </x:c>
    </x:row>
    <x:row r="23">
      <x:c r="A23" t="str">
        <x:v>CAL-019</x:v>
      </x:c>
      <x:c r="B23" t="str">
        <x:v>Possession Target</x:v>
      </x:c>
      <x:c r="C23" t="str">
        <x:v>RBK</x:v>
      </x:c>
      <x:c r="D23" t="n">
        <x:v>5</x:v>
      </x:c>
      <x:c r="E23"/>
      <x:c r="F23"/>
      <x:c r="G23"/>
      <x:c r="H23"/>
      <x:c r="I23"/>
      <x:c r="J23" t="str">
        <x:v>FROZEN v1.0</x:v>
      </x:c>
      <x:c r="K23" t="str">
        <x:v>v1.0</x:v>
      </x:c>
      <x:c r="L23" t="str">
        <x:v>No change until development + independent holdout support promotion.</x:v>
      </x:c>
    </x:row>
    <x:row r="24">
      <x:c r="A24" t="str">
        <x:v>CAL-020</x:v>
      </x:c>
      <x:c r="B24" t="str">
        <x:v>Possession Target</x:v>
      </x:c>
      <x:c r="C24" t="str">
        <x:v>IBL</x:v>
      </x:c>
      <x:c r="D24" t="n">
        <x:v>5</x:v>
      </x:c>
      <x:c r="E24"/>
      <x:c r="F24"/>
      <x:c r="G24"/>
      <x:c r="H24"/>
      <x:c r="I24"/>
      <x:c r="J24" t="str">
        <x:v>FROZEN v1.0</x:v>
      </x:c>
      <x:c r="K24" t="str">
        <x:v>v1.0</x:v>
      </x:c>
      <x:c r="L24" t="str">
        <x:v>No change until development + independent holdout support promotion.</x:v>
      </x:c>
    </x:row>
    <x:row r="25">
      <x:c r="A25" t="str">
        <x:v>CAL-021</x:v>
      </x:c>
      <x:c r="B25" t="str">
        <x:v>Possession Target</x:v>
      </x:c>
      <x:c r="C25" t="str">
        <x:v>RLS</x:v>
      </x:c>
      <x:c r="D25" t="n">
        <x:v>4</x:v>
      </x:c>
      <x:c r="E25"/>
      <x:c r="F25"/>
      <x:c r="G25"/>
      <x:c r="H25"/>
      <x:c r="I25"/>
      <x:c r="J25" t="str">
        <x:v>FROZEN v1.0</x:v>
      </x:c>
      <x:c r="K25" t="str">
        <x:v>v1.0</x:v>
      </x:c>
      <x:c r="L25" t="str">
        <x:v>No change until development + independent holdout support promotion.</x:v>
      </x:c>
    </x:row>
    <x:row r="26">
      <x:c r="A26" t="str">
        <x:v>CAL-022</x:v>
      </x:c>
      <x:c r="B26" t="str">
        <x:v>Possession Target</x:v>
      </x:c>
      <x:c r="C26" t="str">
        <x:v>SPD</x:v>
      </x:c>
      <x:c r="D26" t="n">
        <x:v>4</x:v>
      </x:c>
      <x:c r="E26"/>
      <x:c r="F26"/>
      <x:c r="G26"/>
      <x:c r="H26"/>
      <x:c r="I26"/>
      <x:c r="J26" t="str">
        <x:v>FROZEN v1.0</x:v>
      </x:c>
      <x:c r="K26" t="str">
        <x:v>v1.0</x:v>
      </x:c>
      <x:c r="L26" t="str">
        <x:v>No change until development + independent holdout support promotion.</x:v>
      </x:c>
    </x:row>
    <x:row r="27">
      <x:c r="A27" t="str">
        <x:v>CAL-023</x:v>
      </x:c>
      <x:c r="B27" t="str">
        <x:v>Possession Target</x:v>
      </x:c>
      <x:c r="C27" t="str">
        <x:v>COD</x:v>
      </x:c>
      <x:c r="D27" t="n">
        <x:v>4</x:v>
      </x:c>
      <x:c r="E27"/>
      <x:c r="F27"/>
      <x:c r="G27"/>
      <x:c r="H27"/>
      <x:c r="I27"/>
      <x:c r="J27" t="str">
        <x:v>FROZEN v1.0</x:v>
      </x:c>
      <x:c r="K27" t="str">
        <x:v>v1.0</x:v>
      </x:c>
      <x:c r="L27" t="str">
        <x:v>No change until development + independent holdout support promotion.</x:v>
      </x:c>
    </x:row>
    <x:row r="28">
      <x:c r="A28" t="str">
        <x:v>CAL-024</x:v>
      </x:c>
      <x:c r="B28" t="str">
        <x:v>Blocker</x:v>
      </x:c>
      <x:c r="C28" t="str">
        <x:v>RBK</x:v>
      </x:c>
      <x:c r="D28" t="n">
        <x:v>15</x:v>
      </x:c>
      <x:c r="E28"/>
      <x:c r="F28"/>
      <x:c r="G28"/>
      <x:c r="H28"/>
      <x:c r="I28"/>
      <x:c r="J28" t="str">
        <x:v>FROZEN v1.0</x:v>
      </x:c>
      <x:c r="K28" t="str">
        <x:v>v1.0</x:v>
      </x:c>
      <x:c r="L28" t="str">
        <x:v>No change until development + independent holdout support promotion.</x:v>
      </x:c>
    </x:row>
    <x:row r="29">
      <x:c r="A29" t="str">
        <x:v>CAL-025</x:v>
      </x:c>
      <x:c r="B29" t="str">
        <x:v>Blocker</x:v>
      </x:c>
      <x:c r="C29" t="str">
        <x:v>RBF</x:v>
      </x:c>
      <x:c r="D29" t="n">
        <x:v>10</x:v>
      </x:c>
      <x:c r="E29"/>
      <x:c r="F29"/>
      <x:c r="G29"/>
      <x:c r="H29"/>
      <x:c r="I29"/>
      <x:c r="J29" t="str">
        <x:v>FROZEN v1.0</x:v>
      </x:c>
      <x:c r="K29" t="str">
        <x:v>v1.0</x:v>
      </x:c>
      <x:c r="L29" t="str">
        <x:v>No change until development + independent holdout support promotion.</x:v>
      </x:c>
    </x:row>
    <x:row r="30">
      <x:c r="A30" t="str">
        <x:v>CAL-026</x:v>
      </x:c>
      <x:c r="B30" t="str">
        <x:v>Blocker</x:v>
      </x:c>
      <x:c r="C30" t="str">
        <x:v>RBP</x:v>
      </x:c>
      <x:c r="D30" t="n">
        <x:v>10</x:v>
      </x:c>
      <x:c r="E30"/>
      <x:c r="F30"/>
      <x:c r="G30"/>
      <x:c r="H30"/>
      <x:c r="I30"/>
      <x:c r="J30" t="str">
        <x:v>FROZEN v1.0</x:v>
      </x:c>
      <x:c r="K30" t="str">
        <x:v>v1.0</x:v>
      </x:c>
      <x:c r="L30" t="str">
        <x:v>No change until development + independent holdout support promotion.</x:v>
      </x:c>
    </x:row>
    <x:row r="31">
      <x:c r="A31" t="str">
        <x:v>CAL-027</x:v>
      </x:c>
      <x:c r="B31" t="str">
        <x:v>Blocker</x:v>
      </x:c>
      <x:c r="C31" t="str">
        <x:v>PBK</x:v>
      </x:c>
      <x:c r="D31" t="n">
        <x:v>10</x:v>
      </x:c>
      <x:c r="E31"/>
      <x:c r="F31"/>
      <x:c r="G31"/>
      <x:c r="H31"/>
      <x:c r="I31"/>
      <x:c r="J31" t="str">
        <x:v>FROZEN v1.0</x:v>
      </x:c>
      <x:c r="K31" t="str">
        <x:v>v1.0</x:v>
      </x:c>
      <x:c r="L31" t="str">
        <x:v>No change until development + independent holdout support promotion.</x:v>
      </x:c>
    </x:row>
    <x:row r="32">
      <x:c r="A32" t="str">
        <x:v>CAL-028</x:v>
      </x:c>
      <x:c r="B32" t="str">
        <x:v>Blocker</x:v>
      </x:c>
      <x:c r="C32" t="str">
        <x:v>PBF</x:v>
      </x:c>
      <x:c r="D32" t="n">
        <x:v>5</x:v>
      </x:c>
      <x:c r="E32"/>
      <x:c r="F32"/>
      <x:c r="G32"/>
      <x:c r="H32"/>
      <x:c r="I32"/>
      <x:c r="J32" t="str">
        <x:v>FROZEN v1.0</x:v>
      </x:c>
      <x:c r="K32" t="str">
        <x:v>v1.0</x:v>
      </x:c>
      <x:c r="L32" t="str">
        <x:v>No change until development + independent holdout support promotion.</x:v>
      </x:c>
    </x:row>
    <x:row r="33">
      <x:c r="A33" t="str">
        <x:v>CAL-029</x:v>
      </x:c>
      <x:c r="B33" t="str">
        <x:v>Blocker</x:v>
      </x:c>
      <x:c r="C33" t="str">
        <x:v>PBP</x:v>
      </x:c>
      <x:c r="D33" t="n">
        <x:v>5</x:v>
      </x:c>
      <x:c r="E33"/>
      <x:c r="F33"/>
      <x:c r="G33"/>
      <x:c r="H33"/>
      <x:c r="I33"/>
      <x:c r="J33" t="str">
        <x:v>FROZEN v1.0</x:v>
      </x:c>
      <x:c r="K33" t="str">
        <x:v>v1.0</x:v>
      </x:c>
      <x:c r="L33" t="str">
        <x:v>No change until development + independent holdout support promotion.</x:v>
      </x:c>
    </x:row>
    <x:row r="34">
      <x:c r="A34" t="str">
        <x:v>CAL-030</x:v>
      </x:c>
      <x:c r="B34" t="str">
        <x:v>Blocker</x:v>
      </x:c>
      <x:c r="C34" t="str">
        <x:v>IBL</x:v>
      </x:c>
      <x:c r="D34" t="n">
        <x:v>15</x:v>
      </x:c>
      <x:c r="E34"/>
      <x:c r="F34"/>
      <x:c r="G34"/>
      <x:c r="H34"/>
      <x:c r="I34"/>
      <x:c r="J34" t="str">
        <x:v>FROZEN v1.0</x:v>
      </x:c>
      <x:c r="K34" t="str">
        <x:v>v1.0</x:v>
      </x:c>
      <x:c r="L34" t="str">
        <x:v>No change until development + independent holdout support promotion.</x:v>
      </x:c>
    </x:row>
    <x:row r="35">
      <x:c r="A35" t="str">
        <x:v>CAL-031</x:v>
      </x:c>
      <x:c r="B35" t="str">
        <x:v>Blocker</x:v>
      </x:c>
      <x:c r="C35" t="str">
        <x:v>LBK</x:v>
      </x:c>
      <x:c r="D35" t="n">
        <x:v>10</x:v>
      </x:c>
      <x:c r="E35"/>
      <x:c r="F35"/>
      <x:c r="G35"/>
      <x:c r="H35"/>
      <x:c r="I35"/>
      <x:c r="J35" t="str">
        <x:v>FROZEN v1.0</x:v>
      </x:c>
      <x:c r="K35" t="str">
        <x:v>v1.0</x:v>
      </x:c>
      <x:c r="L35" t="str">
        <x:v>No change until development + independent holdout support promotion.</x:v>
      </x:c>
    </x:row>
    <x:row r="36">
      <x:c r="A36" t="str">
        <x:v>CAL-032</x:v>
      </x:c>
      <x:c r="B36" t="str">
        <x:v>Blocker</x:v>
      </x:c>
      <x:c r="C36" t="str">
        <x:v>STR</x:v>
      </x:c>
      <x:c r="D36" t="n">
        <x:v>10</x:v>
      </x:c>
      <x:c r="E36"/>
      <x:c r="F36"/>
      <x:c r="G36"/>
      <x:c r="H36"/>
      <x:c r="I36"/>
      <x:c r="J36" t="str">
        <x:v>FROZEN v1.0</x:v>
      </x:c>
      <x:c r="K36" t="str">
        <x:v>v1.0</x:v>
      </x:c>
      <x:c r="L36" t="str">
        <x:v>No change until development + independent holdout support promotion.</x:v>
      </x:c>
    </x:row>
    <x:row r="37">
      <x:c r="A37" t="str">
        <x:v>CAL-033</x:v>
      </x:c>
      <x:c r="B37" t="str">
        <x:v>Blocker</x:v>
      </x:c>
      <x:c r="C37" t="str">
        <x:v>AWR</x:v>
      </x:c>
      <x:c r="D37" t="n">
        <x:v>5</x:v>
      </x:c>
      <x:c r="E37"/>
      <x:c r="F37"/>
      <x:c r="G37"/>
      <x:c r="H37"/>
      <x:c r="I37"/>
      <x:c r="J37" t="str">
        <x:v>FROZEN v1.0</x:v>
      </x:c>
      <x:c r="K37" t="str">
        <x:v>v1.0</x:v>
      </x:c>
      <x:c r="L37" t="str">
        <x:v>No change until development + independent holdout support promotion.</x:v>
      </x:c>
    </x:row>
    <x:row r="38">
      <x:c r="A38" t="str">
        <x:v>CAL-034</x:v>
      </x:c>
      <x:c r="B38" t="str">
        <x:v>Blocker</x:v>
      </x:c>
      <x:c r="C38" t="str">
        <x:v>TGH</x:v>
      </x:c>
      <x:c r="D38" t="n">
        <x:v>5</x:v>
      </x:c>
      <x:c r="E38"/>
      <x:c r="F38"/>
      <x:c r="G38"/>
      <x:c r="H38"/>
      <x:c r="I38"/>
      <x:c r="J38" t="str">
        <x:v>FROZEN v1.0</x:v>
      </x:c>
      <x:c r="K38" t="str">
        <x:v>v1.0</x:v>
      </x:c>
      <x:c r="L38" t="str">
        <x:v>No change until development + independent holdout support promotion.</x:v>
      </x:c>
    </x:row>
    <x:row r="39">
      <x:c r="A39" t="str">
        <x:v>CAL-035</x:v>
      </x:c>
      <x:c r="B39" t="str">
        <x:v>Balanced In-Line</x:v>
      </x:c>
      <x:c r="C39" t="str">
        <x:v>SPD</x:v>
      </x:c>
      <x:c r="D39" t="n">
        <x:v>7</x:v>
      </x:c>
      <x:c r="E39"/>
      <x:c r="F39"/>
      <x:c r="G39"/>
      <x:c r="H39"/>
      <x:c r="I39"/>
      <x:c r="J39" t="str">
        <x:v>FROZEN v1.0</x:v>
      </x:c>
      <x:c r="K39" t="str">
        <x:v>v1.0</x:v>
      </x:c>
      <x:c r="L39" t="str">
        <x:v>No change until development + independent holdout support promotion.</x:v>
      </x:c>
    </x:row>
    <x:row r="40">
      <x:c r="A40" t="str">
        <x:v>CAL-036</x:v>
      </x:c>
      <x:c r="B40" t="str">
        <x:v>Balanced In-Line</x:v>
      </x:c>
      <x:c r="C40" t="str">
        <x:v>ACC</x:v>
      </x:c>
      <x:c r="D40" t="n">
        <x:v>4</x:v>
      </x:c>
      <x:c r="E40"/>
      <x:c r="F40"/>
      <x:c r="G40"/>
      <x:c r="H40"/>
      <x:c r="I40"/>
      <x:c r="J40" t="str">
        <x:v>FROZEN v1.0</x:v>
      </x:c>
      <x:c r="K40" t="str">
        <x:v>v1.0</x:v>
      </x:c>
      <x:c r="L40" t="str">
        <x:v>No change until development + independent holdout support promotion.</x:v>
      </x:c>
    </x:row>
    <x:row r="41">
      <x:c r="A41" t="str">
        <x:v>CAL-037</x:v>
      </x:c>
      <x:c r="B41" t="str">
        <x:v>Balanced In-Line</x:v>
      </x:c>
      <x:c r="C41" t="str">
        <x:v>CTH</x:v>
      </x:c>
      <x:c r="D41" t="n">
        <x:v>8</x:v>
      </x:c>
      <x:c r="E41"/>
      <x:c r="F41"/>
      <x:c r="G41"/>
      <x:c r="H41"/>
      <x:c r="I41"/>
      <x:c r="J41" t="str">
        <x:v>FROZEN v1.0</x:v>
      </x:c>
      <x:c r="K41" t="str">
        <x:v>v1.0</x:v>
      </x:c>
      <x:c r="L41" t="str">
        <x:v>No change until development + independent holdout support promotion.</x:v>
      </x:c>
    </x:row>
    <x:row r="42">
      <x:c r="A42" t="str">
        <x:v>CAL-038</x:v>
      </x:c>
      <x:c r="B42" t="str">
        <x:v>Balanced In-Line</x:v>
      </x:c>
      <x:c r="C42" t="str">
        <x:v>CIT</x:v>
      </x:c>
      <x:c r="D42" t="n">
        <x:v>8</x:v>
      </x:c>
      <x:c r="E42"/>
      <x:c r="F42"/>
      <x:c r="G42"/>
      <x:c r="H42"/>
      <x:c r="I42"/>
      <x:c r="J42" t="str">
        <x:v>FROZEN v1.0</x:v>
      </x:c>
      <x:c r="K42" t="str">
        <x:v>v1.0</x:v>
      </x:c>
      <x:c r="L42" t="str">
        <x:v>No change until development + independent holdout support promotion.</x:v>
      </x:c>
    </x:row>
    <x:row r="43">
      <x:c r="A43" t="str">
        <x:v>CAL-039</x:v>
      </x:c>
      <x:c r="B43" t="str">
        <x:v>Balanced In-Line</x:v>
      </x:c>
      <x:c r="C43" t="str">
        <x:v>SRR</x:v>
      </x:c>
      <x:c r="D43" t="n">
        <x:v>7</x:v>
      </x:c>
      <x:c r="E43"/>
      <x:c r="F43"/>
      <x:c r="G43"/>
      <x:c r="H43"/>
      <x:c r="I43"/>
      <x:c r="J43" t="str">
        <x:v>FROZEN v1.0</x:v>
      </x:c>
      <x:c r="K43" t="str">
        <x:v>v1.0</x:v>
      </x:c>
      <x:c r="L43" t="str">
        <x:v>No change until development + independent holdout support promotion.</x:v>
      </x:c>
    </x:row>
    <x:row r="44">
      <x:c r="A44" t="str">
        <x:v>CAL-040</x:v>
      </x:c>
      <x:c r="B44" t="str">
        <x:v>Balanced In-Line</x:v>
      </x:c>
      <x:c r="C44" t="str">
        <x:v>MRR</x:v>
      </x:c>
      <x:c r="D44" t="n">
        <x:v>7</x:v>
      </x:c>
      <x:c r="E44"/>
      <x:c r="F44"/>
      <x:c r="G44"/>
      <x:c r="H44"/>
      <x:c r="I44"/>
      <x:c r="J44" t="str">
        <x:v>FROZEN v1.0</x:v>
      </x:c>
      <x:c r="K44" t="str">
        <x:v>v1.0</x:v>
      </x:c>
      <x:c r="L44" t="str">
        <x:v>No change until development + independent holdout support promotion.</x:v>
      </x:c>
    </x:row>
    <x:row r="45">
      <x:c r="A45" t="str">
        <x:v>CAL-041</x:v>
      </x:c>
      <x:c r="B45" t="str">
        <x:v>Balanced In-Line</x:v>
      </x:c>
      <x:c r="C45" t="str">
        <x:v>AWR</x:v>
      </x:c>
      <x:c r="D45" t="n">
        <x:v>6</x:v>
      </x:c>
      <x:c r="E45"/>
      <x:c r="F45"/>
      <x:c r="G45"/>
      <x:c r="H45"/>
      <x:c r="I45"/>
      <x:c r="J45" t="str">
        <x:v>FROZEN v1.0</x:v>
      </x:c>
      <x:c r="K45" t="str">
        <x:v>v1.0</x:v>
      </x:c>
      <x:c r="L45" t="str">
        <x:v>No change until development + independent holdout support promotion.</x:v>
      </x:c>
    </x:row>
    <x:row r="46">
      <x:c r="A46" t="str">
        <x:v>CAL-042</x:v>
      </x:c>
      <x:c r="B46" t="str">
        <x:v>Balanced In-Line</x:v>
      </x:c>
      <x:c r="C46" t="str">
        <x:v>STR</x:v>
      </x:c>
      <x:c r="D46" t="n">
        <x:v>7</x:v>
      </x:c>
      <x:c r="E46"/>
      <x:c r="F46"/>
      <x:c r="G46"/>
      <x:c r="H46"/>
      <x:c r="I46"/>
      <x:c r="J46" t="str">
        <x:v>FROZEN v1.0</x:v>
      </x:c>
      <x:c r="K46" t="str">
        <x:v>v1.0</x:v>
      </x:c>
      <x:c r="L46" t="str">
        <x:v>No change until development + independent holdout support promotion.</x:v>
      </x:c>
    </x:row>
    <x:row r="47">
      <x:c r="A47" t="str">
        <x:v>CAL-043</x:v>
      </x:c>
      <x:c r="B47" t="str">
        <x:v>Balanced In-Line</x:v>
      </x:c>
      <x:c r="C47" t="str">
        <x:v>RBK</x:v>
      </x:c>
      <x:c r="D47" t="n">
        <x:v>9</x:v>
      </x:c>
      <x:c r="E47"/>
      <x:c r="F47"/>
      <x:c r="G47"/>
      <x:c r="H47"/>
      <x:c r="I47"/>
      <x:c r="J47" t="str">
        <x:v>FROZEN v1.0</x:v>
      </x:c>
      <x:c r="K47" t="str">
        <x:v>v1.0</x:v>
      </x:c>
      <x:c r="L47" t="str">
        <x:v>No change until development + independent holdout support promotion.</x:v>
      </x:c>
    </x:row>
    <x:row r="48">
      <x:c r="A48" t="str">
        <x:v>CAL-044</x:v>
      </x:c>
      <x:c r="B48" t="str">
        <x:v>Balanced In-Line</x:v>
      </x:c>
      <x:c r="C48" t="str">
        <x:v>RBF</x:v>
      </x:c>
      <x:c r="D48" t="n">
        <x:v>5</x:v>
      </x:c>
      <x:c r="E48"/>
      <x:c r="F48"/>
      <x:c r="G48"/>
      <x:c r="H48"/>
      <x:c r="I48"/>
      <x:c r="J48" t="str">
        <x:v>FROZEN v1.0</x:v>
      </x:c>
      <x:c r="K48" t="str">
        <x:v>v1.0</x:v>
      </x:c>
      <x:c r="L48" t="str">
        <x:v>No change until development + independent holdout support promotion.</x:v>
      </x:c>
    </x:row>
    <x:row r="49">
      <x:c r="A49" t="str">
        <x:v>CAL-045</x:v>
      </x:c>
      <x:c r="B49" t="str">
        <x:v>Balanced In-Line</x:v>
      </x:c>
      <x:c r="C49" t="str">
        <x:v>RBP</x:v>
      </x:c>
      <x:c r="D49" t="n">
        <x:v>5</x:v>
      </x:c>
      <x:c r="E49"/>
      <x:c r="F49"/>
      <x:c r="G49"/>
      <x:c r="H49"/>
      <x:c r="I49"/>
      <x:c r="J49" t="str">
        <x:v>FROZEN v1.0</x:v>
      </x:c>
      <x:c r="K49" t="str">
        <x:v>v1.0</x:v>
      </x:c>
      <x:c r="L49" t="str">
        <x:v>No change until development + independent holdout support promotion.</x:v>
      </x:c>
    </x:row>
    <x:row r="50">
      <x:c r="A50" t="str">
        <x:v>CAL-046</x:v>
      </x:c>
      <x:c r="B50" t="str">
        <x:v>Balanced In-Line</x:v>
      </x:c>
      <x:c r="C50" t="str">
        <x:v>PBK</x:v>
      </x:c>
      <x:c r="D50" t="n">
        <x:v>7</x:v>
      </x:c>
      <x:c r="E50"/>
      <x:c r="F50"/>
      <x:c r="G50"/>
      <x:c r="H50"/>
      <x:c r="I50"/>
      <x:c r="J50" t="str">
        <x:v>FROZEN v1.0</x:v>
      </x:c>
      <x:c r="K50" t="str">
        <x:v>v1.0</x:v>
      </x:c>
      <x:c r="L50" t="str">
        <x:v>No change until development + independent holdout support promotion.</x:v>
      </x:c>
    </x:row>
    <x:row r="51">
      <x:c r="A51" t="str">
        <x:v>CAL-047</x:v>
      </x:c>
      <x:c r="B51" t="str">
        <x:v>Balanced In-Line</x:v>
      </x:c>
      <x:c r="C51" t="str">
        <x:v>PBF</x:v>
      </x:c>
      <x:c r="D51" t="n">
        <x:v>3</x:v>
      </x:c>
      <x:c r="E51"/>
      <x:c r="F51"/>
      <x:c r="G51"/>
      <x:c r="H51"/>
      <x:c r="I51"/>
      <x:c r="J51" t="str">
        <x:v>FROZEN v1.0</x:v>
      </x:c>
      <x:c r="K51" t="str">
        <x:v>v1.0</x:v>
      </x:c>
      <x:c r="L51" t="str">
        <x:v>No change until development + independent holdout support promotion.</x:v>
      </x:c>
    </x:row>
    <x:row r="52">
      <x:c r="A52" t="str">
        <x:v>CAL-048</x:v>
      </x:c>
      <x:c r="B52" t="str">
        <x:v>Balanced In-Line</x:v>
      </x:c>
      <x:c r="C52" t="str">
        <x:v>PBP</x:v>
      </x:c>
      <x:c r="D52" t="n">
        <x:v>3</x:v>
      </x:c>
      <x:c r="E52"/>
      <x:c r="F52"/>
      <x:c r="G52"/>
      <x:c r="H52"/>
      <x:c r="I52"/>
      <x:c r="J52" t="str">
        <x:v>FROZEN v1.0</x:v>
      </x:c>
      <x:c r="K52" t="str">
        <x:v>v1.0</x:v>
      </x:c>
      <x:c r="L52" t="str">
        <x:v>No change until development + independent holdout support promotion.</x:v>
      </x:c>
    </x:row>
    <x:row r="53">
      <x:c r="A53" t="str">
        <x:v>CAL-049</x:v>
      </x:c>
      <x:c r="B53" t="str">
        <x:v>Balanced In-Line</x:v>
      </x:c>
      <x:c r="C53" t="str">
        <x:v>IBL</x:v>
      </x:c>
      <x:c r="D53" t="n">
        <x:v>7</x:v>
      </x:c>
      <x:c r="E53"/>
      <x:c r="F53"/>
      <x:c r="G53"/>
      <x:c r="H53"/>
      <x:c r="I53"/>
      <x:c r="J53" t="str">
        <x:v>FROZEN v1.0</x:v>
      </x:c>
      <x:c r="K53" t="str">
        <x:v>v1.0</x:v>
      </x:c>
      <x:c r="L53" t="str">
        <x:v>No change until development + independent holdout support promotion.</x:v>
      </x:c>
    </x:row>
    <x:row r="54">
      <x:c r="A54" t="str">
        <x:v>CAL-050</x:v>
      </x:c>
      <x:c r="B54" t="str">
        <x:v>Balanced In-Line</x:v>
      </x:c>
      <x:c r="C54" t="str">
        <x:v>LBK</x:v>
      </x:c>
      <x:c r="D54" t="n">
        <x:v>5</x:v>
      </x:c>
      <x:c r="E54"/>
      <x:c r="F54"/>
      <x:c r="G54"/>
      <x:c r="H54"/>
      <x:c r="I54"/>
      <x:c r="J54" t="str">
        <x:v>FROZEN v1.0</x:v>
      </x:c>
      <x:c r="K54" t="str">
        <x:v>v1.0</x:v>
      </x:c>
      <x:c r="L54" t="str">
        <x:v>No change until development + independent holdout support promotion.</x:v>
      </x:c>
    </x:row>
    <x:row r="55">
      <x:c r="A55" t="str">
        <x:v>CAL-051</x:v>
      </x:c>
      <x:c r="B55" t="str">
        <x:v>Balanced In-Line</x:v>
      </x:c>
      <x:c r="C55" t="str">
        <x:v>COD</x:v>
      </x:c>
      <x:c r="D55" t="n">
        <x:v>2</x:v>
      </x:c>
      <x:c r="E55"/>
      <x:c r="F55"/>
      <x:c r="G55"/>
      <x:c r="H55"/>
      <x:c r="I55"/>
      <x:c r="J55" t="str">
        <x:v>FROZEN v1.0</x:v>
      </x:c>
      <x:c r="K55" t="str">
        <x:v>v1.0</x:v>
      </x:c>
      <x:c r="L55" t="str">
        <x:v>No change until development + independent holdout support promotion.</x:v>
      </x:c>
    </x:row>
    <x:row r="56">
      <x:c r="A56" t="str">
        <x:v>CAL-052</x:v>
      </x:c>
      <x:c r="B56" t="str">
        <x:v>Mismatch Weapon</x:v>
      </x:c>
      <x:c r="C56" t="str">
        <x:v>SPD</x:v>
      </x:c>
      <x:c r="D56" t="n">
        <x:v>18</x:v>
      </x:c>
      <x:c r="E56"/>
      <x:c r="F56"/>
      <x:c r="G56"/>
      <x:c r="H56"/>
      <x:c r="I56"/>
      <x:c r="J56" t="str">
        <x:v>FROZEN v1.0</x:v>
      </x:c>
      <x:c r="K56" t="str">
        <x:v>v1.0</x:v>
      </x:c>
      <x:c r="L56" t="str">
        <x:v>No change until development + independent holdout support promotion.</x:v>
      </x:c>
    </x:row>
    <x:row r="57">
      <x:c r="A57" t="str">
        <x:v>CAL-053</x:v>
      </x:c>
      <x:c r="B57" t="str">
        <x:v>Mismatch Weapon</x:v>
      </x:c>
      <x:c r="C57" t="str">
        <x:v>ACC</x:v>
      </x:c>
      <x:c r="D57" t="n">
        <x:v>12</x:v>
      </x:c>
      <x:c r="E57"/>
      <x:c r="F57"/>
      <x:c r="G57"/>
      <x:c r="H57"/>
      <x:c r="I57"/>
      <x:c r="J57" t="str">
        <x:v>FROZEN v1.0</x:v>
      </x:c>
      <x:c r="K57" t="str">
        <x:v>v1.0</x:v>
      </x:c>
      <x:c r="L57" t="str">
        <x:v>No change until development + independent holdout support promotion.</x:v>
      </x:c>
    </x:row>
    <x:row r="58">
      <x:c r="A58" t="str">
        <x:v>CAL-054</x:v>
      </x:c>
      <x:c r="B58" t="str">
        <x:v>Mismatch Weapon</x:v>
      </x:c>
      <x:c r="C58" t="str">
        <x:v>COD</x:v>
      </x:c>
      <x:c r="D58" t="n">
        <x:v>12</x:v>
      </x:c>
      <x:c r="E58"/>
      <x:c r="F58"/>
      <x:c r="G58"/>
      <x:c r="H58"/>
      <x:c r="I58"/>
      <x:c r="J58" t="str">
        <x:v>FROZEN v1.0</x:v>
      </x:c>
      <x:c r="K58" t="str">
        <x:v>v1.0</x:v>
      </x:c>
      <x:c r="L58" t="str">
        <x:v>No change until development + independent holdout support promotion.</x:v>
      </x:c>
    </x:row>
    <x:row r="59">
      <x:c r="A59" t="str">
        <x:v>CAL-055</x:v>
      </x:c>
      <x:c r="B59" t="str">
        <x:v>Mismatch Weapon</x:v>
      </x:c>
      <x:c r="C59" t="str">
        <x:v>AGI</x:v>
      </x:c>
      <x:c r="D59" t="n">
        <x:v>8</x:v>
      </x:c>
      <x:c r="E59"/>
      <x:c r="F59"/>
      <x:c r="G59"/>
      <x:c r="H59"/>
      <x:c r="I59"/>
      <x:c r="J59" t="str">
        <x:v>FROZEN v1.0</x:v>
      </x:c>
      <x:c r="K59" t="str">
        <x:v>v1.0</x:v>
      </x:c>
      <x:c r="L59" t="str">
        <x:v>No change until development + independent holdout support promotion.</x:v>
      </x:c>
    </x:row>
    <x:row r="60">
      <x:c r="A60" t="str">
        <x:v>CAL-056</x:v>
      </x:c>
      <x:c r="B60" t="str">
        <x:v>Mismatch Weapon</x:v>
      </x:c>
      <x:c r="C60" t="str">
        <x:v>JMP</x:v>
      </x:c>
      <x:c r="D60" t="n">
        <x:v>8</x:v>
      </x:c>
      <x:c r="E60"/>
      <x:c r="F60"/>
      <x:c r="G60"/>
      <x:c r="H60"/>
      <x:c r="I60"/>
      <x:c r="J60" t="str">
        <x:v>FROZEN v1.0</x:v>
      </x:c>
      <x:c r="K60" t="str">
        <x:v>v1.0</x:v>
      </x:c>
      <x:c r="L60" t="str">
        <x:v>No change until development + independent holdout support promotion.</x:v>
      </x:c>
    </x:row>
    <x:row r="61">
      <x:c r="A61" t="str">
        <x:v>CAL-057</x:v>
      </x:c>
      <x:c r="B61" t="str">
        <x:v>Mismatch Weapon</x:v>
      </x:c>
      <x:c r="C61" t="str">
        <x:v>CTH</x:v>
      </x:c>
      <x:c r="D61" t="n">
        <x:v>10</x:v>
      </x:c>
      <x:c r="E61"/>
      <x:c r="F61"/>
      <x:c r="G61"/>
      <x:c r="H61"/>
      <x:c r="I61"/>
      <x:c r="J61" t="str">
        <x:v>FROZEN v1.0</x:v>
      </x:c>
      <x:c r="K61" t="str">
        <x:v>v1.0</x:v>
      </x:c>
      <x:c r="L61" t="str">
        <x:v>No change until development + independent holdout support promotion.</x:v>
      </x:c>
    </x:row>
    <x:row r="62">
      <x:c r="A62" t="str">
        <x:v>CAL-058</x:v>
      </x:c>
      <x:c r="B62" t="str">
        <x:v>Mismatch Weapon</x:v>
      </x:c>
      <x:c r="C62" t="str">
        <x:v>CIT</x:v>
      </x:c>
      <x:c r="D62" t="n">
        <x:v>8</x:v>
      </x:c>
      <x:c r="E62"/>
      <x:c r="F62"/>
      <x:c r="G62"/>
      <x:c r="H62"/>
      <x:c r="I62"/>
      <x:c r="J62" t="str">
        <x:v>FROZEN v1.0</x:v>
      </x:c>
      <x:c r="K62" t="str">
        <x:v>v1.0</x:v>
      </x:c>
      <x:c r="L62" t="str">
        <x:v>No change until development + independent holdout support promotion.</x:v>
      </x:c>
    </x:row>
    <x:row r="63">
      <x:c r="A63" t="str">
        <x:v>CAL-059</x:v>
      </x:c>
      <x:c r="B63" t="str">
        <x:v>Mismatch Weapon</x:v>
      </x:c>
      <x:c r="C63" t="str">
        <x:v>MRR</x:v>
      </x:c>
      <x:c r="D63" t="n">
        <x:v>8</x:v>
      </x:c>
      <x:c r="E63"/>
      <x:c r="F63"/>
      <x:c r="G63"/>
      <x:c r="H63"/>
      <x:c r="I63"/>
      <x:c r="J63" t="str">
        <x:v>FROZEN v1.0</x:v>
      </x:c>
      <x:c r="K63" t="str">
        <x:v>v1.0</x:v>
      </x:c>
      <x:c r="L63" t="str">
        <x:v>No change until development + independent holdout support promotion.</x:v>
      </x:c>
    </x:row>
    <x:row r="64">
      <x:c r="A64" t="str">
        <x:v>CAL-060</x:v>
      </x:c>
      <x:c r="B64" t="str">
        <x:v>Mismatch Weapon</x:v>
      </x:c>
      <x:c r="C64" t="str">
        <x:v>DRR</x:v>
      </x:c>
      <x:c r="D64" t="n">
        <x:v>7</x:v>
      </x:c>
      <x:c r="E64"/>
      <x:c r="F64"/>
      <x:c r="G64"/>
      <x:c r="H64"/>
      <x:c r="I64"/>
      <x:c r="J64" t="str">
        <x:v>FROZEN v1.0</x:v>
      </x:c>
      <x:c r="K64" t="str">
        <x:v>v1.0</x:v>
      </x:c>
      <x:c r="L64" t="str">
        <x:v>No change until development + independent holdout support promotion.</x:v>
      </x:c>
    </x:row>
    <x:row r="65">
      <x:c r="A65" t="str">
        <x:v>CAL-061</x:v>
      </x:c>
      <x:c r="B65" t="str">
        <x:v>Mismatch Weapon</x:v>
      </x:c>
      <x:c r="C65" t="str">
        <x:v>SPC</x:v>
      </x:c>
      <x:c r="D65" t="n">
        <x:v>5</x:v>
      </x:c>
      <x:c r="E65"/>
      <x:c r="F65"/>
      <x:c r="G65"/>
      <x:c r="H65"/>
      <x:c r="I65"/>
      <x:c r="J65" t="str">
        <x:v>FROZEN v1.0</x:v>
      </x:c>
      <x:c r="K65" t="str">
        <x:v>v1.0</x:v>
      </x:c>
      <x:c r="L65" t="str">
        <x:v>No change until development + independent holdout support promotion.</x:v>
      </x:c>
    </x:row>
    <x:row r="66">
      <x:c r="A66" t="str">
        <x:v>CAL-062</x:v>
      </x:c>
      <x:c r="B66" t="str">
        <x:v>Mismatch Weapon</x:v>
      </x:c>
      <x:c r="C66" t="str">
        <x:v>STR</x:v>
      </x:c>
      <x:c r="D66" t="n">
        <x:v>4</x:v>
      </x:c>
      <x:c r="E66"/>
      <x:c r="F66"/>
      <x:c r="G66"/>
      <x:c r="H66"/>
      <x:c r="I66"/>
      <x:c r="J66" t="str">
        <x:v>FROZEN v1.0</x:v>
      </x:c>
      <x:c r="K66" t="str">
        <x:v>v1.0</x:v>
      </x:c>
      <x:c r="L66" t="str">
        <x:v>No change until development + independent holdout support promotion.</x:v>
      </x:c>
    </x:row>
    <x:row r="67">
      <x:c r="A67" t="str">
        <x:v>CAL-063</x:v>
      </x:c>
      <x:c r="B67" t="str">
        <x:v>YAC / Move TE</x:v>
      </x:c>
      <x:c r="C67" t="str">
        <x:v>SPD</x:v>
      </x:c>
      <x:c r="D67" t="n">
        <x:v>12</x:v>
      </x:c>
      <x:c r="E67"/>
      <x:c r="F67"/>
      <x:c r="G67"/>
      <x:c r="H67"/>
      <x:c r="I67"/>
      <x:c r="J67" t="str">
        <x:v>FROZEN v1.0</x:v>
      </x:c>
      <x:c r="K67" t="str">
        <x:v>v1.0</x:v>
      </x:c>
      <x:c r="L67" t="str">
        <x:v>No change until development + independent holdout support promotion.</x:v>
      </x:c>
    </x:row>
    <x:row r="68">
      <x:c r="A68" t="str">
        <x:v>CAL-064</x:v>
      </x:c>
      <x:c r="B68" t="str">
        <x:v>YAC / Move TE</x:v>
      </x:c>
      <x:c r="C68" t="str">
        <x:v>ACC</x:v>
      </x:c>
      <x:c r="D68" t="n">
        <x:v>10</x:v>
      </x:c>
      <x:c r="E68"/>
      <x:c r="F68"/>
      <x:c r="G68"/>
      <x:c r="H68"/>
      <x:c r="I68"/>
      <x:c r="J68" t="str">
        <x:v>FROZEN v1.0</x:v>
      </x:c>
      <x:c r="K68" t="str">
        <x:v>v1.0</x:v>
      </x:c>
      <x:c r="L68" t="str">
        <x:v>No change until development + independent holdout support promotion.</x:v>
      </x:c>
    </x:row>
    <x:row r="69">
      <x:c r="A69" t="str">
        <x:v>CAL-065</x:v>
      </x:c>
      <x:c r="B69" t="str">
        <x:v>YAC / Move TE</x:v>
      </x:c>
      <x:c r="C69" t="str">
        <x:v>COD</x:v>
      </x:c>
      <x:c r="D69" t="n">
        <x:v>14</x:v>
      </x:c>
      <x:c r="E69"/>
      <x:c r="F69"/>
      <x:c r="G69"/>
      <x:c r="H69"/>
      <x:c r="I69"/>
      <x:c r="J69" t="str">
        <x:v>FROZEN v1.0</x:v>
      </x:c>
      <x:c r="K69" t="str">
        <x:v>v1.0</x:v>
      </x:c>
      <x:c r="L69" t="str">
        <x:v>No change until development + independent holdout support promotion.</x:v>
      </x:c>
    </x:row>
    <x:row r="70">
      <x:c r="A70" t="str">
        <x:v>CAL-066</x:v>
      </x:c>
      <x:c r="B70" t="str">
        <x:v>YAC / Move TE</x:v>
      </x:c>
      <x:c r="C70" t="str">
        <x:v>AGI</x:v>
      </x:c>
      <x:c r="D70" t="n">
        <x:v>5</x:v>
      </x:c>
      <x:c r="E70"/>
      <x:c r="F70"/>
      <x:c r="G70"/>
      <x:c r="H70"/>
      <x:c r="I70"/>
      <x:c r="J70" t="str">
        <x:v>FROZEN v1.0</x:v>
      </x:c>
      <x:c r="K70" t="str">
        <x:v>v1.0</x:v>
      </x:c>
      <x:c r="L70" t="str">
        <x:v>No change until development + independent holdout support promotion.</x:v>
      </x:c>
    </x:row>
    <x:row r="71">
      <x:c r="A71" t="str">
        <x:v>CAL-067</x:v>
      </x:c>
      <x:c r="B71" t="str">
        <x:v>YAC / Move TE</x:v>
      </x:c>
      <x:c r="C71" t="str">
        <x:v>BTK</x:v>
      </x:c>
      <x:c r="D71" t="n">
        <x:v>14</x:v>
      </x:c>
      <x:c r="E71"/>
      <x:c r="F71"/>
      <x:c r="G71"/>
      <x:c r="H71"/>
      <x:c r="I71"/>
      <x:c r="J71" t="str">
        <x:v>FROZEN v1.0</x:v>
      </x:c>
      <x:c r="K71" t="str">
        <x:v>v1.0</x:v>
      </x:c>
      <x:c r="L71" t="str">
        <x:v>No change until development + independent holdout support promotion.</x:v>
      </x:c>
    </x:row>
    <x:row r="72">
      <x:c r="A72" t="str">
        <x:v>CAL-068</x:v>
      </x:c>
      <x:c r="B72" t="str">
        <x:v>YAC / Move TE</x:v>
      </x:c>
      <x:c r="C72" t="str">
        <x:v>TRK</x:v>
      </x:c>
      <x:c r="D72" t="n">
        <x:v>10</x:v>
      </x:c>
      <x:c r="E72"/>
      <x:c r="F72"/>
      <x:c r="G72"/>
      <x:c r="H72"/>
      <x:c r="I72"/>
      <x:c r="J72" t="str">
        <x:v>FROZEN v1.0</x:v>
      </x:c>
      <x:c r="K72" t="str">
        <x:v>v1.0</x:v>
      </x:c>
      <x:c r="L72" t="str">
        <x:v>No change until development + independent holdout support promotion.</x:v>
      </x:c>
    </x:row>
    <x:row r="73">
      <x:c r="A73" t="str">
        <x:v>CAL-069</x:v>
      </x:c>
      <x:c r="B73" t="str">
        <x:v>YAC / Move TE</x:v>
      </x:c>
      <x:c r="C73" t="str">
        <x:v>SFA</x:v>
      </x:c>
      <x:c r="D73" t="n">
        <x:v>10</x:v>
      </x:c>
      <x:c r="E73"/>
      <x:c r="F73"/>
      <x:c r="G73"/>
      <x:c r="H73"/>
      <x:c r="I73"/>
      <x:c r="J73" t="str">
        <x:v>FROZEN v1.0</x:v>
      </x:c>
      <x:c r="K73" t="str">
        <x:v>v1.0</x:v>
      </x:c>
      <x:c r="L73" t="str">
        <x:v>No change until development + independent holdout support promotion.</x:v>
      </x:c>
    </x:row>
    <x:row r="74">
      <x:c r="A74" t="str">
        <x:v>CAL-070</x:v>
      </x:c>
      <x:c r="B74" t="str">
        <x:v>YAC / Move TE</x:v>
      </x:c>
      <x:c r="C74" t="str">
        <x:v>CAR</x:v>
      </x:c>
      <x:c r="D74" t="n">
        <x:v>6</x:v>
      </x:c>
      <x:c r="E74"/>
      <x:c r="F74"/>
      <x:c r="G74"/>
      <x:c r="H74"/>
      <x:c r="I74"/>
      <x:c r="J74" t="str">
        <x:v>FROZEN v1.0</x:v>
      </x:c>
      <x:c r="K74" t="str">
        <x:v>v1.0</x:v>
      </x:c>
      <x:c r="L74" t="str">
        <x:v>No change until development + independent holdout support promotion.</x:v>
      </x:c>
    </x:row>
    <x:row r="75">
      <x:c r="A75" t="str">
        <x:v>CAL-071</x:v>
      </x:c>
      <x:c r="B75" t="str">
        <x:v>YAC / Move TE</x:v>
      </x:c>
      <x:c r="C75" t="str">
        <x:v>BCV</x:v>
      </x:c>
      <x:c r="D75" t="n">
        <x:v>8</x:v>
      </x:c>
      <x:c r="E75"/>
      <x:c r="F75"/>
      <x:c r="G75"/>
      <x:c r="H75"/>
      <x:c r="I75"/>
      <x:c r="J75" t="str">
        <x:v>FROZEN v1.0</x:v>
      </x:c>
      <x:c r="K75" t="str">
        <x:v>v1.0</x:v>
      </x:c>
      <x:c r="L75" t="str">
        <x:v>No change until development + independent holdout support promotion.</x:v>
      </x:c>
    </x:row>
    <x:row r="76">
      <x:c r="A76" t="str">
        <x:v>CAL-072</x:v>
      </x:c>
      <x:c r="B76" t="str">
        <x:v>YAC / Move TE</x:v>
      </x:c>
      <x:c r="C76" t="str">
        <x:v>CTH</x:v>
      </x:c>
      <x:c r="D76" t="n">
        <x:v>6</x:v>
      </x:c>
      <x:c r="E76"/>
      <x:c r="F76"/>
      <x:c r="G76"/>
      <x:c r="H76"/>
      <x:c r="I76"/>
      <x:c r="J76" t="str">
        <x:v>FROZEN v1.0</x:v>
      </x:c>
      <x:c r="K76" t="str">
        <x:v>v1.0</x:v>
      </x:c>
      <x:c r="L76" t="str">
        <x:v>No change until development + independent holdout support promotion.</x:v>
      </x:c>
    </x:row>
    <x:row r="77">
      <x:c r="A77" t="str">
        <x:v>CAL-073</x:v>
      </x:c>
      <x:c r="B77" t="str">
        <x:v>YAC / Move TE</x:v>
      </x:c>
      <x:c r="C77" t="str">
        <x:v>CIT</x:v>
      </x:c>
      <x:c r="D77" t="n">
        <x:v>5</x:v>
      </x:c>
      <x:c r="E77"/>
      <x:c r="F77"/>
      <x:c r="G77"/>
      <x:c r="H77"/>
      <x:c r="I77"/>
      <x:c r="J77" t="str">
        <x:v>FROZEN v1.0</x:v>
      </x:c>
      <x:c r="K77" t="str">
        <x:v>v1.0</x:v>
      </x:c>
      <x:c r="L77" t="str">
        <x:v>No change until development + independent holdout support promotion.</x:v>
      </x:c>
    </x:row>
  </x:sheetData>
  <x:mergeCells>
    <x:mergeCell ref="A1:L1"/>
  </x:mergeCells>
  <x:dataValidations count="1">
    <x:dataValidation type="list" sqref="J5:J77">
      <x:formula1>"FROZEN v1.0,CANDIDATE,VALIDATED,REJECTED"</x:formula1>
    </x:dataValidation>
  </x:dataValidations>
  <x:pageMargins left="0.7" right="0.7" top="0.75" bottom="0.75" header="0.3" footer="0.3"/>
</x:worksheet>
</file>

<file path=xl/worksheets/sheet35.xml><?xml version="1.0" encoding="utf-8"?>
<x:worksheet xmlns:x="http://schemas.openxmlformats.org/spreadsheetml/2006/main">
  <x:sheetFormatPr defaultRowHeight="15"/>
  <x:cols>
    <x:col min="1" max="1" width="10" hidden="0" customWidth="1"/>
    <x:col min="2" max="2" width="14" hidden="0" customWidth="1"/>
    <x:col min="3" max="3" width="18" hidden="0" customWidth="1"/>
    <x:col min="4" max="4" width="14" hidden="0" customWidth="1"/>
    <x:col min="5" max="5" width="48" hidden="0" customWidth="1"/>
  </x:cols>
  <x:sheetData>
    <x:row r="1" ht="30" customHeight="1">
      <x:c r="A1" s="259" t="str">
        <x:v>OPERATION PANCAKE — TE MONEYBALL VALIDATION v1.1</x:v>
      </x:c>
      <x:c r="B1" s="259"/>
      <x:c r="C1" s="259"/>
      <x:c r="D1" s="259"/>
      <x:c r="E1" s="259"/>
      <x:c r="F1" s="259"/>
      <x:c r="G1" s="259"/>
      <x:c r="H1" s="259"/>
      <x:c r="I1" s="259"/>
      <x:c r="J1" s="259"/>
    </x:row>
    <x:row r="3">
      <x:c r="A3" s="253" t="str">
        <x:v>KPI</x:v>
      </x:c>
      <x:c r="B3" s="253" t="str">
        <x:v>Value</x:v>
      </x:c>
      <x:c r="C3" s="253" t="str">
        <x:v>Meaning</x:v>
      </x:c>
      <x:c r="D3" s="253" t="str">
        <x:v>Status</x:v>
      </x:c>
    </x:row>
    <x:row r="4">
      <x:c r="A4" t="str">
        <x:v>Target attributes</x:v>
      </x:c>
      <x:c r="B4" t="n">
        <x:v>12</x:v>
      </x:c>
      <x:c r="C4" t="str">
        <x:v>Primary validation attributes</x:v>
      </x:c>
      <x:c r="D4" t="str">
        <x:v>SET</x:v>
      </x:c>
    </x:row>
    <x:row r="5">
      <x:c r="A5" t="str">
        <x:v>Ready near-match isolations</x:v>
      </x:c>
      <x:c r="B5" t="n">
        <x:v>12</x:v>
      </x:c>
      <x:c r="C5" t="str">
        <x:v>Same-OVR high-information pairings found</x:v>
      </x:c>
      <x:c r="D5" t="str">
        <x:v>READY</x:v>
      </x:c>
    </x:row>
    <x:row r="6">
      <x:c r="A6" t="str">
        <x:v>Minimum core test families</x:v>
      </x:c>
      <x:c r="B6" t="n">
        <x:v>8</x:v>
      </x:c>
      <x:c r="C6" t="str">
        <x:v>Separate receiving/blocking/YAC/balanced outcomes</x:v>
      </x:c>
      <x:c r="D6" t="str">
        <x:v>SET</x:v>
      </x:c>
    </x:row>
    <x:row r="7">
      <x:c r="A7" t="str">
        <x:v>Market prices populated</x:v>
      </x:c>
      <x:c r="B7" t="n">
        <x:v>0</x:v>
      </x:c>
      <x:c r="C7" t="str">
        <x:v>No prices invented</x:v>
      </x:c>
      <x:c r="D7" t="str">
        <x:v>PENDING</x:v>
      </x:c>
    </x:row>
    <x:row r="8">
      <x:c r="A8" t="str">
        <x:v>Weight model</x:v>
      </x:c>
      <x:c r="B8" t="str">
        <x:v>v1.0 frozen</x:v>
      </x:c>
      <x:c r="C8" t="str">
        <x:v>v1.1 changes require holdout validation</x:v>
      </x:c>
      <x:c r="D8" t="str">
        <x:v>PROTECTED</x:v>
      </x:c>
    </x:row>
    <x:row r="11">
      <x:c r="A11" s="261" t="str">
        <x:v>Exact First Recommended Experiment</x:v>
      </x:c>
      <x:c r="B11" s="261"/>
      <x:c r="C11" s="261"/>
      <x:c r="D11" s="261"/>
      <x:c r="E11" s="261"/>
      <x:c r="F11" s="261"/>
      <x:c r="G11" s="261"/>
      <x:c r="H11" s="261"/>
      <x:c r="I11" s="261"/>
      <x:c r="J11" s="261"/>
    </x:row>
    <x:row r="12">
      <x:c r="A12" s="221" t="str">
        <x:v>Test COD first: Jelani Thurman (81 Vertical Threat, COD 81) vs Hayden Hansen (81 Physical Route Runner, COD 61). Use the role-family protocol tied to COD; keep opponent, difficulty, playbook, formation, route/block assignment and play call identical. Run 3 independent batches at the minimum sample size. Reserve one later repeat as holdout evidence before any role-weight promotion.</x:v>
      </x:c>
      <x:c r="B12" s="221"/>
      <x:c r="C12" s="221"/>
      <x:c r="D12" s="221"/>
      <x:c r="E12" s="221"/>
      <x:c r="F12" s="221"/>
      <x:c r="G12" s="221"/>
      <x:c r="H12" s="221"/>
      <x:c r="I12" s="221"/>
      <x:c r="J12" s="221"/>
    </x:row>
    <x:row r="13">
      <x:c r="A13" s="221"/>
      <x:c r="B13" s="221"/>
      <x:c r="C13" s="221"/>
      <x:c r="D13" s="221"/>
      <x:c r="E13" s="221"/>
      <x:c r="F13" s="221"/>
      <x:c r="G13" s="221"/>
      <x:c r="H13" s="221"/>
      <x:c r="I13" s="221"/>
      <x:c r="J13" s="221"/>
    </x:row>
    <x:row r="14">
      <x:c r="A14" s="221"/>
      <x:c r="B14" s="221"/>
      <x:c r="C14" s="221"/>
      <x:c r="D14" s="221"/>
      <x:c r="E14" s="221"/>
      <x:c r="F14" s="221"/>
      <x:c r="G14" s="221"/>
      <x:c r="H14" s="221"/>
      <x:c r="I14" s="221"/>
      <x:c r="J14" s="221"/>
    </x:row>
    <x:row r="15">
      <x:c r="A15" s="221"/>
      <x:c r="B15" s="221"/>
      <x:c r="C15" s="221"/>
      <x:c r="D15" s="221"/>
      <x:c r="E15" s="221"/>
      <x:c r="F15" s="221"/>
      <x:c r="G15" s="221"/>
      <x:c r="H15" s="221"/>
      <x:c r="I15" s="221"/>
      <x:c r="J15" s="221"/>
    </x:row>
    <x:row r="16">
      <x:c r="A16" s="221"/>
      <x:c r="B16" s="221"/>
      <x:c r="C16" s="221"/>
      <x:c r="D16" s="221"/>
      <x:c r="E16" s="221"/>
      <x:c r="F16" s="221"/>
      <x:c r="G16" s="221"/>
      <x:c r="H16" s="221"/>
      <x:c r="I16" s="221"/>
      <x:c r="J16" s="221"/>
    </x:row>
    <x:row r="19">
      <x:c r="A19" s="262" t="str">
        <x:v>Attribute Validation Priority</x:v>
      </x:c>
      <x:c r="B19" s="262"/>
      <x:c r="C19" s="262"/>
      <x:c r="D19" s="262"/>
      <x:c r="E19" s="262"/>
      <x:c r="F19" s="262"/>
      <x:c r="G19" s="262"/>
      <x:c r="H19" s="262"/>
      <x:c r="I19" s="262"/>
      <x:c r="J19" s="262"/>
    </x:row>
    <x:row r="20">
      <x:c r="A20" s="264" t="str">
        <x:v>Priority</x:v>
      </x:c>
      <x:c r="B20" s="264" t="str">
        <x:v>Attribute</x:v>
      </x:c>
      <x:c r="C20" s="264" t="str">
        <x:v>Pair Status</x:v>
      </x:c>
      <x:c r="D20" s="264" t="str">
        <x:v>Info Score</x:v>
      </x:c>
      <x:c r="E20" s="264" t="str">
        <x:v>Recommended Pair</x:v>
      </x:c>
    </x:row>
    <x:row r="21">
      <x:c r="A21" t="n">
        <x:v>1</x:v>
      </x:c>
      <x:c r="B21" t="str">
        <x:v>COD</x:v>
      </x:c>
      <x:c r="C21" t="str">
        <x:v>READY</x:v>
      </x:c>
      <x:c r="D21" t="n">
        <x:v>51.2</x:v>
      </x:c>
      <x:c r="E21" t="str">
        <x:v>Jelani Thurman vs Hayden Hansen</x:v>
      </x:c>
    </x:row>
    <x:row r="22">
      <x:c r="A22" t="n">
        <x:v>2</x:v>
      </x:c>
      <x:c r="B22" t="str">
        <x:v>SPD</x:v>
      </x:c>
      <x:c r="C22" t="str">
        <x:v>READY</x:v>
      </x:c>
      <x:c r="D22" t="n">
        <x:v>28.43</x:v>
      </x:c>
      <x:c r="E22" t="str">
        <x:v>Martellus Bennett vs Ty Washington</x:v>
      </x:c>
    </x:row>
    <x:row r="23">
      <x:c r="A23" t="n">
        <x:v>3</x:v>
      </x:c>
      <x:c r="B23" t="str">
        <x:v>STR</x:v>
      </x:c>
      <x:c r="C23" t="str">
        <x:v>READY</x:v>
      </x:c>
      <x:c r="D23" t="n">
        <x:v>49.68</x:v>
      </x:c>
      <x:c r="E23" t="str">
        <x:v>Jeremy Shockey vs Nate Kurisky</x:v>
      </x:c>
    </x:row>
    <x:row r="24">
      <x:c r="A24" t="n">
        <x:v>4</x:v>
      </x:c>
      <x:c r="B24" t="str">
        <x:v>IBL</x:v>
      </x:c>
      <x:c r="C24" t="str">
        <x:v>READY</x:v>
      </x:c>
      <x:c r="D24" t="n">
        <x:v>55.44</x:v>
      </x:c>
      <x:c r="E24" t="str">
        <x:v>Brody Foley vs Brett Norfleet</x:v>
      </x:c>
    </x:row>
    <x:row r="25">
      <x:c r="A25" t="n">
        <x:v>5</x:v>
      </x:c>
      <x:c r="B25" t="str">
        <x:v>RBK</x:v>
      </x:c>
      <x:c r="C25" t="str">
        <x:v>READY</x:v>
      </x:c>
      <x:c r="D25" t="n">
        <x:v>54.85</x:v>
      </x:c>
      <x:c r="E25" t="str">
        <x:v>Luke Lindenmeyer vs River Helms</x:v>
      </x:c>
    </x:row>
    <x:row r="26">
      <x:c r="A26" t="n">
        <x:v>6</x:v>
      </x:c>
      <x:c r="B26" t="str">
        <x:v>LBK</x:v>
      </x:c>
      <x:c r="C26" t="str">
        <x:v>READY</x:v>
      </x:c>
      <x:c r="D26" t="n">
        <x:v>108.56</x:v>
      </x:c>
      <x:c r="E26" t="str">
        <x:v>Cole Spence vs Randy Pittman Jr.</x:v>
      </x:c>
    </x:row>
    <x:row r="27">
      <x:c r="A27" t="n">
        <x:v>7</x:v>
      </x:c>
      <x:c r="B27" t="str">
        <x:v>CTH</x:v>
      </x:c>
      <x:c r="C27" t="str">
        <x:v>READY</x:v>
      </x:c>
      <x:c r="D27" t="n">
        <x:v>15.03</x:v>
      </x:c>
      <x:c r="E27" t="str">
        <x:v>Ethan Davis vs Preston Howard</x:v>
      </x:c>
    </x:row>
    <x:row r="28">
      <x:c r="A28" t="n">
        <x:v>8</x:v>
      </x:c>
      <x:c r="B28" t="str">
        <x:v>CIT</x:v>
      </x:c>
      <x:c r="C28" t="str">
        <x:v>READY</x:v>
      </x:c>
      <x:c r="D28" t="n">
        <x:v>66.63</x:v>
      </x:c>
      <x:c r="E28" t="str">
        <x:v>Hunter Welcing vs Jaleel Skinner</x:v>
      </x:c>
    </x:row>
    <x:row r="29">
      <x:c r="A29" t="n">
        <x:v>9</x:v>
      </x:c>
      <x:c r="B29" t="str">
        <x:v>ACC</x:v>
      </x:c>
      <x:c r="C29" t="str">
        <x:v>READY</x:v>
      </x:c>
      <x:c r="D29" t="n">
        <x:v>26.48</x:v>
      </x:c>
      <x:c r="E29" t="str">
        <x:v>Jelani Thurman vs Hayden Hansen</x:v>
      </x:c>
    </x:row>
    <x:row r="30">
      <x:c r="A30" t="n">
        <x:v>10</x:v>
      </x:c>
      <x:c r="B30" t="str">
        <x:v>SRR</x:v>
      </x:c>
      <x:c r="C30" t="str">
        <x:v>READY</x:v>
      </x:c>
      <x:c r="D30" t="n">
        <x:v>36.09</x:v>
      </x:c>
      <x:c r="E30" t="str">
        <x:v>Matt Wagner vs Randy Pittman Jr.</x:v>
      </x:c>
    </x:row>
    <x:row r="31">
      <x:c r="A31" t="n">
        <x:v>11</x:v>
      </x:c>
      <x:c r="B31" t="str">
        <x:v>MRR</x:v>
      </x:c>
      <x:c r="C31" t="str">
        <x:v>READY</x:v>
      </x:c>
      <x:c r="D31" t="n">
        <x:v>37.96</x:v>
      </x:c>
      <x:c r="E31" t="str">
        <x:v>Jayvontay Conner vs Jelani Thurman</x:v>
      </x:c>
    </x:row>
    <x:row r="32">
      <x:c r="A32" t="n">
        <x:v>12</x:v>
      </x:c>
      <x:c r="B32" t="str">
        <x:v>DRR</x:v>
      </x:c>
      <x:c r="C32" t="str">
        <x:v>READY</x:v>
      </x:c>
      <x:c r="D32" t="n">
        <x:v>56.51</x:v>
      </x:c>
      <x:c r="E32" t="str">
        <x:v>Jayvontay Conner vs Jelani Thurman</x:v>
      </x:c>
    </x:row>
  </x:sheetData>
  <x:mergeCells>
    <x:mergeCell ref="A1:J1"/>
    <x:mergeCell ref="A11:J11"/>
    <x:mergeCell ref="A12:J16"/>
    <x:mergeCell ref="A19:J19"/>
  </x:mergeCells>
  <x:pageMargins left="0.7" right="0.7" top="0.75" bottom="0.75" header="0.3" footer="0.3"/>
</x:worksheet>
</file>

<file path=xl/worksheets/sheet36.xml><?xml version="1.0" encoding="utf-8"?>
<x:worksheet xmlns:x="http://schemas.openxmlformats.org/spreadsheetml/2006/main">
  <x:sheetFormatPr defaultRowHeight="15"/>
  <x:cols>
    <x:col min="1" max="1" width="12" hidden="0" customWidth="1"/>
    <x:col min="2" max="2" width="24" hidden="0" customWidth="1"/>
    <x:col min="3" max="3" width="7" hidden="0" customWidth="1"/>
    <x:col min="4" max="4" width="21" hidden="0" customWidth="1"/>
    <x:col min="5" max="5" width="25" hidden="0" customWidth="1"/>
    <x:col min="6" max="6" width="7" hidden="0" customWidth="1"/>
    <x:col min="7" max="7" width="7" hidden="0" customWidth="1"/>
    <x:col min="8" max="8" width="7" hidden="0" customWidth="1"/>
    <x:col min="9" max="9" width="7" hidden="0" customWidth="1"/>
    <x:col min="10" max="10" width="7" hidden="0" customWidth="1"/>
    <x:col min="11" max="11" width="7" hidden="0" customWidth="1"/>
    <x:col min="12" max="12" width="7" hidden="0" customWidth="1"/>
    <x:col min="13" max="13" width="7" hidden="0" customWidth="1"/>
    <x:col min="14" max="14" width="7" hidden="0" customWidth="1"/>
    <x:col min="15" max="15" width="7" hidden="0" customWidth="1"/>
    <x:col min="16" max="16" width="7" hidden="0" customWidth="1"/>
    <x:col min="17" max="17" width="7" hidden="0" customWidth="1"/>
    <x:col min="18" max="18" width="7" hidden="0" customWidth="1"/>
    <x:col min="19" max="19" width="7" hidden="0" customWidth="1"/>
    <x:col min="20" max="20" width="7" hidden="0" customWidth="1"/>
    <x:col min="21" max="21" width="13" hidden="0" customWidth="1"/>
    <x:col min="22" max="22" width="30" hidden="0" customWidth="1"/>
    <x:col min="23" max="23" width="23" hidden="0" customWidth="1"/>
    <x:col min="24" max="24" width="31" hidden="0" customWidth="1"/>
    <x:col min="25" max="25" width="62" hidden="0" customWidth="1"/>
    <x:col min="26" max="26" width="42" hidden="0" customWidth="1"/>
    <x:col min="27" max="27" width="13" hidden="0" customWidth="1"/>
    <x:col min="28" max="28" width="13" hidden="0" customWidth="1"/>
    <x:col min="29" max="29" width="11" hidden="0" customWidth="1"/>
  </x:cols>
  <x:sheetData>
    <x:row r="1" ht="28" customHeight="1">
      <x:c r="A1" s="273" t="str">
        <x:v>QB Cards — Audited Canonical Population</x:v>
      </x:c>
      <x:c r="B1" s="273"/>
      <x:c r="C1" s="273"/>
      <x:c r="D1" s="273"/>
      <x:c r="E1" s="273"/>
      <x:c r="F1" s="273"/>
      <x:c r="G1" s="273"/>
      <x:c r="H1" s="273"/>
      <x:c r="I1" s="273"/>
      <x:c r="J1" s="273"/>
      <x:c r="K1" s="273"/>
      <x:c r="L1" s="273"/>
      <x:c r="M1" s="273"/>
      <x:c r="N1" s="273"/>
      <x:c r="O1" s="273"/>
      <x:c r="P1" s="273"/>
      <x:c r="Q1" s="273"/>
      <x:c r="R1" s="273"/>
      <x:c r="S1" s="273"/>
      <x:c r="T1" s="273"/>
      <x:c r="U1" s="273"/>
      <x:c r="V1" s="273"/>
      <x:c r="W1" s="273"/>
      <x:c r="X1" s="273"/>
      <x:c r="Y1" s="273"/>
      <x:c r="Z1" s="273"/>
      <x:c r="AA1" s="273"/>
      <x:c r="AB1" s="273"/>
      <x:c r="AC1" s="273"/>
    </x:row>
    <x:row r="2" ht="32" customHeight="1">
      <x:c r="A2" s="277" t="str">
        <x:v>73 unique 80+ card/version records plus one validated 79 OVR progression boundary. Page 56 exact duplicate is excluded; every row carries source provenance.</x:v>
      </x:c>
      <x:c r="B2" s="277"/>
      <x:c r="C2" s="277"/>
      <x:c r="D2" s="277"/>
      <x:c r="E2" s="277"/>
      <x:c r="F2" s="277"/>
      <x:c r="G2" s="277"/>
      <x:c r="H2" s="277"/>
      <x:c r="I2" s="277"/>
      <x:c r="J2" s="277"/>
      <x:c r="K2" s="277"/>
      <x:c r="L2" s="277"/>
      <x:c r="M2" s="277"/>
      <x:c r="N2" s="277"/>
      <x:c r="O2" s="277"/>
      <x:c r="P2" s="277"/>
      <x:c r="Q2" s="277"/>
      <x:c r="R2" s="277"/>
      <x:c r="S2" s="277"/>
      <x:c r="T2" s="277"/>
      <x:c r="U2" s="277"/>
      <x:c r="V2" s="277"/>
      <x:c r="W2" s="277"/>
      <x:c r="X2" s="277"/>
      <x:c r="Y2" s="277"/>
      <x:c r="Z2" s="277"/>
      <x:c r="AA2" s="277"/>
      <x:c r="AB2" s="277"/>
      <x:c r="AC2" s="277"/>
    </x:row>
    <x:row r="4" ht="30" customHeight="1">
      <x:c r="A4" s="281" t="str">
        <x:v>QB_ID</x:v>
      </x:c>
      <x:c r="B4" s="281" t="str">
        <x:v>Player</x:v>
      </x:c>
      <x:c r="C4" s="281" t="str">
        <x:v>OVR</x:v>
      </x:c>
      <x:c r="D4" s="281" t="str">
        <x:v>Archetype</x:v>
      </x:c>
      <x:c r="E4" s="281" t="str">
        <x:v>Program</x:v>
      </x:c>
      <x:c r="F4" s="281" t="str">
        <x:v>SPD</x:v>
      </x:c>
      <x:c r="G4" s="281" t="str">
        <x:v>ACC</x:v>
      </x:c>
      <x:c r="H4" s="281" t="str">
        <x:v>AGI</x:v>
      </x:c>
      <x:c r="I4" s="281" t="str">
        <x:v>AWR</x:v>
      </x:c>
      <x:c r="J4" s="281" t="str">
        <x:v>STR</x:v>
      </x:c>
      <x:c r="K4" s="281" t="str">
        <x:v>TGH</x:v>
      </x:c>
      <x:c r="L4" s="281" t="str">
        <x:v>THP</x:v>
      </x:c>
      <x:c r="M4" s="281" t="str">
        <x:v>TAC</x:v>
      </x:c>
      <x:c r="N4" s="281" t="str">
        <x:v>SAC</x:v>
      </x:c>
      <x:c r="O4" s="281" t="str">
        <x:v>MAC</x:v>
      </x:c>
      <x:c r="P4" s="281" t="str">
        <x:v>DAC</x:v>
      </x:c>
      <x:c r="Q4" s="281" t="str">
        <x:v>RUN</x:v>
      </x:c>
      <x:c r="R4" s="281" t="str">
        <x:v>TUP</x:v>
      </x:c>
      <x:c r="S4" s="281" t="str">
        <x:v>PAC</x:v>
      </x:c>
      <x:c r="T4" s="281" t="str">
        <x:v>BSK</x:v>
      </x:c>
      <x:c r="U4" s="281" t="str">
        <x:v>Source_ID</x:v>
      </x:c>
      <x:c r="V4" s="281" t="str">
        <x:v>Source_Locator</x:v>
      </x:c>
      <x:c r="W4" s="281" t="str">
        <x:v>Population_Scope</x:v>
      </x:c>
      <x:c r="X4" s="281" t="str">
        <x:v>Model_Role</x:v>
      </x:c>
      <x:c r="Y4" s="281" t="str">
        <x:v>Unique_Profile_Key</x:v>
      </x:c>
      <x:c r="Z4" s="281" t="str">
        <x:v>Duplicate_Note</x:v>
      </x:c>
      <x:c r="AA4" s="281" t="str">
        <x:v>Frozen_Score_Check</x:v>
      </x:c>
      <x:c r="AB4" s="281" t="str">
        <x:v>Frozen_Score_Formula</x:v>
      </x:c>
      <x:c r="AC4" s="281" t="str">
        <x:v>Formula_Delta</x:v>
      </x:c>
    </x:row>
    <x:row r="5">
      <x:c r="A5" s="267" t="str">
        <x:v>QB-0001</x:v>
      </x:c>
      <x:c r="B5" s="267" t="str">
        <x:v>Julian Sayin</x:v>
      </x:c>
      <x:c r="C5" s="267" t="n">
        <x:v>87</x:v>
      </x:c>
      <x:c r="D5" s="267" t="str">
        <x:v>Pocket Passer</x:v>
      </x:c>
      <x:c r="E5" s="267" t="str">
        <x:v>Standouts</x:v>
      </x:c>
      <x:c r="F5" s="267" t="n">
        <x:v>79</x:v>
      </x:c>
      <x:c r="G5" s="267" t="n">
        <x:v>79</x:v>
      </x:c>
      <x:c r="H5" s="267" t="n">
        <x:v>75</x:v>
      </x:c>
      <x:c r="I5" s="267" t="n">
        <x:v>81</x:v>
      </x:c>
      <x:c r="J5" s="267" t="n">
        <x:v>46</x:v>
      </x:c>
      <x:c r="K5" s="267" t="n">
        <x:v>90</x:v>
      </x:c>
      <x:c r="L5" s="267" t="n">
        <x:v>86</x:v>
      </x:c>
      <x:c r="M5" s="267" t="n">
        <x:v>87</x:v>
      </x:c>
      <x:c r="N5" s="267" t="n">
        <x:v>88</x:v>
      </x:c>
      <x:c r="O5" s="267" t="n">
        <x:v>87</x:v>
      </x:c>
      <x:c r="P5" s="267" t="n">
        <x:v>86</x:v>
      </x:c>
      <x:c r="Q5" s="267" t="n">
        <x:v>82</x:v>
      </x:c>
      <x:c r="R5" s="267" t="n">
        <x:v>86</x:v>
      </x:c>
      <x:c r="S5" s="267" t="n">
        <x:v>85</x:v>
      </x:c>
      <x:c r="T5" s="267" t="n">
        <x:v>70</x:v>
      </x:c>
      <x:c r="U5" s="267" t="str">
        <x:v>SRC-QB-001</x:v>
      </x:c>
      <x:c r="V5" s="267" t="str">
        <x:v>all qb.pdf p.1</x:v>
      </x:c>
      <x:c r="W5" s="267" t="str">
        <x:v>PRIMARY 80+ POPULATION</x:v>
      </x:c>
      <x:c r="X5" s="267" t="str">
        <x:v>DEVELOPMENT</x:v>
      </x:c>
      <x:c r="Y5" s="267" t="str">
        <x:v>Pocket Passer|79-79-75-81-46-90-86-87-88-87-86-82-86-85-70</x:v>
      </x:c>
      <x:c r="Z5" s="267" t="str"/>
      <x:c r="AA5" s="287" t="n">
        <x:v>83.97999999999999</x:v>
      </x:c>
      <x:c r="AB5" s="287" t="n">
        <x:f>(3*F5+1*G5+8*H5+10*I5+0*J5+0*K5+18*L5+0*M5+12*N5+12*O5+18*P5+1*Q5+9*R5+4*S5+4*T5)/100</x:f>
        <x:v>83.98</x:v>
      </x:c>
      <x:c r="AC5" s="287" t="n">
        <x:f>AB5-AA5</x:f>
        <x:v>1.4210854715202004e-14</x:v>
      </x:c>
    </x:row>
    <x:row r="6">
      <x:c r="A6" s="270" t="str">
        <x:v>QB-0002</x:v>
      </x:c>
      <x:c r="B6" s="270" t="str">
        <x:v>Tom Brady</x:v>
      </x:c>
      <x:c r="C6" s="270" t="n">
        <x:v>87</x:v>
      </x:c>
      <x:c r="D6" s="270" t="str">
        <x:v>Pocket Passer</x:v>
      </x:c>
      <x:c r="E6" s="270" t="str">
        <x:v>Cornerstones</x:v>
      </x:c>
      <x:c r="F6" s="270" t="n">
        <x:v>82</x:v>
      </x:c>
      <x:c r="G6" s="270" t="n">
        <x:v>82</x:v>
      </x:c>
      <x:c r="H6" s="270" t="n">
        <x:v>80</x:v>
      </x:c>
      <x:c r="I6" s="270" t="n">
        <x:v>80</x:v>
      </x:c>
      <x:c r="J6" s="270" t="n">
        <x:v>84</x:v>
      </x:c>
      <x:c r="K6" s="270" t="n">
        <x:v>90</x:v>
      </x:c>
      <x:c r="L6" s="270" t="n">
        <x:v>86</x:v>
      </x:c>
      <x:c r="M6" s="270" t="n">
        <x:v>99</x:v>
      </x:c>
      <x:c r="N6" s="270" t="n">
        <x:v>87</x:v>
      </x:c>
      <x:c r="O6" s="270" t="n">
        <x:v>86</x:v>
      </x:c>
      <x:c r="P6" s="270" t="n">
        <x:v>87</x:v>
      </x:c>
      <x:c r="Q6" s="270" t="n">
        <x:v>78</x:v>
      </x:c>
      <x:c r="R6" s="270" t="n">
        <x:v>88</x:v>
      </x:c>
      <x:c r="S6" s="270" t="n">
        <x:v>80</x:v>
      </x:c>
      <x:c r="T6" s="270" t="n">
        <x:v>79</x:v>
      </x:c>
      <x:c r="U6" s="270" t="str">
        <x:v>SRC-QB-001</x:v>
      </x:c>
      <x:c r="V6" s="270" t="str">
        <x:v>all qb.pdf p.2</x:v>
      </x:c>
      <x:c r="W6" s="270" t="str">
        <x:v>PRIMARY 80+ POPULATION</x:v>
      </x:c>
      <x:c r="X6" s="270" t="str">
        <x:v>INDEPENDENT HOLDOUT</x:v>
      </x:c>
      <x:c r="Y6" s="270" t="str">
        <x:v>Pocket Passer|82-82-80-80-84-90-86-99-87-86-87-78-88-80-79</x:v>
      </x:c>
      <x:c r="Z6" s="270" t="str"/>
      <x:c r="AA6" s="288" t="n">
        <x:v>84.64</x:v>
      </x:c>
      <x:c r="AB6" s="288" t="n">
        <x:f>(3*F6+1*G6+8*H6+10*I6+0*J6+0*K6+18*L6+0*M6+12*N6+12*O6+18*P6+1*Q6+9*R6+4*S6+4*T6)/100</x:f>
        <x:v>84.64</x:v>
      </x:c>
      <x:c r="AC6" s="288" t="n">
        <x:f>AB6-AA6</x:f>
        <x:v>0</x:v>
      </x:c>
    </x:row>
    <x:row r="7">
      <x:c r="A7" s="267" t="str">
        <x:v>QB-0003</x:v>
      </x:c>
      <x:c r="B7" s="267" t="str">
        <x:v>Joey Harrington</x:v>
      </x:c>
      <x:c r="C7" s="267" t="n">
        <x:v>86</x:v>
      </x:c>
      <x:c r="D7" s="267" t="str">
        <x:v>Pocket Passer</x:v>
      </x:c>
      <x:c r="E7" s="267" t="str">
        <x:v>SI Legends - Millennium</x:v>
      </x:c>
      <x:c r="F7" s="267" t="n">
        <x:v>82</x:v>
      </x:c>
      <x:c r="G7" s="267" t="n">
        <x:v>84</x:v>
      </x:c>
      <x:c r="H7" s="267" t="n">
        <x:v>81</x:v>
      </x:c>
      <x:c r="I7" s="267" t="n">
        <x:v>80</x:v>
      </x:c>
      <x:c r="J7" s="267" t="n">
        <x:v>83</x:v>
      </x:c>
      <x:c r="K7" s="267" t="n">
        <x:v>90</x:v>
      </x:c>
      <x:c r="L7" s="267" t="n">
        <x:v>84</x:v>
      </x:c>
      <x:c r="M7" s="267" t="n">
        <x:v>86</x:v>
      </x:c>
      <x:c r="N7" s="267" t="n">
        <x:v>86</x:v>
      </x:c>
      <x:c r="O7" s="267" t="n">
        <x:v>86</x:v>
      </x:c>
      <x:c r="P7" s="267" t="n">
        <x:v>81</x:v>
      </x:c>
      <x:c r="Q7" s="267" t="n">
        <x:v>84</x:v>
      </x:c>
      <x:c r="R7" s="267" t="n">
        <x:v>81</x:v>
      </x:c>
      <x:c r="S7" s="267" t="n">
        <x:v>80</x:v>
      </x:c>
      <x:c r="T7" s="267" t="n">
        <x:v>83</x:v>
      </x:c>
      <x:c r="U7" s="267" t="str">
        <x:v>SRC-QB-001</x:v>
      </x:c>
      <x:c r="V7" s="267" t="str">
        <x:v>all qb.pdf p.3</x:v>
      </x:c>
      <x:c r="W7" s="267" t="str">
        <x:v>PRIMARY 80+ POPULATION</x:v>
      </x:c>
      <x:c r="X7" s="267" t="str">
        <x:v>DEVELOPMENT</x:v>
      </x:c>
      <x:c r="Y7" s="267" t="str">
        <x:v>Pocket Passer|82-84-81-80-83-90-84-86-86-86-81-84-81-80-83</x:v>
      </x:c>
      <x:c r="Z7" s="267" t="str"/>
      <x:c r="AA7" s="287" t="n">
        <x:v>82.77000000000001</x:v>
      </x:c>
      <x:c r="AB7" s="287" t="n">
        <x:f>(3*F7+1*G7+8*H7+10*I7+0*J7+0*K7+18*L7+0*M7+12*N7+12*O7+18*P7+1*Q7+9*R7+4*S7+4*T7)/100</x:f>
        <x:v>82.77</x:v>
      </x:c>
      <x:c r="AC7" s="287" t="n">
        <x:f>AB7-AA7</x:f>
        <x:v>-1.4210854715202004e-14</x:v>
      </x:c>
    </x:row>
    <x:row r="8">
      <x:c r="A8" s="270" t="str">
        <x:v>QB-0004</x:v>
      </x:c>
      <x:c r="B8" s="270" t="str">
        <x:v>CJ Bailey</x:v>
      </x:c>
      <x:c r="C8" s="270" t="n">
        <x:v>86</x:v>
      </x:c>
      <x:c r="D8" s="270" t="str">
        <x:v>Pocket Passer</x:v>
      </x:c>
      <x:c r="E8" s="270" t="str">
        <x:v>Standouts</x:v>
      </x:c>
      <x:c r="F8" s="270" t="n">
        <x:v>82</x:v>
      </x:c>
      <x:c r="G8" s="270" t="n">
        <x:v>81</x:v>
      </x:c>
      <x:c r="H8" s="270" t="n">
        <x:v>80</x:v>
      </x:c>
      <x:c r="I8" s="270" t="n">
        <x:v>76</x:v>
      </x:c>
      <x:c r="J8" s="270" t="n">
        <x:v>62</x:v>
      </x:c>
      <x:c r="K8" s="270" t="n">
        <x:v>90</x:v>
      </x:c>
      <x:c r="L8" s="270" t="n">
        <x:v>86</x:v>
      </x:c>
      <x:c r="M8" s="270" t="n">
        <x:v>86</x:v>
      </x:c>
      <x:c r="N8" s="270" t="n">
        <x:v>85</x:v>
      </x:c>
      <x:c r="O8" s="270" t="n">
        <x:v>84</x:v>
      </x:c>
      <x:c r="P8" s="270" t="n">
        <x:v>86</x:v>
      </x:c>
      <x:c r="Q8" s="270" t="n">
        <x:v>83</x:v>
      </x:c>
      <x:c r="R8" s="270" t="n">
        <x:v>83</x:v>
      </x:c>
      <x:c r="S8" s="270" t="n">
        <x:v>83</x:v>
      </x:c>
      <x:c r="T8" s="270" t="n">
        <x:v>80</x:v>
      </x:c>
      <x:c r="U8" s="270" t="str">
        <x:v>SRC-QB-001</x:v>
      </x:c>
      <x:c r="V8" s="270" t="str">
        <x:v>all qb.pdf p.4</x:v>
      </x:c>
      <x:c r="W8" s="270" t="str">
        <x:v>PRIMARY 80+ POPULATION</x:v>
      </x:c>
      <x:c r="X8" s="270" t="str">
        <x:v>INDEPENDENT HOLDOUT</x:v>
      </x:c>
      <x:c r="Y8" s="270" t="str">
        <x:v>Pocket Passer|82-81-80-76-62-90-86-86-85-84-86-83-83-83-80</x:v>
      </x:c>
      <x:c r="Z8" s="270" t="str"/>
      <x:c r="AA8" s="288" t="n">
        <x:v>83.33</x:v>
      </x:c>
      <x:c r="AB8" s="288" t="n">
        <x:f>(3*F8+1*G8+8*H8+10*I8+0*J8+0*K8+18*L8+0*M8+12*N8+12*O8+18*P8+1*Q8+9*R8+4*S8+4*T8)/100</x:f>
        <x:v>83.33</x:v>
      </x:c>
      <x:c r="AC8" s="288" t="n">
        <x:f>AB8-AA8</x:f>
        <x:v>0</x:v>
      </x:c>
    </x:row>
    <x:row r="9">
      <x:c r="A9" s="267" t="str">
        <x:v>QB-0005</x:v>
      </x:c>
      <x:c r="B9" s="267" t="str">
        <x:v>Robert Griffin III</x:v>
      </x:c>
      <x:c r="C9" s="267" t="n">
        <x:v>86</x:v>
      </x:c>
      <x:c r="D9" s="267" t="str">
        <x:v>Backfield Creator</x:v>
      </x:c>
      <x:c r="E9" s="267" t="str">
        <x:v>Standouts</x:v>
      </x:c>
      <x:c r="F9" s="267" t="n">
        <x:v>86</x:v>
      </x:c>
      <x:c r="G9" s="267" t="n">
        <x:v>85</x:v>
      </x:c>
      <x:c r="H9" s="267" t="n">
        <x:v>85</x:v>
      </x:c>
      <x:c r="I9" s="267" t="n">
        <x:v>78</x:v>
      </x:c>
      <x:c r="J9" s="267" t="n">
        <x:v>61</x:v>
      </x:c>
      <x:c r="K9" s="267" t="n">
        <x:v>90</x:v>
      </x:c>
      <x:c r="L9" s="267" t="n">
        <x:v>87</x:v>
      </x:c>
      <x:c r="M9" s="267" t="n">
        <x:v>86</x:v>
      </x:c>
      <x:c r="N9" s="267" t="n">
        <x:v>83</x:v>
      </x:c>
      <x:c r="O9" s="267" t="n">
        <x:v>86</x:v>
      </x:c>
      <x:c r="P9" s="267" t="n">
        <x:v>84</x:v>
      </x:c>
      <x:c r="Q9" s="267" t="n">
        <x:v>86</x:v>
      </x:c>
      <x:c r="R9" s="267" t="n">
        <x:v>81</x:v>
      </x:c>
      <x:c r="S9" s="267" t="n">
        <x:v>79</x:v>
      </x:c>
      <x:c r="T9" s="267" t="n">
        <x:v>82</x:v>
      </x:c>
      <x:c r="U9" s="267" t="str">
        <x:v>SRC-QB-001</x:v>
      </x:c>
      <x:c r="V9" s="267" t="str">
        <x:v>all qb.pdf p.5</x:v>
      </x:c>
      <x:c r="W9" s="267" t="str">
        <x:v>PRIMARY 80+ POPULATION</x:v>
      </x:c>
      <x:c r="X9" s="267" t="str">
        <x:v>INDEPENDENT HOLDOUT</x:v>
      </x:c>
      <x:c r="Y9" s="267" t="str">
        <x:v>Backfield Creator|86-85-85-78-61-90-87-86-83-86-84-86-81-79-82</x:v>
      </x:c>
      <x:c r="Z9" s="267" t="str"/>
      <x:c r="AA9" s="287" t="n">
        <x:v>83.68</x:v>
      </x:c>
      <x:c r="AB9" s="287" t="n">
        <x:f>(3*F9+1*G9+8*H9+10*I9+0*J9+0*K9+18*L9+0*M9+12*N9+12*O9+18*P9+1*Q9+9*R9+4*S9+4*T9)/100</x:f>
        <x:v>83.68</x:v>
      </x:c>
      <x:c r="AC9" s="287" t="n">
        <x:f>AB9-AA9</x:f>
        <x:v>0</x:v>
      </x:c>
    </x:row>
    <x:row r="10">
      <x:c r="A10" s="270" t="str">
        <x:v>QB-0006</x:v>
      </x:c>
      <x:c r="B10" s="270" t="str">
        <x:v>Jayden Maiava</x:v>
      </x:c>
      <x:c r="C10" s="270" t="n">
        <x:v>86</x:v>
      </x:c>
      <x:c r="D10" s="270" t="str">
        <x:v>Backfield Creator</x:v>
      </x:c>
      <x:c r="E10" s="270" t="str">
        <x:v>Cornerstones</x:v>
      </x:c>
      <x:c r="F10" s="270" t="n">
        <x:v>83</x:v>
      </x:c>
      <x:c r="G10" s="270" t="n">
        <x:v>83</x:v>
      </x:c>
      <x:c r="H10" s="270" t="n">
        <x:v>79</x:v>
      </x:c>
      <x:c r="I10" s="270" t="n">
        <x:v>80</x:v>
      </x:c>
      <x:c r="J10" s="270" t="n">
        <x:v>81</x:v>
      </x:c>
      <x:c r="K10" s="270" t="n">
        <x:v>90</x:v>
      </x:c>
      <x:c r="L10" s="270" t="n">
        <x:v>87</x:v>
      </x:c>
      <x:c r="M10" s="270" t="n">
        <x:v>70</x:v>
      </x:c>
      <x:c r="N10" s="270" t="n">
        <x:v>80</x:v>
      </x:c>
      <x:c r="O10" s="270" t="n">
        <x:v>82</x:v>
      </x:c>
      <x:c r="P10" s="270" t="n">
        <x:v>85</x:v>
      </x:c>
      <x:c r="Q10" s="270" t="n">
        <x:v>82</x:v>
      </x:c>
      <x:c r="R10" s="270" t="n">
        <x:v>83</x:v>
      </x:c>
      <x:c r="S10" s="270" t="n">
        <x:v>84</x:v>
      </x:c>
      <x:c r="T10" s="270" t="n">
        <x:v>83</x:v>
      </x:c>
      <x:c r="U10" s="270" t="str">
        <x:v>SRC-QB-001</x:v>
      </x:c>
      <x:c r="V10" s="270" t="str">
        <x:v>all qb.pdf p.6</x:v>
      </x:c>
      <x:c r="W10" s="270" t="str">
        <x:v>PRIMARY 80+ POPULATION</x:v>
      </x:c>
      <x:c r="X10" s="270" t="str">
        <x:v>DEVELOPMENT</x:v>
      </x:c>
      <x:c r="Y10" s="270" t="str">
        <x:v>Backfield Creator|83-83-79-80-81-90-87-70-80-82-85-82-83-84-83</x:v>
      </x:c>
      <x:c r="Z10" s="270" t="str"/>
      <x:c r="AA10" s="288" t="n">
        <x:v>83.00999999999998</x:v>
      </x:c>
      <x:c r="AB10" s="288" t="n">
        <x:f>(3*F10+1*G10+8*H10+10*I10+0*J10+0*K10+18*L10+0*M10+12*N10+12*O10+18*P10+1*Q10+9*R10+4*S10+4*T10)/100</x:f>
        <x:v>83.01</x:v>
      </x:c>
      <x:c r="AC10" s="288" t="n">
        <x:f>AB10-AA10</x:f>
        <x:v>2.842170943040401e-14</x:v>
      </x:c>
    </x:row>
    <x:row r="11">
      <x:c r="A11" s="267" t="str">
        <x:v>QB-0007</x:v>
      </x:c>
      <x:c r="B11" s="267" t="str">
        <x:v>Kurt Benkert</x:v>
      </x:c>
      <x:c r="C11" s="267" t="n">
        <x:v>86</x:v>
      </x:c>
      <x:c r="D11" s="267" t="str">
        <x:v>Pocket Passer</x:v>
      </x:c>
      <x:c r="E11" s="267" t="str">
        <x:v>Countdown</x:v>
      </x:c>
      <x:c r="F11" s="267" t="n">
        <x:v>83</x:v>
      </x:c>
      <x:c r="G11" s="267" t="n">
        <x:v>82</x:v>
      </x:c>
      <x:c r="H11" s="267" t="n">
        <x:v>79</x:v>
      </x:c>
      <x:c r="I11" s="267" t="n">
        <x:v>75</x:v>
      </x:c>
      <x:c r="J11" s="267" t="n">
        <x:v>77</x:v>
      </x:c>
      <x:c r="K11" s="267" t="n">
        <x:v>86</x:v>
      </x:c>
      <x:c r="L11" s="267" t="n">
        <x:v>86</x:v>
      </x:c>
      <x:c r="M11" s="267" t="n">
        <x:v>86</x:v>
      </x:c>
      <x:c r="N11" s="267" t="n">
        <x:v>84</x:v>
      </x:c>
      <x:c r="O11" s="267" t="n">
        <x:v>85</x:v>
      </x:c>
      <x:c r="P11" s="267" t="n">
        <x:v>83</x:v>
      </x:c>
      <x:c r="Q11" s="267" t="n">
        <x:v>82</x:v>
      </x:c>
      <x:c r="R11" s="267" t="n">
        <x:v>84</x:v>
      </x:c>
      <x:c r="S11" s="267" t="n">
        <x:v>79</x:v>
      </x:c>
      <x:c r="T11" s="267" t="n">
        <x:v>79</x:v>
      </x:c>
      <x:c r="U11" s="267" t="str">
        <x:v>SRC-QB-001</x:v>
      </x:c>
      <x:c r="V11" s="267" t="str">
        <x:v>all qb.pdf p.7</x:v>
      </x:c>
      <x:c r="W11" s="267" t="str">
        <x:v>PRIMARY 80+ POPULATION</x:v>
      </x:c>
      <x:c r="X11" s="267" t="str">
        <x:v>DEVELOPMENT</x:v>
      </x:c>
      <x:c r="Y11" s="267" t="str">
        <x:v>Pocket Passer|83-82-79-75-77-86-86-86-84-85-83-82-84-79-79</x:v>
      </x:c>
      <x:c r="Z11" s="267" t="str"/>
      <x:c r="AA11" s="287" t="n">
        <x:v>82.52999999999999</x:v>
      </x:c>
      <x:c r="AB11" s="287" t="n">
        <x:f>(3*F11+1*G11+8*H11+10*I11+0*J11+0*K11+18*L11+0*M11+12*N11+12*O11+18*P11+1*Q11+9*R11+4*S11+4*T11)/100</x:f>
        <x:v>82.53</x:v>
      </x:c>
      <x:c r="AC11" s="287" t="n">
        <x:f>AB11-AA11</x:f>
        <x:v>1.4210854715202004e-14</x:v>
      </x:c>
    </x:row>
    <x:row r="12">
      <x:c r="A12" s="270" t="str">
        <x:v>QB-0008</x:v>
      </x:c>
      <x:c r="B12" s="270" t="str">
        <x:v>Drew Bledsoe</x:v>
      </x:c>
      <x:c r="C12" s="270" t="n">
        <x:v>86</x:v>
      </x:c>
      <x:c r="D12" s="270" t="str">
        <x:v>Pocket Passer</x:v>
      </x:c>
      <x:c r="E12" s="270" t="str">
        <x:v>SI Legends - Classic</x:v>
      </x:c>
      <x:c r="F12" s="270" t="n">
        <x:v>81</x:v>
      </x:c>
      <x:c r="G12" s="270" t="n">
        <x:v>80</x:v>
      </x:c>
      <x:c r="H12" s="270" t="n">
        <x:v>79</x:v>
      </x:c>
      <x:c r="I12" s="270" t="n">
        <x:v>80</x:v>
      </x:c>
      <x:c r="J12" s="270" t="n">
        <x:v>83</x:v>
      </x:c>
      <x:c r="K12" s="270" t="n">
        <x:v>90</x:v>
      </x:c>
      <x:c r="L12" s="270" t="n">
        <x:v>85</x:v>
      </x:c>
      <x:c r="M12" s="270" t="n">
        <x:v>91</x:v>
      </x:c>
      <x:c r="N12" s="270" t="n">
        <x:v>86</x:v>
      </x:c>
      <x:c r="O12" s="270" t="n">
        <x:v>86</x:v>
      </x:c>
      <x:c r="P12" s="270" t="n">
        <x:v>83</x:v>
      </x:c>
      <x:c r="Q12" s="270" t="n">
        <x:v>78</x:v>
      </x:c>
      <x:c r="R12" s="270" t="n">
        <x:v>81</x:v>
      </x:c>
      <x:c r="S12" s="270" t="n">
        <x:v>80</x:v>
      </x:c>
      <x:c r="T12" s="270" t="n">
        <x:v>80</x:v>
      </x:c>
      <x:c r="U12" s="270" t="str">
        <x:v>SRC-QB-001</x:v>
      </x:c>
      <x:c r="V12" s="270" t="str">
        <x:v>all qb.pdf p.8</x:v>
      </x:c>
      <x:c r="W12" s="270" t="str">
        <x:v>PRIMARY 80+ POPULATION</x:v>
      </x:c>
      <x:c r="X12" s="270" t="str">
        <x:v>DEVELOPMENT</x:v>
      </x:c>
      <x:c r="Y12" s="270" t="str">
        <x:v>Pocket Passer|81-80-79-80-83-90-85-91-86-86-83-78-81-80-80</x:v>
      </x:c>
      <x:c r="Z12" s="270" t="str"/>
      <x:c r="AA12" s="288" t="n">
        <x:v>82.90000000000002</x:v>
      </x:c>
      <x:c r="AB12" s="288" t="n">
        <x:f>(3*F12+1*G12+8*H12+10*I12+0*J12+0*K12+18*L12+0*M12+12*N12+12*O12+18*P12+1*Q12+9*R12+4*S12+4*T12)/100</x:f>
        <x:v>82.9</x:v>
      </x:c>
      <x:c r="AC12" s="288" t="n">
        <x:f>AB12-AA12</x:f>
        <x:v>-1.4210854715202004e-14</x:v>
      </x:c>
    </x:row>
    <x:row r="13">
      <x:c r="A13" s="267" t="str">
        <x:v>QB-0009</x:v>
      </x:c>
      <x:c r="B13" s="267" t="str">
        <x:v>Trinidad Chambliss</x:v>
      </x:c>
      <x:c r="C13" s="267" t="n">
        <x:v>85</x:v>
      </x:c>
      <x:c r="D13" s="267" t="str">
        <x:v>Backfield Creator</x:v>
      </x:c>
      <x:c r="E13" s="267" t="str">
        <x:v>Platinum Rare</x:v>
      </x:c>
      <x:c r="F13" s="267" t="n">
        <x:v>84</x:v>
      </x:c>
      <x:c r="G13" s="267" t="n">
        <x:v>82</x:v>
      </x:c>
      <x:c r="H13" s="267" t="n">
        <x:v>82</x:v>
      </x:c>
      <x:c r="I13" s="267" t="n">
        <x:v>80</x:v>
      </x:c>
      <x:c r="J13" s="267" t="n">
        <x:v>53</x:v>
      </x:c>
      <x:c r="K13" s="267" t="n">
        <x:v>85</x:v>
      </x:c>
      <x:c r="L13" s="267" t="n">
        <x:v>84</x:v>
      </x:c>
      <x:c r="M13" s="267" t="n">
        <x:v>85</x:v>
      </x:c>
      <x:c r="N13" s="267" t="n">
        <x:v>85</x:v>
      </x:c>
      <x:c r="O13" s="267" t="n">
        <x:v>82</x:v>
      </x:c>
      <x:c r="P13" s="267" t="n">
        <x:v>83</x:v>
      </x:c>
      <x:c r="Q13" s="267" t="n">
        <x:v>84</x:v>
      </x:c>
      <x:c r="R13" s="267" t="n">
        <x:v>82</x:v>
      </x:c>
      <x:c r="S13" s="267" t="n">
        <x:v>81</x:v>
      </x:c>
      <x:c r="T13" s="267" t="n">
        <x:v>81</x:v>
      </x:c>
      <x:c r="U13" s="267" t="str">
        <x:v>SRC-QB-001</x:v>
      </x:c>
      <x:c r="V13" s="267" t="str">
        <x:v>all qb.pdf p.9</x:v>
      </x:c>
      <x:c r="W13" s="267" t="str">
        <x:v>PRIMARY 80+ POPULATION</x:v>
      </x:c>
      <x:c r="X13" s="267" t="str">
        <x:v>DEVELOPMENT</x:v>
      </x:c>
      <x:c r="Y13" s="267" t="str">
        <x:v>Backfield Creator|84-82-82-80-53-85-84-85-85-82-83-84-82-81-81</x:v>
      </x:c>
      <x:c r="Z13" s="267" t="str"/>
      <x:c r="AA13" s="287" t="n">
        <x:v>82.69999999999999</x:v>
      </x:c>
      <x:c r="AB13" s="287" t="n">
        <x:f>(3*F13+1*G13+8*H13+10*I13+0*J13+0*K13+18*L13+0*M13+12*N13+12*O13+18*P13+1*Q13+9*R13+4*S13+4*T13)/100</x:f>
        <x:v>82.7</x:v>
      </x:c>
      <x:c r="AC13" s="287" t="n">
        <x:f>AB13-AA13</x:f>
        <x:v>1.4210854715202004e-14</x:v>
      </x:c>
    </x:row>
    <x:row r="14">
      <x:c r="A14" s="270" t="str">
        <x:v>QB-0010</x:v>
      </x:c>
      <x:c r="B14" s="270" t="str">
        <x:v>Dante Moore</x:v>
      </x:c>
      <x:c r="C14" s="270" t="n">
        <x:v>85</x:v>
      </x:c>
      <x:c r="D14" s="270" t="str">
        <x:v>Pocket Passer</x:v>
      </x:c>
      <x:c r="E14" s="270" t="str">
        <x:v>Core Rare</x:v>
      </x:c>
      <x:c r="F14" s="270" t="n">
        <x:v>82</x:v>
      </x:c>
      <x:c r="G14" s="270" t="n">
        <x:v>80</x:v>
      </x:c>
      <x:c r="H14" s="270" t="n">
        <x:v>80</x:v>
      </x:c>
      <x:c r="I14" s="270" t="n">
        <x:v>77</x:v>
      </x:c>
      <x:c r="J14" s="270" t="n">
        <x:v>60</x:v>
      </x:c>
      <x:c r="K14" s="270" t="n">
        <x:v>85</x:v>
      </x:c>
      <x:c r="L14" s="270" t="n">
        <x:v>85</x:v>
      </x:c>
      <x:c r="M14" s="270" t="n">
        <x:v>85</x:v>
      </x:c>
      <x:c r="N14" s="270" t="n">
        <x:v>82</x:v>
      </x:c>
      <x:c r="O14" s="270" t="n">
        <x:v>84</x:v>
      </x:c>
      <x:c r="P14" s="270" t="n">
        <x:v>86</x:v>
      </x:c>
      <x:c r="Q14" s="270" t="n">
        <x:v>79</x:v>
      </x:c>
      <x:c r="R14" s="270" t="n">
        <x:v>81</x:v>
      </x:c>
      <x:c r="S14" s="270" t="n">
        <x:v>81</x:v>
      </x:c>
      <x:c r="T14" s="270" t="n">
        <x:v>77</x:v>
      </x:c>
      <x:c r="U14" s="270" t="str">
        <x:v>SRC-QB-001</x:v>
      </x:c>
      <x:c r="V14" s="270" t="str">
        <x:v>all qb.pdf p.10</x:v>
      </x:c>
      <x:c r="W14" s="270" t="str">
        <x:v>PRIMARY 80+ POPULATION</x:v>
      </x:c>
      <x:c r="X14" s="270" t="str">
        <x:v>DEVELOPMENT</x:v>
      </x:c>
      <x:c r="Y14" s="270" t="str">
        <x:v>Pocket Passer|82-80-80-77-60-85-85-85-82-84-86-79-81-81-77</x:v>
      </x:c>
      <x:c r="Z14" s="270" t="str"/>
      <x:c r="AA14" s="288" t="n">
        <x:v>82.46000000000001</x:v>
      </x:c>
      <x:c r="AB14" s="288" t="n">
        <x:f>(3*F14+1*G14+8*H14+10*I14+0*J14+0*K14+18*L14+0*M14+12*N14+12*O14+18*P14+1*Q14+9*R14+4*S14+4*T14)/100</x:f>
        <x:v>82.46</x:v>
      </x:c>
      <x:c r="AC14" s="288" t="n">
        <x:f>AB14-AA14</x:f>
        <x:v>-1.4210854715202004e-14</x:v>
      </x:c>
    </x:row>
    <x:row r="15">
      <x:c r="A15" s="267" t="str">
        <x:v>QB-0011</x:v>
      </x:c>
      <x:c r="B15" s="267" t="str">
        <x:v>Jaron-Keawe Sagapolutele</x:v>
      </x:c>
      <x:c r="C15" s="267" t="n">
        <x:v>85</x:v>
      </x:c>
      <x:c r="D15" s="267" t="str">
        <x:v>Pocket Passer</x:v>
      </x:c>
      <x:c r="E15" s="267" t="str">
        <x:v>Season 1</x:v>
      </x:c>
      <x:c r="F15" s="267" t="n">
        <x:v>82</x:v>
      </x:c>
      <x:c r="G15" s="267" t="n">
        <x:v>79</x:v>
      </x:c>
      <x:c r="H15" s="267" t="n">
        <x:v>77</x:v>
      </x:c>
      <x:c r="I15" s="267" t="n">
        <x:v>78</x:v>
      </x:c>
      <x:c r="J15" s="267" t="n">
        <x:v>76</x:v>
      </x:c>
      <x:c r="K15" s="267" t="n">
        <x:v>85</x:v>
      </x:c>
      <x:c r="L15" s="267" t="n">
        <x:v>85</x:v>
      </x:c>
      <x:c r="M15" s="267" t="n">
        <x:v>85</x:v>
      </x:c>
      <x:c r="N15" s="267" t="n">
        <x:v>83</x:v>
      </x:c>
      <x:c r="O15" s="267" t="n">
        <x:v>84</x:v>
      </x:c>
      <x:c r="P15" s="267" t="n">
        <x:v>83</x:v>
      </x:c>
      <x:c r="Q15" s="267" t="n">
        <x:v>72</x:v>
      </x:c>
      <x:c r="R15" s="267" t="n">
        <x:v>83</x:v>
      </x:c>
      <x:c r="S15" s="267" t="n">
        <x:v>81</x:v>
      </x:c>
      <x:c r="T15" s="267" t="n">
        <x:v>80</x:v>
      </x:c>
      <x:c r="U15" s="267" t="str">
        <x:v>SRC-QB-001</x:v>
      </x:c>
      <x:c r="V15" s="267" t="str">
        <x:v>all qb.pdf p.11</x:v>
      </x:c>
      <x:c r="W15" s="267" t="str">
        <x:v>PRIMARY 80+ POPULATION</x:v>
      </x:c>
      <x:c r="X15" s="267" t="str">
        <x:v>DEVELOPMENT</x:v>
      </x:c>
      <x:c r="Y15" s="267" t="str">
        <x:v>Pocket Passer|82-79-77-78-76-85-85-85-83-84-83-72-83-81-80</x:v>
      </x:c>
      <x:c r="Z15" s="267" t="str"/>
      <x:c r="AA15" s="287" t="n">
        <x:v>82.12</x:v>
      </x:c>
      <x:c r="AB15" s="287" t="n">
        <x:f>(3*F15+1*G15+8*H15+10*I15+0*J15+0*K15+18*L15+0*M15+12*N15+12*O15+18*P15+1*Q15+9*R15+4*S15+4*T15)/100</x:f>
        <x:v>82.12</x:v>
      </x:c>
      <x:c r="AC15" s="287" t="n">
        <x:f>AB15-AA15</x:f>
        <x:v>0</x:v>
      </x:c>
    </x:row>
    <x:row r="16">
      <x:c r="A16" s="270" t="str">
        <x:v>QB-0012</x:v>
      </x:c>
      <x:c r="B16" s="270" t="str">
        <x:v>Keelon Russell</x:v>
      </x:c>
      <x:c r="C16" s="270" t="n">
        <x:v>84</x:v>
      </x:c>
      <x:c r="D16" s="270" t="str">
        <x:v>Dual Threat</x:v>
      </x:c>
      <x:c r="E16" s="270" t="str">
        <x:v>Phenoms</x:v>
      </x:c>
      <x:c r="F16" s="270" t="n">
        <x:v>83</x:v>
      </x:c>
      <x:c r="G16" s="270" t="n">
        <x:v>84</x:v>
      </x:c>
      <x:c r="H16" s="270" t="n">
        <x:v>82</x:v>
      </x:c>
      <x:c r="I16" s="270" t="n">
        <x:v>77</x:v>
      </x:c>
      <x:c r="J16" s="270" t="n">
        <x:v>46</x:v>
      </x:c>
      <x:c r="K16" s="270" t="n">
        <x:v>84</x:v>
      </x:c>
      <x:c r="L16" s="270" t="n">
        <x:v>85</x:v>
      </x:c>
      <x:c r="M16" s="270" t="n">
        <x:v>84</x:v>
      </x:c>
      <x:c r="N16" s="270" t="n">
        <x:v>78</x:v>
      </x:c>
      <x:c r="O16" s="270" t="n">
        <x:v>80</x:v>
      </x:c>
      <x:c r="P16" s="270" t="n">
        <x:v>81</x:v>
      </x:c>
      <x:c r="Q16" s="270" t="n">
        <x:v>83</x:v>
      </x:c>
      <x:c r="R16" s="270" t="n">
        <x:v>79</x:v>
      </x:c>
      <x:c r="S16" s="270" t="n">
        <x:v>78</x:v>
      </x:c>
      <x:c r="T16" s="270" t="n">
        <x:v>83</x:v>
      </x:c>
      <x:c r="U16" s="270" t="str">
        <x:v>SRC-QB-001</x:v>
      </x:c>
      <x:c r="V16" s="270" t="str">
        <x:v>all qb.pdf p.12</x:v>
      </x:c>
      <x:c r="W16" s="270" t="str">
        <x:v>PRIMARY 80+ POPULATION</x:v>
      </x:c>
      <x:c r="X16" s="270" t="str">
        <x:v>DEVELOPMENT</x:v>
      </x:c>
      <x:c r="Y16" s="270" t="str">
        <x:v>Dual Threat|83-84-82-77-46-84-85-84-78-80-81-83-79-78-83</x:v>
      </x:c>
      <x:c r="Z16" s="270" t="str"/>
      <x:c r="AA16" s="288" t="n">
        <x:v>80.81</x:v>
      </x:c>
      <x:c r="AB16" s="288" t="n">
        <x:f>(3*F16+1*G16+8*H16+10*I16+0*J16+0*K16+18*L16+0*M16+12*N16+12*O16+18*P16+1*Q16+9*R16+4*S16+4*T16)/100</x:f>
        <x:v>80.81</x:v>
      </x:c>
      <x:c r="AC16" s="288" t="n">
        <x:f>AB16-AA16</x:f>
        <x:v>0</x:v>
      </x:c>
    </x:row>
    <x:row r="17">
      <x:c r="A17" s="267" t="str">
        <x:v>QB-0013</x:v>
      </x:c>
      <x:c r="B17" s="267" t="str">
        <x:v>Joey Harrington</x:v>
      </x:c>
      <x:c r="C17" s="267" t="n">
        <x:v>84</x:v>
      </x:c>
      <x:c r="D17" s="267" t="str">
        <x:v>Pocket Passer</x:v>
      </x:c>
      <x:c r="E17" s="267" t="str">
        <x:v>SI Legends - Millennium</x:v>
      </x:c>
      <x:c r="F17" s="267" t="n">
        <x:v>80</x:v>
      </x:c>
      <x:c r="G17" s="267" t="n">
        <x:v>82</x:v>
      </x:c>
      <x:c r="H17" s="267" t="n">
        <x:v>79</x:v>
      </x:c>
      <x:c r="I17" s="267" t="n">
        <x:v>80</x:v>
      </x:c>
      <x:c r="J17" s="267" t="n">
        <x:v>81</x:v>
      </x:c>
      <x:c r="K17" s="267" t="n">
        <x:v>90</x:v>
      </x:c>
      <x:c r="L17" s="267" t="n">
        <x:v>82</x:v>
      </x:c>
      <x:c r="M17" s="267" t="n">
        <x:v>86</x:v>
      </x:c>
      <x:c r="N17" s="267" t="n">
        <x:v>84</x:v>
      </x:c>
      <x:c r="O17" s="267" t="n">
        <x:v>84</x:v>
      </x:c>
      <x:c r="P17" s="267" t="n">
        <x:v>79</x:v>
      </x:c>
      <x:c r="Q17" s="267" t="n">
        <x:v>82</x:v>
      </x:c>
      <x:c r="R17" s="267" t="n">
        <x:v>79</x:v>
      </x:c>
      <x:c r="S17" s="267" t="n">
        <x:v>78</x:v>
      </x:c>
      <x:c r="T17" s="267" t="n">
        <x:v>81</x:v>
      </x:c>
      <x:c r="U17" s="267" t="str">
        <x:v>SRC-QB-001</x:v>
      </x:c>
      <x:c r="V17" s="267" t="str">
        <x:v>all qb.pdf p.13</x:v>
      </x:c>
      <x:c r="W17" s="267" t="str">
        <x:v>PRIMARY 80+ POPULATION</x:v>
      </x:c>
      <x:c r="X17" s="267" t="str">
        <x:v>DEVELOPMENT</x:v>
      </x:c>
      <x:c r="Y17" s="267" t="str">
        <x:v>Pocket Passer|80-82-79-80-81-90-82-86-84-84-79-82-79-78-81</x:v>
      </x:c>
      <x:c r="Z17" s="267" t="str"/>
      <x:c r="AA17" s="287" t="n">
        <x:v>80.96999999999998</x:v>
      </x:c>
      <x:c r="AB17" s="287" t="n">
        <x:f>(3*F17+1*G17+8*H17+10*I17+0*J17+0*K17+18*L17+0*M17+12*N17+12*O17+18*P17+1*Q17+9*R17+4*S17+4*T17)/100</x:f>
        <x:v>80.97</x:v>
      </x:c>
      <x:c r="AC17" s="287" t="n">
        <x:f>AB17-AA17</x:f>
        <x:v>1.4210854715202004e-14</x:v>
      </x:c>
    </x:row>
    <x:row r="18">
      <x:c r="A18" s="270" t="str">
        <x:v>QB-0014</x:v>
      </x:c>
      <x:c r="B18" s="270" t="str">
        <x:v>CJ Carr</x:v>
      </x:c>
      <x:c r="C18" s="270" t="n">
        <x:v>84</x:v>
      </x:c>
      <x:c r="D18" s="270" t="str">
        <x:v>Pocket Passer</x:v>
      </x:c>
      <x:c r="E18" s="270" t="str">
        <x:v>Core Rare</x:v>
      </x:c>
      <x:c r="F18" s="270" t="n">
        <x:v>77</x:v>
      </x:c>
      <x:c r="G18" s="270" t="n">
        <x:v>72</x:v>
      </x:c>
      <x:c r="H18" s="270" t="n">
        <x:v>74</x:v>
      </x:c>
      <x:c r="I18" s="270" t="n">
        <x:v>83</x:v>
      </x:c>
      <x:c r="J18" s="270" t="n">
        <x:v>65</x:v>
      </x:c>
      <x:c r="K18" s="270" t="n">
        <x:v>84</x:v>
      </x:c>
      <x:c r="L18" s="270" t="n">
        <x:v>83</x:v>
      </x:c>
      <x:c r="M18" s="270" t="n">
        <x:v>82</x:v>
      </x:c>
      <x:c r="N18" s="270" t="n">
        <x:v>84</x:v>
      </x:c>
      <x:c r="O18" s="270" t="n">
        <x:v>82</x:v>
      </x:c>
      <x:c r="P18" s="270" t="n">
        <x:v>83</x:v>
      </x:c>
      <x:c r="Q18" s="270" t="n">
        <x:v>73</x:v>
      </x:c>
      <x:c r="R18" s="270" t="n">
        <x:v>83</x:v>
      </x:c>
      <x:c r="S18" s="270" t="n">
        <x:v>84</x:v>
      </x:c>
      <x:c r="T18" s="270" t="n">
        <x:v>81</x:v>
      </x:c>
      <x:c r="U18" s="270" t="str">
        <x:v>SRC-QB-001</x:v>
      </x:c>
      <x:c r="V18" s="270" t="str">
        <x:v>all qb.pdf p.14</x:v>
      </x:c>
      <x:c r="W18" s="270" t="str">
        <x:v>PRIMARY 80+ POPULATION</x:v>
      </x:c>
      <x:c r="X18" s="270" t="str">
        <x:v>DEVELOPMENT</x:v>
      </x:c>
      <x:c r="Y18" s="270" t="str">
        <x:v>Pocket Passer|77-72-74-83-65-84-83-82-84-82-83-73-83-84-81</x:v>
      </x:c>
      <x:c r="Z18" s="270" t="str"/>
      <x:c r="AA18" s="288" t="n">
        <x:v>81.85</x:v>
      </x:c>
      <x:c r="AB18" s="288" t="n">
        <x:f>(3*F18+1*G18+8*H18+10*I18+0*J18+0*K18+18*L18+0*M18+12*N18+12*O18+18*P18+1*Q18+9*R18+4*S18+4*T18)/100</x:f>
        <x:v>81.85</x:v>
      </x:c>
      <x:c r="AC18" s="288" t="n">
        <x:f>AB18-AA18</x:f>
        <x:v>0</x:v>
      </x:c>
    </x:row>
    <x:row r="19">
      <x:c r="A19" s="267" t="str">
        <x:v>QB-0015</x:v>
      </x:c>
      <x:c r="B19" s="267" t="str">
        <x:v>Jayden Maiava</x:v>
      </x:c>
      <x:c r="C19" s="267" t="n">
        <x:v>84</x:v>
      </x:c>
      <x:c r="D19" s="267" t="str">
        <x:v>Pocket Passer</x:v>
      </x:c>
      <x:c r="E19" s="267" t="str">
        <x:v>Core Rare</x:v>
      </x:c>
      <x:c r="F19" s="267" t="n">
        <x:v>76</x:v>
      </x:c>
      <x:c r="G19" s="267" t="n">
        <x:v>76</x:v>
      </x:c>
      <x:c r="H19" s="267" t="n">
        <x:v>77</x:v>
      </x:c>
      <x:c r="I19" s="267" t="n">
        <x:v>83</x:v>
      </x:c>
      <x:c r="J19" s="267" t="n">
        <x:v>73</x:v>
      </x:c>
      <x:c r="K19" s="267" t="n">
        <x:v>83</x:v>
      </x:c>
      <x:c r="L19" s="267" t="n">
        <x:v>86</x:v>
      </x:c>
      <x:c r="M19" s="267" t="n">
        <x:v>82</x:v>
      </x:c>
      <x:c r="N19" s="267" t="n">
        <x:v>83</x:v>
      </x:c>
      <x:c r="O19" s="267" t="n">
        <x:v>84</x:v>
      </x:c>
      <x:c r="P19" s="267" t="n">
        <x:v>82</x:v>
      </x:c>
      <x:c r="Q19" s="267" t="n">
        <x:v>76</x:v>
      </x:c>
      <x:c r="R19" s="267" t="n">
        <x:v>76</x:v>
      </x:c>
      <x:c r="S19" s="267" t="n">
        <x:v>75</x:v>
      </x:c>
      <x:c r="T19" s="267" t="n">
        <x:v>78</x:v>
      </x:c>
      <x:c r="U19" s="267" t="str">
        <x:v>SRC-QB-001</x:v>
      </x:c>
      <x:c r="V19" s="267" t="str">
        <x:v>all qb.pdf p.15</x:v>
      </x:c>
      <x:c r="W19" s="267" t="str">
        <x:v>PRIMARY 80+ POPULATION</x:v>
      </x:c>
      <x:c r="X19" s="267" t="str">
        <x:v>DEVELOPMENT</x:v>
      </x:c>
      <x:c r="Y19" s="267" t="str">
        <x:v>Pocket Passer|76-76-77-83-73-83-86-82-83-84-82-76-76-75-78</x:v>
      </x:c>
      <x:c r="Z19" s="267" t="str"/>
      <x:c r="AA19" s="287" t="n">
        <x:v>81.50000000000001</x:v>
      </x:c>
      <x:c r="AB19" s="287" t="n">
        <x:f>(3*F19+1*G19+8*H19+10*I19+0*J19+0*K19+18*L19+0*M19+12*N19+12*O19+18*P19+1*Q19+9*R19+4*S19+4*T19)/100</x:f>
        <x:v>81.5</x:v>
      </x:c>
      <x:c r="AC19" s="287" t="n">
        <x:f>AB19-AA19</x:f>
        <x:v>-1.4210854715202004e-14</x:v>
      </x:c>
    </x:row>
    <x:row r="20">
      <x:c r="A20" s="270" t="str">
        <x:v>QB-0016</x:v>
      </x:c>
      <x:c r="B20" s="270" t="str">
        <x:v>Arch Manning</x:v>
      </x:c>
      <x:c r="C20" s="270" t="n">
        <x:v>84</x:v>
      </x:c>
      <x:c r="D20" s="270" t="str">
        <x:v>Pocket Passer</x:v>
      </x:c>
      <x:c r="E20" s="270" t="str">
        <x:v>Core Rare</x:v>
      </x:c>
      <x:c r="F20" s="270" t="n">
        <x:v>83</x:v>
      </x:c>
      <x:c r="G20" s="270" t="n">
        <x:v>81</x:v>
      </x:c>
      <x:c r="H20" s="270" t="n">
        <x:v>80</x:v>
      </x:c>
      <x:c r="I20" s="270" t="n">
        <x:v>78</x:v>
      </x:c>
      <x:c r="J20" s="270" t="n">
        <x:v>60</x:v>
      </x:c>
      <x:c r="K20" s="270" t="n">
        <x:v>85</x:v>
      </x:c>
      <x:c r="L20" s="270" t="n">
        <x:v>86</x:v>
      </x:c>
      <x:c r="M20" s="270" t="n">
        <x:v>85</x:v>
      </x:c>
      <x:c r="N20" s="270" t="n">
        <x:v>81</x:v>
      </x:c>
      <x:c r="O20" s="270" t="n">
        <x:v>83</x:v>
      </x:c>
      <x:c r="P20" s="270" t="n">
        <x:v>83</x:v>
      </x:c>
      <x:c r="Q20" s="270" t="n">
        <x:v>78</x:v>
      </x:c>
      <x:c r="R20" s="270" t="n">
        <x:v>79</x:v>
      </x:c>
      <x:c r="S20" s="270" t="n">
        <x:v>80</x:v>
      </x:c>
      <x:c r="T20" s="270" t="n">
        <x:v>77</x:v>
      </x:c>
      <x:c r="U20" s="270" t="str">
        <x:v>SRC-QB-001</x:v>
      </x:c>
      <x:c r="V20" s="270" t="str">
        <x:v>all qb.pdf p.16</x:v>
      </x:c>
      <x:c r="W20" s="270" t="str">
        <x:v>PRIMARY 80+ POPULATION</x:v>
      </x:c>
      <x:c r="X20" s="270" t="str">
        <x:v>INDEPENDENT HOLDOUT</x:v>
      </x:c>
      <x:c r="Y20" s="270" t="str">
        <x:v>Pocket Passer|83-81-80-78-60-85-86-85-81-83-83-78-79-80-77</x:v>
      </x:c>
      <x:c r="Z20" s="270" t="str"/>
      <x:c r="AA20" s="288" t="n">
        <x:v>81.77000000000001</x:v>
      </x:c>
      <x:c r="AB20" s="288" t="n">
        <x:f>(3*F20+1*G20+8*H20+10*I20+0*J20+0*K20+18*L20+0*M20+12*N20+12*O20+18*P20+1*Q20+9*R20+4*S20+4*T20)/100</x:f>
        <x:v>81.77</x:v>
      </x:c>
      <x:c r="AC20" s="288" t="n">
        <x:f>AB20-AA20</x:f>
        <x:v>-1.4210854715202004e-14</x:v>
      </x:c>
    </x:row>
    <x:row r="21">
      <x:c r="A21" s="267" t="str">
        <x:v>QB-0017</x:v>
      </x:c>
      <x:c r="B21" s="267" t="str">
        <x:v>Darian Mensah</x:v>
      </x:c>
      <x:c r="C21" s="267" t="n">
        <x:v>84</x:v>
      </x:c>
      <x:c r="D21" s="267" t="str">
        <x:v>Pocket Passer</x:v>
      </x:c>
      <x:c r="E21" s="267" t="str">
        <x:v>Platinum Rare</x:v>
      </x:c>
      <x:c r="F21" s="267" t="n">
        <x:v>76</x:v>
      </x:c>
      <x:c r="G21" s="267" t="n">
        <x:v>78</x:v>
      </x:c>
      <x:c r="H21" s="267" t="n">
        <x:v>81</x:v>
      </x:c>
      <x:c r="I21" s="267" t="n">
        <x:v>79</x:v>
      </x:c>
      <x:c r="J21" s="267" t="n">
        <x:v>47</x:v>
      </x:c>
      <x:c r="K21" s="267" t="n">
        <x:v>80</x:v>
      </x:c>
      <x:c r="L21" s="267" t="n">
        <x:v>82</x:v>
      </x:c>
      <x:c r="M21" s="267" t="n">
        <x:v>74</x:v>
      </x:c>
      <x:c r="N21" s="267" t="n">
        <x:v>83</x:v>
      </x:c>
      <x:c r="O21" s="267" t="n">
        <x:v>83</x:v>
      </x:c>
      <x:c r="P21" s="267" t="n">
        <x:v>81</x:v>
      </x:c>
      <x:c r="Q21" s="267" t="n">
        <x:v>79</x:v>
      </x:c>
      <x:c r="R21" s="267" t="n">
        <x:v>82</x:v>
      </x:c>
      <x:c r="S21" s="267" t="n">
        <x:v>82</x:v>
      </x:c>
      <x:c r="T21" s="267" t="n">
        <x:v>76</x:v>
      </x:c>
      <x:c r="U21" s="267" t="str">
        <x:v>SRC-QB-001</x:v>
      </x:c>
      <x:c r="V21" s="267" t="str">
        <x:v>all qb.pdf p.17</x:v>
      </x:c>
      <x:c r="W21" s="267" t="str">
        <x:v>PRIMARY 80+ POPULATION</x:v>
      </x:c>
      <x:c r="X21" s="267" t="str">
        <x:v>DEVELOPMENT</x:v>
      </x:c>
      <x:c r="Y21" s="267" t="str">
        <x:v>Pocket Passer|76-78-81-79-47-80-82-74-83-83-81-79-82-82-76</x:v>
      </x:c>
      <x:c r="Z21" s="267" t="str"/>
      <x:c r="AA21" s="287" t="n">
        <x:v>81.19000000000001</x:v>
      </x:c>
      <x:c r="AB21" s="287" t="n">
        <x:f>(3*F21+1*G21+8*H21+10*I21+0*J21+0*K21+18*L21+0*M21+12*N21+12*O21+18*P21+1*Q21+9*R21+4*S21+4*T21)/100</x:f>
        <x:v>81.19</x:v>
      </x:c>
      <x:c r="AC21" s="287" t="n">
        <x:f>AB21-AA21</x:f>
        <x:v>-1.4210854715202004e-14</x:v>
      </x:c>
    </x:row>
    <x:row r="22">
      <x:c r="A22" s="270" t="str">
        <x:v>QB-0018</x:v>
      </x:c>
      <x:c r="B22" s="270" t="str">
        <x:v>Julian Sayin</x:v>
      </x:c>
      <x:c r="C22" s="270" t="n">
        <x:v>84</x:v>
      </x:c>
      <x:c r="D22" s="270" t="str">
        <x:v>Pocket Passer</x:v>
      </x:c>
      <x:c r="E22" s="270" t="str">
        <x:v>Core Rare</x:v>
      </x:c>
      <x:c r="F22" s="270" t="n">
        <x:v>75</x:v>
      </x:c>
      <x:c r="G22" s="270" t="n">
        <x:v>76</x:v>
      </x:c>
      <x:c r="H22" s="270" t="n">
        <x:v>75</x:v>
      </x:c>
      <x:c r="I22" s="270" t="n">
        <x:v>78</x:v>
      </x:c>
      <x:c r="J22" s="270" t="n">
        <x:v>46</x:v>
      </x:c>
      <x:c r="K22" s="270" t="n">
        <x:v>80</x:v>
      </x:c>
      <x:c r="L22" s="270" t="n">
        <x:v>84</x:v>
      </x:c>
      <x:c r="M22" s="270" t="n">
        <x:v>71</x:v>
      </x:c>
      <x:c r="N22" s="270" t="n">
        <x:v>83</x:v>
      </x:c>
      <x:c r="O22" s="270" t="n">
        <x:v>83</x:v>
      </x:c>
      <x:c r="P22" s="270" t="n">
        <x:v>83</x:v>
      </x:c>
      <x:c r="Q22" s="270" t="n">
        <x:v>75</x:v>
      </x:c>
      <x:c r="R22" s="270" t="n">
        <x:v>82</x:v>
      </x:c>
      <x:c r="S22" s="270" t="n">
        <x:v>80</x:v>
      </x:c>
      <x:c r="T22" s="270" t="n">
        <x:v>69</x:v>
      </x:c>
      <x:c r="U22" s="270" t="str">
        <x:v>SRC-QB-001</x:v>
      </x:c>
      <x:c r="V22" s="270" t="str">
        <x:v>all qb.pdf p.18</x:v>
      </x:c>
      <x:c r="W22" s="270" t="str">
        <x:v>PRIMARY 80+ POPULATION</x:v>
      </x:c>
      <x:c r="X22" s="270" t="str">
        <x:v>DEVELOPMENT</x:v>
      </x:c>
      <x:c r="Y22" s="270" t="str">
        <x:v>Pocket Passer|75-76-75-78-46-80-84-71-83-83-83-75-82-80-69</x:v>
      </x:c>
      <x:c r="Z22" s="270" t="str"/>
      <x:c r="AA22" s="288" t="n">
        <x:v>80.88000000000001</x:v>
      </x:c>
      <x:c r="AB22" s="288" t="n">
        <x:f>(3*F22+1*G22+8*H22+10*I22+0*J22+0*K22+18*L22+0*M22+12*N22+12*O22+18*P22+1*Q22+9*R22+4*S22+4*T22)/100</x:f>
        <x:v>80.88</x:v>
      </x:c>
      <x:c r="AC22" s="288" t="n">
        <x:f>AB22-AA22</x:f>
        <x:v>-1.4210854715202004e-14</x:v>
      </x:c>
    </x:row>
    <x:row r="23">
      <x:c r="A23" s="267" t="str">
        <x:v>QB-0019</x:v>
      </x:c>
      <x:c r="B23" s="267" t="str">
        <x:v>Bear Bachmeier</x:v>
      </x:c>
      <x:c r="C23" s="267" t="n">
        <x:v>83</x:v>
      </x:c>
      <x:c r="D23" s="267" t="str">
        <x:v>Pocket Passer</x:v>
      </x:c>
      <x:c r="E23" s="267" t="str">
        <x:v>Phenoms</x:v>
      </x:c>
      <x:c r="F23" s="267" t="n">
        <x:v>81</x:v>
      </x:c>
      <x:c r="G23" s="267" t="n">
        <x:v>81</x:v>
      </x:c>
      <x:c r="H23" s="267" t="n">
        <x:v>80</x:v>
      </x:c>
      <x:c r="I23" s="267" t="n">
        <x:v>70</x:v>
      </x:c>
      <x:c r="J23" s="267" t="n">
        <x:v>57</x:v>
      </x:c>
      <x:c r="K23" s="267" t="n">
        <x:v>83</x:v>
      </x:c>
      <x:c r="L23" s="267" t="n">
        <x:v>82</x:v>
      </x:c>
      <x:c r="M23" s="267" t="n">
        <x:v>83</x:v>
      </x:c>
      <x:c r="N23" s="267" t="n">
        <x:v>83</x:v>
      </x:c>
      <x:c r="O23" s="267" t="n">
        <x:v>81</x:v>
      </x:c>
      <x:c r="P23" s="267" t="n">
        <x:v>81</x:v>
      </x:c>
      <x:c r="Q23" s="267" t="n">
        <x:v>81</x:v>
      </x:c>
      <x:c r="R23" s="267" t="n">
        <x:v>81</x:v>
      </x:c>
      <x:c r="S23" s="267" t="n">
        <x:v>80</x:v>
      </x:c>
      <x:c r="T23" s="267" t="n">
        <x:v>81</x:v>
      </x:c>
      <x:c r="U23" s="267" t="str">
        <x:v>SRC-QB-001</x:v>
      </x:c>
      <x:c r="V23" s="267" t="str">
        <x:v>all qb.pdf p.19</x:v>
      </x:c>
      <x:c r="W23" s="267" t="str">
        <x:v>PRIMARY 80+ POPULATION</x:v>
      </x:c>
      <x:c r="X23" s="267" t="str">
        <x:v>DEVELOPMENT</x:v>
      </x:c>
      <x:c r="Y23" s="267" t="str">
        <x:v>Pocket Passer|81-81-80-70-57-83-82-83-83-81-81-81-81-80-81</x:v>
      </x:c>
      <x:c r="Z23" s="267" t="str"/>
      <x:c r="AA23" s="287" t="n">
        <x:v>80.2</x:v>
      </x:c>
      <x:c r="AB23" s="287" t="n">
        <x:f>(3*F23+1*G23+8*H23+10*I23+0*J23+0*K23+18*L23+0*M23+12*N23+12*O23+18*P23+1*Q23+9*R23+4*S23+4*T23)/100</x:f>
        <x:v>80.2</x:v>
      </x:c>
      <x:c r="AC23" s="287" t="n">
        <x:f>AB23-AA23</x:f>
        <x:v>0</x:v>
      </x:c>
    </x:row>
    <x:row r="24">
      <x:c r="A24" s="270" t="str">
        <x:v>QB-0020</x:v>
      </x:c>
      <x:c r="B24" s="270" t="str">
        <x:v>Baylor Hayes</x:v>
      </x:c>
      <x:c r="C24" s="270" t="n">
        <x:v>83</x:v>
      </x:c>
      <x:c r="D24" s="270" t="str">
        <x:v>Pocket Passer</x:v>
      </x:c>
      <x:c r="E24" s="270" t="str">
        <x:v>Sunday Spotlight: Retro</x:v>
      </x:c>
      <x:c r="F24" s="270" t="n">
        <x:v>78</x:v>
      </x:c>
      <x:c r="G24" s="270" t="n">
        <x:v>77</x:v>
      </x:c>
      <x:c r="H24" s="270" t="n">
        <x:v>76</x:v>
      </x:c>
      <x:c r="I24" s="270" t="n">
        <x:v>73</x:v>
      </x:c>
      <x:c r="J24" s="270" t="n">
        <x:v>76</x:v>
      </x:c>
      <x:c r="K24" s="270" t="n">
        <x:v>83</x:v>
      </x:c>
      <x:c r="L24" s="270" t="n">
        <x:v>86</x:v>
      </x:c>
      <x:c r="M24" s="270" t="n">
        <x:v>83</x:v>
      </x:c>
      <x:c r="N24" s="270" t="n">
        <x:v>86</x:v>
      </x:c>
      <x:c r="O24" s="270" t="n">
        <x:v>78</x:v>
      </x:c>
      <x:c r="P24" s="270" t="n">
        <x:v>79</x:v>
      </x:c>
      <x:c r="Q24" s="270" t="n">
        <x:v>78</x:v>
      </x:c>
      <x:c r="R24" s="270" t="n">
        <x:v>81</x:v>
      </x:c>
      <x:c r="S24" s="270" t="n">
        <x:v>74</x:v>
      </x:c>
      <x:c r="T24" s="270" t="n">
        <x:v>78</x:v>
      </x:c>
      <x:c r="U24" s="270" t="str">
        <x:v>SRC-QB-001</x:v>
      </x:c>
      <x:c r="V24" s="270" t="str">
        <x:v>all qb.pdf p.20</x:v>
      </x:c>
      <x:c r="W24" s="270" t="str">
        <x:v>PRIMARY 80+ POPULATION</x:v>
      </x:c>
      <x:c r="X24" s="270" t="str">
        <x:v>DEVELOPMENT</x:v>
      </x:c>
      <x:c r="Y24" s="270" t="str">
        <x:v>Pocket Passer|78-77-76-73-76-83-86-83-86-78-79-78-81-74-78</x:v>
      </x:c>
      <x:c r="Z24" s="270" t="str"/>
      <x:c r="AA24" s="288" t="n">
        <x:v>80.02000000000001</x:v>
      </x:c>
      <x:c r="AB24" s="288" t="n">
        <x:f>(3*F24+1*G24+8*H24+10*I24+0*J24+0*K24+18*L24+0*M24+12*N24+12*O24+18*P24+1*Q24+9*R24+4*S24+4*T24)/100</x:f>
        <x:v>80.02</x:v>
      </x:c>
      <x:c r="AC24" s="288" t="n">
        <x:f>AB24-AA24</x:f>
        <x:v>-1.4210854715202004e-14</x:v>
      </x:c>
    </x:row>
    <x:row r="25">
      <x:c r="A25" s="267" t="str">
        <x:v>QB-0021</x:v>
      </x:c>
      <x:c r="B25" s="267" t="str">
        <x:v>Caden Veltkamp</x:v>
      </x:c>
      <x:c r="C25" s="267" t="n">
        <x:v>83</x:v>
      </x:c>
      <x:c r="D25" s="267" t="str">
        <x:v>Pocket Passer</x:v>
      </x:c>
      <x:c r="E25" s="267" t="str">
        <x:v>Cornerstones</x:v>
      </x:c>
      <x:c r="F25" s="267" t="n">
        <x:v>79</x:v>
      </x:c>
      <x:c r="G25" s="267" t="n">
        <x:v>79</x:v>
      </x:c>
      <x:c r="H25" s="267" t="n">
        <x:v>77</x:v>
      </x:c>
      <x:c r="I25" s="267" t="n">
        <x:v>80</x:v>
      </x:c>
      <x:c r="J25" s="267" t="n">
        <x:v>81</x:v>
      </x:c>
      <x:c r="K25" s="267" t="n">
        <x:v>90</x:v>
      </x:c>
      <x:c r="L25" s="267" t="n">
        <x:v>84</x:v>
      </x:c>
      <x:c r="M25" s="267" t="n">
        <x:v>72</x:v>
      </x:c>
      <x:c r="N25" s="267" t="n">
        <x:v>81</x:v>
      </x:c>
      <x:c r="O25" s="267" t="n">
        <x:v>80</x:v>
      </x:c>
      <x:c r="P25" s="267" t="n">
        <x:v>78</x:v>
      </x:c>
      <x:c r="Q25" s="267" t="n">
        <x:v>75</x:v>
      </x:c>
      <x:c r="R25" s="267" t="n">
        <x:v>80</x:v>
      </x:c>
      <x:c r="S25" s="267" t="n">
        <x:v>79</x:v>
      </x:c>
      <x:c r="T25" s="267" t="n">
        <x:v>77</x:v>
      </x:c>
      <x:c r="U25" s="267" t="str">
        <x:v>SRC-QB-001</x:v>
      </x:c>
      <x:c r="V25" s="267" t="str">
        <x:v>all qb.pdf p.21</x:v>
      </x:c>
      <x:c r="W25" s="267" t="str">
        <x:v>PRIMARY 80+ POPULATION</x:v>
      </x:c>
      <x:c r="X25" s="267" t="str">
        <x:v>INDEPENDENT HOLDOUT</x:v>
      </x:c>
      <x:c r="Y25" s="267" t="str">
        <x:v>Pocket Passer|79-79-77-80-81-90-84-72-81-80-78-75-80-79-77</x:v>
      </x:c>
      <x:c r="Z25" s="267" t="str"/>
      <x:c r="AA25" s="287" t="n">
        <x:v>79.99</x:v>
      </x:c>
      <x:c r="AB25" s="287" t="n">
        <x:f>(3*F25+1*G25+8*H25+10*I25+0*J25+0*K25+18*L25+0*M25+12*N25+12*O25+18*P25+1*Q25+9*R25+4*S25+4*T25)/100</x:f>
        <x:v>79.99</x:v>
      </x:c>
      <x:c r="AC25" s="287" t="n">
        <x:f>AB25-AA25</x:f>
        <x:v>0</x:v>
      </x:c>
    </x:row>
    <x:row r="26">
      <x:c r="A26" s="270" t="str">
        <x:v>QB-0022</x:v>
      </x:c>
      <x:c r="B26" s="270" t="str">
        <x:v>Byrum Brown</x:v>
      </x:c>
      <x:c r="C26" s="270" t="n">
        <x:v>83</x:v>
      </x:c>
      <x:c r="D26" s="270" t="str">
        <x:v>Dual Threat</x:v>
      </x:c>
      <x:c r="E26" s="270" t="str">
        <x:v>Core Rare</x:v>
      </x:c>
      <x:c r="F26" s="270" t="n">
        <x:v>81</x:v>
      </x:c>
      <x:c r="G26" s="270" t="n">
        <x:v>79</x:v>
      </x:c>
      <x:c r="H26" s="270" t="n">
        <x:v>78</x:v>
      </x:c>
      <x:c r="I26" s="270" t="n">
        <x:v>73</x:v>
      </x:c>
      <x:c r="J26" s="270" t="n">
        <x:v>74</x:v>
      </x:c>
      <x:c r="K26" s="270" t="n">
        <x:v>83</x:v>
      </x:c>
      <x:c r="L26" s="270" t="n">
        <x:v>82</x:v>
      </x:c>
      <x:c r="M26" s="270" t="n">
        <x:v>83</x:v>
      </x:c>
      <x:c r="N26" s="270" t="n">
        <x:v>77</x:v>
      </x:c>
      <x:c r="O26" s="270" t="n">
        <x:v>84</x:v>
      </x:c>
      <x:c r="P26" s="270" t="n">
        <x:v>79</x:v>
      </x:c>
      <x:c r="Q26" s="270" t="n">
        <x:v>86</x:v>
      </x:c>
      <x:c r="R26" s="270" t="n">
        <x:v>79</x:v>
      </x:c>
      <x:c r="S26" s="270" t="n">
        <x:v>74</x:v>
      </x:c>
      <x:c r="T26" s="270" t="n">
        <x:v>82</x:v>
      </x:c>
      <x:c r="U26" s="270" t="str">
        <x:v>SRC-QB-001</x:v>
      </x:c>
      <x:c r="V26" s="270" t="str">
        <x:v>all qb.pdf p.22</x:v>
      </x:c>
      <x:c r="W26" s="270" t="str">
        <x:v>PRIMARY 80+ POPULATION</x:v>
      </x:c>
      <x:c r="X26" s="270" t="str">
        <x:v>DEVELOPMENT</x:v>
      </x:c>
      <x:c r="Y26" s="270" t="str">
        <x:v>Dual Threat|81-79-78-73-74-83-82-83-77-84-79-86-79-74-82</x:v>
      </x:c>
      <x:c r="Z26" s="270" t="str"/>
      <x:c r="AA26" s="288" t="n">
        <x:v>79.27</x:v>
      </x:c>
      <x:c r="AB26" s="288" t="n">
        <x:f>(3*F26+1*G26+8*H26+10*I26+0*J26+0*K26+18*L26+0*M26+12*N26+12*O26+18*P26+1*Q26+9*R26+4*S26+4*T26)/100</x:f>
        <x:v>79.27</x:v>
      </x:c>
      <x:c r="AC26" s="288" t="n">
        <x:f>AB26-AA26</x:f>
        <x:v>0</x:v>
      </x:c>
    </x:row>
    <x:row r="27">
      <x:c r="A27" s="267" t="str">
        <x:v>QB-0023</x:v>
      </x:c>
      <x:c r="B27" s="267" t="str">
        <x:v>Devon Dampier</x:v>
      </x:c>
      <x:c r="C27" s="267" t="n">
        <x:v>83</x:v>
      </x:c>
      <x:c r="D27" s="267" t="str">
        <x:v>Pure Runner</x:v>
      </x:c>
      <x:c r="E27" s="267" t="str">
        <x:v>Core Rare</x:v>
      </x:c>
      <x:c r="F27" s="267" t="n">
        <x:v>80</x:v>
      </x:c>
      <x:c r="G27" s="267" t="n">
        <x:v>81</x:v>
      </x:c>
      <x:c r="H27" s="267" t="n">
        <x:v>81</x:v>
      </x:c>
      <x:c r="I27" s="267" t="n">
        <x:v>80</x:v>
      </x:c>
      <x:c r="J27" s="267" t="n">
        <x:v>71</x:v>
      </x:c>
      <x:c r="K27" s="267" t="n">
        <x:v>80</x:v>
      </x:c>
      <x:c r="L27" s="267" t="n">
        <x:v>80</x:v>
      </x:c>
      <x:c r="M27" s="267" t="n">
        <x:v>78</x:v>
      </x:c>
      <x:c r="N27" s="267" t="n">
        <x:v>79</x:v>
      </x:c>
      <x:c r="O27" s="267" t="n">
        <x:v>80</x:v>
      </x:c>
      <x:c r="P27" s="267" t="n">
        <x:v>80</x:v>
      </x:c>
      <x:c r="Q27" s="267" t="n">
        <x:v>87</x:v>
      </x:c>
      <x:c r="R27" s="267" t="n">
        <x:v>79</x:v>
      </x:c>
      <x:c r="S27" s="267" t="n">
        <x:v>81</x:v>
      </x:c>
      <x:c r="T27" s="267" t="n">
        <x:v>83</x:v>
      </x:c>
      <x:c r="U27" s="267" t="str">
        <x:v>SRC-QB-001</x:v>
      </x:c>
      <x:c r="V27" s="267" t="str">
        <x:v>all qb.pdf p.23</x:v>
      </x:c>
      <x:c r="W27" s="267" t="str">
        <x:v>PRIMARY 80+ POPULATION</x:v>
      </x:c>
      <x:c r="X27" s="289" t="str">
        <x:v>RESEARCH ONLY — INSUFFICIENT</x:v>
      </x:c>
      <x:c r="Y27" s="267" t="str">
        <x:v>Pure Runner|80-81-81-80-71-80-80-78-79-80-80-87-79-81-83</x:v>
      </x:c>
      <x:c r="Z27" s="267" t="str"/>
      <x:c r="AA27" s="287" t="n">
        <x:v>80.11</x:v>
      </x:c>
      <x:c r="AB27" s="287" t="n">
        <x:f>(3*F27+1*G27+8*H27+10*I27+0*J27+0*K27+18*L27+0*M27+12*N27+12*O27+18*P27+1*Q27+9*R27+4*S27+4*T27)/100</x:f>
        <x:v>80.11</x:v>
      </x:c>
      <x:c r="AC27" s="287" t="n">
        <x:f>AB27-AA27</x:f>
        <x:v>0</x:v>
      </x:c>
    </x:row>
    <x:row r="28">
      <x:c r="A28" s="270" t="str">
        <x:v>QB-0024</x:v>
      </x:c>
      <x:c r="B28" s="270" t="str">
        <x:v>Noah Fifita</x:v>
      </x:c>
      <x:c r="C28" s="270" t="n">
        <x:v>83</x:v>
      </x:c>
      <x:c r="D28" s="270" t="str">
        <x:v>Pocket Passer</x:v>
      </x:c>
      <x:c r="E28" s="270" t="str">
        <x:v>Core Rare</x:v>
      </x:c>
      <x:c r="F28" s="270" t="n">
        <x:v>77</x:v>
      </x:c>
      <x:c r="G28" s="270" t="n">
        <x:v>79</x:v>
      </x:c>
      <x:c r="H28" s="270" t="n">
        <x:v>76</x:v>
      </x:c>
      <x:c r="I28" s="270" t="n">
        <x:v>73</x:v>
      </x:c>
      <x:c r="J28" s="270" t="n">
        <x:v>74</x:v>
      </x:c>
      <x:c r="K28" s="270" t="n">
        <x:v>83</x:v>
      </x:c>
      <x:c r="L28" s="270" t="n">
        <x:v>86</x:v>
      </x:c>
      <x:c r="M28" s="270" t="n">
        <x:v>83</x:v>
      </x:c>
      <x:c r="N28" s="270" t="n">
        <x:v>81</x:v>
      </x:c>
      <x:c r="O28" s="270" t="n">
        <x:v>78</x:v>
      </x:c>
      <x:c r="P28" s="270" t="n">
        <x:v>86</x:v>
      </x:c>
      <x:c r="Q28" s="270" t="n">
        <x:v>78</x:v>
      </x:c>
      <x:c r="R28" s="270" t="n">
        <x:v>77</x:v>
      </x:c>
      <x:c r="S28" s="270" t="n">
        <x:v>78</x:v>
      </x:c>
      <x:c r="T28" s="270" t="n">
        <x:v>76</x:v>
      </x:c>
      <x:c r="U28" s="270" t="str">
        <x:v>SRC-QB-001</x:v>
      </x:c>
      <x:c r="V28" s="270" t="str">
        <x:v>all qb.pdf p.24</x:v>
      </x:c>
      <x:c r="W28" s="270" t="str">
        <x:v>PRIMARY 80+ POPULATION</x:v>
      </x:c>
      <x:c r="X28" s="270" t="str">
        <x:v>INDEPENDENT HOLDOUT</x:v>
      </x:c>
      <x:c r="Y28" s="270" t="str">
        <x:v>Pocket Passer|77-79-76-73-74-83-86-83-81-78-86-78-77-78-76</x:v>
      </x:c>
      <x:c r="Z28" s="270" t="str"/>
      <x:c r="AA28" s="288" t="n">
        <x:v>80.39</x:v>
      </x:c>
      <x:c r="AB28" s="288" t="n">
        <x:f>(3*F28+1*G28+8*H28+10*I28+0*J28+0*K28+18*L28+0*M28+12*N28+12*O28+18*P28+1*Q28+9*R28+4*S28+4*T28)/100</x:f>
        <x:v>80.39</x:v>
      </x:c>
      <x:c r="AC28" s="288" t="n">
        <x:f>AB28-AA28</x:f>
        <x:v>0</x:v>
      </x:c>
    </x:row>
    <x:row r="29">
      <x:c r="A29" s="267" t="str">
        <x:v>QB-0025</x:v>
      </x:c>
      <x:c r="B29" s="267" t="str">
        <x:v>Kevin Jennings</x:v>
      </x:c>
      <x:c r="C29" s="267" t="n">
        <x:v>83</x:v>
      </x:c>
      <x:c r="D29" s="267" t="str">
        <x:v>Pocket Passer</x:v>
      </x:c>
      <x:c r="E29" s="267" t="str">
        <x:v>Platinum Rare</x:v>
      </x:c>
      <x:c r="F29" s="267" t="n">
        <x:v>79</x:v>
      </x:c>
      <x:c r="G29" s="267" t="n">
        <x:v>78</x:v>
      </x:c>
      <x:c r="H29" s="267" t="n">
        <x:v>75</x:v>
      </x:c>
      <x:c r="I29" s="267" t="n">
        <x:v>73</x:v>
      </x:c>
      <x:c r="J29" s="267" t="n">
        <x:v>75</x:v>
      </x:c>
      <x:c r="K29" s="267" t="n">
        <x:v>83</x:v>
      </x:c>
      <x:c r="L29" s="267" t="n">
        <x:v>86</x:v>
      </x:c>
      <x:c r="M29" s="267" t="n">
        <x:v>83</x:v>
      </x:c>
      <x:c r="N29" s="267" t="n">
        <x:v>83</x:v>
      </x:c>
      <x:c r="O29" s="267" t="n">
        <x:v>82</x:v>
      </x:c>
      <x:c r="P29" s="267" t="n">
        <x:v>81</x:v>
      </x:c>
      <x:c r="Q29" s="267" t="n">
        <x:v>77</x:v>
      </x:c>
      <x:c r="R29" s="267" t="n">
        <x:v>77</x:v>
      </x:c>
      <x:c r="S29" s="267" t="n">
        <x:v>76</x:v>
      </x:c>
      <x:c r="T29" s="267" t="n">
        <x:v>77</x:v>
      </x:c>
      <x:c r="U29" s="267" t="str">
        <x:v>SRC-QB-001</x:v>
      </x:c>
      <x:c r="V29" s="267" t="str">
        <x:v>all qb.pdf p.25</x:v>
      </x:c>
      <x:c r="W29" s="267" t="str">
        <x:v>PRIMARY 80+ POPULATION</x:v>
      </x:c>
      <x:c r="X29" s="267" t="str">
        <x:v>DEVELOPMENT</x:v>
      </x:c>
      <x:c r="Y29" s="267" t="str">
        <x:v>Pocket Passer|79-78-75-73-75-83-86-83-83-82-81-77-77-76-77</x:v>
      </x:c>
      <x:c r="Z29" s="267" t="str"/>
      <x:c r="AA29" s="287" t="n">
        <x:v>80.13</x:v>
      </x:c>
      <x:c r="AB29" s="287" t="n">
        <x:f>(3*F29+1*G29+8*H29+10*I29+0*J29+0*K29+18*L29+0*M29+12*N29+12*O29+18*P29+1*Q29+9*R29+4*S29+4*T29)/100</x:f>
        <x:v>80.13</x:v>
      </x:c>
      <x:c r="AC29" s="287" t="n">
        <x:f>AB29-AA29</x:f>
        <x:v>0</x:v>
      </x:c>
    </x:row>
    <x:row r="30">
      <x:c r="A30" s="270" t="str">
        <x:v>QB-0026</x:v>
      </x:c>
      <x:c r="B30" s="270" t="str">
        <x:v>DJ Lagway</x:v>
      </x:c>
      <x:c r="C30" s="270" t="n">
        <x:v>83</x:v>
      </x:c>
      <x:c r="D30" s="270" t="str">
        <x:v>Dual Threat</x:v>
      </x:c>
      <x:c r="E30" s="270" t="str">
        <x:v>Core Rare</x:v>
      </x:c>
      <x:c r="F30" s="270" t="n">
        <x:v>83</x:v>
      </x:c>
      <x:c r="G30" s="270" t="n">
        <x:v>80</x:v>
      </x:c>
      <x:c r="H30" s="270" t="n">
        <x:v>79</x:v>
      </x:c>
      <x:c r="I30" s="270" t="n">
        <x:v>70</x:v>
      </x:c>
      <x:c r="J30" s="270" t="n">
        <x:v>75</x:v>
      </x:c>
      <x:c r="K30" s="270" t="n">
        <x:v>80</x:v>
      </x:c>
      <x:c r="L30" s="270" t="n">
        <x:v>86</x:v>
      </x:c>
      <x:c r="M30" s="270" t="n">
        <x:v>75</x:v>
      </x:c>
      <x:c r="N30" s="270" t="n">
        <x:v>86</x:v>
      </x:c>
      <x:c r="O30" s="270" t="n">
        <x:v>83</x:v>
      </x:c>
      <x:c r="P30" s="270" t="n">
        <x:v>80</x:v>
      </x:c>
      <x:c r="Q30" s="270" t="n">
        <x:v>80</x:v>
      </x:c>
      <x:c r="R30" s="270" t="n">
        <x:v>70</x:v>
      </x:c>
      <x:c r="S30" s="270" t="n">
        <x:v>80</x:v>
      </x:c>
      <x:c r="T30" s="270" t="n">
        <x:v>82</x:v>
      </x:c>
      <x:c r="U30" s="270" t="str">
        <x:v>SRC-QB-001</x:v>
      </x:c>
      <x:c r="V30" s="270" t="str">
        <x:v>all qb.pdf p.26</x:v>
      </x:c>
      <x:c r="W30" s="270" t="str">
        <x:v>PRIMARY 80+ POPULATION</x:v>
      </x:c>
      <x:c r="X30" s="270" t="str">
        <x:v>DEVELOPMENT</x:v>
      </x:c>
      <x:c r="Y30" s="270" t="str">
        <x:v>Dual Threat|83-80-79-70-75-80-86-75-86-83-80-80-70-80-82</x:v>
      </x:c>
      <x:c r="Z30" s="270" t="str"/>
      <x:c r="AA30" s="288" t="n">
        <x:v>80.35000000000001</x:v>
      </x:c>
      <x:c r="AB30" s="288" t="n">
        <x:f>(3*F30+1*G30+8*H30+10*I30+0*J30+0*K30+18*L30+0*M30+12*N30+12*O30+18*P30+1*Q30+9*R30+4*S30+4*T30)/100</x:f>
        <x:v>80.35</x:v>
      </x:c>
      <x:c r="AC30" s="288" t="n">
        <x:f>AB30-AA30</x:f>
        <x:v>-1.4210854715202004e-14</x:v>
      </x:c>
    </x:row>
    <x:row r="31">
      <x:c r="A31" s="267" t="str">
        <x:v>QB-0027</x:v>
      </x:c>
      <x:c r="B31" s="267" t="str">
        <x:v>Sam Leavitt</x:v>
      </x:c>
      <x:c r="C31" s="267" t="n">
        <x:v>83</x:v>
      </x:c>
      <x:c r="D31" s="267" t="str">
        <x:v>Pocket Passer</x:v>
      </x:c>
      <x:c r="E31" s="267" t="str">
        <x:v>Platinum Rare</x:v>
      </x:c>
      <x:c r="F31" s="267" t="n">
        <x:v>79</x:v>
      </x:c>
      <x:c r="G31" s="267" t="n">
        <x:v>75</x:v>
      </x:c>
      <x:c r="H31" s="267" t="n">
        <x:v>74</x:v>
      </x:c>
      <x:c r="I31" s="267" t="n">
        <x:v>73</x:v>
      </x:c>
      <x:c r="J31" s="267" t="n">
        <x:v>76</x:v>
      </x:c>
      <x:c r="K31" s="267" t="n">
        <x:v>83</x:v>
      </x:c>
      <x:c r="L31" s="267" t="n">
        <x:v>81</x:v>
      </x:c>
      <x:c r="M31" s="267" t="n">
        <x:v>83</x:v>
      </x:c>
      <x:c r="N31" s="267" t="n">
        <x:v>79</x:v>
      </x:c>
      <x:c r="O31" s="267" t="n">
        <x:v>84</x:v>
      </x:c>
      <x:c r="P31" s="267" t="n">
        <x:v>86</x:v>
      </x:c>
      <x:c r="Q31" s="267" t="n">
        <x:v>80</x:v>
      </x:c>
      <x:c r="R31" s="267" t="n">
        <x:v>79</x:v>
      </x:c>
      <x:c r="S31" s="267" t="n">
        <x:v>77</x:v>
      </x:c>
      <x:c r="T31" s="267" t="n">
        <x:v>77</x:v>
      </x:c>
      <x:c r="U31" s="267" t="str">
        <x:v>SRC-QB-001</x:v>
      </x:c>
      <x:c r="V31" s="267" t="str">
        <x:v>all qb.pdf p.27</x:v>
      </x:c>
      <x:c r="W31" s="267" t="str">
        <x:v>PRIMARY 80+ POPULATION</x:v>
      </x:c>
      <x:c r="X31" s="267" t="str">
        <x:v>INDEPENDENT HOLDOUT</x:v>
      </x:c>
      <x:c r="Y31" s="267" t="str">
        <x:v>Pocket Passer|79-75-74-73-76-83-81-83-79-84-86-80-79-77-77</x:v>
      </x:c>
      <x:c r="Z31" s="267" t="str"/>
      <x:c r="AA31" s="287" t="n">
        <x:v>80.03</x:v>
      </x:c>
      <x:c r="AB31" s="287" t="n">
        <x:f>(3*F31+1*G31+8*H31+10*I31+0*J31+0*K31+18*L31+0*M31+12*N31+12*O31+18*P31+1*Q31+9*R31+4*S31+4*T31)/100</x:f>
        <x:v>80.03</x:v>
      </x:c>
      <x:c r="AC31" s="287" t="n">
        <x:f>AB31-AA31</x:f>
        <x:v>0</x:v>
      </x:c>
    </x:row>
    <x:row r="32">
      <x:c r="A32" s="270" t="str">
        <x:v>QB-0028</x:v>
      </x:c>
      <x:c r="B32" s="270" t="str">
        <x:v>John Mateer</x:v>
      </x:c>
      <x:c r="C32" s="270" t="n">
        <x:v>83</x:v>
      </x:c>
      <x:c r="D32" s="270" t="str">
        <x:v>Pure Runner</x:v>
      </x:c>
      <x:c r="E32" s="270" t="str">
        <x:v>Platinum Rare</x:v>
      </x:c>
      <x:c r="F32" s="270" t="n">
        <x:v>82</x:v>
      </x:c>
      <x:c r="G32" s="270" t="n">
        <x:v>82</x:v>
      </x:c>
      <x:c r="H32" s="270" t="n">
        <x:v>85</x:v>
      </x:c>
      <x:c r="I32" s="270" t="n">
        <x:v>82</x:v>
      </x:c>
      <x:c r="J32" s="270" t="n">
        <x:v>73</x:v>
      </x:c>
      <x:c r="K32" s="270" t="n">
        <x:v>83</x:v>
      </x:c>
      <x:c r="L32" s="270" t="n">
        <x:v>81</x:v>
      </x:c>
      <x:c r="M32" s="270" t="n">
        <x:v>80</x:v>
      </x:c>
      <x:c r="N32" s="270" t="n">
        <x:v>80</x:v>
      </x:c>
      <x:c r="O32" s="270" t="n">
        <x:v>78</x:v>
      </x:c>
      <x:c r="P32" s="270" t="n">
        <x:v>83</x:v>
      </x:c>
      <x:c r="Q32" s="270" t="n">
        <x:v>82</x:v>
      </x:c>
      <x:c r="R32" s="270" t="n">
        <x:v>77</x:v>
      </x:c>
      <x:c r="S32" s="270" t="n">
        <x:v>78</x:v>
      </x:c>
      <x:c r="T32" s="270" t="n">
        <x:v>83</x:v>
      </x:c>
      <x:c r="U32" s="270" t="str">
        <x:v>SRC-QB-001</x:v>
      </x:c>
      <x:c r="V32" s="270" t="str">
        <x:v>all qb.pdf p.28</x:v>
      </x:c>
      <x:c r="W32" s="270" t="str">
        <x:v>PRIMARY 80+ POPULATION</x:v>
      </x:c>
      <x:c r="X32" s="289" t="str">
        <x:v>RESEARCH ONLY — INSUFFICIENT</x:v>
      </x:c>
      <x:c r="Y32" s="270" t="str">
        <x:v>Pure Runner|82-82-85-82-73-83-81-80-80-78-83-82-77-78-83</x:v>
      </x:c>
      <x:c r="Z32" s="270" t="str"/>
      <x:c r="AA32" s="288" t="n">
        <x:v>80.94999999999999</x:v>
      </x:c>
      <x:c r="AB32" s="288" t="n">
        <x:f>(3*F32+1*G32+8*H32+10*I32+0*J32+0*K32+18*L32+0*M32+12*N32+12*O32+18*P32+1*Q32+9*R32+4*S32+4*T32)/100</x:f>
        <x:v>80.95</x:v>
      </x:c>
      <x:c r="AC32" s="288" t="n">
        <x:f>AB32-AA32</x:f>
        <x:v>1.4210854715202004e-14</x:v>
      </x:c>
    </x:row>
    <x:row r="33">
      <x:c r="A33" s="267" t="str">
        <x:v>QB-0029</x:v>
      </x:c>
      <x:c r="B33" s="267" t="str">
        <x:v>Drew Mestemaker</x:v>
      </x:c>
      <x:c r="C33" s="267" t="n">
        <x:v>83</x:v>
      </x:c>
      <x:c r="D33" s="267" t="str">
        <x:v>Pocket Passer</x:v>
      </x:c>
      <x:c r="E33" s="267" t="str">
        <x:v>Core Rare</x:v>
      </x:c>
      <x:c r="F33" s="267" t="n">
        <x:v>77</x:v>
      </x:c>
      <x:c r="G33" s="267" t="n">
        <x:v>76</x:v>
      </x:c>
      <x:c r="H33" s="267" t="n">
        <x:v>76</x:v>
      </x:c>
      <x:c r="I33" s="267" t="n">
        <x:v>73</x:v>
      </x:c>
      <x:c r="J33" s="267" t="n">
        <x:v>75</x:v>
      </x:c>
      <x:c r="K33" s="267" t="n">
        <x:v>83</x:v>
      </x:c>
      <x:c r="L33" s="267" t="n">
        <x:v>86</x:v>
      </x:c>
      <x:c r="M33" s="267" t="n">
        <x:v>83</x:v>
      </x:c>
      <x:c r="N33" s="267" t="n">
        <x:v>80</x:v>
      </x:c>
      <x:c r="O33" s="267" t="n">
        <x:v>81</x:v>
      </x:c>
      <x:c r="P33" s="267" t="n">
        <x:v>84</x:v>
      </x:c>
      <x:c r="Q33" s="267" t="n">
        <x:v>80</x:v>
      </x:c>
      <x:c r="R33" s="267" t="n">
        <x:v>78</x:v>
      </x:c>
      <x:c r="S33" s="267" t="n">
        <x:v>78</x:v>
      </x:c>
      <x:c r="T33" s="267" t="n">
        <x:v>77</x:v>
      </x:c>
      <x:c r="U33" s="267" t="str">
        <x:v>SRC-QB-001</x:v>
      </x:c>
      <x:c r="V33" s="267" t="str">
        <x:v>all qb.pdf p.29</x:v>
      </x:c>
      <x:c r="W33" s="267" t="str">
        <x:v>PRIMARY 80+ POPULATION</x:v>
      </x:c>
      <x:c r="X33" s="267" t="str">
        <x:v>DEVELOPMENT</x:v>
      </x:c>
      <x:c r="Y33" s="267" t="str">
        <x:v>Pocket Passer|77-76-76-73-75-83-86-83-80-81-84-80-78-78-77</x:v>
      </x:c>
      <x:c r="Z33" s="267" t="str"/>
      <x:c r="AA33" s="287" t="n">
        <x:v>80.39</x:v>
      </x:c>
      <x:c r="AB33" s="287" t="n">
        <x:f>(3*F33+1*G33+8*H33+10*I33+0*J33+0*K33+18*L33+0*M33+12*N33+12*O33+18*P33+1*Q33+9*R33+4*S33+4*T33)/100</x:f>
        <x:v>80.39</x:v>
      </x:c>
      <x:c r="AC33" s="287" t="n">
        <x:f>AB33-AA33</x:f>
        <x:v>0</x:v>
      </x:c>
    </x:row>
    <x:row r="34">
      <x:c r="A34" s="270" t="str">
        <x:v>QB-0030</x:v>
      </x:c>
      <x:c r="B34" s="270" t="str">
        <x:v>Jaylen Raynor</x:v>
      </x:c>
      <x:c r="C34" s="270" t="n">
        <x:v>83</x:v>
      </x:c>
      <x:c r="D34" s="270" t="str">
        <x:v>Pocket Passer</x:v>
      </x:c>
      <x:c r="E34" s="270" t="str">
        <x:v>Countdown</x:v>
      </x:c>
      <x:c r="F34" s="270" t="n">
        <x:v>80</x:v>
      </x:c>
      <x:c r="G34" s="270" t="n">
        <x:v>80</x:v>
      </x:c>
      <x:c r="H34" s="270" t="n">
        <x:v>77</x:v>
      </x:c>
      <x:c r="I34" s="270" t="n">
        <x:v>78</x:v>
      </x:c>
      <x:c r="J34" s="270" t="n">
        <x:v>75</x:v>
      </x:c>
      <x:c r="K34" s="270" t="n">
        <x:v>83</x:v>
      </x:c>
      <x:c r="L34" s="270" t="n">
        <x:v>81</x:v>
      </x:c>
      <x:c r="M34" s="270" t="n">
        <x:v>83</x:v>
      </x:c>
      <x:c r="N34" s="270" t="n">
        <x:v>82</x:v>
      </x:c>
      <x:c r="O34" s="270" t="n">
        <x:v>81</x:v>
      </x:c>
      <x:c r="P34" s="270" t="n">
        <x:v>83</x:v>
      </x:c>
      <x:c r="Q34" s="270" t="n">
        <x:v>82</x:v>
      </x:c>
      <x:c r="R34" s="270" t="n">
        <x:v>75</x:v>
      </x:c>
      <x:c r="S34" s="270" t="n">
        <x:v>80</x:v>
      </x:c>
      <x:c r="T34" s="270" t="n">
        <x:v>79</x:v>
      </x:c>
      <x:c r="U34" s="270" t="str">
        <x:v>SRC-QB-001</x:v>
      </x:c>
      <x:c r="V34" s="270" t="str">
        <x:v>all qb.pdf p.30</x:v>
      </x:c>
      <x:c r="W34" s="270" t="str">
        <x:v>PRIMARY 80+ POPULATION</x:v>
      </x:c>
      <x:c r="X34" s="270" t="str">
        <x:v>DEVELOPMENT</x:v>
      </x:c>
      <x:c r="Y34" s="270" t="str">
        <x:v>Pocket Passer|80-80-77-78-75-83-81-83-82-81-83-82-75-80-79</x:v>
      </x:c>
      <x:c r="Z34" s="270" t="str"/>
      <x:c r="AA34" s="288" t="n">
        <x:v>80.16999999999999</x:v>
      </x:c>
      <x:c r="AB34" s="288" t="n">
        <x:f>(3*F34+1*G34+8*H34+10*I34+0*J34+0*K34+18*L34+0*M34+12*N34+12*O34+18*P34+1*Q34+9*R34+4*S34+4*T34)/100</x:f>
        <x:v>80.17</x:v>
      </x:c>
      <x:c r="AC34" s="288" t="n">
        <x:f>AB34-AA34</x:f>
        <x:v>1.4210854715202004e-14</x:v>
      </x:c>
    </x:row>
    <x:row r="35">
      <x:c r="A35" s="267" t="str">
        <x:v>QB-0031</x:v>
      </x:c>
      <x:c r="B35" s="267" t="str">
        <x:v>Josh Hoover</x:v>
      </x:c>
      <x:c r="C35" s="267" t="n">
        <x:v>82</x:v>
      </x:c>
      <x:c r="D35" s="267" t="str">
        <x:v>Pocket Passer</x:v>
      </x:c>
      <x:c r="E35" s="267" t="str">
        <x:v>Platinum Rare</x:v>
      </x:c>
      <x:c r="F35" s="267" t="n">
        <x:v>70</x:v>
      </x:c>
      <x:c r="G35" s="267" t="n">
        <x:v>65</x:v>
      </x:c>
      <x:c r="H35" s="267" t="n">
        <x:v>69</x:v>
      </x:c>
      <x:c r="I35" s="267" t="n">
        <x:v>82</x:v>
      </x:c>
      <x:c r="J35" s="267" t="n">
        <x:v>47</x:v>
      </x:c>
      <x:c r="K35" s="267" t="n">
        <x:v>80</x:v>
      </x:c>
      <x:c r="L35" s="267" t="n">
        <x:v>79</x:v>
      </x:c>
      <x:c r="M35" s="267" t="n">
        <x:v>83</x:v>
      </x:c>
      <x:c r="N35" s="267" t="n">
        <x:v>83</x:v>
      </x:c>
      <x:c r="O35" s="267" t="n">
        <x:v>82</x:v>
      </x:c>
      <x:c r="P35" s="267" t="n">
        <x:v>82</x:v>
      </x:c>
      <x:c r="Q35" s="267" t="n">
        <x:v>68</x:v>
      </x:c>
      <x:c r="R35" s="267" t="n">
        <x:v>82</x:v>
      </x:c>
      <x:c r="S35" s="267" t="n">
        <x:v>82</x:v>
      </x:c>
      <x:c r="T35" s="267" t="n">
        <x:v>65</x:v>
      </x:c>
      <x:c r="U35" s="267" t="str">
        <x:v>SRC-QB-001</x:v>
      </x:c>
      <x:c r="V35" s="267" t="str">
        <x:v>all qb.pdf p.31</x:v>
      </x:c>
      <x:c r="W35" s="267" t="str">
        <x:v>PRIMARY 80+ POPULATION</x:v>
      </x:c>
      <x:c r="X35" s="267" t="str">
        <x:v>INDEPENDENT HOLDOUT</x:v>
      </x:c>
      <x:c r="Y35" s="267" t="str">
        <x:v>Pocket Passer|70-65-69-82-47-80-79-83-83-82-82-68-82-82-65</x:v>
      </x:c>
      <x:c r="Z35" s="267" t="str"/>
      <x:c r="AA35" s="287" t="n">
        <x:v>79.19</x:v>
      </x:c>
      <x:c r="AB35" s="287" t="n">
        <x:f>(3*F35+1*G35+8*H35+10*I35+0*J35+0*K35+18*L35+0*M35+12*N35+12*O35+18*P35+1*Q35+9*R35+4*S35+4*T35)/100</x:f>
        <x:v>79.19</x:v>
      </x:c>
      <x:c r="AC35" s="287" t="n">
        <x:f>AB35-AA35</x:f>
        <x:v>0</x:v>
      </x:c>
    </x:row>
    <x:row r="36">
      <x:c r="A36" s="270" t="str">
        <x:v>QB-0032</x:v>
      </x:c>
      <x:c r="B36" s="270" t="str">
        <x:v>Nico Iamaleava</x:v>
      </x:c>
      <x:c r="C36" s="270" t="n">
        <x:v>82</x:v>
      </x:c>
      <x:c r="D36" s="270" t="str">
        <x:v>Pocket Passer</x:v>
      </x:c>
      <x:c r="E36" s="270" t="str">
        <x:v>Platinum Rare</x:v>
      </x:c>
      <x:c r="F36" s="270" t="n">
        <x:v>78</x:v>
      </x:c>
      <x:c r="G36" s="270" t="n">
        <x:v>76</x:v>
      </x:c>
      <x:c r="H36" s="270" t="n">
        <x:v>76</x:v>
      </x:c>
      <x:c r="I36" s="270" t="n">
        <x:v>79</x:v>
      </x:c>
      <x:c r="J36" s="270" t="n">
        <x:v>64</x:v>
      </x:c>
      <x:c r="K36" s="270" t="n">
        <x:v>81</x:v>
      </x:c>
      <x:c r="L36" s="270" t="n">
        <x:v>81</x:v>
      </x:c>
      <x:c r="M36" s="270" t="n">
        <x:v>74</x:v>
      </x:c>
      <x:c r="N36" s="270" t="n">
        <x:v>78</x:v>
      </x:c>
      <x:c r="O36" s="270" t="n">
        <x:v>80</x:v>
      </x:c>
      <x:c r="P36" s="270" t="n">
        <x:v>79</x:v>
      </x:c>
      <x:c r="Q36" s="270" t="n">
        <x:v>78</x:v>
      </x:c>
      <x:c r="R36" s="270" t="n">
        <x:v>79</x:v>
      </x:c>
      <x:c r="S36" s="270" t="n">
        <x:v>75</x:v>
      </x:c>
      <x:c r="T36" s="270" t="n">
        <x:v>81</x:v>
      </x:c>
      <x:c r="U36" s="270" t="str">
        <x:v>SRC-QB-001</x:v>
      </x:c>
      <x:c r="V36" s="270" t="str">
        <x:v>all qb.pdf p.32</x:v>
      </x:c>
      <x:c r="W36" s="270" t="str">
        <x:v>PRIMARY 80+ POPULATION</x:v>
      </x:c>
      <x:c r="X36" s="270" t="str">
        <x:v>DEVELOPMENT</x:v>
      </x:c>
      <x:c r="Y36" s="270" t="str">
        <x:v>Pocket Passer|78-76-76-79-64-81-81-74-78-80-79-78-79-75-81</x:v>
      </x:c>
      <x:c r="Z36" s="270" t="str"/>
      <x:c r="AA36" s="288" t="n">
        <x:v>78.97</x:v>
      </x:c>
      <x:c r="AB36" s="288" t="n">
        <x:f>(3*F36+1*G36+8*H36+10*I36+0*J36+0*K36+18*L36+0*M36+12*N36+12*O36+18*P36+1*Q36+9*R36+4*S36+4*T36)/100</x:f>
        <x:v>78.97</x:v>
      </x:c>
      <x:c r="AC36" s="288" t="n">
        <x:f>AB36-AA36</x:f>
        <x:v>0</x:v>
      </x:c>
    </x:row>
    <x:row r="37">
      <x:c r="A37" s="267" t="str">
        <x:v>QB-0033</x:v>
      </x:c>
      <x:c r="B37" s="267" t="str">
        <x:v>Avery Johnson</x:v>
      </x:c>
      <x:c r="C37" s="267" t="n">
        <x:v>82</x:v>
      </x:c>
      <x:c r="D37" s="267" t="str">
        <x:v>Backfield Creator</x:v>
      </x:c>
      <x:c r="E37" s="267" t="str">
        <x:v>Platinum Rare</x:v>
      </x:c>
      <x:c r="F37" s="267" t="n">
        <x:v>80</x:v>
      </x:c>
      <x:c r="G37" s="267" t="n">
        <x:v>81</x:v>
      </x:c>
      <x:c r="H37" s="267" t="n">
        <x:v>81</x:v>
      </x:c>
      <x:c r="I37" s="267" t="n">
        <x:v>81</x:v>
      </x:c>
      <x:c r="J37" s="267" t="n">
        <x:v>54</x:v>
      </x:c>
      <x:c r="K37" s="267" t="n">
        <x:v>81</x:v>
      </x:c>
      <x:c r="L37" s="267" t="n">
        <x:v>74</x:v>
      </x:c>
      <x:c r="M37" s="267" t="n">
        <x:v>70</x:v>
      </x:c>
      <x:c r="N37" s="267" t="n">
        <x:v>80</x:v>
      </x:c>
      <x:c r="O37" s="267" t="n">
        <x:v>79</x:v>
      </x:c>
      <x:c r="P37" s="267" t="n">
        <x:v>80</x:v>
      </x:c>
      <x:c r="Q37" s="267" t="n">
        <x:v>82</x:v>
      </x:c>
      <x:c r="R37" s="267" t="n">
        <x:v>80</x:v>
      </x:c>
      <x:c r="S37" s="267" t="n">
        <x:v>81</x:v>
      </x:c>
      <x:c r="T37" s="267" t="n">
        <x:v>80</x:v>
      </x:c>
      <x:c r="U37" s="267" t="str">
        <x:v>SRC-QB-001</x:v>
      </x:c>
      <x:c r="V37" s="267" t="str">
        <x:v>all qb.pdf p.33</x:v>
      </x:c>
      <x:c r="W37" s="267" t="str">
        <x:v>PRIMARY 80+ POPULATION</x:v>
      </x:c>
      <x:c r="X37" s="267" t="str">
        <x:v>INDEPENDENT HOLDOUT</x:v>
      </x:c>
      <x:c r="Y37" s="267" t="str">
        <x:v>Backfield Creator|80-81-81-81-54-81-74-70-80-79-80-82-80-81-80</x:v>
      </x:c>
      <x:c r="Z37" s="267" t="str"/>
      <x:c r="AA37" s="287" t="n">
        <x:v>79.05</x:v>
      </x:c>
      <x:c r="AB37" s="287" t="n">
        <x:f>(3*F37+1*G37+8*H37+10*I37+0*J37+0*K37+18*L37+0*M37+12*N37+12*O37+18*P37+1*Q37+9*R37+4*S37+4*T37)/100</x:f>
        <x:v>79.05</x:v>
      </x:c>
      <x:c r="AC37" s="287" t="n">
        <x:f>AB37-AA37</x:f>
        <x:v>0</x:v>
      </x:c>
    </x:row>
    <x:row r="38">
      <x:c r="A38" s="270" t="str">
        <x:v>QB-0034</x:v>
      </x:c>
      <x:c r="B38" s="270" t="str">
        <x:v>Marcel Reed</x:v>
      </x:c>
      <x:c r="C38" s="270" t="n">
        <x:v>82</x:v>
      </x:c>
      <x:c r="D38" s="270" t="str">
        <x:v>Dual Threat</x:v>
      </x:c>
      <x:c r="E38" s="270" t="str">
        <x:v>Platinum Rare</x:v>
      </x:c>
      <x:c r="F38" s="270" t="n">
        <x:v>81</x:v>
      </x:c>
      <x:c r="G38" s="270" t="n">
        <x:v>85</x:v>
      </x:c>
      <x:c r="H38" s="270" t="n">
        <x:v>81</x:v>
      </x:c>
      <x:c r="I38" s="270" t="n">
        <x:v>78</x:v>
      </x:c>
      <x:c r="J38" s="270" t="n">
        <x:v>47</x:v>
      </x:c>
      <x:c r="K38" s="270" t="n">
        <x:v>80</x:v>
      </x:c>
      <x:c r="L38" s="270" t="n">
        <x:v>75</x:v>
      </x:c>
      <x:c r="M38" s="270" t="n">
        <x:v>70</x:v>
      </x:c>
      <x:c r="N38" s="270" t="n">
        <x:v>79</x:v>
      </x:c>
      <x:c r="O38" s="270" t="n">
        <x:v>80</x:v>
      </x:c>
      <x:c r="P38" s="270" t="n">
        <x:v>78</x:v>
      </x:c>
      <x:c r="Q38" s="270" t="n">
        <x:v>81</x:v>
      </x:c>
      <x:c r="R38" s="270" t="n">
        <x:v>78</x:v>
      </x:c>
      <x:c r="S38" s="270" t="n">
        <x:v>75</x:v>
      </x:c>
      <x:c r="T38" s="270" t="n">
        <x:v>80</x:v>
      </x:c>
      <x:c r="U38" s="270" t="str">
        <x:v>SRC-QB-001</x:v>
      </x:c>
      <x:c r="V38" s="270" t="str">
        <x:v>all qb.pdf p.34</x:v>
      </x:c>
      <x:c r="W38" s="270" t="str">
        <x:v>PRIMARY 80+ POPULATION</x:v>
      </x:c>
      <x:c r="X38" s="270" t="str">
        <x:v>INDEPENDENT HOLDOUT</x:v>
      </x:c>
      <x:c r="Y38" s="270" t="str">
        <x:v>Dual Threat|81-85-81-78-47-80-75-70-79-80-78-81-78-75-80</x:v>
      </x:c>
      <x:c r="Z38" s="270" t="str"/>
      <x:c r="AA38" s="288" t="n">
        <x:v>78.21000000000001</x:v>
      </x:c>
      <x:c r="AB38" s="288" t="n">
        <x:f>(3*F38+1*G38+8*H38+10*I38+0*J38+0*K38+18*L38+0*M38+12*N38+12*O38+18*P38+1*Q38+9*R38+4*S38+4*T38)/100</x:f>
        <x:v>78.21</x:v>
      </x:c>
      <x:c r="AC38" s="288" t="n">
        <x:f>AB38-AA38</x:f>
        <x:v>-1.4210854715202004e-14</x:v>
      </x:c>
    </x:row>
    <x:row r="39">
      <x:c r="A39" s="267" t="str">
        <x:v>QB-0035</x:v>
      </x:c>
      <x:c r="B39" s="267" t="str">
        <x:v>LaNorris Sellers</x:v>
      </x:c>
      <x:c r="C39" s="267" t="n">
        <x:v>82</x:v>
      </x:c>
      <x:c r="D39" s="267" t="str">
        <x:v>Dual Threat</x:v>
      </x:c>
      <x:c r="E39" s="267" t="str">
        <x:v>Platinum Rare</x:v>
      </x:c>
      <x:c r="F39" s="267" t="n">
        <x:v>81</x:v>
      </x:c>
      <x:c r="G39" s="267" t="n">
        <x:v>81</x:v>
      </x:c>
      <x:c r="H39" s="267" t="n">
        <x:v>81</x:v>
      </x:c>
      <x:c r="I39" s="267" t="n">
        <x:v>77</x:v>
      </x:c>
      <x:c r="J39" s="267" t="n">
        <x:v>66</x:v>
      </x:c>
      <x:c r="K39" s="267" t="n">
        <x:v>82</x:v>
      </x:c>
      <x:c r="L39" s="267" t="n">
        <x:v>81</x:v>
      </x:c>
      <x:c r="M39" s="267" t="n">
        <x:v>81</x:v>
      </x:c>
      <x:c r="N39" s="267" t="n">
        <x:v>78</x:v>
      </x:c>
      <x:c r="O39" s="267" t="n">
        <x:v>79</x:v>
      </x:c>
      <x:c r="P39" s="267" t="n">
        <x:v>78</x:v>
      </x:c>
      <x:c r="Q39" s="267" t="n">
        <x:v>81</x:v>
      </x:c>
      <x:c r="R39" s="267" t="n">
        <x:v>75</x:v>
      </x:c>
      <x:c r="S39" s="267" t="n">
        <x:v>77</x:v>
      </x:c>
      <x:c r="T39" s="267" t="n">
        <x:v>82</x:v>
      </x:c>
      <x:c r="U39" s="267" t="str">
        <x:v>SRC-QB-001</x:v>
      </x:c>
      <x:c r="V39" s="267" t="str">
        <x:v>all qb.pdf p.35</x:v>
      </x:c>
      <x:c r="W39" s="267" t="str">
        <x:v>PRIMARY 80+ POPULATION</x:v>
      </x:c>
      <x:c r="X39" s="267" t="str">
        <x:v>DEVELOPMENT</x:v>
      </x:c>
      <x:c r="Y39" s="267" t="str">
        <x:v>Dual Threat|81-81-81-77-66-82-81-81-78-79-78-81-75-77-82</x:v>
      </x:c>
      <x:c r="Z39" s="267" t="str"/>
      <x:c r="AA39" s="287" t="n">
        <x:v>78.8</x:v>
      </x:c>
      <x:c r="AB39" s="287" t="n">
        <x:f>(3*F39+1*G39+8*H39+10*I39+0*J39+0*K39+18*L39+0*M39+12*N39+12*O39+18*P39+1*Q39+9*R39+4*S39+4*T39)/100</x:f>
        <x:v>78.8</x:v>
      </x:c>
      <x:c r="AC39" s="287" t="n">
        <x:f>AB39-AA39</x:f>
        <x:v>0</x:v>
      </x:c>
    </x:row>
    <x:row r="40">
      <x:c r="A40" s="270" t="str">
        <x:v>QB-0036</x:v>
      </x:c>
      <x:c r="B40" s="270" t="str">
        <x:v>Demond Williams Jr.</x:v>
      </x:c>
      <x:c r="C40" s="270" t="n">
        <x:v>82</x:v>
      </x:c>
      <x:c r="D40" s="270" t="str">
        <x:v>Backfield Creator</x:v>
      </x:c>
      <x:c r="E40" s="270" t="str">
        <x:v>Core Rare</x:v>
      </x:c>
      <x:c r="F40" s="270" t="n">
        <x:v>85</x:v>
      </x:c>
      <x:c r="G40" s="270" t="n">
        <x:v>80</x:v>
      </x:c>
      <x:c r="H40" s="270" t="n">
        <x:v>80</x:v>
      </x:c>
      <x:c r="I40" s="270" t="n">
        <x:v>78</x:v>
      </x:c>
      <x:c r="J40" s="270" t="n">
        <x:v>42</x:v>
      </x:c>
      <x:c r="K40" s="270" t="n">
        <x:v>82</x:v>
      </x:c>
      <x:c r="L40" s="270" t="n">
        <x:v>81</x:v>
      </x:c>
      <x:c r="M40" s="270" t="n">
        <x:v>70</x:v>
      </x:c>
      <x:c r="N40" s="270" t="n">
        <x:v>80</x:v>
      </x:c>
      <x:c r="O40" s="270" t="n">
        <x:v>80</x:v>
      </x:c>
      <x:c r="P40" s="270" t="n">
        <x:v>80</x:v>
      </x:c>
      <x:c r="Q40" s="270" t="n">
        <x:v>80</x:v>
      </x:c>
      <x:c r="R40" s="270" t="n">
        <x:v>78</x:v>
      </x:c>
      <x:c r="S40" s="270" t="n">
        <x:v>79</x:v>
      </x:c>
      <x:c r="T40" s="270" t="n">
        <x:v>79</x:v>
      </x:c>
      <x:c r="U40" s="270" t="str">
        <x:v>SRC-QB-001</x:v>
      </x:c>
      <x:c r="V40" s="270" t="str">
        <x:v>all qb.pdf p.36</x:v>
      </x:c>
      <x:c r="W40" s="270" t="str">
        <x:v>PRIMARY 80+ POPULATION</x:v>
      </x:c>
      <x:c r="X40" s="270" t="str">
        <x:v>DEVELOPMENT</x:v>
      </x:c>
      <x:c r="Y40" s="270" t="str">
        <x:v>Backfield Creator|85-80-80-78-42-82-81-70-80-80-80-80-78-79-79</x:v>
      </x:c>
      <x:c r="Z40" s="270" t="str"/>
      <x:c r="AA40" s="288" t="n">
        <x:v>79.86999999999999</x:v>
      </x:c>
      <x:c r="AB40" s="288" t="n">
        <x:f>(3*F40+1*G40+8*H40+10*I40+0*J40+0*K40+18*L40+0*M40+12*N40+12*O40+18*P40+1*Q40+9*R40+4*S40+4*T40)/100</x:f>
        <x:v>79.87</x:v>
      </x:c>
      <x:c r="AC40" s="288" t="n">
        <x:f>AB40-AA40</x:f>
        <x:v>1.4210854715202004e-14</x:v>
      </x:c>
    </x:row>
    <x:row r="41">
      <x:c r="A41" s="267" t="str">
        <x:v>QB-0037</x:v>
      </x:c>
      <x:c r="B41" s="267" t="str">
        <x:v>Aidan Chiles</x:v>
      </x:c>
      <x:c r="C41" s="267" t="n">
        <x:v>81</x:v>
      </x:c>
      <x:c r="D41" s="267" t="str">
        <x:v>Pocket Passer</x:v>
      </x:c>
      <x:c r="E41" s="267" t="str">
        <x:v>Prime Prospects</x:v>
      </x:c>
      <x:c r="F41" s="267" t="n">
        <x:v>79</x:v>
      </x:c>
      <x:c r="G41" s="267" t="n">
        <x:v>76</x:v>
      </x:c>
      <x:c r="H41" s="267" t="n">
        <x:v>76</x:v>
      </x:c>
      <x:c r="I41" s="267" t="n">
        <x:v>78</x:v>
      </x:c>
      <x:c r="J41" s="267" t="n">
        <x:v>73</x:v>
      </x:c>
      <x:c r="K41" s="267" t="n">
        <x:v>81</x:v>
      </x:c>
      <x:c r="L41" s="267" t="n">
        <x:v>81</x:v>
      </x:c>
      <x:c r="M41" s="267" t="n">
        <x:v>81</x:v>
      </x:c>
      <x:c r="N41" s="267" t="n">
        <x:v>79</x:v>
      </x:c>
      <x:c r="O41" s="267" t="n">
        <x:v>79</x:v>
      </x:c>
      <x:c r="P41" s="267" t="n">
        <x:v>79</x:v>
      </x:c>
      <x:c r="Q41" s="267" t="n">
        <x:v>78</x:v>
      </x:c>
      <x:c r="R41" s="267" t="n">
        <x:v>75</x:v>
      </x:c>
      <x:c r="S41" s="267" t="n">
        <x:v>71</x:v>
      </x:c>
      <x:c r="T41" s="267" t="n">
        <x:v>78</x:v>
      </x:c>
      <x:c r="U41" s="267" t="str">
        <x:v>SRC-QB-001</x:v>
      </x:c>
      <x:c r="V41" s="267" t="str">
        <x:v>all qb.pdf p.37</x:v>
      </x:c>
      <x:c r="W41" s="267" t="str">
        <x:v>PRIMARY 80+ POPULATION</x:v>
      </x:c>
      <x:c r="X41" s="267" t="str">
        <x:v>INDEPENDENT HOLDOUT</x:v>
      </x:c>
      <x:c r="Y41" s="267" t="str">
        <x:v>Pocket Passer|79-76-76-78-73-81-81-81-79-79-79-78-75-71-78</x:v>
      </x:c>
      <x:c r="Z41" s="267" t="str"/>
      <x:c r="AA41" s="287" t="n">
        <x:v>78.26000000000002</x:v>
      </x:c>
      <x:c r="AB41" s="287" t="n">
        <x:f>(3*F41+1*G41+8*H41+10*I41+0*J41+0*K41+18*L41+0*M41+12*N41+12*O41+18*P41+1*Q41+9*R41+4*S41+4*T41)/100</x:f>
        <x:v>78.26</x:v>
      </x:c>
      <x:c r="AC41" s="287" t="n">
        <x:f>AB41-AA41</x:f>
        <x:v>-1.4210854715202004e-14</x:v>
      </x:c>
    </x:row>
    <x:row r="42">
      <x:c r="A42" s="270" t="str">
        <x:v>QB-0038</x:v>
      </x:c>
      <x:c r="B42" s="270" t="str">
        <x:v>Joey Harrington</x:v>
      </x:c>
      <x:c r="C42" s="270" t="n">
        <x:v>81</x:v>
      </x:c>
      <x:c r="D42" s="270" t="str">
        <x:v>Pocket Passer</x:v>
      </x:c>
      <x:c r="E42" s="270" t="str">
        <x:v>SI Legends - Millennium</x:v>
      </x:c>
      <x:c r="F42" s="270" t="n">
        <x:v>77</x:v>
      </x:c>
      <x:c r="G42" s="270" t="n">
        <x:v>79</x:v>
      </x:c>
      <x:c r="H42" s="270" t="n">
        <x:v>76</x:v>
      </x:c>
      <x:c r="I42" s="270" t="n">
        <x:v>80</x:v>
      </x:c>
      <x:c r="J42" s="270" t="n">
        <x:v>78</x:v>
      </x:c>
      <x:c r="K42" s="270" t="n">
        <x:v>90</x:v>
      </x:c>
      <x:c r="L42" s="270" t="n">
        <x:v>79</x:v>
      </x:c>
      <x:c r="M42" s="270" t="n">
        <x:v>86</x:v>
      </x:c>
      <x:c r="N42" s="270" t="n">
        <x:v>81</x:v>
      </x:c>
      <x:c r="O42" s="270" t="n">
        <x:v>81</x:v>
      </x:c>
      <x:c r="P42" s="270" t="n">
        <x:v>76</x:v>
      </x:c>
      <x:c r="Q42" s="270" t="n">
        <x:v>79</x:v>
      </x:c>
      <x:c r="R42" s="270" t="n">
        <x:v>75</x:v>
      </x:c>
      <x:c r="S42" s="270" t="n">
        <x:v>75</x:v>
      </x:c>
      <x:c r="T42" s="270" t="n">
        <x:v>78</x:v>
      </x:c>
      <x:c r="U42" s="270" t="str">
        <x:v>SRC-QB-001</x:v>
      </x:c>
      <x:c r="V42" s="270" t="str">
        <x:v>all qb.pdf p.38</x:v>
      </x:c>
      <x:c r="W42" s="270" t="str">
        <x:v>PRIMARY 80+ POPULATION</x:v>
      </x:c>
      <x:c r="X42" s="270" t="str">
        <x:v>DEVELOPMENT</x:v>
      </x:c>
      <x:c r="Y42" s="270" t="str">
        <x:v>Pocket Passer|77-79-76-80-78-90-79-86-81-81-76-79-75-75-78</x:v>
      </x:c>
      <x:c r="Z42" s="270" t="str"/>
      <x:c r="AA42" s="288" t="n">
        <x:v>78.18</x:v>
      </x:c>
      <x:c r="AB42" s="288" t="n">
        <x:f>(3*F42+1*G42+8*H42+10*I42+0*J42+0*K42+18*L42+0*M42+12*N42+12*O42+18*P42+1*Q42+9*R42+4*S42+4*T42)/100</x:f>
        <x:v>78.18</x:v>
      </x:c>
      <x:c r="AC42" s="288" t="n">
        <x:f>AB42-AA42</x:f>
        <x:v>0</x:v>
      </x:c>
    </x:row>
    <x:row r="43">
      <x:c r="A43" s="267" t="str">
        <x:v>QB-0039</x:v>
      </x:c>
      <x:c r="B43" s="267" t="str">
        <x:v>Dante Moore</x:v>
      </x:c>
      <x:c r="C43" s="267" t="n">
        <x:v>81</x:v>
      </x:c>
      <x:c r="D43" s="267" t="str">
        <x:v>Pocket Passer</x:v>
      </x:c>
      <x:c r="E43" s="267" t="str">
        <x:v>Bonus Content</x:v>
      </x:c>
      <x:c r="F43" s="267" t="n">
        <x:v>80</x:v>
      </x:c>
      <x:c r="G43" s="267" t="n">
        <x:v>71</x:v>
      </x:c>
      <x:c r="H43" s="267" t="n">
        <x:v>74</x:v>
      </x:c>
      <x:c r="I43" s="267" t="n">
        <x:v>77</x:v>
      </x:c>
      <x:c r="J43" s="267" t="n">
        <x:v>60</x:v>
      </x:c>
      <x:c r="K43" s="267" t="n">
        <x:v>90</x:v>
      </x:c>
      <x:c r="L43" s="267" t="n">
        <x:v>79</x:v>
      </x:c>
      <x:c r="M43" s="267" t="n">
        <x:v>76</x:v>
      </x:c>
      <x:c r="N43" s="267" t="n">
        <x:v>81</x:v>
      </x:c>
      <x:c r="O43" s="267" t="n">
        <x:v>81</x:v>
      </x:c>
      <x:c r="P43" s="267" t="n">
        <x:v>81</x:v>
      </x:c>
      <x:c r="Q43" s="267" t="n">
        <x:v>76</x:v>
      </x:c>
      <x:c r="R43" s="267" t="n">
        <x:v>77</x:v>
      </x:c>
      <x:c r="S43" s="267" t="n">
        <x:v>77</x:v>
      </x:c>
      <x:c r="T43" s="267" t="n">
        <x:v>76</x:v>
      </x:c>
      <x:c r="U43" s="267" t="str">
        <x:v>SRC-QB-001</x:v>
      </x:c>
      <x:c r="V43" s="267" t="str">
        <x:v>all qb.pdf p.39</x:v>
      </x:c>
      <x:c r="W43" s="267" t="str">
        <x:v>PRIMARY 80+ POPULATION</x:v>
      </x:c>
      <x:c r="X43" s="267" t="str">
        <x:v>DEVELOPMENT</x:v>
      </x:c>
      <x:c r="Y43" s="267" t="str">
        <x:v>Pocket Passer|80-71-74-77-60-90-79-76-81-81-81-76-77-77-76</x:v>
      </x:c>
      <x:c r="Z43" s="267" t="str"/>
      <x:c r="AA43" s="287" t="n">
        <x:v>78.78</x:v>
      </x:c>
      <x:c r="AB43" s="287" t="n">
        <x:f>(3*F43+1*G43+8*H43+10*I43+0*J43+0*K43+18*L43+0*M43+12*N43+12*O43+18*P43+1*Q43+9*R43+4*S43+4*T43)/100</x:f>
        <x:v>78.78</x:v>
      </x:c>
      <x:c r="AC43" s="287" t="n">
        <x:f>AB43-AA43</x:f>
        <x:v>0</x:v>
      </x:c>
    </x:row>
    <x:row r="44">
      <x:c r="A44" s="270" t="str">
        <x:v>QB-0040</x:v>
      </x:c>
      <x:c r="B44" s="270" t="str">
        <x:v>Micah Alejado</x:v>
      </x:c>
      <x:c r="C44" s="270" t="n">
        <x:v>81</x:v>
      </x:c>
      <x:c r="D44" s="270" t="str">
        <x:v>Pocket Passer</x:v>
      </x:c>
      <x:c r="E44" s="270" t="str">
        <x:v>Core Rare</x:v>
      </x:c>
      <x:c r="F44" s="270" t="n">
        <x:v>83</x:v>
      </x:c>
      <x:c r="G44" s="270" t="n">
        <x:v>80</x:v>
      </x:c>
      <x:c r="H44" s="270" t="n">
        <x:v>78</x:v>
      </x:c>
      <x:c r="I44" s="270" t="n">
        <x:v>80</x:v>
      </x:c>
      <x:c r="J44" s="270" t="n">
        <x:v>40</x:v>
      </x:c>
      <x:c r="K44" s="270" t="n">
        <x:v>80</x:v>
      </x:c>
      <x:c r="L44" s="270" t="n">
        <x:v>70</x:v>
      </x:c>
      <x:c r="M44" s="270" t="n">
        <x:v>70</x:v>
      </x:c>
      <x:c r="N44" s="270" t="n">
        <x:v>82</x:v>
      </x:c>
      <x:c r="O44" s="270" t="n">
        <x:v>82</x:v>
      </x:c>
      <x:c r="P44" s="270" t="n">
        <x:v>81</x:v>
      </x:c>
      <x:c r="Q44" s="270" t="n">
        <x:v>70</x:v>
      </x:c>
      <x:c r="R44" s="270" t="n">
        <x:v>82</x:v>
      </x:c>
      <x:c r="S44" s="270" t="n">
        <x:v>69</x:v>
      </x:c>
      <x:c r="T44" s="270" t="n">
        <x:v>66</x:v>
      </x:c>
      <x:c r="U44" s="270" t="str">
        <x:v>SRC-QB-001</x:v>
      </x:c>
      <x:c r="V44" s="270" t="str">
        <x:v>all qb.pdf p.40</x:v>
      </x:c>
      <x:c r="W44" s="270" t="str">
        <x:v>PRIMARY 80+ POPULATION</x:v>
      </x:c>
      <x:c r="X44" s="270" t="str">
        <x:v>DEVELOPMENT</x:v>
      </x:c>
      <x:c r="Y44" s="270" t="str">
        <x:v>Pocket Passer|83-80-78-80-40-80-70-70-82-82-81-70-82-69-66</x:v>
      </x:c>
      <x:c r="Z44" s="270" t="str"/>
      <x:c r="AA44" s="288" t="n">
        <x:v>77.87</x:v>
      </x:c>
      <x:c r="AB44" s="288" t="n">
        <x:f>(3*F44+1*G44+8*H44+10*I44+0*J44+0*K44+18*L44+0*M44+12*N44+12*O44+18*P44+1*Q44+9*R44+4*S44+4*T44)/100</x:f>
        <x:v>77.87</x:v>
      </x:c>
      <x:c r="AC44" s="288" t="n">
        <x:f>AB44-AA44</x:f>
        <x:v>0</x:v>
      </x:c>
    </x:row>
    <x:row r="45">
      <x:c r="A45" s="267" t="str">
        <x:v>QB-0041</x:v>
      </x:c>
      <x:c r="B45" s="267" t="str">
        <x:v>Bear Bachmeier</x:v>
      </x:c>
      <x:c r="C45" s="267" t="n">
        <x:v>81</x:v>
      </x:c>
      <x:c r="D45" s="267" t="str">
        <x:v>Pocket Passer</x:v>
      </x:c>
      <x:c r="E45" s="267" t="str">
        <x:v>Platinum Rare</x:v>
      </x:c>
      <x:c r="F45" s="267" t="n">
        <x:v>78</x:v>
      </x:c>
      <x:c r="G45" s="267" t="n">
        <x:v>79</x:v>
      </x:c>
      <x:c r="H45" s="267" t="n">
        <x:v>77</x:v>
      </x:c>
      <x:c r="I45" s="267" t="n">
        <x:v>79</x:v>
      </x:c>
      <x:c r="J45" s="267" t="n">
        <x:v>57</x:v>
      </x:c>
      <x:c r="K45" s="267" t="n">
        <x:v>81</x:v>
      </x:c>
      <x:c r="L45" s="267" t="n">
        <x:v>72</x:v>
      </x:c>
      <x:c r="M45" s="267" t="n">
        <x:v>81</x:v>
      </x:c>
      <x:c r="N45" s="267" t="n">
        <x:v>80</x:v>
      </x:c>
      <x:c r="O45" s="267" t="n">
        <x:v>79</x:v>
      </x:c>
      <x:c r="P45" s="267" t="n">
        <x:v>79</x:v>
      </x:c>
      <x:c r="Q45" s="267" t="n">
        <x:v>80</x:v>
      </x:c>
      <x:c r="R45" s="267" t="n">
        <x:v>81</x:v>
      </x:c>
      <x:c r="S45" s="267" t="n">
        <x:v>79</x:v>
      </x:c>
      <x:c r="T45" s="267" t="n">
        <x:v>80</x:v>
      </x:c>
      <x:c r="U45" s="267" t="str">
        <x:v>SRC-QB-001</x:v>
      </x:c>
      <x:c r="V45" s="267" t="str">
        <x:v>all qb.pdf p.41</x:v>
      </x:c>
      <x:c r="W45" s="267" t="str">
        <x:v>PRIMARY 80+ POPULATION</x:v>
      </x:c>
      <x:c r="X45" s="267" t="str">
        <x:v>DEVELOPMENT</x:v>
      </x:c>
      <x:c r="Y45" s="267" t="str">
        <x:v>Pocket Passer|78-79-77-79-57-81-72-81-80-79-79-80-81-79-80</x:v>
      </x:c>
      <x:c r="Z45" s="267" t="str"/>
      <x:c r="AA45" s="287" t="n">
        <x:v>77.9</x:v>
      </x:c>
      <x:c r="AB45" s="287" t="n">
        <x:f>(3*F45+1*G45+8*H45+10*I45+0*J45+0*K45+18*L45+0*M45+12*N45+12*O45+18*P45+1*Q45+9*R45+4*S45+4*T45)/100</x:f>
        <x:v>77.9</x:v>
      </x:c>
      <x:c r="AC45" s="287" t="n">
        <x:f>AB45-AA45</x:f>
        <x:v>0</x:v>
      </x:c>
    </x:row>
    <x:row r="46">
      <x:c r="A46" s="270" t="str">
        <x:v>QB-0042</x:v>
      </x:c>
      <x:c r="B46" s="270" t="str">
        <x:v>Alonza Barnett III</x:v>
      </x:c>
      <x:c r="C46" s="270" t="n">
        <x:v>81</x:v>
      </x:c>
      <x:c r="D46" s="270" t="str">
        <x:v>Backfield Creator</x:v>
      </x:c>
      <x:c r="E46" s="270" t="str">
        <x:v>Platinum Rare</x:v>
      </x:c>
      <x:c r="F46" s="270" t="n">
        <x:v>84</x:v>
      </x:c>
      <x:c r="G46" s="270" t="n">
        <x:v>80</x:v>
      </x:c>
      <x:c r="H46" s="270" t="n">
        <x:v>80</x:v>
      </x:c>
      <x:c r="I46" s="270" t="n">
        <x:v>79</x:v>
      </x:c>
      <x:c r="J46" s="270" t="n">
        <x:v>55</x:v>
      </x:c>
      <x:c r="K46" s="270" t="n">
        <x:v>80</x:v>
      </x:c>
      <x:c r="L46" s="270" t="n">
        <x:v>72</x:v>
      </x:c>
      <x:c r="M46" s="270" t="n">
        <x:v>70</x:v>
      </x:c>
      <x:c r="N46" s="270" t="n">
        <x:v>80</x:v>
      </x:c>
      <x:c r="O46" s="270" t="n">
        <x:v>81</x:v>
      </x:c>
      <x:c r="P46" s="270" t="n">
        <x:v>79</x:v>
      </x:c>
      <x:c r="Q46" s="270" t="n">
        <x:v>81</x:v>
      </x:c>
      <x:c r="R46" s="270" t="n">
        <x:v>80</x:v>
      </x:c>
      <x:c r="S46" s="270" t="n">
        <x:v>78</x:v>
      </x:c>
      <x:c r="T46" s="270" t="n">
        <x:v>80</x:v>
      </x:c>
      <x:c r="U46" s="270" t="str">
        <x:v>SRC-QB-001</x:v>
      </x:c>
      <x:c r="V46" s="270" t="str">
        <x:v>all qb.pdf p.42</x:v>
      </x:c>
      <x:c r="W46" s="270" t="str">
        <x:v>PRIMARY 80+ POPULATION</x:v>
      </x:c>
      <x:c r="X46" s="270" t="str">
        <x:v>DEVELOPMENT</x:v>
      </x:c>
      <x:c r="Y46" s="270" t="str">
        <x:v>Backfield Creator|84-80-80-79-55-80-72-70-80-81-79-81-80-78-80</x:v>
      </x:c>
      <x:c r="Z46" s="270" t="str"/>
      <x:c r="AA46" s="288" t="n">
        <x:v>78.45000000000002</x:v>
      </x:c>
      <x:c r="AB46" s="288" t="n">
        <x:f>(3*F46+1*G46+8*H46+10*I46+0*J46+0*K46+18*L46+0*M46+12*N46+12*O46+18*P46+1*Q46+9*R46+4*S46+4*T46)/100</x:f>
        <x:v>78.45</x:v>
      </x:c>
      <x:c r="AC46" s="288" t="n">
        <x:f>AB46-AA46</x:f>
        <x:v>-1.4210854715202004e-14</x:v>
      </x:c>
    </x:row>
    <x:row r="47">
      <x:c r="A47" s="267" t="str">
        <x:v>QB-0043</x:v>
      </x:c>
      <x:c r="B47" s="267" t="str">
        <x:v>Anthony Colandrea</x:v>
      </x:c>
      <x:c r="C47" s="267" t="n">
        <x:v>81</x:v>
      </x:c>
      <x:c r="D47" s="267" t="str">
        <x:v>Pocket Passer</x:v>
      </x:c>
      <x:c r="E47" s="267" t="str">
        <x:v>Core Rare</x:v>
      </x:c>
      <x:c r="F47" s="267" t="n">
        <x:v>78</x:v>
      </x:c>
      <x:c r="G47" s="267" t="n">
        <x:v>77</x:v>
      </x:c>
      <x:c r="H47" s="267" t="n">
        <x:v>74</x:v>
      </x:c>
      <x:c r="I47" s="267" t="n">
        <x:v>80</x:v>
      </x:c>
      <x:c r="J47" s="267" t="n">
        <x:v>45</x:v>
      </x:c>
      <x:c r="K47" s="267" t="n">
        <x:v>80</x:v>
      </x:c>
      <x:c r="L47" s="267" t="n">
        <x:v>74</x:v>
      </x:c>
      <x:c r="M47" s="267" t="n">
        <x:v>72</x:v>
      </x:c>
      <x:c r="N47" s="267" t="n">
        <x:v>79</x:v>
      </x:c>
      <x:c r="O47" s="267" t="n">
        <x:v>85</x:v>
      </x:c>
      <x:c r="P47" s="267" t="n">
        <x:v>81</x:v>
      </x:c>
      <x:c r="Q47" s="267" t="n">
        <x:v>78</x:v>
      </x:c>
      <x:c r="R47" s="267" t="n">
        <x:v>79</x:v>
      </x:c>
      <x:c r="S47" s="267" t="n">
        <x:v>84</x:v>
      </x:c>
      <x:c r="T47" s="267" t="n">
        <x:v>76</x:v>
      </x:c>
      <x:c r="U47" s="267" t="str">
        <x:v>SRC-QB-001</x:v>
      </x:c>
      <x:c r="V47" s="267" t="str">
        <x:v>all qb.pdf p.43</x:v>
      </x:c>
      <x:c r="W47" s="267" t="str">
        <x:v>PRIMARY 80+ POPULATION</x:v>
      </x:c>
      <x:c r="X47" s="267" t="str">
        <x:v>DEVELOPMENT</x:v>
      </x:c>
      <x:c r="Y47" s="267" t="str">
        <x:v>Pocket Passer|78-77-74-80-45-80-74-72-79-85-81-78-79-84-76</x:v>
      </x:c>
      <x:c r="Z47" s="267" t="str"/>
      <x:c r="AA47" s="287" t="n">
        <x:v>78.9</x:v>
      </x:c>
      <x:c r="AB47" s="287" t="n">
        <x:f>(3*F47+1*G47+8*H47+10*I47+0*J47+0*K47+18*L47+0*M47+12*N47+12*O47+18*P47+1*Q47+9*R47+4*S47+4*T47)/100</x:f>
        <x:v>78.9</x:v>
      </x:c>
      <x:c r="AC47" s="287" t="n">
        <x:f>AB47-AA47</x:f>
        <x:v>0</x:v>
      </x:c>
    </x:row>
    <x:row r="48">
      <x:c r="A48" s="270" t="str">
        <x:v>QB-0044</x:v>
      </x:c>
      <x:c r="B48" s="270" t="str">
        <x:v>Colton Joseph</x:v>
      </x:c>
      <x:c r="C48" s="270" t="n">
        <x:v>81</x:v>
      </x:c>
      <x:c r="D48" s="270" t="str">
        <x:v>Pocket Passer</x:v>
      </x:c>
      <x:c r="E48" s="270" t="str">
        <x:v>Core Rare</x:v>
      </x:c>
      <x:c r="F48" s="270" t="n">
        <x:v>80</x:v>
      </x:c>
      <x:c r="G48" s="270" t="n">
        <x:v>78</x:v>
      </x:c>
      <x:c r="H48" s="270" t="n">
        <x:v>78</x:v>
      </x:c>
      <x:c r="I48" s="270" t="n">
        <x:v>81</x:v>
      </x:c>
      <x:c r="J48" s="270" t="n">
        <x:v>56</x:v>
      </x:c>
      <x:c r="K48" s="270" t="n">
        <x:v>87</x:v>
      </x:c>
      <x:c r="L48" s="270" t="n">
        <x:v>71</x:v>
      </x:c>
      <x:c r="M48" s="270" t="n">
        <x:v>72</x:v>
      </x:c>
      <x:c r="N48" s="270" t="n">
        <x:v>81</x:v>
      </x:c>
      <x:c r="O48" s="270" t="n">
        <x:v>80</x:v>
      </x:c>
      <x:c r="P48" s="270" t="n">
        <x:v>79</x:v>
      </x:c>
      <x:c r="Q48" s="270" t="n">
        <x:v>80</x:v>
      </x:c>
      <x:c r="R48" s="270" t="n">
        <x:v>81</x:v>
      </x:c>
      <x:c r="S48" s="270" t="n">
        <x:v>84</x:v>
      </x:c>
      <x:c r="T48" s="270" t="n">
        <x:v>75</x:v>
      </x:c>
      <x:c r="U48" s="270" t="str">
        <x:v>SRC-QB-001</x:v>
      </x:c>
      <x:c r="V48" s="270" t="str">
        <x:v>all qb.pdf p.44</x:v>
      </x:c>
      <x:c r="W48" s="270" t="str">
        <x:v>PRIMARY 80+ POPULATION</x:v>
      </x:c>
      <x:c r="X48" s="270" t="str">
        <x:v>DEVELOPMENT</x:v>
      </x:c>
      <x:c r="Y48" s="270" t="str">
        <x:v>Pocket Passer|80-78-78-81-56-87-71-72-81-80-79-80-81-84-75</x:v>
      </x:c>
      <x:c r="Z48" s="270" t="str"/>
      <x:c r="AA48" s="288" t="n">
        <x:v>78.29</x:v>
      </x:c>
      <x:c r="AB48" s="288" t="n">
        <x:f>(3*F48+1*G48+8*H48+10*I48+0*J48+0*K48+18*L48+0*M48+12*N48+12*O48+18*P48+1*Q48+9*R48+4*S48+4*T48)/100</x:f>
        <x:v>78.29</x:v>
      </x:c>
      <x:c r="AC48" s="288" t="n">
        <x:f>AB48-AA48</x:f>
        <x:v>0</x:v>
      </x:c>
    </x:row>
    <x:row r="49">
      <x:c r="A49" s="267" t="str">
        <x:v>QB-0045</x:v>
      </x:c>
      <x:c r="B49" s="267" t="str">
        <x:v>Maddux Madsen</x:v>
      </x:c>
      <x:c r="C49" s="267" t="n">
        <x:v>81</x:v>
      </x:c>
      <x:c r="D49" s="267" t="str">
        <x:v>Pocket Passer</x:v>
      </x:c>
      <x:c r="E49" s="267" t="str">
        <x:v>Platinum Rare</x:v>
      </x:c>
      <x:c r="F49" s="267" t="n">
        <x:v>75</x:v>
      </x:c>
      <x:c r="G49" s="267" t="n">
        <x:v>72</x:v>
      </x:c>
      <x:c r="H49" s="267" t="n">
        <x:v>71</x:v>
      </x:c>
      <x:c r="I49" s="267" t="n">
        <x:v>80</x:v>
      </x:c>
      <x:c r="J49" s="267" t="n">
        <x:v>43</x:v>
      </x:c>
      <x:c r="K49" s="267" t="n">
        <x:v>80</x:v>
      </x:c>
      <x:c r="L49" s="267" t="n">
        <x:v>73</x:v>
      </x:c>
      <x:c r="M49" s="267" t="n">
        <x:v>78</x:v>
      </x:c>
      <x:c r="N49" s="267" t="n">
        <x:v>81</x:v>
      </x:c>
      <x:c r="O49" s="267" t="n">
        <x:v>83</x:v>
      </x:c>
      <x:c r="P49" s="267" t="n">
        <x:v>82</x:v>
      </x:c>
      <x:c r="Q49" s="267" t="n">
        <x:v>77</x:v>
      </x:c>
      <x:c r="R49" s="267" t="n">
        <x:v>72</x:v>
      </x:c>
      <x:c r="S49" s="267" t="n">
        <x:v>83</x:v>
      </x:c>
      <x:c r="T49" s="267" t="n">
        <x:v>68</x:v>
      </x:c>
      <x:c r="U49" s="267" t="str">
        <x:v>SRC-QB-001</x:v>
      </x:c>
      <x:c r="V49" s="267" t="str">
        <x:v>all qb.pdf p.45</x:v>
      </x:c>
      <x:c r="W49" s="267" t="str">
        <x:v>PRIMARY 80+ POPULATION</x:v>
      </x:c>
      <x:c r="X49" s="267" t="str">
        <x:v>DEVELOPMENT</x:v>
      </x:c>
      <x:c r="Y49" s="267" t="str">
        <x:v>Pocket Passer|75-72-71-80-43-80-73-78-81-83-82-77-72-83-68</x:v>
      </x:c>
      <x:c r="Z49" s="267" t="str"/>
      <x:c r="AA49" s="287" t="n">
        <x:v>77.52</x:v>
      </x:c>
      <x:c r="AB49" s="287" t="n">
        <x:f>(3*F49+1*G49+8*H49+10*I49+0*J49+0*K49+18*L49+0*M49+12*N49+12*O49+18*P49+1*Q49+9*R49+4*S49+4*T49)/100</x:f>
        <x:v>77.52</x:v>
      </x:c>
      <x:c r="AC49" s="287" t="n">
        <x:f>AB49-AA49</x:f>
        <x:v>0</x:v>
      </x:c>
    </x:row>
    <x:row r="50">
      <x:c r="A50" s="270" t="str">
        <x:v>QB-0046</x:v>
      </x:c>
      <x:c r="B50" s="270" t="str">
        <x:v>Jaron-Keawe Sagapolutele</x:v>
      </x:c>
      <x:c r="C50" s="270" t="n">
        <x:v>81</x:v>
      </x:c>
      <x:c r="D50" s="270" t="str">
        <x:v>Pocket Passer</x:v>
      </x:c>
      <x:c r="E50" s="270" t="str">
        <x:v>Platinum Rare</x:v>
      </x:c>
      <x:c r="F50" s="270" t="n">
        <x:v>70</x:v>
      </x:c>
      <x:c r="G50" s="270" t="n">
        <x:v>68</x:v>
      </x:c>
      <x:c r="H50" s="270" t="n">
        <x:v>70</x:v>
      </x:c>
      <x:c r="I50" s="270" t="n">
        <x:v>76</x:v>
      </x:c>
      <x:c r="J50" s="270" t="n">
        <x:v>51</x:v>
      </x:c>
      <x:c r="K50" s="270" t="n">
        <x:v>80</x:v>
      </x:c>
      <x:c r="L50" s="270" t="n">
        <x:v>81</x:v>
      </x:c>
      <x:c r="M50" s="270" t="n">
        <x:v>75</x:v>
      </x:c>
      <x:c r="N50" s="270" t="n">
        <x:v>79</x:v>
      </x:c>
      <x:c r="O50" s="270" t="n">
        <x:v>81</x:v>
      </x:c>
      <x:c r="P50" s="270" t="n">
        <x:v>81</x:v>
      </x:c>
      <x:c r="Q50" s="270" t="n">
        <x:v>70</x:v>
      </x:c>
      <x:c r="R50" s="270" t="n">
        <x:v>81</x:v>
      </x:c>
      <x:c r="S50" s="270" t="n">
        <x:v>79</x:v>
      </x:c>
      <x:c r="T50" s="270" t="n">
        <x:v>77</x:v>
      </x:c>
      <x:c r="U50" s="270" t="str">
        <x:v>SRC-QB-001</x:v>
      </x:c>
      <x:c r="V50" s="270" t="str">
        <x:v>all qb.pdf p.46</x:v>
      </x:c>
      <x:c r="W50" s="270" t="str">
        <x:v>PRIMARY 80+ POPULATION</x:v>
      </x:c>
      <x:c r="X50" s="270" t="str">
        <x:v>DEVELOPMENT</x:v>
      </x:c>
      <x:c r="Y50" s="270" t="str">
        <x:v>Pocket Passer|70-68-70-76-51-80-81-75-79-81-81-70-81-79-77</x:v>
      </x:c>
      <x:c r="Z50" s="270" t="str"/>
      <x:c r="AA50" s="288" t="n">
        <x:v>78.57000000000001</x:v>
      </x:c>
      <x:c r="AB50" s="288" t="n">
        <x:f>(3*F50+1*G50+8*H50+10*I50+0*J50+0*K50+18*L50+0*M50+12*N50+12*O50+18*P50+1*Q50+9*R50+4*S50+4*T50)/100</x:f>
        <x:v>78.57</x:v>
      </x:c>
      <x:c r="AC50" s="288" t="n">
        <x:f>AB50-AA50</x:f>
        <x:v>-1.4210854715202004e-14</x:v>
      </x:c>
    </x:row>
    <x:row r="51">
      <x:c r="A51" s="267" t="str">
        <x:v>QB-0047</x:v>
      </x:c>
      <x:c r="B51" s="267" t="str">
        <x:v>Noah Fifita</x:v>
      </x:c>
      <x:c r="C51" s="267" t="n">
        <x:v>80</x:v>
      </x:c>
      <x:c r="D51" s="267" t="str">
        <x:v>Pocket Passer</x:v>
      </x:c>
      <x:c r="E51" s="267" t="str">
        <x:v>Cornerstones</x:v>
      </x:c>
      <x:c r="F51" s="267" t="n">
        <x:v>74</x:v>
      </x:c>
      <x:c r="G51" s="267" t="n">
        <x:v>78</x:v>
      </x:c>
      <x:c r="H51" s="267" t="n">
        <x:v>76</x:v>
      </x:c>
      <x:c r="I51" s="267" t="n">
        <x:v>80</x:v>
      </x:c>
      <x:c r="J51" s="267" t="n">
        <x:v>76</x:v>
      </x:c>
      <x:c r="K51" s="267" t="n">
        <x:v>90</x:v>
      </x:c>
      <x:c r="L51" s="267" t="n">
        <x:v>77</x:v>
      </x:c>
      <x:c r="M51" s="267" t="n">
        <x:v>68</x:v>
      </x:c>
      <x:c r="N51" s="267" t="n">
        <x:v>81</x:v>
      </x:c>
      <x:c r="O51" s="267" t="n">
        <x:v>80</x:v>
      </x:c>
      <x:c r="P51" s="267" t="n">
        <x:v>74</x:v>
      </x:c>
      <x:c r="Q51" s="267" t="n">
        <x:v>69</x:v>
      </x:c>
      <x:c r="R51" s="267" t="n">
        <x:v>78</x:v>
      </x:c>
      <x:c r="S51" s="267" t="n">
        <x:v>72</x:v>
      </x:c>
      <x:c r="T51" s="267" t="n">
        <x:v>73</x:v>
      </x:c>
      <x:c r="U51" s="267" t="str">
        <x:v>SRC-QB-001</x:v>
      </x:c>
      <x:c r="V51" s="267" t="str">
        <x:v>all qb.pdf p.47</x:v>
      </x:c>
      <x:c r="W51" s="267" t="str">
        <x:v>PRIMARY 80+ POPULATION</x:v>
      </x:c>
      <x:c r="X51" s="267" t="str">
        <x:v>INDEPENDENT HOLDOUT</x:v>
      </x:c>
      <x:c r="Y51" s="267" t="str">
        <x:v>Pocket Passer|74-78-76-80-76-90-77-68-81-80-74-69-78-72-73</x:v>
      </x:c>
      <x:c r="Z51" s="267" t="str"/>
      <x:c r="AA51" s="287" t="n">
        <x:v>77.08999999999999</x:v>
      </x:c>
      <x:c r="AB51" s="287" t="n">
        <x:f>(3*F51+1*G51+8*H51+10*I51+0*J51+0*K51+18*L51+0*M51+12*N51+12*O51+18*P51+1*Q51+9*R51+4*S51+4*T51)/100</x:f>
        <x:v>77.09</x:v>
      </x:c>
      <x:c r="AC51" s="287" t="n">
        <x:f>AB51-AA51</x:f>
        <x:v>1.4210854715202004e-14</x:v>
      </x:c>
    </x:row>
    <x:row r="52">
      <x:c r="A52" s="270" t="str">
        <x:v>QB-0048</x:v>
      </x:c>
      <x:c r="B52" s="270" t="str">
        <x:v>Davin Wydner</x:v>
      </x:c>
      <x:c r="C52" s="270" t="n">
        <x:v>80</x:v>
      </x:c>
      <x:c r="D52" s="270" t="str">
        <x:v>Dual Threat</x:v>
      </x:c>
      <x:c r="E52" s="270" t="str">
        <x:v>Cornerstones</x:v>
      </x:c>
      <x:c r="F52" s="270" t="n">
        <x:v>77</x:v>
      </x:c>
      <x:c r="G52" s="270" t="n">
        <x:v>80</x:v>
      </x:c>
      <x:c r="H52" s="270" t="n">
        <x:v>77</x:v>
      </x:c>
      <x:c r="I52" s="270" t="n">
        <x:v>80</x:v>
      </x:c>
      <x:c r="J52" s="270" t="n">
        <x:v>73</x:v>
      </x:c>
      <x:c r="K52" s="270" t="n">
        <x:v>90</x:v>
      </x:c>
      <x:c r="L52" s="270" t="n">
        <x:v>77</x:v>
      </x:c>
      <x:c r="M52" s="270" t="n">
        <x:v>75</x:v>
      </x:c>
      <x:c r="N52" s="270" t="n">
        <x:v>80</x:v>
      </x:c>
      <x:c r="O52" s="270" t="n">
        <x:v>76</x:v>
      </x:c>
      <x:c r="P52" s="270" t="n">
        <x:v>77</x:v>
      </x:c>
      <x:c r="Q52" s="270" t="n">
        <x:v>79</x:v>
      </x:c>
      <x:c r="R52" s="270" t="n">
        <x:v>72</x:v>
      </x:c>
      <x:c r="S52" s="270" t="n">
        <x:v>70</x:v>
      </x:c>
      <x:c r="T52" s="270" t="n">
        <x:v>78</x:v>
      </x:c>
      <x:c r="U52" s="270" t="str">
        <x:v>SRC-QB-001</x:v>
      </x:c>
      <x:c r="V52" s="270" t="str">
        <x:v>all qb.pdf p.48</x:v>
      </x:c>
      <x:c r="W52" s="270" t="str">
        <x:v>PRIMARY 80+ POPULATION</x:v>
      </x:c>
      <x:c r="X52" s="270" t="str">
        <x:v>DEVELOPMENT</x:v>
      </x:c>
      <x:c r="Y52" s="270" t="str">
        <x:v>Dual Threat|77-80-77-80-73-90-77-75-80-76-77-79-72-70-78</x:v>
      </x:c>
      <x:c r="Z52" s="270" t="str"/>
      <x:c r="AA52" s="288" t="n">
        <x:v>76.9</x:v>
      </x:c>
      <x:c r="AB52" s="288" t="n">
        <x:f>(3*F52+1*G52+8*H52+10*I52+0*J52+0*K52+18*L52+0*M52+12*N52+12*O52+18*P52+1*Q52+9*R52+4*S52+4*T52)/100</x:f>
        <x:v>76.9</x:v>
      </x:c>
      <x:c r="AC52" s="288" t="n">
        <x:f>AB52-AA52</x:f>
        <x:v>0</x:v>
      </x:c>
    </x:row>
    <x:row r="53">
      <x:c r="A53" s="267" t="str">
        <x:v>QB-0049</x:v>
      </x:c>
      <x:c r="B53" s="267" t="str">
        <x:v>CJ Bailey</x:v>
      </x:c>
      <x:c r="C53" s="267" t="n">
        <x:v>80</x:v>
      </x:c>
      <x:c r="D53" s="267" t="str">
        <x:v>Pocket Passer</x:v>
      </x:c>
      <x:c r="E53" s="267" t="str">
        <x:v>Platinum Rare</x:v>
      </x:c>
      <x:c r="F53" s="267" t="n">
        <x:v>76</x:v>
      </x:c>
      <x:c r="G53" s="267" t="n">
        <x:v>73</x:v>
      </x:c>
      <x:c r="H53" s="267" t="n">
        <x:v>73</x:v>
      </x:c>
      <x:c r="I53" s="267" t="n">
        <x:v>77</x:v>
      </x:c>
      <x:c r="J53" s="267" t="n">
        <x:v>62</x:v>
      </x:c>
      <x:c r="K53" s="267" t="n">
        <x:v>80</x:v>
      </x:c>
      <x:c r="L53" s="267" t="n">
        <x:v>78</x:v>
      </x:c>
      <x:c r="M53" s="267" t="n">
        <x:v>70</x:v>
      </x:c>
      <x:c r="N53" s="267" t="n">
        <x:v>78</x:v>
      </x:c>
      <x:c r="O53" s="267" t="n">
        <x:v>79</x:v>
      </x:c>
      <x:c r="P53" s="267" t="n">
        <x:v>79</x:v>
      </x:c>
      <x:c r="Q53" s="267" t="n">
        <x:v>79</x:v>
      </x:c>
      <x:c r="R53" s="267" t="n">
        <x:v>71</x:v>
      </x:c>
      <x:c r="S53" s="267" t="n">
        <x:v>78</x:v>
      </x:c>
      <x:c r="T53" s="267" t="n">
        <x:v>80</x:v>
      </x:c>
      <x:c r="U53" s="267" t="str">
        <x:v>SRC-QB-001</x:v>
      </x:c>
      <x:c r="V53" s="267" t="str">
        <x:v>all qb.pdf p.49</x:v>
      </x:c>
      <x:c r="W53" s="267" t="str">
        <x:v>PRIMARY 80+ POPULATION</x:v>
      </x:c>
      <x:c r="X53" s="267" t="str">
        <x:v>INDEPENDENT HOLDOUT</x:v>
      </x:c>
      <x:c r="Y53" s="267" t="str">
        <x:v>Pocket Passer|76-73-73-77-62-80-78-70-78-79-79-79-71-78-80</x:v>
      </x:c>
      <x:c r="Z53" s="267" t="str"/>
      <x:c r="AA53" s="287" t="n">
        <x:v>77.15000000000002</x:v>
      </x:c>
      <x:c r="AB53" s="287" t="n">
        <x:f>(3*F53+1*G53+8*H53+10*I53+0*J53+0*K53+18*L53+0*M53+12*N53+12*O53+18*P53+1*Q53+9*R53+4*S53+4*T53)/100</x:f>
        <x:v>77.15</x:v>
      </x:c>
      <x:c r="AC53" s="287" t="n">
        <x:f>AB53-AA53</x:f>
        <x:v>-1.4210854715202004e-14</x:v>
      </x:c>
    </x:row>
    <x:row r="54">
      <x:c r="A54" s="270" t="str">
        <x:v>QB-0050</x:v>
      </x:c>
      <x:c r="B54" s="270" t="str">
        <x:v>Kurt Benkert</x:v>
      </x:c>
      <x:c r="C54" s="270" t="n">
        <x:v>80</x:v>
      </x:c>
      <x:c r="D54" s="270" t="str">
        <x:v>Backfield Creator</x:v>
      </x:c>
      <x:c r="E54" s="270" t="str">
        <x:v>Core Legends Modern</x:v>
      </x:c>
      <x:c r="F54" s="270" t="n">
        <x:v>77</x:v>
      </x:c>
      <x:c r="G54" s="270" t="n">
        <x:v>78</x:v>
      </x:c>
      <x:c r="H54" s="270" t="n">
        <x:v>75</x:v>
      </x:c>
      <x:c r="I54" s="270" t="n">
        <x:v>70</x:v>
      </x:c>
      <x:c r="J54" s="270" t="n">
        <x:v>71</x:v>
      </x:c>
      <x:c r="K54" s="270" t="n">
        <x:v>80</x:v>
      </x:c>
      <x:c r="L54" s="270" t="n">
        <x:v>79</x:v>
      </x:c>
      <x:c r="M54" s="270" t="n">
        <x:v>80</x:v>
      </x:c>
      <x:c r="N54" s="270" t="n">
        <x:v>75</x:v>
      </x:c>
      <x:c r="O54" s="270" t="n">
        <x:v>79</x:v>
      </x:c>
      <x:c r="P54" s="270" t="n">
        <x:v>82</x:v>
      </x:c>
      <x:c r="Q54" s="270" t="n">
        <x:v>80</x:v>
      </x:c>
      <x:c r="R54" s="270" t="n">
        <x:v>77</x:v>
      </x:c>
      <x:c r="S54" s="270" t="n">
        <x:v>72</x:v>
      </x:c>
      <x:c r="T54" s="270" t="n">
        <x:v>74</x:v>
      </x:c>
      <x:c r="U54" s="270" t="str">
        <x:v>SRC-QB-001</x:v>
      </x:c>
      <x:c r="V54" s="270" t="str">
        <x:v>all qb.pdf p.50</x:v>
      </x:c>
      <x:c r="W54" s="270" t="str">
        <x:v>PRIMARY 80+ POPULATION</x:v>
      </x:c>
      <x:c r="X54" s="270" t="str">
        <x:v>DEVELOPMENT</x:v>
      </x:c>
      <x:c r="Y54" s="270" t="str">
        <x:v>Backfield Creator|77-78-75-70-71-80-79-80-75-79-82-80-77-72-74</x:v>
      </x:c>
      <x:c r="Z54" s="270" t="str"/>
      <x:c r="AA54" s="288" t="n">
        <x:v>77.11999999999999</x:v>
      </x:c>
      <x:c r="AB54" s="288" t="n">
        <x:f>(3*F54+1*G54+8*H54+10*I54+0*J54+0*K54+18*L54+0*M54+12*N54+12*O54+18*P54+1*Q54+9*R54+4*S54+4*T54)/100</x:f>
        <x:v>77.12</x:v>
      </x:c>
      <x:c r="AC54" s="288" t="n">
        <x:f>AB54-AA54</x:f>
        <x:v>1.4210854715202004e-14</x:v>
      </x:c>
    </x:row>
    <x:row r="55">
      <x:c r="A55" s="267" t="str">
        <x:v>QB-0051</x:v>
      </x:c>
      <x:c r="B55" s="267" t="str">
        <x:v>Drew Bledsoe</x:v>
      </x:c>
      <x:c r="C55" s="267" t="n">
        <x:v>80</x:v>
      </x:c>
      <x:c r="D55" s="267" t="str">
        <x:v>Pocket Passer</x:v>
      </x:c>
      <x:c r="E55" s="267" t="str">
        <x:v>Core Legends Classic</x:v>
      </x:c>
      <x:c r="F55" s="267" t="n">
        <x:v>75</x:v>
      </x:c>
      <x:c r="G55" s="267" t="n">
        <x:v>73</x:v>
      </x:c>
      <x:c r="H55" s="267" t="n">
        <x:v>71</x:v>
      </x:c>
      <x:c r="I55" s="267" t="n">
        <x:v>67</x:v>
      </x:c>
      <x:c r="J55" s="267" t="n">
        <x:v>71</x:v>
      </x:c>
      <x:c r="K55" s="267" t="n">
        <x:v>80</x:v>
      </x:c>
      <x:c r="L55" s="267" t="n">
        <x:v>81</x:v>
      </x:c>
      <x:c r="M55" s="267" t="n">
        <x:v>80</x:v>
      </x:c>
      <x:c r="N55" s="267" t="n">
        <x:v>82</x:v>
      </x:c>
      <x:c r="O55" s="267" t="n">
        <x:v>82</x:v>
      </x:c>
      <x:c r="P55" s="267" t="n">
        <x:v>75</x:v>
      </x:c>
      <x:c r="Q55" s="267" t="n">
        <x:v>77</x:v>
      </x:c>
      <x:c r="R55" s="267" t="n">
        <x:v>76</x:v>
      </x:c>
      <x:c r="S55" s="267" t="n">
        <x:v>70</x:v>
      </x:c>
      <x:c r="T55" s="267" t="n">
        <x:v>73</x:v>
      </x:c>
      <x:c r="U55" s="267" t="str">
        <x:v>SRC-QB-001</x:v>
      </x:c>
      <x:c r="V55" s="267" t="str">
        <x:v>all qb.pdf p.51</x:v>
      </x:c>
      <x:c r="W55" s="267" t="str">
        <x:v>PRIMARY 80+ POPULATION</x:v>
      </x:c>
      <x:c r="X55" s="267" t="str">
        <x:v>DEVELOPMENT</x:v>
      </x:c>
      <x:c r="Y55" s="267" t="str">
        <x:v>Pocket Passer|75-73-71-67-71-80-81-80-82-82-75-77-76-70-73</x:v>
      </x:c>
      <x:c r="Z55" s="267" t="str"/>
      <x:c r="AA55" s="287" t="n">
        <x:v>76.45</x:v>
      </x:c>
      <x:c r="AB55" s="287" t="n">
        <x:f>(3*F55+1*G55+8*H55+10*I55+0*J55+0*K55+18*L55+0*M55+12*N55+12*O55+18*P55+1*Q55+9*R55+4*S55+4*T55)/100</x:f>
        <x:v>76.45</x:v>
      </x:c>
      <x:c r="AC55" s="287" t="n">
        <x:f>AB55-AA55</x:f>
        <x:v>0</x:v>
      </x:c>
    </x:row>
    <x:row r="56">
      <x:c r="A56" s="270" t="str">
        <x:v>QB-0052</x:v>
      </x:c>
      <x:c r="B56" s="270" t="str">
        <x:v>Boomer Esiason</x:v>
      </x:c>
      <x:c r="C56" s="270" t="n">
        <x:v>80</x:v>
      </x:c>
      <x:c r="D56" s="270" t="str">
        <x:v>Pocket Passer</x:v>
      </x:c>
      <x:c r="E56" s="270" t="str">
        <x:v>Core Legends Classic</x:v>
      </x:c>
      <x:c r="F56" s="270" t="n">
        <x:v>76</x:v>
      </x:c>
      <x:c r="G56" s="270" t="n">
        <x:v>75</x:v>
      </x:c>
      <x:c r="H56" s="270" t="n">
        <x:v>71</x:v>
      </x:c>
      <x:c r="I56" s="270" t="n">
        <x:v>70</x:v>
      </x:c>
      <x:c r="J56" s="270" t="n">
        <x:v>73</x:v>
      </x:c>
      <x:c r="K56" s="270" t="n">
        <x:v>80</x:v>
      </x:c>
      <x:c r="L56" s="270" t="n">
        <x:v>79</x:v>
      </x:c>
      <x:c r="M56" s="270" t="n">
        <x:v>80</x:v>
      </x:c>
      <x:c r="N56" s="270" t="n">
        <x:v>80</x:v>
      </x:c>
      <x:c r="O56" s="270" t="n">
        <x:v>79</x:v>
      </x:c>
      <x:c r="P56" s="270" t="n">
        <x:v>79</x:v>
      </x:c>
      <x:c r="Q56" s="270" t="n">
        <x:v>77</x:v>
      </x:c>
      <x:c r="R56" s="270" t="n">
        <x:v>79</x:v>
      </x:c>
      <x:c r="S56" s="270" t="n">
        <x:v>74</x:v>
      </x:c>
      <x:c r="T56" s="270" t="n">
        <x:v>73</x:v>
      </x:c>
      <x:c r="U56" s="270" t="str">
        <x:v>SRC-QB-001</x:v>
      </x:c>
      <x:c r="V56" s="270" t="str">
        <x:v>all qb.pdf p.52</x:v>
      </x:c>
      <x:c r="W56" s="270" t="str">
        <x:v>PRIMARY 80+ POPULATION</x:v>
      </x:c>
      <x:c r="X56" s="270" t="str">
        <x:v>DEVELOPMENT</x:v>
      </x:c>
      <x:c r="Y56" s="270" t="str">
        <x:v>Pocket Passer|76-75-71-70-73-80-79-80-80-79-79-77-79-74-73</x:v>
      </x:c>
      <x:c r="Z56" s="270" t="str"/>
      <x:c r="AA56" s="288" t="n">
        <x:v>76.99</x:v>
      </x:c>
      <x:c r="AB56" s="288" t="n">
        <x:f>(3*F56+1*G56+8*H56+10*I56+0*J56+0*K56+18*L56+0*M56+12*N56+12*O56+18*P56+1*Q56+9*R56+4*S56+4*T56)/100</x:f>
        <x:v>76.99</x:v>
      </x:c>
      <x:c r="AC56" s="288" t="n">
        <x:f>AB56-AA56</x:f>
        <x:v>0</x:v>
      </x:c>
    </x:row>
    <x:row r="57">
      <x:c r="A57" s="267" t="str">
        <x:v>QB-0053</x:v>
      </x:c>
      <x:c r="B57" s="267" t="str">
        <x:v>Donald Hammond III</x:v>
      </x:c>
      <x:c r="C57" s="267" t="n">
        <x:v>80</x:v>
      </x:c>
      <x:c r="D57" s="267" t="str">
        <x:v>Dual Threat</x:v>
      </x:c>
      <x:c r="E57" s="267" t="str">
        <x:v>Core Legends Modern</x:v>
      </x:c>
      <x:c r="F57" s="267" t="n">
        <x:v>79</x:v>
      </x:c>
      <x:c r="G57" s="267" t="n">
        <x:v>79</x:v>
      </x:c>
      <x:c r="H57" s="267" t="n">
        <x:v>74</x:v>
      </x:c>
      <x:c r="I57" s="267" t="n">
        <x:v>68</x:v>
      </x:c>
      <x:c r="J57" s="267" t="n">
        <x:v>73</x:v>
      </x:c>
      <x:c r="K57" s="267" t="n">
        <x:v>80</x:v>
      </x:c>
      <x:c r="L57" s="267" t="n">
        <x:v>79</x:v>
      </x:c>
      <x:c r="M57" s="267" t="n">
        <x:v>80</x:v>
      </x:c>
      <x:c r="N57" s="267" t="n">
        <x:v>78</x:v>
      </x:c>
      <x:c r="O57" s="267" t="n">
        <x:v>83</x:v>
      </x:c>
      <x:c r="P57" s="267" t="n">
        <x:v>77</x:v>
      </x:c>
      <x:c r="Q57" s="267" t="n">
        <x:v>82</x:v>
      </x:c>
      <x:c r="R57" s="267" t="n">
        <x:v>73</x:v>
      </x:c>
      <x:c r="S57" s="267" t="n">
        <x:v>75</x:v>
      </x:c>
      <x:c r="T57" s="267" t="n">
        <x:v>73</x:v>
      </x:c>
      <x:c r="U57" s="267" t="str">
        <x:v>SRC-QB-001</x:v>
      </x:c>
      <x:c r="V57" s="267" t="str">
        <x:v>all qb.pdf p.53</x:v>
      </x:c>
      <x:c r="W57" s="267" t="str">
        <x:v>PRIMARY 80+ POPULATION</x:v>
      </x:c>
      <x:c r="X57" s="267" t="str">
        <x:v>INDEPENDENT HOLDOUT</x:v>
      </x:c>
      <x:c r="Y57" s="267" t="str">
        <x:v>Dual Threat|79-79-74-68-73-80-79-80-78-83-77-82-73-75-73</x:v>
      </x:c>
      <x:c r="Z57" s="267" t="str"/>
      <x:c r="AA57" s="287" t="n">
        <x:v>76.58999999999999</x:v>
      </x:c>
      <x:c r="AB57" s="287" t="n">
        <x:f>(3*F57+1*G57+8*H57+10*I57+0*J57+0*K57+18*L57+0*M57+12*N57+12*O57+18*P57+1*Q57+9*R57+4*S57+4*T57)/100</x:f>
        <x:v>76.59</x:v>
      </x:c>
      <x:c r="AC57" s="287" t="n">
        <x:f>AB57-AA57</x:f>
        <x:v>1.4210854715202004e-14</x:v>
      </x:c>
    </x:row>
    <x:row r="58">
      <x:c r="A58" s="270" t="str">
        <x:v>QB-0054</x:v>
      </x:c>
      <x:c r="B58" s="270" t="str">
        <x:v>Joey Harrington</x:v>
      </x:c>
      <x:c r="C58" s="270" t="n">
        <x:v>80</x:v>
      </x:c>
      <x:c r="D58" s="270" t="str">
        <x:v>Pocket Passer</x:v>
      </x:c>
      <x:c r="E58" s="270" t="str">
        <x:v>Core Legends Millennium</x:v>
      </x:c>
      <x:c r="F58" s="270" t="n">
        <x:v>75</x:v>
      </x:c>
      <x:c r="G58" s="270" t="n">
        <x:v>74</x:v>
      </x:c>
      <x:c r="H58" s="270" t="n">
        <x:v>72</x:v>
      </x:c>
      <x:c r="I58" s="270" t="n">
        <x:v>70</x:v>
      </x:c>
      <x:c r="J58" s="270" t="n">
        <x:v>71</x:v>
      </x:c>
      <x:c r="K58" s="270" t="n">
        <x:v>80</x:v>
      </x:c>
      <x:c r="L58" s="270" t="n">
        <x:v>83</x:v>
      </x:c>
      <x:c r="M58" s="270" t="n">
        <x:v>80</x:v>
      </x:c>
      <x:c r="N58" s="270" t="n">
        <x:v>81</x:v>
      </x:c>
      <x:c r="O58" s="270" t="n">
        <x:v>75</x:v>
      </x:c>
      <x:c r="P58" s="270" t="n">
        <x:v>77</x:v>
      </x:c>
      <x:c r="Q58" s="270" t="n">
        <x:v>74</x:v>
      </x:c>
      <x:c r="R58" s="270" t="n">
        <x:v>80</x:v>
      </x:c>
      <x:c r="S58" s="270" t="n">
        <x:v>70</x:v>
      </x:c>
      <x:c r="T58" s="270" t="n">
        <x:v>71</x:v>
      </x:c>
      <x:c r="U58" s="270" t="str">
        <x:v>SRC-QB-001</x:v>
      </x:c>
      <x:c r="V58" s="270" t="str">
        <x:v>all qb.pdf p.54</x:v>
      </x:c>
      <x:c r="W58" s="270" t="str">
        <x:v>PRIMARY 80+ POPULATION</x:v>
      </x:c>
      <x:c r="X58" s="270" t="str">
        <x:v>DEVELOPMENT</x:v>
      </x:c>
      <x:c r="Y58" s="270" t="str">
        <x:v>Pocket Passer|75-74-72-70-71-80-83-80-81-75-77-74-80-70-71</x:v>
      </x:c>
      <x:c r="Z58" s="270" t="str"/>
      <x:c r="AA58" s="288" t="n">
        <x:v>76.85</x:v>
      </x:c>
      <x:c r="AB58" s="288" t="n">
        <x:f>(3*F58+1*G58+8*H58+10*I58+0*J58+0*K58+18*L58+0*M58+12*N58+12*O58+18*P58+1*Q58+9*R58+4*S58+4*T58)/100</x:f>
        <x:v>76.85</x:v>
      </x:c>
      <x:c r="AC58" s="288" t="n">
        <x:f>AB58-AA58</x:f>
        <x:v>0</x:v>
      </x:c>
    </x:row>
    <x:row r="59">
      <x:c r="A59" s="267" t="str">
        <x:v>QB-0055</x:v>
      </x:c>
      <x:c r="B59" s="267" t="str">
        <x:v>Mason Heintschel</x:v>
      </x:c>
      <x:c r="C59" s="267" t="n">
        <x:v>80</x:v>
      </x:c>
      <x:c r="D59" s="267" t="str">
        <x:v>Pocket Passer</x:v>
      </x:c>
      <x:c r="E59" s="267" t="str">
        <x:v>Core Rare</x:v>
      </x:c>
      <x:c r="F59" s="267" t="n">
        <x:v>75</x:v>
      </x:c>
      <x:c r="G59" s="267" t="n">
        <x:v>75</x:v>
      </x:c>
      <x:c r="H59" s="267" t="n">
        <x:v>61</x:v>
      </x:c>
      <x:c r="I59" s="267" t="n">
        <x:v>76</x:v>
      </x:c>
      <x:c r="J59" s="267" t="n">
        <x:v>49</x:v>
      </x:c>
      <x:c r="K59" s="267" t="n">
        <x:v>81</x:v>
      </x:c>
      <x:c r="L59" s="267" t="n">
        <x:v>74</x:v>
      </x:c>
      <x:c r="M59" s="267" t="n">
        <x:v>73</x:v>
      </x:c>
      <x:c r="N59" s="267" t="n">
        <x:v>79</x:v>
      </x:c>
      <x:c r="O59" s="267" t="n">
        <x:v>80</x:v>
      </x:c>
      <x:c r="P59" s="267" t="n">
        <x:v>79</x:v>
      </x:c>
      <x:c r="Q59" s="267" t="n">
        <x:v>79</x:v>
      </x:c>
      <x:c r="R59" s="267" t="n">
        <x:v>80</x:v>
      </x:c>
      <x:c r="S59" s="267" t="n">
        <x:v>78</x:v>
      </x:c>
      <x:c r="T59" s="267" t="n">
        <x:v>80</x:v>
      </x:c>
      <x:c r="U59" s="267" t="str">
        <x:v>SRC-QB-001</x:v>
      </x:c>
      <x:c r="V59" s="267" t="str">
        <x:v>all qb.pdf p.55</x:v>
      </x:c>
      <x:c r="W59" s="267" t="str">
        <x:v>PRIMARY 80+ POPULATION</x:v>
      </x:c>
      <x:c r="X59" s="267" t="str">
        <x:v>DEVELOPMENT</x:v>
      </x:c>
      <x:c r="Y59" s="267" t="str">
        <x:v>Pocket Passer|75-75-61-76-49-81-74-73-79-80-79-79-80-78-80</x:v>
      </x:c>
      <x:c r="Z59" s="267" t="str"/>
      <x:c r="AA59" s="287" t="n">
        <x:v>76.41000000000001</x:v>
      </x:c>
      <x:c r="AB59" s="287" t="n">
        <x:f>(3*F59+1*G59+8*H59+10*I59+0*J59+0*K59+18*L59+0*M59+12*N59+12*O59+18*P59+1*Q59+9*R59+4*S59+4*T59)/100</x:f>
        <x:v>76.41</x:v>
      </x:c>
      <x:c r="AC59" s="287" t="n">
        <x:f>AB59-AA59</x:f>
        <x:v>-1.4210854715202004e-14</x:v>
      </x:c>
    </x:row>
    <x:row r="60">
      <x:c r="A60" s="270" t="str">
        <x:v>QB-0056</x:v>
      </x:c>
      <x:c r="B60" s="270" t="str">
        <x:v>Katin Houser</x:v>
      </x:c>
      <x:c r="C60" s="270" t="n">
        <x:v>80</x:v>
      </x:c>
      <x:c r="D60" s="270" t="str">
        <x:v>Pocket Passer</x:v>
      </x:c>
      <x:c r="E60" s="270" t="str">
        <x:v>Platinum Rare</x:v>
      </x:c>
      <x:c r="F60" s="270" t="n">
        <x:v>70</x:v>
      </x:c>
      <x:c r="G60" s="270" t="n">
        <x:v>66</x:v>
      </x:c>
      <x:c r="H60" s="270" t="n">
        <x:v>65</x:v>
      </x:c>
      <x:c r="I60" s="270" t="n">
        <x:v>79</x:v>
      </x:c>
      <x:c r="J60" s="270" t="n">
        <x:v>58</x:v>
      </x:c>
      <x:c r="K60" s="270" t="n">
        <x:v>81</x:v>
      </x:c>
      <x:c r="L60" s="270" t="n">
        <x:v>79</x:v>
      </x:c>
      <x:c r="M60" s="270" t="n">
        <x:v>78</x:v>
      </x:c>
      <x:c r="N60" s="270" t="n">
        <x:v>79</x:v>
      </x:c>
      <x:c r="O60" s="270" t="n">
        <x:v>79</x:v>
      </x:c>
      <x:c r="P60" s="270" t="n">
        <x:v>81</x:v>
      </x:c>
      <x:c r="Q60" s="270" t="n">
        <x:v>65</x:v>
      </x:c>
      <x:c r="R60" s="270" t="n">
        <x:v>71</x:v>
      </x:c>
      <x:c r="S60" s="270" t="n">
        <x:v>81</x:v>
      </x:c>
      <x:c r="T60" s="270" t="n">
        <x:v>65</x:v>
      </x:c>
      <x:c r="U60" s="270" t="str">
        <x:v>SRC-QB-001</x:v>
      </x:c>
      <x:c r="V60" s="270" t="str">
        <x:v>all qb.pdf p.57</x:v>
      </x:c>
      <x:c r="W60" s="270" t="str">
        <x:v>PRIMARY 80+ POPULATION</x:v>
      </x:c>
      <x:c r="X60" s="270" t="str">
        <x:v>DEVELOPMENT</x:v>
      </x:c>
      <x:c r="Y60" s="270" t="str">
        <x:v>Pocket Passer|70-66-65-79-58-81-79-78-79-79-81-65-71-81-65</x:v>
      </x:c>
      <x:c r="Z60" s="270" t="str"/>
      <x:c r="AA60" s="288" t="n">
        <x:v>76.5</x:v>
      </x:c>
      <x:c r="AB60" s="288" t="n">
        <x:f>(3*F60+1*G60+8*H60+10*I60+0*J60+0*K60+18*L60+0*M60+12*N60+12*O60+18*P60+1*Q60+9*R60+4*S60+4*T60)/100</x:f>
        <x:v>76.5</x:v>
      </x:c>
      <x:c r="AC60" s="288" t="n">
        <x:f>AB60-AA60</x:f>
        <x:v>0</x:v>
      </x:c>
    </x:row>
    <x:row r="61">
      <x:c r="A61" s="267" t="str">
        <x:v>QB-0057</x:v>
      </x:c>
      <x:c r="B61" s="267" t="str">
        <x:v>Ryan Leaf</x:v>
      </x:c>
      <x:c r="C61" s="267" t="n">
        <x:v>80</x:v>
      </x:c>
      <x:c r="D61" s="267" t="str">
        <x:v>Pocket Passer</x:v>
      </x:c>
      <x:c r="E61" s="267" t="str">
        <x:v>Core Legends Classic</x:v>
      </x:c>
      <x:c r="F61" s="267" t="n">
        <x:v>74</x:v>
      </x:c>
      <x:c r="G61" s="267" t="n">
        <x:v>72</x:v>
      </x:c>
      <x:c r="H61" s="267" t="n">
        <x:v>71</x:v>
      </x:c>
      <x:c r="I61" s="267" t="n">
        <x:v>74</x:v>
      </x:c>
      <x:c r="J61" s="267" t="n">
        <x:v>71</x:v>
      </x:c>
      <x:c r="K61" s="267" t="n">
        <x:v>80</x:v>
      </x:c>
      <x:c r="L61" s="267" t="n">
        <x:v>80</x:v>
      </x:c>
      <x:c r="M61" s="267" t="n">
        <x:v>80</x:v>
      </x:c>
      <x:c r="N61" s="267" t="n">
        <x:v>78</x:v>
      </x:c>
      <x:c r="O61" s="267" t="n">
        <x:v>77</x:v>
      </x:c>
      <x:c r="P61" s="267" t="n">
        <x:v>79</x:v>
      </x:c>
      <x:c r="Q61" s="267" t="n">
        <x:v>76</x:v>
      </x:c>
      <x:c r="R61" s="267" t="n">
        <x:v>72</x:v>
      </x:c>
      <x:c r="S61" s="267" t="n">
        <x:v>74</x:v>
      </x:c>
      <x:c r="T61" s="267" t="n">
        <x:v>76</x:v>
      </x:c>
      <x:c r="U61" s="267" t="str">
        <x:v>SRC-QB-001</x:v>
      </x:c>
      <x:c r="V61" s="267" t="str">
        <x:v>all qb.pdf p.58</x:v>
      </x:c>
      <x:c r="W61" s="267" t="str">
        <x:v>PRIMARY 80+ POPULATION</x:v>
      </x:c>
      <x:c r="X61" s="267" t="str">
        <x:v>DEVELOPMENT</x:v>
      </x:c>
      <x:c r="Y61" s="267" t="str">
        <x:v>Pocket Passer|74-72-71-74-71-80-80-80-78-77-79-76-72-74-76</x:v>
      </x:c>
      <x:c r="Z61" s="267" t="str"/>
      <x:c r="AA61" s="287" t="n">
        <x:v>76.48</x:v>
      </x:c>
      <x:c r="AB61" s="287" t="n">
        <x:f>(3*F61+1*G61+8*H61+10*I61+0*J61+0*K61+18*L61+0*M61+12*N61+12*O61+18*P61+1*Q61+9*R61+4*S61+4*T61)/100</x:f>
        <x:v>76.48</x:v>
      </x:c>
      <x:c r="AC61" s="287" t="n">
        <x:f>AB61-AA61</x:f>
        <x:v>0</x:v>
      </x:c>
    </x:row>
    <x:row r="62">
      <x:c r="A62" s="270" t="str">
        <x:v>QB-0058</x:v>
      </x:c>
      <x:c r="B62" s="270" t="str">
        <x:v>Dan Marino</x:v>
      </x:c>
      <x:c r="C62" s="270" t="n">
        <x:v>80</x:v>
      </x:c>
      <x:c r="D62" s="270" t="str">
        <x:v>Pocket Passer</x:v>
      </x:c>
      <x:c r="E62" s="270" t="str">
        <x:v>Core Legends Classic</x:v>
      </x:c>
      <x:c r="F62" s="270" t="n">
        <x:v>74</x:v>
      </x:c>
      <x:c r="G62" s="270" t="n">
        <x:v>75</x:v>
      </x:c>
      <x:c r="H62" s="270" t="n">
        <x:v>73</x:v>
      </x:c>
      <x:c r="I62" s="270" t="n">
        <x:v>70</x:v>
      </x:c>
      <x:c r="J62" s="270" t="n">
        <x:v>73</x:v>
      </x:c>
      <x:c r="K62" s="270" t="n">
        <x:v>80</x:v>
      </x:c>
      <x:c r="L62" s="270" t="n">
        <x:v>83</x:v>
      </x:c>
      <x:c r="M62" s="270" t="n">
        <x:v>80</x:v>
      </x:c>
      <x:c r="N62" s="270" t="n">
        <x:v>78</x:v>
      </x:c>
      <x:c r="O62" s="270" t="n">
        <x:v>81</x:v>
      </x:c>
      <x:c r="P62" s="270" t="n">
        <x:v>77</x:v>
      </x:c>
      <x:c r="Q62" s="270" t="n">
        <x:v>75</x:v>
      </x:c>
      <x:c r="R62" s="270" t="n">
        <x:v>72</x:v>
      </x:c>
      <x:c r="S62" s="270" t="n">
        <x:v>71</x:v>
      </x:c>
      <x:c r="T62" s="270" t="n">
        <x:v>71</x:v>
      </x:c>
      <x:c r="U62" s="270" t="str">
        <x:v>SRC-QB-001</x:v>
      </x:c>
      <x:c r="V62" s="270" t="str">
        <x:v>all qb.pdf p.59</x:v>
      </x:c>
      <x:c r="W62" s="270" t="str">
        <x:v>PRIMARY 80+ POPULATION</x:v>
      </x:c>
      <x:c r="X62" s="270" t="str">
        <x:v>INDEPENDENT HOLDOUT</x:v>
      </x:c>
      <x:c r="Y62" s="270" t="str">
        <x:v>Pocket Passer|74-75-73-70-73-80-83-80-78-81-77-75-72-71-71</x:v>
      </x:c>
      <x:c r="Z62" s="270" t="str"/>
      <x:c r="AA62" s="288" t="n">
        <x:v>76.60000000000001</x:v>
      </x:c>
      <x:c r="AB62" s="288" t="n">
        <x:f>(3*F62+1*G62+8*H62+10*I62+0*J62+0*K62+18*L62+0*M62+12*N62+12*O62+18*P62+1*Q62+9*R62+4*S62+4*T62)/100</x:f>
        <x:v>76.6</x:v>
      </x:c>
      <x:c r="AC62" s="288" t="n">
        <x:f>AB62-AA62</x:f>
        <x:v>-1.4210854715202004e-14</x:v>
      </x:c>
    </x:row>
    <x:row r="63">
      <x:c r="A63" s="267" t="str">
        <x:v>QB-0059</x:v>
      </x:c>
      <x:c r="B63" s="267" t="str">
        <x:v>Owen McCown</x:v>
      </x:c>
      <x:c r="C63" s="267" t="n">
        <x:v>80</x:v>
      </x:c>
      <x:c r="D63" s="267" t="str">
        <x:v>Pocket Passer</x:v>
      </x:c>
      <x:c r="E63" s="267" t="str">
        <x:v>Platinum Rare</x:v>
      </x:c>
      <x:c r="F63" s="267" t="n">
        <x:v>70</x:v>
      </x:c>
      <x:c r="G63" s="267" t="n">
        <x:v>72</x:v>
      </x:c>
      <x:c r="H63" s="267" t="n">
        <x:v>69</x:v>
      </x:c>
      <x:c r="I63" s="267" t="n">
        <x:v>82</x:v>
      </x:c>
      <x:c r="J63" s="267" t="n">
        <x:v>42</x:v>
      </x:c>
      <x:c r="K63" s="267" t="n">
        <x:v>82</x:v>
      </x:c>
      <x:c r="L63" s="267" t="n">
        <x:v>73</x:v>
      </x:c>
      <x:c r="M63" s="267" t="n">
        <x:v>78</x:v>
      </x:c>
      <x:c r="N63" s="267" t="n">
        <x:v>81</x:v>
      </x:c>
      <x:c r="O63" s="267" t="n">
        <x:v>82</x:v>
      </x:c>
      <x:c r="P63" s="267" t="n">
        <x:v>80</x:v>
      </x:c>
      <x:c r="Q63" s="267" t="n">
        <x:v>71</x:v>
      </x:c>
      <x:c r="R63" s="267" t="n">
        <x:v>81</x:v>
      </x:c>
      <x:c r="S63" s="267" t="n">
        <x:v>81</x:v>
      </x:c>
      <x:c r="T63" s="267" t="n">
        <x:v>65</x:v>
      </x:c>
      <x:c r="U63" s="267" t="str">
        <x:v>SRC-QB-001</x:v>
      </x:c>
      <x:c r="V63" s="267" t="str">
        <x:v>all qb.pdf p.60</x:v>
      </x:c>
      <x:c r="W63" s="267" t="str">
        <x:v>PRIMARY 80+ POPULATION</x:v>
      </x:c>
      <x:c r="X63" s="267" t="str">
        <x:v>DEVELOPMENT</x:v>
      </x:c>
      <x:c r="Y63" s="267" t="str">
        <x:v>Pocket Passer|70-72-69-82-42-82-73-78-81-82-80-71-81-81-65</x:v>
      </x:c>
      <x:c r="Z63" s="267" t="str"/>
      <x:c r="AA63" s="287" t="n">
        <x:v>77.47999999999999</x:v>
      </x:c>
      <x:c r="AB63" s="287" t="n">
        <x:f>(3*F63+1*G63+8*H63+10*I63+0*J63+0*K63+18*L63+0*M63+12*N63+12*O63+18*P63+1*Q63+9*R63+4*S63+4*T63)/100</x:f>
        <x:v>77.48</x:v>
      </x:c>
      <x:c r="AC63" s="287" t="n">
        <x:f>AB63-AA63</x:f>
        <x:v>1.4210854715202004e-14</x:v>
      </x:c>
    </x:row>
    <x:row r="64">
      <x:c r="A64" s="270" t="str">
        <x:v>QB-0060</x:v>
      </x:c>
      <x:c r="B64" s="270" t="str">
        <x:v>Donovan McNabb</x:v>
      </x:c>
      <x:c r="C64" s="270" t="n">
        <x:v>80</x:v>
      </x:c>
      <x:c r="D64" s="270" t="str">
        <x:v>Dual Threat</x:v>
      </x:c>
      <x:c r="E64" s="270" t="str">
        <x:v>Core Legends</x:v>
      </x:c>
      <x:c r="F64" s="270" t="n">
        <x:v>81</x:v>
      </x:c>
      <x:c r="G64" s="270" t="n">
        <x:v>77</x:v>
      </x:c>
      <x:c r="H64" s="270" t="n">
        <x:v>74</x:v>
      </x:c>
      <x:c r="I64" s="270" t="n">
        <x:v>75</x:v>
      </x:c>
      <x:c r="J64" s="270" t="n">
        <x:v>71</x:v>
      </x:c>
      <x:c r="K64" s="270" t="n">
        <x:v>80</x:v>
      </x:c>
      <x:c r="L64" s="270" t="n">
        <x:v>83</x:v>
      </x:c>
      <x:c r="M64" s="270" t="n">
        <x:v>80</x:v>
      </x:c>
      <x:c r="N64" s="270" t="n">
        <x:v>74</x:v>
      </x:c>
      <x:c r="O64" s="270" t="n">
        <x:v>77</x:v>
      </x:c>
      <x:c r="P64" s="270" t="n">
        <x:v>82</x:v>
      </x:c>
      <x:c r="Q64" s="270" t="n">
        <x:v>78</x:v>
      </x:c>
      <x:c r="R64" s="270" t="n">
        <x:v>71</x:v>
      </x:c>
      <x:c r="S64" s="270" t="n">
        <x:v>72</x:v>
      </x:c>
      <x:c r="T64" s="270" t="n">
        <x:v>81</x:v>
      </x:c>
      <x:c r="U64" s="270" t="str">
        <x:v>SRC-QB-001</x:v>
      </x:c>
      <x:c r="V64" s="270" t="str">
        <x:v>all qb.pdf p.61</x:v>
      </x:c>
      <x:c r="W64" s="270" t="str">
        <x:v>PRIMARY 80+ POPULATION</x:v>
      </x:c>
      <x:c r="X64" s="270" t="str">
        <x:v>DEVELOPMENT</x:v>
      </x:c>
      <x:c r="Y64" s="270" t="str">
        <x:v>Dual Threat|81-77-74-75-71-80-83-80-74-77-82-78-71-72-81</x:v>
      </x:c>
      <x:c r="Z64" s="270" t="str"/>
      <x:c r="AA64" s="288" t="n">
        <x:v>77.73</x:v>
      </x:c>
      <x:c r="AB64" s="288" t="n">
        <x:f>(3*F64+1*G64+8*H64+10*I64+0*J64+0*K64+18*L64+0*M64+12*N64+12*O64+18*P64+1*Q64+9*R64+4*S64+4*T64)/100</x:f>
        <x:v>77.73</x:v>
      </x:c>
      <x:c r="AC64" s="288" t="n">
        <x:f>AB64-AA64</x:f>
        <x:v>0</x:v>
      </x:c>
    </x:row>
    <x:row r="65">
      <x:c r="A65" s="267" t="str">
        <x:v>QB-0061</x:v>
      </x:c>
      <x:c r="B65" s="267" t="str">
        <x:v>Joe Montana</x:v>
      </x:c>
      <x:c r="C65" s="267" t="n">
        <x:v>80</x:v>
      </x:c>
      <x:c r="D65" s="267" t="str">
        <x:v>Pocket Passer</x:v>
      </x:c>
      <x:c r="E65" s="267" t="str">
        <x:v>Core Legends</x:v>
      </x:c>
      <x:c r="F65" s="267" t="n">
        <x:v>74</x:v>
      </x:c>
      <x:c r="G65" s="267" t="n">
        <x:v>72</x:v>
      </x:c>
      <x:c r="H65" s="267" t="n">
        <x:v>71</x:v>
      </x:c>
      <x:c r="I65" s="267" t="n">
        <x:v>70</x:v>
      </x:c>
      <x:c r="J65" s="267" t="n">
        <x:v>71</x:v>
      </x:c>
      <x:c r="K65" s="267" t="n">
        <x:v>80</x:v>
      </x:c>
      <x:c r="L65" s="267" t="n">
        <x:v>83</x:v>
      </x:c>
      <x:c r="M65" s="267" t="n">
        <x:v>80</x:v>
      </x:c>
      <x:c r="N65" s="267" t="n">
        <x:v>83</x:v>
      </x:c>
      <x:c r="O65" s="267" t="n">
        <x:v>75</x:v>
      </x:c>
      <x:c r="P65" s="267" t="n">
        <x:v>76</x:v>
      </x:c>
      <x:c r="Q65" s="267" t="n">
        <x:v>75</x:v>
      </x:c>
      <x:c r="R65" s="267" t="n">
        <x:v>80</x:v>
      </x:c>
      <x:c r="S65" s="267" t="n">
        <x:v>71</x:v>
      </x:c>
      <x:c r="T65" s="267" t="n">
        <x:v>76</x:v>
      </x:c>
      <x:c r="U65" s="267" t="str">
        <x:v>SRC-QB-001</x:v>
      </x:c>
      <x:c r="V65" s="267" t="str">
        <x:v>all qb.pdf p.62</x:v>
      </x:c>
      <x:c r="W65" s="267" t="str">
        <x:v>PRIMARY 80+ POPULATION</x:v>
      </x:c>
      <x:c r="X65" s="267" t="str">
        <x:v>DEVELOPMENT</x:v>
      </x:c>
      <x:c r="Y65" s="267" t="str">
        <x:v>Pocket Passer|74-72-71-70-71-80-83-80-83-75-76-75-80-71-76</x:v>
      </x:c>
      <x:c r="Z65" s="267" t="str"/>
      <x:c r="AA65" s="287" t="n">
        <x:v>77.03000000000002</x:v>
      </x:c>
      <x:c r="AB65" s="287" t="n">
        <x:f>(3*F65+1*G65+8*H65+10*I65+0*J65+0*K65+18*L65+0*M65+12*N65+12*O65+18*P65+1*Q65+9*R65+4*S65+4*T65)/100</x:f>
        <x:v>77.03</x:v>
      </x:c>
      <x:c r="AC65" s="287" t="n">
        <x:f>AB65-AA65</x:f>
        <x:v>-1.4210854715202004e-14</x:v>
      </x:c>
    </x:row>
    <x:row r="66">
      <x:c r="A66" s="270" t="str">
        <x:v>QB-0062</x:v>
      </x:c>
      <x:c r="B66" s="270" t="str">
        <x:v>Warren Moon</x:v>
      </x:c>
      <x:c r="C66" s="270" t="n">
        <x:v>80</x:v>
      </x:c>
      <x:c r="D66" s="270" t="str">
        <x:v>Pocket Passer</x:v>
      </x:c>
      <x:c r="E66" s="270" t="str">
        <x:v>Core Legends</x:v>
      </x:c>
      <x:c r="F66" s="270" t="n">
        <x:v>76</x:v>
      </x:c>
      <x:c r="G66" s="270" t="n">
        <x:v>74</x:v>
      </x:c>
      <x:c r="H66" s="270" t="n">
        <x:v>72</x:v>
      </x:c>
      <x:c r="I66" s="270" t="n">
        <x:v>70</x:v>
      </x:c>
      <x:c r="J66" s="270" t="n">
        <x:v>72</x:v>
      </x:c>
      <x:c r="K66" s="270" t="n">
        <x:v>80</x:v>
      </x:c>
      <x:c r="L66" s="270" t="n">
        <x:v>81</x:v>
      </x:c>
      <x:c r="M66" s="270" t="n">
        <x:v>80</x:v>
      </x:c>
      <x:c r="N66" s="270" t="n">
        <x:v>73</x:v>
      </x:c>
      <x:c r="O66" s="270" t="n">
        <x:v>83</x:v>
      </x:c>
      <x:c r="P66" s="270" t="n">
        <x:v>82</x:v>
      </x:c>
      <x:c r="Q66" s="270" t="n">
        <x:v>74</x:v>
      </x:c>
      <x:c r="R66" s="270" t="n">
        <x:v>74</x:v>
      </x:c>
      <x:c r="S66" s="270" t="n">
        <x:v>70</x:v>
      </x:c>
      <x:c r="T66" s="270" t="n">
        <x:v>75</x:v>
      </x:c>
      <x:c r="U66" s="270" t="str">
        <x:v>SRC-QB-001</x:v>
      </x:c>
      <x:c r="V66" s="270" t="str">
        <x:v>all qb.pdf p.63</x:v>
      </x:c>
      <x:c r="W66" s="270" t="str">
        <x:v>PRIMARY 80+ POPULATION</x:v>
      </x:c>
      <x:c r="X66" s="270" t="str">
        <x:v>DEVELOPMENT</x:v>
      </x:c>
      <x:c r="Y66" s="270" t="str">
        <x:v>Pocket Passer|76-74-72-70-72-80-81-80-73-83-82-74-74-70-75</x:v>
      </x:c>
      <x:c r="Z66" s="270" t="str"/>
      <x:c r="AA66" s="288" t="n">
        <x:v>77.03999999999999</x:v>
      </x:c>
      <x:c r="AB66" s="288" t="n">
        <x:f>(3*F66+1*G66+8*H66+10*I66+0*J66+0*K66+18*L66+0*M66+12*N66+12*O66+18*P66+1*Q66+9*R66+4*S66+4*T66)/100</x:f>
        <x:v>77.04</x:v>
      </x:c>
      <x:c r="AC66" s="288" t="n">
        <x:f>AB66-AA66</x:f>
        <x:v>1.4210854715202004e-14</x:v>
      </x:c>
    </x:row>
    <x:row r="67">
      <x:c r="A67" s="267" t="str">
        <x:v>QB-0063</x:v>
      </x:c>
      <x:c r="B67" s="267" t="str">
        <x:v>Mark Sanchez</x:v>
      </x:c>
      <x:c r="C67" s="267" t="n">
        <x:v>80</x:v>
      </x:c>
      <x:c r="D67" s="267" t="str">
        <x:v>Pocket Passer</x:v>
      </x:c>
      <x:c r="E67" s="267" t="str">
        <x:v>Core Legends Modern</x:v>
      </x:c>
      <x:c r="F67" s="267" t="n">
        <x:v>75</x:v>
      </x:c>
      <x:c r="G67" s="267" t="n">
        <x:v>72</x:v>
      </x:c>
      <x:c r="H67" s="267" t="n">
        <x:v>73</x:v>
      </x:c>
      <x:c r="I67" s="267" t="n">
        <x:v>70</x:v>
      </x:c>
      <x:c r="J67" s="267" t="n">
        <x:v>73</x:v>
      </x:c>
      <x:c r="K67" s="267" t="n">
        <x:v>80</x:v>
      </x:c>
      <x:c r="L67" s="267" t="n">
        <x:v>81</x:v>
      </x:c>
      <x:c r="M67" s="267" t="n">
        <x:v>80</x:v>
      </x:c>
      <x:c r="N67" s="267" t="n">
        <x:v>79</x:v>
      </x:c>
      <x:c r="O67" s="267" t="n">
        <x:v>76</x:v>
      </x:c>
      <x:c r="P67" s="267" t="n">
        <x:v>82</x:v>
      </x:c>
      <x:c r="Q67" s="267" t="n">
        <x:v>74</x:v>
      </x:c>
      <x:c r="R67" s="267" t="n">
        <x:v>78</x:v>
      </x:c>
      <x:c r="S67" s="267" t="n">
        <x:v>71</x:v>
      </x:c>
      <x:c r="T67" s="267" t="n">
        <x:v>73</x:v>
      </x:c>
      <x:c r="U67" s="267" t="str">
        <x:v>SRC-QB-001</x:v>
      </x:c>
      <x:c r="V67" s="267" t="str">
        <x:v>all qb.pdf p.64</x:v>
      </x:c>
      <x:c r="W67" s="267" t="str">
        <x:v>PRIMARY 80+ POPULATION</x:v>
      </x:c>
      <x:c r="X67" s="267" t="str">
        <x:v>DEVELOPMENT</x:v>
      </x:c>
      <x:c r="Y67" s="267" t="str">
        <x:v>Pocket Passer|75-72-73-70-73-80-81-80-79-76-82-74-78-71-73</x:v>
      </x:c>
      <x:c r="Z67" s="267" t="str"/>
      <x:c r="AA67" s="287" t="n">
        <x:v>77.27</x:v>
      </x:c>
      <x:c r="AB67" s="287" t="n">
        <x:f>(3*F67+1*G67+8*H67+10*I67+0*J67+0*K67+18*L67+0*M67+12*N67+12*O67+18*P67+1*Q67+9*R67+4*S67+4*T67)/100</x:f>
        <x:v>77.27</x:v>
      </x:c>
      <x:c r="AC67" s="287" t="n">
        <x:f>AB67-AA67</x:f>
        <x:v>0</x:v>
      </x:c>
    </x:row>
    <x:row r="68">
      <x:c r="A68" s="270" t="str">
        <x:v>QB-0064</x:v>
      </x:c>
      <x:c r="B68" s="270" t="str">
        <x:v>KaMario Taylor</x:v>
      </x:c>
      <x:c r="C68" s="270" t="n">
        <x:v>80</x:v>
      </x:c>
      <x:c r="D68" s="270" t="str">
        <x:v>Pure Runner</x:v>
      </x:c>
      <x:c r="E68" s="270" t="str">
        <x:v>Platinum Rare</x:v>
      </x:c>
      <x:c r="F68" s="270" t="n">
        <x:v>83</x:v>
      </x:c>
      <x:c r="G68" s="270" t="n">
        <x:v>83</x:v>
      </x:c>
      <x:c r="H68" s="270" t="n">
        <x:v>83</x:v>
      </x:c>
      <x:c r="I68" s="270" t="n">
        <x:v>67</x:v>
      </x:c>
      <x:c r="J68" s="270" t="n">
        <x:v>56</x:v>
      </x:c>
      <x:c r="K68" s="270" t="n">
        <x:v>80</x:v>
      </x:c>
      <x:c r="L68" s="270" t="n">
        <x:v>75</x:v>
      </x:c>
      <x:c r="M68" s="270" t="n">
        <x:v>78</x:v>
      </x:c>
      <x:c r="N68" s="270" t="n">
        <x:v>70</x:v>
      </x:c>
      <x:c r="O68" s="270" t="n">
        <x:v>70</x:v>
      </x:c>
      <x:c r="P68" s="270" t="n">
        <x:v>70</x:v>
      </x:c>
      <x:c r="Q68" s="270" t="n">
        <x:v>80</x:v>
      </x:c>
      <x:c r="R68" s="270" t="n">
        <x:v>67</x:v>
      </x:c>
      <x:c r="S68" s="270" t="n">
        <x:v>65</x:v>
      </x:c>
      <x:c r="T68" s="270" t="n">
        <x:v>74</x:v>
      </x:c>
      <x:c r="U68" s="270" t="str">
        <x:v>SRC-QB-001</x:v>
      </x:c>
      <x:c r="V68" s="270" t="str">
        <x:v>all qb.pdf p.65</x:v>
      </x:c>
      <x:c r="W68" s="270" t="str">
        <x:v>PRIMARY 80+ POPULATION</x:v>
      </x:c>
      <x:c r="X68" s="289" t="str">
        <x:v>RESEARCH ONLY — INSUFFICIENT</x:v>
      </x:c>
      <x:c r="Y68" s="270" t="str">
        <x:v>Pure Runner|83-83-83-67-56-80-75-78-70-70-70-80-67-65-74</x:v>
      </x:c>
      <x:c r="Z68" s="270" t="str"/>
      <x:c r="AA68" s="288" t="n">
        <x:v>71.94999999999999</x:v>
      </x:c>
      <x:c r="AB68" s="288" t="n">
        <x:f>(3*F68+1*G68+8*H68+10*I68+0*J68+0*K68+18*L68+0*M68+12*N68+12*O68+18*P68+1*Q68+9*R68+4*S68+4*T68)/100</x:f>
        <x:v>71.95</x:v>
      </x:c>
      <x:c r="AC68" s="288" t="n">
        <x:f>AB68-AA68</x:f>
        <x:v>1.4210854715202004e-14</x:v>
      </x:c>
    </x:row>
    <x:row r="69">
      <x:c r="A69" s="267" t="str">
        <x:v>QB-0065</x:v>
      </x:c>
      <x:c r="B69" s="267" t="str">
        <x:v>Bryce Underwood</x:v>
      </x:c>
      <x:c r="C69" s="267" t="n">
        <x:v>80</x:v>
      </x:c>
      <x:c r="D69" s="267" t="str">
        <x:v>Backfield Creator</x:v>
      </x:c>
      <x:c r="E69" s="267" t="str">
        <x:v>Core Rare</x:v>
      </x:c>
      <x:c r="F69" s="267" t="n">
        <x:v>79</x:v>
      </x:c>
      <x:c r="G69" s="267" t="n">
        <x:v>79</x:v>
      </x:c>
      <x:c r="H69" s="267" t="n">
        <x:v>78</x:v>
      </x:c>
      <x:c r="I69" s="267" t="n">
        <x:v>69</x:v>
      </x:c>
      <x:c r="J69" s="267" t="n">
        <x:v>47</x:v>
      </x:c>
      <x:c r="K69" s="267" t="n">
        <x:v>80</x:v>
      </x:c>
      <x:c r="L69" s="267" t="n">
        <x:v>80</x:v>
      </x:c>
      <x:c r="M69" s="267" t="n">
        <x:v>77</x:v>
      </x:c>
      <x:c r="N69" s="267" t="n">
        <x:v>72</x:v>
      </x:c>
      <x:c r="O69" s="267" t="n">
        <x:v>79</x:v>
      </x:c>
      <x:c r="P69" s="267" t="n">
        <x:v>79</x:v>
      </x:c>
      <x:c r="Q69" s="267" t="n">
        <x:v>77</x:v>
      </x:c>
      <x:c r="R69" s="267" t="n">
        <x:v>75</x:v>
      </x:c>
      <x:c r="S69" s="267" t="n">
        <x:v>78</x:v>
      </x:c>
      <x:c r="T69" s="267" t="n">
        <x:v>79</x:v>
      </x:c>
      <x:c r="U69" s="267" t="str">
        <x:v>SRC-QB-001</x:v>
      </x:c>
      <x:c r="V69" s="267" t="str">
        <x:v>all qb.pdf p.66</x:v>
      </x:c>
      <x:c r="W69" s="267" t="str">
        <x:v>PRIMARY 80+ POPULATION</x:v>
      </x:c>
      <x:c r="X69" s="267" t="str">
        <x:v>INDEPENDENT HOLDOUT</x:v>
      </x:c>
      <x:c r="Y69" s="267" t="str">
        <x:v>Backfield Creator|79-79-78-69-47-80-80-77-72-79-79-77-75-78-79</x:v>
      </x:c>
      <x:c r="Z69" s="267" t="str"/>
      <x:c r="AA69" s="287" t="n">
        <x:v>76.84</x:v>
      </x:c>
      <x:c r="AB69" s="287" t="n">
        <x:f>(3*F69+1*G69+8*H69+10*I69+0*J69+0*K69+18*L69+0*M69+12*N69+12*O69+18*P69+1*Q69+9*R69+4*S69+4*T69)/100</x:f>
        <x:v>76.84</x:v>
      </x:c>
      <x:c r="AC69" s="287" t="n">
        <x:f>AB69-AA69</x:f>
        <x:v>0</x:v>
      </x:c>
    </x:row>
    <x:row r="70">
      <x:c r="A70" s="270" t="str">
        <x:v>QB-0066</x:v>
      </x:c>
      <x:c r="B70" s="270" t="str">
        <x:v>Johnny Unitas</x:v>
      </x:c>
      <x:c r="C70" s="270" t="n">
        <x:v>80</x:v>
      </x:c>
      <x:c r="D70" s="270" t="str">
        <x:v>Pocket Passer</x:v>
      </x:c>
      <x:c r="E70" s="270" t="str">
        <x:v>Core Legends Classic</x:v>
      </x:c>
      <x:c r="F70" s="270" t="n">
        <x:v>74</x:v>
      </x:c>
      <x:c r="G70" s="270" t="n">
        <x:v>73</x:v>
      </x:c>
      <x:c r="H70" s="270" t="n">
        <x:v>73</x:v>
      </x:c>
      <x:c r="I70" s="270" t="n">
        <x:v>70</x:v>
      </x:c>
      <x:c r="J70" s="270" t="n">
        <x:v>72</x:v>
      </x:c>
      <x:c r="K70" s="270" t="n">
        <x:v>80</x:v>
      </x:c>
      <x:c r="L70" s="270" t="n">
        <x:v>77</x:v>
      </x:c>
      <x:c r="M70" s="270" t="n">
        <x:v>80</x:v>
      </x:c>
      <x:c r="N70" s="270" t="n">
        <x:v>81</x:v>
      </x:c>
      <x:c r="O70" s="270" t="n">
        <x:v>81</x:v>
      </x:c>
      <x:c r="P70" s="270" t="n">
        <x:v>78</x:v>
      </x:c>
      <x:c r="Q70" s="270" t="n">
        <x:v>77</x:v>
      </x:c>
      <x:c r="R70" s="270" t="n">
        <x:v>78</x:v>
      </x:c>
      <x:c r="S70" s="270" t="n">
        <x:v>72</x:v>
      </x:c>
      <x:c r="T70" s="270" t="n">
        <x:v>72</x:v>
      </x:c>
      <x:c r="U70" s="270" t="str">
        <x:v>SRC-QB-001</x:v>
      </x:c>
      <x:c r="V70" s="270" t="str">
        <x:v>all qb.pdf p.67</x:v>
      </x:c>
      <x:c r="W70" s="270" t="str">
        <x:v>PRIMARY 80+ POPULATION</x:v>
      </x:c>
      <x:c r="X70" s="270" t="str">
        <x:v>DEVELOPMENT</x:v>
      </x:c>
      <x:c r="Y70" s="270" t="str">
        <x:v>Pocket Passer|74-73-73-70-72-80-77-80-81-81-78-77-78-72-72</x:v>
      </x:c>
      <x:c r="Z70" s="270" t="str"/>
      <x:c r="AA70" s="288" t="n">
        <x:v>76.67999999999999</x:v>
      </x:c>
      <x:c r="AB70" s="288" t="n">
        <x:f>(3*F70+1*G70+8*H70+10*I70+0*J70+0*K70+18*L70+0*M70+12*N70+12*O70+18*P70+1*Q70+9*R70+4*S70+4*T70)/100</x:f>
        <x:v>76.68</x:v>
      </x:c>
      <x:c r="AC70" s="288" t="n">
        <x:f>AB70-AA70</x:f>
        <x:v>1.4210854715202004e-14</x:v>
      </x:c>
    </x:row>
    <x:row r="71">
      <x:c r="A71" s="267" t="str">
        <x:v>QB-0067</x:v>
      </x:c>
      <x:c r="B71" s="267" t="str">
        <x:v>Conner Weigman</x:v>
      </x:c>
      <x:c r="C71" s="267" t="n">
        <x:v>80</x:v>
      </x:c>
      <x:c r="D71" s="267" t="str">
        <x:v>Pocket Passer</x:v>
      </x:c>
      <x:c r="E71" s="267" t="str">
        <x:v>Core Rare</x:v>
      </x:c>
      <x:c r="F71" s="267" t="n">
        <x:v>79</x:v>
      </x:c>
      <x:c r="G71" s="267" t="n">
        <x:v>73</x:v>
      </x:c>
      <x:c r="H71" s="267" t="n">
        <x:v>73</x:v>
      </x:c>
      <x:c r="I71" s="267" t="n">
        <x:v>78</x:v>
      </x:c>
      <x:c r="J71" s="267" t="n">
        <x:v>55</x:v>
      </x:c>
      <x:c r="K71" s="267" t="n">
        <x:v>80</x:v>
      </x:c>
      <x:c r="L71" s="267" t="n">
        <x:v>79</x:v>
      </x:c>
      <x:c r="M71" s="267" t="n">
        <x:v>74</x:v>
      </x:c>
      <x:c r="N71" s="267" t="n">
        <x:v>79</x:v>
      </x:c>
      <x:c r="O71" s="267" t="n">
        <x:v>80</x:v>
      </x:c>
      <x:c r="P71" s="267" t="n">
        <x:v>76</x:v>
      </x:c>
      <x:c r="Q71" s="267" t="n">
        <x:v>65</x:v>
      </x:c>
      <x:c r="R71" s="267" t="n">
        <x:v>71</x:v>
      </x:c>
      <x:c r="S71" s="267" t="n">
        <x:v>78</x:v>
      </x:c>
      <x:c r="T71" s="267" t="n">
        <x:v>66</x:v>
      </x:c>
      <x:c r="U71" s="267" t="str">
        <x:v>SRC-QB-001</x:v>
      </x:c>
      <x:c r="V71" s="267" t="str">
        <x:v>all qb.pdf p.68</x:v>
      </x:c>
      <x:c r="W71" s="267" t="str">
        <x:v>PRIMARY 80+ POPULATION</x:v>
      </x:c>
      <x:c r="X71" s="267" t="str">
        <x:v>DEVELOPMENT</x:v>
      </x:c>
      <x:c r="Y71" s="267" t="str">
        <x:v>Pocket Passer|79-73-73-78-55-80-79-74-79-80-76-65-71-78-66</x:v>
      </x:c>
      <x:c r="Z71" s="267" t="str"/>
      <x:c r="AA71" s="287" t="n">
        <x:v>76.52000000000001</x:v>
      </x:c>
      <x:c r="AB71" s="287" t="n">
        <x:f>(3*F71+1*G71+8*H71+10*I71+0*J71+0*K71+18*L71+0*M71+12*N71+12*O71+18*P71+1*Q71+9*R71+4*S71+4*T71)/100</x:f>
        <x:v>76.52</x:v>
      </x:c>
      <x:c r="AC71" s="287" t="n">
        <x:f>AB71-AA71</x:f>
        <x:v>-1.4210854715202004e-14</x:v>
      </x:c>
    </x:row>
    <x:row r="72">
      <x:c r="A72" s="270" t="str">
        <x:v>QB-0068</x:v>
      </x:c>
      <x:c r="B72" s="270" t="str">
        <x:v>Conner Weigman</x:v>
      </x:c>
      <x:c r="C72" s="270" t="n">
        <x:v>80</x:v>
      </x:c>
      <x:c r="D72" s="270" t="str">
        <x:v>Pocket Passer</x:v>
      </x:c>
      <x:c r="E72" s="270" t="str">
        <x:v>Platinum Rare</x:v>
      </x:c>
      <x:c r="F72" s="270" t="n">
        <x:v>79</x:v>
      </x:c>
      <x:c r="G72" s="270" t="n">
        <x:v>73</x:v>
      </x:c>
      <x:c r="H72" s="270" t="n">
        <x:v>73</x:v>
      </x:c>
      <x:c r="I72" s="270" t="n">
        <x:v>78</x:v>
      </x:c>
      <x:c r="J72" s="270" t="n">
        <x:v>55</x:v>
      </x:c>
      <x:c r="K72" s="270" t="n">
        <x:v>80</x:v>
      </x:c>
      <x:c r="L72" s="270" t="n">
        <x:v>79</x:v>
      </x:c>
      <x:c r="M72" s="270" t="n">
        <x:v>74</x:v>
      </x:c>
      <x:c r="N72" s="270" t="n">
        <x:v>79</x:v>
      </x:c>
      <x:c r="O72" s="270" t="n">
        <x:v>80</x:v>
      </x:c>
      <x:c r="P72" s="270" t="n">
        <x:v>76</x:v>
      </x:c>
      <x:c r="Q72" s="270" t="n">
        <x:v>65</x:v>
      </x:c>
      <x:c r="R72" s="270" t="n">
        <x:v>71</x:v>
      </x:c>
      <x:c r="S72" s="270" t="n">
        <x:v>78</x:v>
      </x:c>
      <x:c r="T72" s="270" t="n">
        <x:v>66</x:v>
      </x:c>
      <x:c r="U72" s="270" t="str">
        <x:v>SRC-QB-001</x:v>
      </x:c>
      <x:c r="V72" s="270" t="str">
        <x:v>all qb.pdf p.69</x:v>
      </x:c>
      <x:c r="W72" s="270" t="str">
        <x:v>PRIMARY 80+ POPULATION</x:v>
      </x:c>
      <x:c r="X72" s="270" t="str">
        <x:v>PROFILE DUPLICATE — EXCLUDED FROM MODEL COUNT</x:v>
      </x:c>
      <x:c r="Y72" s="270" t="str">
        <x:v>Pocket Passer|79-73-73-78-55-80-79-74-79-80-76-65-71-78-66</x:v>
      </x:c>
      <x:c r="Z72" s="270" t="str"/>
      <x:c r="AA72" s="288" t="n">
        <x:v>76.52000000000001</x:v>
      </x:c>
      <x:c r="AB72" s="288" t="n">
        <x:f>(3*F72+1*G72+8*H72+10*I72+0*J72+0*K72+18*L72+0*M72+12*N72+12*O72+18*P72+1*Q72+9*R72+4*S72+4*T72)/100</x:f>
        <x:v>76.52</x:v>
      </x:c>
      <x:c r="AC72" s="288" t="n">
        <x:f>AB72-AA72</x:f>
        <x:v>-1.4210854715202004e-14</x:v>
      </x:c>
    </x:row>
    <x:row r="73">
      <x:c r="A73" s="267" t="str">
        <x:v>QB-0069</x:v>
      </x:c>
      <x:c r="B73" s="267" t="str">
        <x:v>Steve Young</x:v>
      </x:c>
      <x:c r="C73" s="267" t="n">
        <x:v>80</x:v>
      </x:c>
      <x:c r="D73" s="267" t="str">
        <x:v>Dual Threat</x:v>
      </x:c>
      <x:c r="E73" s="267" t="str">
        <x:v>Core Legends Classic</x:v>
      </x:c>
      <x:c r="F73" s="267" t="n">
        <x:v>79</x:v>
      </x:c>
      <x:c r="G73" s="267" t="n">
        <x:v>77</x:v>
      </x:c>
      <x:c r="H73" s="267" t="n">
        <x:v>74</x:v>
      </x:c>
      <x:c r="I73" s="267" t="n">
        <x:v>65</x:v>
      </x:c>
      <x:c r="J73" s="267" t="n">
        <x:v>71</x:v>
      </x:c>
      <x:c r="K73" s="267" t="n">
        <x:v>80</x:v>
      </x:c>
      <x:c r="L73" s="267" t="n">
        <x:v>82</x:v>
      </x:c>
      <x:c r="M73" s="267" t="n">
        <x:v>80</x:v>
      </x:c>
      <x:c r="N73" s="267" t="n">
        <x:v>77</x:v>
      </x:c>
      <x:c r="O73" s="267" t="n">
        <x:v>76</x:v>
      </x:c>
      <x:c r="P73" s="267" t="n">
        <x:v>80</x:v>
      </x:c>
      <x:c r="Q73" s="267" t="n">
        <x:v>82</x:v>
      </x:c>
      <x:c r="R73" s="267" t="n">
        <x:v>72</x:v>
      </x:c>
      <x:c r="S73" s="267" t="n">
        <x:v>71</x:v>
      </x:c>
      <x:c r="T73" s="267" t="n">
        <x:v>83</x:v>
      </x:c>
      <x:c r="U73" s="267" t="str">
        <x:v>SRC-QB-001</x:v>
      </x:c>
      <x:c r="V73" s="267" t="str">
        <x:v>all qb.pdf p.70</x:v>
      </x:c>
      <x:c r="W73" s="267" t="str">
        <x:v>PRIMARY 80+ POPULATION</x:v>
      </x:c>
      <x:c r="X73" s="267" t="str">
        <x:v>DEVELOPMENT</x:v>
      </x:c>
      <x:c r="Y73" s="267" t="str">
        <x:v>Dual Threat|79-77-74-65-71-80-82-80-77-76-80-82-72-71-83</x:v>
      </x:c>
      <x:c r="Z73" s="267" t="str"/>
      <x:c r="AA73" s="287" t="n">
        <x:v>76.53999999999999</x:v>
      </x:c>
      <x:c r="AB73" s="287" t="n">
        <x:f>(3*F73+1*G73+8*H73+10*I73+0*J73+0*K73+18*L73+0*M73+12*N73+12*O73+18*P73+1*Q73+9*R73+4*S73+4*T73)/100</x:f>
        <x:v>76.54</x:v>
      </x:c>
      <x:c r="AC73" s="287" t="n">
        <x:f>AB73-AA73</x:f>
        <x:v>1.4210854715202004e-14</x:v>
      </x:c>
    </x:row>
    <x:row r="74">
      <x:c r="A74" s="270" t="str">
        <x:v>QB-0070</x:v>
      </x:c>
      <x:c r="B74" s="270" t="str">
        <x:v>Michael Vick</x:v>
      </x:c>
      <x:c r="C74" s="270" t="n">
        <x:v>89</x:v>
      </x:c>
      <x:c r="D74" s="270" t="str">
        <x:v>Dual Threat</x:v>
      </x:c>
      <x:c r="E74" s="270" t="str">
        <x:v>Summer Rush</x:v>
      </x:c>
      <x:c r="F74" s="270" t="n">
        <x:v>89</x:v>
      </x:c>
      <x:c r="G74" s="270" t="n">
        <x:v>90</x:v>
      </x:c>
      <x:c r="H74" s="270" t="n">
        <x:v>89</x:v>
      </x:c>
      <x:c r="I74" s="270" t="n">
        <x:v>78</x:v>
      </x:c>
      <x:c r="J74" s="270" t="n">
        <x:v>61</x:v>
      </x:c>
      <x:c r="K74" s="270" t="n">
        <x:v>95</x:v>
      </x:c>
      <x:c r="L74" s="270" t="n">
        <x:v>90</x:v>
      </x:c>
      <x:c r="M74" s="270" t="n">
        <x:v>90</x:v>
      </x:c>
      <x:c r="N74" s="270" t="n">
        <x:v>87</x:v>
      </x:c>
      <x:c r="O74" s="270" t="n">
        <x:v>85</x:v>
      </x:c>
      <x:c r="P74" s="270" t="n">
        <x:v>84</x:v>
      </x:c>
      <x:c r="Q74" s="270" t="n">
        <x:v>88</x:v>
      </x:c>
      <x:c r="R74" s="270" t="n">
        <x:v>85</x:v>
      </x:c>
      <x:c r="S74" s="270" t="n">
        <x:v>82</x:v>
      </x:c>
      <x:c r="T74" s="270" t="n">
        <x:v>82</x:v>
      </x:c>
      <x:c r="U74" s="270" t="str">
        <x:v>SRC-QB-001</x:v>
      </x:c>
      <x:c r="V74" s="270" t="str">
        <x:v>all qb.pdf p.71</x:v>
      </x:c>
      <x:c r="W74" s="270" t="str">
        <x:v>PRIMARY 80+ POPULATION</x:v>
      </x:c>
      <x:c r="X74" s="270" t="str">
        <x:v>INDEPENDENT HOLDOUT</x:v>
      </x:c>
      <x:c r="Y74" s="270" t="str">
        <x:v>Dual Threat|89-90-89-78-61-95-90-90-87-85-84-88-85-82-82</x:v>
      </x:c>
      <x:c r="Z74" s="270" t="str"/>
      <x:c r="AA74" s="288" t="n">
        <x:v>85.54</x:v>
      </x:c>
      <x:c r="AB74" s="288" t="n">
        <x:f>(3*F74+1*G74+8*H74+10*I74+0*J74+0*K74+18*L74+0*M74+12*N74+12*O74+18*P74+1*Q74+9*R74+4*S74+4*T74)/100</x:f>
        <x:v>85.54</x:v>
      </x:c>
      <x:c r="AC74" s="288" t="n">
        <x:f>AB74-AA74</x:f>
        <x:v>0</x:v>
      </x:c>
    </x:row>
    <x:row r="75">
      <x:c r="A75" s="267" t="str">
        <x:v>QB-0071</x:v>
      </x:c>
      <x:c r="B75" s="267" t="str">
        <x:v>Sam Leavitt</x:v>
      </x:c>
      <x:c r="C75" s="267" t="n">
        <x:v>88</x:v>
      </x:c>
      <x:c r="D75" s="267" t="str">
        <x:v>Pocket Passer</x:v>
      </x:c>
      <x:c r="E75" s="267" t="str">
        <x:v>Prime Prospects</x:v>
      </x:c>
      <x:c r="F75" s="267" t="n">
        <x:v>83</x:v>
      </x:c>
      <x:c r="G75" s="267" t="n">
        <x:v>82</x:v>
      </x:c>
      <x:c r="H75" s="267" t="n">
        <x:v>80</x:v>
      </x:c>
      <x:c r="I75" s="267" t="n">
        <x:v>77</x:v>
      </x:c>
      <x:c r="J75" s="267" t="n">
        <x:v>81</x:v>
      </x:c>
      <x:c r="K75" s="267" t="n">
        <x:v>88</x:v>
      </x:c>
      <x:c r="L75" s="267" t="n">
        <x:v>88</x:v>
      </x:c>
      <x:c r="M75" s="267" t="n">
        <x:v>88</x:v>
      </x:c>
      <x:c r="N75" s="267" t="n">
        <x:v>83</x:v>
      </x:c>
      <x:c r="O75" s="267" t="n">
        <x:v>88</x:v>
      </x:c>
      <x:c r="P75" s="267" t="n">
        <x:v>90</x:v>
      </x:c>
      <x:c r="Q75" s="267" t="n">
        <x:v>84</x:v>
      </x:c>
      <x:c r="R75" s="267" t="n">
        <x:v>83</x:v>
      </x:c>
      <x:c r="S75" s="267" t="n">
        <x:v>81</x:v>
      </x:c>
      <x:c r="T75" s="267" t="n">
        <x:v>81</x:v>
      </x:c>
      <x:c r="U75" s="267" t="str">
        <x:v>SRC-QB-001</x:v>
      </x:c>
      <x:c r="V75" s="267" t="str">
        <x:v>all qb.pdf p.72</x:v>
      </x:c>
      <x:c r="W75" s="267" t="str">
        <x:v>PRIMARY 80+ POPULATION</x:v>
      </x:c>
      <x:c r="X75" s="267" t="str">
        <x:v>INDEPENDENT HOLDOUT</x:v>
      </x:c>
      <x:c r="Y75" s="267" t="str">
        <x:v>Pocket Passer|83-82-80-77-81-88-88-88-83-88-90-84-83-81-81</x:v>
      </x:c>
      <x:c r="Z75" s="267" t="str"/>
      <x:c r="AA75" s="287" t="n">
        <x:v>84.75999999999999</x:v>
      </x:c>
      <x:c r="AB75" s="287" t="n">
        <x:f>(3*F75+1*G75+8*H75+10*I75+0*J75+0*K75+18*L75+0*M75+12*N75+12*O75+18*P75+1*Q75+9*R75+4*S75+4*T75)/100</x:f>
        <x:v>84.76</x:v>
      </x:c>
      <x:c r="AC75" s="287" t="n">
        <x:f>AB75-AA75</x:f>
        <x:v>1.4210854715202004e-14</x:v>
      </x:c>
    </x:row>
    <x:row r="76">
      <x:c r="A76" s="270" t="str">
        <x:v>QB-0072</x:v>
      </x:c>
      <x:c r="B76" s="270" t="str">
        <x:v>Trinidad Chambliss</x:v>
      </x:c>
      <x:c r="C76" s="270" t="n">
        <x:v>88</x:v>
      </x:c>
      <x:c r="D76" s="270" t="str">
        <x:v>Backfield Creator</x:v>
      </x:c>
      <x:c r="E76" s="270" t="str">
        <x:v>Season 1</x:v>
      </x:c>
      <x:c r="F76" s="270" t="n">
        <x:v>86</x:v>
      </x:c>
      <x:c r="G76" s="270" t="n">
        <x:v>84</x:v>
      </x:c>
      <x:c r="H76" s="270" t="n">
        <x:v>85</x:v>
      </x:c>
      <x:c r="I76" s="270" t="n">
        <x:v>82</x:v>
      </x:c>
      <x:c r="J76" s="270" t="n">
        <x:v>79</x:v>
      </x:c>
      <x:c r="K76" s="270" t="n">
        <x:v>88</x:v>
      </x:c>
      <x:c r="L76" s="270" t="n">
        <x:v>88</x:v>
      </x:c>
      <x:c r="M76" s="270" t="n">
        <x:v>88</x:v>
      </x:c>
      <x:c r="N76" s="270" t="n">
        <x:v>88</x:v>
      </x:c>
      <x:c r="O76" s="270" t="n">
        <x:v>85</x:v>
      </x:c>
      <x:c r="P76" s="270" t="n">
        <x:v>86</x:v>
      </x:c>
      <x:c r="Q76" s="270" t="n">
        <x:v>87</x:v>
      </x:c>
      <x:c r="R76" s="270" t="n">
        <x:v>84</x:v>
      </x:c>
      <x:c r="S76" s="270" t="n">
        <x:v>84</x:v>
      </x:c>
      <x:c r="T76" s="270" t="n">
        <x:v>83</x:v>
      </x:c>
      <x:c r="U76" s="270" t="str">
        <x:v>SRC-QB-001</x:v>
      </x:c>
      <x:c r="V76" s="270" t="str">
        <x:v>all qb.pdf p.73</x:v>
      </x:c>
      <x:c r="W76" s="270" t="str">
        <x:v>PRIMARY 80+ POPULATION</x:v>
      </x:c>
      <x:c r="X76" s="270" t="str">
        <x:v>DEVELOPMENT</x:v>
      </x:c>
      <x:c r="Y76" s="270" t="str">
        <x:v>Backfield Creator|86-84-85-82-79-88-88-88-88-85-86-87-84-84-83</x:v>
      </x:c>
      <x:c r="Z76" s="270" t="str"/>
      <x:c r="AA76" s="288" t="n">
        <x:v>85.61</x:v>
      </x:c>
      <x:c r="AB76" s="288" t="n">
        <x:f>(3*F76+1*G76+8*H76+10*I76+0*J76+0*K76+18*L76+0*M76+12*N76+12*O76+18*P76+1*Q76+9*R76+4*S76+4*T76)/100</x:f>
        <x:v>85.61</x:v>
      </x:c>
      <x:c r="AC76" s="288" t="n">
        <x:f>AB76-AA76</x:f>
        <x:v>0</x:v>
      </x:c>
    </x:row>
    <x:row r="77">
      <x:c r="A77" s="267" t="str">
        <x:v>QB-0073</x:v>
      </x:c>
      <x:c r="B77" s="267" t="str">
        <x:v>Dante Moore</x:v>
      </x:c>
      <x:c r="C77" s="267" t="n">
        <x:v>87</x:v>
      </x:c>
      <x:c r="D77" s="267" t="str">
        <x:v>Pocket Passer</x:v>
      </x:c>
      <x:c r="E77" s="267" t="str">
        <x:v>Phenoms</x:v>
      </x:c>
      <x:c r="F77" s="267" t="n">
        <x:v>85</x:v>
      </x:c>
      <x:c r="G77" s="267" t="n">
        <x:v>82</x:v>
      </x:c>
      <x:c r="H77" s="267" t="n">
        <x:v>82</x:v>
      </x:c>
      <x:c r="I77" s="267" t="n">
        <x:v>74</x:v>
      </x:c>
      <x:c r="J77" s="267" t="n">
        <x:v>60</x:v>
      </x:c>
      <x:c r="K77" s="267" t="n">
        <x:v>87</x:v>
      </x:c>
      <x:c r="L77" s="267" t="n">
        <x:v>88</x:v>
      </x:c>
      <x:c r="M77" s="267" t="n">
        <x:v>87</x:v>
      </x:c>
      <x:c r="N77" s="267" t="n">
        <x:v>85</x:v>
      </x:c>
      <x:c r="O77" s="267" t="n">
        <x:v>86</x:v>
      </x:c>
      <x:c r="P77" s="267" t="n">
        <x:v>87</x:v>
      </x:c>
      <x:c r="Q77" s="267" t="n">
        <x:v>80</x:v>
      </x:c>
      <x:c r="R77" s="267" t="n">
        <x:v>83</x:v>
      </x:c>
      <x:c r="S77" s="267" t="n">
        <x:v>82</x:v>
      </x:c>
      <x:c r="T77" s="267" t="n">
        <x:v>78</x:v>
      </x:c>
      <x:c r="U77" s="267" t="str">
        <x:v>SRC-QB-001</x:v>
      </x:c>
      <x:c r="V77" s="267" t="str">
        <x:v>all qb.pdf p.74</x:v>
      </x:c>
      <x:c r="W77" s="267" t="str">
        <x:v>PRIMARY 80+ POPULATION</x:v>
      </x:c>
      <x:c r="X77" s="267" t="str">
        <x:v>DEVELOPMENT</x:v>
      </x:c>
      <x:c r="Y77" s="267" t="str">
        <x:v>Pocket Passer|85-82-82-74-60-87-88-87-85-86-87-80-83-82-78</x:v>
      </x:c>
      <x:c r="Z77" s="267" t="str"/>
      <x:c r="AA77" s="287" t="n">
        <x:v>84.02000000000001</x:v>
      </x:c>
      <x:c r="AB77" s="287" t="n">
        <x:f>(3*F77+1*G77+8*H77+10*I77+0*J77+0*K77+18*L77+0*M77+12*N77+12*O77+18*P77+1*Q77+9*R77+4*S77+4*T77)/100</x:f>
        <x:v>84.02</x:v>
      </x:c>
      <x:c r="AC77" s="287" t="n">
        <x:f>AB77-AA77</x:f>
        <x:v>-1.4210854715202004e-14</x:v>
      </x:c>
    </x:row>
    <x:row r="78">
      <x:c r="A78" s="270" t="str">
        <x:v>QB-0074</x:v>
      </x:c>
      <x:c r="B78" s="270" t="str">
        <x:v>Joey Harrington</x:v>
      </x:c>
      <x:c r="C78" s="270" t="n">
        <x:v>79</x:v>
      </x:c>
      <x:c r="D78" s="270" t="str">
        <x:v>Pocket Passer</x:v>
      </x:c>
      <x:c r="E78" s="270" t="str">
        <x:v>SI Legends - Millennium</x:v>
      </x:c>
      <x:c r="F78" s="270" t="n">
        <x:v>75</x:v>
      </x:c>
      <x:c r="G78" s="270" t="n">
        <x:v>77</x:v>
      </x:c>
      <x:c r="H78" s="270" t="n">
        <x:v>74</x:v>
      </x:c>
      <x:c r="I78" s="270" t="n">
        <x:v>80</x:v>
      </x:c>
      <x:c r="J78" s="270" t="n">
        <x:v>76</x:v>
      </x:c>
      <x:c r="K78" s="270" t="n">
        <x:v>90</x:v>
      </x:c>
      <x:c r="L78" s="270" t="n">
        <x:v>77</x:v>
      </x:c>
      <x:c r="M78" s="270" t="n">
        <x:v>86</x:v>
      </x:c>
      <x:c r="N78" s="270" t="n">
        <x:v>79</x:v>
      </x:c>
      <x:c r="O78" s="270" t="n">
        <x:v>79</x:v>
      </x:c>
      <x:c r="P78" s="270" t="n">
        <x:v>74</x:v>
      </x:c>
      <x:c r="Q78" s="270" t="n">
        <x:v>77</x:v>
      </x:c>
      <x:c r="R78" s="270" t="n">
        <x:v>73</x:v>
      </x:c>
      <x:c r="S78" s="270" t="n">
        <x:v>73</x:v>
      </x:c>
      <x:c r="T78" s="270" t="n">
        <x:v>76</x:v>
      </x:c>
      <x:c r="U78" s="270" t="str">
        <x:v>SRC-QB-002</x:v>
      </x:c>
      <x:c r="V78" s="270" t="str">
        <x:v>Screenshot 2026-07-26 204922.jpg</x:v>
      </x:c>
      <x:c r="W78" s="270" t="str">
        <x:v>PROGRESSION BOUNDARY &lt;80</x:v>
      </x:c>
      <x:c r="X78" s="270" t="str">
        <x:v>DEVELOPMENT BOUNDARY</x:v>
      </x:c>
      <x:c r="Y78" s="270" t="str">
        <x:v>Pocket Passer|75-77-74-80-76-90-77-86-79-79-74-77-73-73-76</x:v>
      </x:c>
      <x:c r="Z78" s="270" t="str">
        <x:v>Progression boundary record below primary 80+ population.</x:v>
      </x:c>
      <x:c r="AA78" s="288" t="n">
        <x:v>76.38000000000002</x:v>
      </x:c>
      <x:c r="AB78" s="288" t="n">
        <x:f>(3*F78+1*G78+8*H78+10*I78+0*J78+0*K78+18*L78+0*M78+12*N78+12*O78+18*P78+1*Q78+9*R78+4*S78+4*T78)/100</x:f>
        <x:v>76.38</x:v>
      </x:c>
      <x:c r="AC78" s="288" t="n">
        <x:f>AB78-AA78</x:f>
        <x:v>-2.842170943040401e-14</x:v>
      </x:c>
    </x:row>
  </x:sheetData>
  <x:mergeCells>
    <x:mergeCell ref="A1:AC1"/>
    <x:mergeCell ref="A2:AC2"/>
  </x:mergeCells>
  <x:pageMargins left="0.7" right="0.7" top="0.75" bottom="0.75" header="0.3" footer="0.3"/>
</x:worksheet>
</file>

<file path=xl/worksheets/sheet37.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2" hidden="0" customWidth="1"/>
    <x:col min="5" max="5" width="12" hidden="0" customWidth="1"/>
    <x:col min="6" max="6" width="22" hidden="0" customWidth="1"/>
    <x:col min="7" max="7" width="55" hidden="0" customWidth="1"/>
  </x:cols>
  <x:sheetData>
    <x:row r="1" ht="28" customHeight="1">
      <x:c r="A1" s="273" t="str">
        <x:v>Madden 19 QB Archetype Weights — Historical Reference</x:v>
      </x:c>
      <x:c r="B1" s="273"/>
      <x:c r="C1" s="273"/>
      <x:c r="D1" s="273"/>
      <x:c r="E1" s="273"/>
      <x:c r="F1" s="273"/>
      <x:c r="G1" s="273"/>
    </x:row>
    <x:row r="2" ht="32" customHeight="1">
      <x:c r="A2" s="277" t="str">
        <x:v>Extracted from the supplied Madden 19 reference material. These weights were tested as priors only; they are not imported as CFB27 truth.</x:v>
      </x:c>
      <x:c r="B2" s="277"/>
      <x:c r="C2" s="277"/>
      <x:c r="D2" s="277"/>
      <x:c r="E2" s="277"/>
      <x:c r="F2" s="277"/>
      <x:c r="G2" s="277"/>
    </x:row>
    <x:row r="4" ht="30" customHeight="1">
      <x:c r="A4" s="281" t="str">
        <x:v>Attribute</x:v>
      </x:c>
      <x:c r="B4" s="281" t="str">
        <x:v>Field General</x:v>
      </x:c>
      <x:c r="C4" s="281" t="str">
        <x:v>Scrambler</x:v>
      </x:c>
      <x:c r="D4" s="281" t="str">
        <x:v>Strong Arm</x:v>
      </x:c>
      <x:c r="E4" s="281" t="str">
        <x:v>West Coast</x:v>
      </x:c>
      <x:c r="F4" s="281" t="str">
        <x:v>CFB27 Availability</x:v>
      </x:c>
      <x:c r="G4" s="281" t="str">
        <x:v>Interpretation</x:v>
      </x:c>
    </x:row>
    <x:row r="5">
      <x:c r="A5" s="267" t="str">
        <x:v>SPD</x:v>
      </x:c>
      <x:c r="B5" s="290" t="n">
        <x:v>0</x:v>
      </x:c>
      <x:c r="C5" s="290" t="n">
        <x:v>0.06</x:v>
      </x:c>
      <x:c r="D5" s="290" t="n">
        <x:v>0</x:v>
      </x:c>
      <x:c r="E5" s="290" t="n">
        <x:v>0.02</x:v>
      </x:c>
      <x:c r="F5" s="267" t="str">
        <x:v>Complete core field</x:v>
      </x:c>
      <x:c r="G5" s="267" t="str">
        <x:v>Historical reference only; zero is historical table value, not CFB27 conclusion.</x:v>
      </x:c>
    </x:row>
    <x:row r="6">
      <x:c r="A6" s="270" t="str">
        <x:v>ACC</x:v>
      </x:c>
      <x:c r="B6" s="291" t="n">
        <x:v>0</x:v>
      </x:c>
      <x:c r="C6" s="291" t="n">
        <x:v>0.03</x:v>
      </x:c>
      <x:c r="D6" s="291" t="n">
        <x:v>0</x:v>
      </x:c>
      <x:c r="E6" s="291" t="n">
        <x:v>0.01</x:v>
      </x:c>
      <x:c r="F6" s="270" t="str">
        <x:v>Complete core field</x:v>
      </x:c>
      <x:c r="G6" s="270" t="str">
        <x:v>Historical reference only; zero is historical table value, not CFB27 conclusion.</x:v>
      </x:c>
    </x:row>
    <x:row r="7">
      <x:c r="A7" s="267" t="str">
        <x:v>AGI</x:v>
      </x:c>
      <x:c r="B7" s="290" t="n">
        <x:v>0</x:v>
      </x:c>
      <x:c r="C7" s="290" t="n">
        <x:v>0.02</x:v>
      </x:c>
      <x:c r="D7" s="290" t="n">
        <x:v>0</x:v>
      </x:c>
      <x:c r="E7" s="290" t="n">
        <x:v>0.02</x:v>
      </x:c>
      <x:c r="F7" s="267" t="str">
        <x:v>Complete core field</x:v>
      </x:c>
      <x:c r="G7" s="267" t="str">
        <x:v>Historical reference only; zero is historical table value, not CFB27 conclusion.</x:v>
      </x:c>
    </x:row>
    <x:row r="8">
      <x:c r="A8" s="270" t="str">
        <x:v>AWR</x:v>
      </x:c>
      <x:c r="B8" s="291" t="n">
        <x:v>0.16</x:v>
      </x:c>
      <x:c r="C8" s="291" t="n">
        <x:v>0.07</x:v>
      </x:c>
      <x:c r="D8" s="291" t="n">
        <x:v>0.12</x:v>
      </x:c>
      <x:c r="E8" s="291" t="n">
        <x:v>0.14</x:v>
      </x:c>
      <x:c r="F8" s="270" t="str">
        <x:v>Complete core field</x:v>
      </x:c>
      <x:c r="G8" s="270" t="str">
        <x:v>Historical reference only; zero is historical table value, not CFB27 conclusion.</x:v>
      </x:c>
    </x:row>
    <x:row r="9">
      <x:c r="A9" s="267" t="str">
        <x:v>STR</x:v>
      </x:c>
      <x:c r="B9" s="290" t="n">
        <x:v>0</x:v>
      </x:c>
      <x:c r="C9" s="290" t="n">
        <x:v>0</x:v>
      </x:c>
      <x:c r="D9" s="290" t="n">
        <x:v>0</x:v>
      </x:c>
      <x:c r="E9" s="290" t="n">
        <x:v>0</x:v>
      </x:c>
      <x:c r="F9" s="267" t="str">
        <x:v>Complete core field</x:v>
      </x:c>
      <x:c r="G9" s="267" t="str">
        <x:v>Historical reference only; zero is historical table value, not CFB27 conclusion.</x:v>
      </x:c>
    </x:row>
    <x:row r="10">
      <x:c r="A10" s="270" t="str">
        <x:v>TGH</x:v>
      </x:c>
      <x:c r="B10" s="291" t="n">
        <x:v>0</x:v>
      </x:c>
      <x:c r="C10" s="291" t="n">
        <x:v>0</x:v>
      </x:c>
      <x:c r="D10" s="291" t="n">
        <x:v>0</x:v>
      </x:c>
      <x:c r="E10" s="291" t="n">
        <x:v>0</x:v>
      </x:c>
      <x:c r="F10" s="270" t="str">
        <x:v>Complete core field</x:v>
      </x:c>
      <x:c r="G10" s="270" t="str">
        <x:v>Historical reference only; zero is historical table value, not CFB27 conclusion.</x:v>
      </x:c>
    </x:row>
    <x:row r="11">
      <x:c r="A11" s="267" t="str">
        <x:v>THP</x:v>
      </x:c>
      <x:c r="B11" s="290" t="n">
        <x:v>0.25</x:v>
      </x:c>
      <x:c r="C11" s="290" t="n">
        <x:v>0.23</x:v>
      </x:c>
      <x:c r="D11" s="290" t="n">
        <x:v>0.33</x:v>
      </x:c>
      <x:c r="E11" s="290" t="n">
        <x:v>0.15</x:v>
      </x:c>
      <x:c r="F11" s="267" t="str">
        <x:v>Complete core field</x:v>
      </x:c>
      <x:c r="G11" s="267" t="str">
        <x:v>Historical reference only; zero is historical table value, not CFB27 conclusion.</x:v>
      </x:c>
    </x:row>
    <x:row r="12">
      <x:c r="A12" s="270" t="str">
        <x:v>TAC</x:v>
      </x:c>
      <x:c r="B12" s="291" t="n">
        <x:v>0</x:v>
      </x:c>
      <x:c r="C12" s="291" t="n">
        <x:v>0</x:v>
      </x:c>
      <x:c r="D12" s="291" t="n">
        <x:v>0</x:v>
      </x:c>
      <x:c r="E12" s="291" t="n">
        <x:v>0</x:v>
      </x:c>
      <x:c r="F12" s="270" t="str">
        <x:v>Complete core field</x:v>
      </x:c>
      <x:c r="G12" s="270" t="str">
        <x:v>Historical reference only; zero is historical table value, not CFB27 conclusion.</x:v>
      </x:c>
    </x:row>
    <x:row r="13">
      <x:c r="A13" s="267" t="str">
        <x:v>SAC</x:v>
      </x:c>
      <x:c r="B13" s="290" t="n">
        <x:v>0.18</x:v>
      </x:c>
      <x:c r="C13" s="290" t="n">
        <x:v>0.15</x:v>
      </x:c>
      <x:c r="D13" s="290" t="n">
        <x:v>0</x:v>
      </x:c>
      <x:c r="E13" s="290" t="n">
        <x:v>0.24</x:v>
      </x:c>
      <x:c r="F13" s="267" t="str">
        <x:v>Complete core field</x:v>
      </x:c>
      <x:c r="G13" s="267" t="str">
        <x:v>Historical reference only; zero is historical table value, not CFB27 conclusion.</x:v>
      </x:c>
    </x:row>
    <x:row r="14">
      <x:c r="A14" s="270" t="str">
        <x:v>MAC</x:v>
      </x:c>
      <x:c r="B14" s="291" t="n">
        <x:v>0.18</x:v>
      </x:c>
      <x:c r="C14" s="291" t="n">
        <x:v>0.14</x:v>
      </x:c>
      <x:c r="D14" s="291" t="n">
        <x:v>0.22</x:v>
      </x:c>
      <x:c r="E14" s="291" t="n">
        <x:v>0.18</x:v>
      </x:c>
      <x:c r="F14" s="270" t="str">
        <x:v>Complete core field</x:v>
      </x:c>
      <x:c r="G14" s="270" t="str">
        <x:v>Historical reference only; zero is historical table value, not CFB27 conclusion.</x:v>
      </x:c>
    </x:row>
    <x:row r="15">
      <x:c r="A15" s="267" t="str">
        <x:v>DAC</x:v>
      </x:c>
      <x:c r="B15" s="290" t="n">
        <x:v>0.12</x:v>
      </x:c>
      <x:c r="C15" s="290" t="n">
        <x:v>0</x:v>
      </x:c>
      <x:c r="D15" s="290" t="n">
        <x:v>0.18</x:v>
      </x:c>
      <x:c r="E15" s="290" t="n">
        <x:v>0.03</x:v>
      </x:c>
      <x:c r="F15" s="267" t="str">
        <x:v>Complete core field</x:v>
      </x:c>
      <x:c r="G15" s="267" t="str">
        <x:v>Historical reference only; zero is historical table value, not CFB27 conclusion.</x:v>
      </x:c>
    </x:row>
    <x:row r="16">
      <x:c r="A16" s="270" t="str">
        <x:v>RUN</x:v>
      </x:c>
      <x:c r="B16" s="291" t="n">
        <x:v>0.03</x:v>
      </x:c>
      <x:c r="C16" s="291" t="n">
        <x:v>0.1</x:v>
      </x:c>
      <x:c r="D16" s="291" t="n">
        <x:v>0</x:v>
      </x:c>
      <x:c r="E16" s="291" t="n">
        <x:v>0.05</x:v>
      </x:c>
      <x:c r="F16" s="270" t="str">
        <x:v>Complete core field</x:v>
      </x:c>
      <x:c r="G16" s="270" t="str">
        <x:v>Historical reference only; zero is historical table value, not CFB27 conclusion.</x:v>
      </x:c>
    </x:row>
    <x:row r="17">
      <x:c r="A17" s="267" t="str">
        <x:v>TUP</x:v>
      </x:c>
      <x:c r="B17" s="290" t="n">
        <x:v>0.05</x:v>
      </x:c>
      <x:c r="C17" s="290" t="n">
        <x:v>0.07</x:v>
      </x:c>
      <x:c r="D17" s="290" t="n">
        <x:v>0.1</x:v>
      </x:c>
      <x:c r="E17" s="290" t="n">
        <x:v>0.05</x:v>
      </x:c>
      <x:c r="F17" s="267" t="str">
        <x:v>Complete core field</x:v>
      </x:c>
      <x:c r="G17" s="267" t="str">
        <x:v>Historical reference only; zero is historical table value, not CFB27 conclusion.</x:v>
      </x:c>
    </x:row>
    <x:row r="18">
      <x:c r="A18" s="270" t="str">
        <x:v>PAC</x:v>
      </x:c>
      <x:c r="B18" s="291" t="n">
        <x:v>0.03</x:v>
      </x:c>
      <x:c r="C18" s="291" t="n">
        <x:v>0</x:v>
      </x:c>
      <x:c r="D18" s="291" t="n">
        <x:v>0.02</x:v>
      </x:c>
      <x:c r="E18" s="291" t="n">
        <x:v>0.11</x:v>
      </x:c>
      <x:c r="F18" s="270" t="str">
        <x:v>Complete core field</x:v>
      </x:c>
      <x:c r="G18" s="270" t="str">
        <x:v>Historical reference only; zero is historical table value, not CFB27 conclusion.</x:v>
      </x:c>
    </x:row>
    <x:row r="19">
      <x:c r="A19" s="267" t="str">
        <x:v>BSK</x:v>
      </x:c>
      <x:c r="B19" s="290" t="n">
        <x:v>0</x:v>
      </x:c>
      <x:c r="C19" s="290" t="n">
        <x:v>0.1</x:v>
      </x:c>
      <x:c r="D19" s="290" t="n">
        <x:v>0.03</x:v>
      </x:c>
      <x:c r="E19" s="290" t="n">
        <x:v>0</x:v>
      </x:c>
      <x:c r="F19" s="267" t="str">
        <x:v>Complete core field</x:v>
      </x:c>
      <x:c r="G19" s="267" t="str">
        <x:v>Historical reference only; zero is historical table value, not CFB27 conclusion.</x:v>
      </x:c>
    </x:row>
    <x:row r="20">
      <x:c r="A20" s="270" t="str">
        <x:v>CAR</x:v>
      </x:c>
      <x:c r="B20" s="291" t="n">
        <x:v>0</x:v>
      </x:c>
      <x:c r="C20" s="291" t="n">
        <x:v>0</x:v>
      </x:c>
      <x:c r="D20" s="291" t="n">
        <x:v>0</x:v>
      </x:c>
      <x:c r="E20" s="291" t="n">
        <x:v>0</x:v>
      </x:c>
      <x:c r="F20" s="270" t="str">
        <x:v>Not consistently visible</x:v>
      </x:c>
      <x:c r="G20" s="270" t="str">
        <x:v>Historical reference only; zero is historical table value, not CFB27 conclusion.</x:v>
      </x:c>
    </x:row>
    <x:row r="21">
      <x:c r="A21" s="267" t="str">
        <x:v>BCV</x:v>
      </x:c>
      <x:c r="B21" s="290" t="n">
        <x:v>0</x:v>
      </x:c>
      <x:c r="C21" s="290" t="n">
        <x:v>0</x:v>
      </x:c>
      <x:c r="D21" s="290" t="n">
        <x:v>0</x:v>
      </x:c>
      <x:c r="E21" s="290" t="n">
        <x:v>0</x:v>
      </x:c>
      <x:c r="F21" s="267" t="str">
        <x:v>Not consistently visible</x:v>
      </x:c>
      <x:c r="G21" s="267" t="str">
        <x:v>Historical reference only; zero is historical table value, not CFB27 conclusion.</x:v>
      </x:c>
    </x:row>
    <x:row r="22">
      <x:c r="A22" s="270" t="str">
        <x:v>JKM</x:v>
      </x:c>
      <x:c r="B22" s="291" t="n">
        <x:v>0</x:v>
      </x:c>
      <x:c r="C22" s="291" t="n">
        <x:v>0</x:v>
      </x:c>
      <x:c r="D22" s="291" t="n">
        <x:v>0</x:v>
      </x:c>
      <x:c r="E22" s="291" t="n">
        <x:v>0</x:v>
      </x:c>
      <x:c r="F22" s="270" t="str">
        <x:v>Not consistently visible</x:v>
      </x:c>
      <x:c r="G22" s="270" t="str">
        <x:v>Historical reference only; zero is historical table value, not CFB27 conclusion.</x:v>
      </x:c>
    </x:row>
    <x:row r="23">
      <x:c r="A23" s="267" t="str">
        <x:v>SPM</x:v>
      </x:c>
      <x:c r="B23" s="290" t="n">
        <x:v>0</x:v>
      </x:c>
      <x:c r="C23" s="290" t="n">
        <x:v>0</x:v>
      </x:c>
      <x:c r="D23" s="290" t="n">
        <x:v>0</x:v>
      </x:c>
      <x:c r="E23" s="290" t="n">
        <x:v>0</x:v>
      </x:c>
      <x:c r="F23" s="267" t="str">
        <x:v>Not consistently visible</x:v>
      </x:c>
      <x:c r="G23" s="267" t="str">
        <x:v>Historical reference only; zero is historical table value, not CFB27 conclusion.</x:v>
      </x:c>
    </x:row>
    <x:row r="24">
      <x:c r="A24" s="270" t="str">
        <x:v>TRK</x:v>
      </x:c>
      <x:c r="B24" s="291" t="n">
        <x:v>0</x:v>
      </x:c>
      <x:c r="C24" s="291" t="n">
        <x:v>0</x:v>
      </x:c>
      <x:c r="D24" s="291" t="n">
        <x:v>0</x:v>
      </x:c>
      <x:c r="E24" s="291" t="n">
        <x:v>0</x:v>
      </x:c>
      <x:c r="F24" s="270" t="str">
        <x:v>Not consistently visible</x:v>
      </x:c>
      <x:c r="G24" s="270" t="str">
        <x:v>Historical reference only; zero is historical table value, not CFB27 conclusion.</x:v>
      </x:c>
    </x:row>
    <x:row r="25">
      <x:c r="A25" s="267" t="str">
        <x:v>SFA</x:v>
      </x:c>
      <x:c r="B25" s="290" t="n">
        <x:v>0</x:v>
      </x:c>
      <x:c r="C25" s="290" t="n">
        <x:v>0</x:v>
      </x:c>
      <x:c r="D25" s="290" t="n">
        <x:v>0</x:v>
      </x:c>
      <x:c r="E25" s="290" t="n">
        <x:v>0</x:v>
      </x:c>
      <x:c r="F25" s="267" t="str">
        <x:v>Not consistently visible</x:v>
      </x:c>
      <x:c r="G25" s="267" t="str">
        <x:v>Historical reference only; zero is historical table value, not CFB27 conclusion.</x:v>
      </x:c>
    </x:row>
    <x:row r="26">
      <x:c r="A26" s="270" t="str">
        <x:v>COD</x:v>
      </x:c>
      <x:c r="B26" s="291" t="n">
        <x:v>0</x:v>
      </x:c>
      <x:c r="C26" s="291" t="n">
        <x:v>0</x:v>
      </x:c>
      <x:c r="D26" s="291" t="n">
        <x:v>0</x:v>
      </x:c>
      <x:c r="E26" s="291" t="n">
        <x:v>0</x:v>
      </x:c>
      <x:c r="F26" s="270" t="str">
        <x:v>Not consistently visible</x:v>
      </x:c>
      <x:c r="G26" s="270" t="str">
        <x:v>Historical reference only; zero is historical table value, not CFB27 conclusion.</x:v>
      </x:c>
    </x:row>
    <x:row r="27">
      <x:c r="A27" s="267" t="str">
        <x:v>BTK</x:v>
      </x:c>
      <x:c r="B27" s="290" t="n">
        <x:v>0</x:v>
      </x:c>
      <x:c r="C27" s="290" t="n">
        <x:v>0</x:v>
      </x:c>
      <x:c r="D27" s="290" t="n">
        <x:v>0</x:v>
      </x:c>
      <x:c r="E27" s="290" t="n">
        <x:v>0</x:v>
      </x:c>
      <x:c r="F27" s="267" t="str">
        <x:v>Not consistently visible</x:v>
      </x:c>
      <x:c r="G27" s="267" t="str">
        <x:v>Historical reference only; zero is historical table value, not CFB27 conclusion.</x:v>
      </x:c>
    </x:row>
  </x:sheetData>
  <x:mergeCells>
    <x:mergeCell ref="A1:G1"/>
    <x:mergeCell ref="A2:G2"/>
  </x:mergeCells>
  <x:pageMargins left="0.7" right="0.7" top="0.75" bottom="0.75" header="0.3" footer="0.3"/>
</x:worksheet>
</file>

<file path=xl/worksheets/sheet38.xml><?xml version="1.0" encoding="utf-8"?>
<x:worksheet xmlns:x="http://schemas.openxmlformats.org/spreadsheetml/2006/main">
  <x:sheetFormatPr defaultRowHeight="15"/>
  <x:cols>
    <x:col min="1" max="1" width="12" hidden="0" customWidth="1"/>
    <x:col min="2" max="2" width="17" hidden="0" customWidth="1"/>
    <x:col min="3" max="3" width="18" hidden="0" customWidth="1"/>
    <x:col min="4" max="4" width="17" hidden="0" customWidth="1"/>
    <x:col min="5" max="5" width="15" hidden="0" customWidth="1"/>
    <x:col min="6" max="6" width="25" hidden="0" customWidth="1"/>
    <x:col min="7" max="7" width="55" hidden="0" customWidth="1"/>
  </x:cols>
  <x:sheetData>
    <x:row r="1" ht="28" customHeight="1">
      <x:c r="A1" s="273" t="str">
        <x:v>QB-SHARED-001 — Frozen Production Weights</x:v>
      </x:c>
      <x:c r="B1" s="273"/>
      <x:c r="C1" s="273"/>
      <x:c r="D1" s="273"/>
      <x:c r="E1" s="273"/>
      <x:c r="F1" s="273"/>
      <x:c r="G1" s="273"/>
    </x:row>
    <x:row r="2" ht="32" customHeight="1">
      <x:c r="A2" s="277" t="str">
        <x:v>Formula: weighted sum ÷ 100. Development-only selection; independent holdout was untouched until the model was frozen. Refit prohibited absent the prospective reopen rule.</x:v>
      </x:c>
      <x:c r="B2" s="277"/>
      <x:c r="C2" s="277"/>
      <x:c r="D2" s="277"/>
      <x:c r="E2" s="277"/>
      <x:c r="F2" s="277"/>
      <x:c r="G2" s="277"/>
    </x:row>
    <x:row r="4" ht="30" customHeight="1">
      <x:c r="A4" s="281" t="str">
        <x:v>Attribute</x:v>
      </x:c>
      <x:c r="B4" s="281" t="str">
        <x:v>QB-SHARED-001</x:v>
      </x:c>
      <x:c r="C4" s="281" t="str">
        <x:v>Influence Class</x:v>
      </x:c>
      <x:c r="D4" s="281" t="str">
        <x:v>M19 Field General</x:v>
      </x:c>
      <x:c r="E4" s="281" t="str">
        <x:v>M19 Scrambler</x:v>
      </x:c>
      <x:c r="F4" s="281" t="str">
        <x:v>Evidence Role</x:v>
      </x:c>
      <x:c r="G4" s="281" t="str">
        <x:v>Interpretation</x:v>
      </x:c>
    </x:row>
    <x:row r="5">
      <x:c r="A5" s="267" t="str">
        <x:v>SPD</x:v>
      </x:c>
      <x:c r="B5" s="290" t="n">
        <x:v>0.03</x:v>
      </x:c>
      <x:c r="C5" s="267" t="str">
        <x:v>Low</x:v>
      </x:c>
      <x:c r="D5" s="290" t="n">
        <x:v>0</x:v>
      </x:c>
      <x:c r="E5" s="290" t="n">
        <x:v>0.06</x:v>
      </x:c>
      <x:c r="F5" s="267" t="str">
        <x:v>Frozen from development only</x:v>
      </x:c>
      <x:c r="G5" s="267" t="str">
        <x:v>Weight needed for predictive ordering; not a gameplay-value claim.</x:v>
      </x:c>
    </x:row>
    <x:row r="6">
      <x:c r="A6" s="270" t="str">
        <x:v>ACC</x:v>
      </x:c>
      <x:c r="B6" s="291" t="n">
        <x:v>0.01</x:v>
      </x:c>
      <x:c r="C6" s="270" t="str">
        <x:v>Low</x:v>
      </x:c>
      <x:c r="D6" s="291" t="n">
        <x:v>0</x:v>
      </x:c>
      <x:c r="E6" s="291" t="n">
        <x:v>0.03</x:v>
      </x:c>
      <x:c r="F6" s="270" t="str">
        <x:v>Frozen from development only</x:v>
      </x:c>
      <x:c r="G6" s="270" t="str">
        <x:v>Weight needed for predictive ordering; not a gameplay-value claim.</x:v>
      </x:c>
    </x:row>
    <x:row r="7">
      <x:c r="A7" s="267" t="str">
        <x:v>AGI</x:v>
      </x:c>
      <x:c r="B7" s="290" t="n">
        <x:v>0.08</x:v>
      </x:c>
      <x:c r="C7" s="267" t="str">
        <x:v>Moderate</x:v>
      </x:c>
      <x:c r="D7" s="290" t="n">
        <x:v>0</x:v>
      </x:c>
      <x:c r="E7" s="290" t="n">
        <x:v>0.02</x:v>
      </x:c>
      <x:c r="F7" s="267" t="str">
        <x:v>Frozen from development only</x:v>
      </x:c>
      <x:c r="G7" s="267" t="str">
        <x:v>Weight needed for predictive ordering; not a gameplay-value claim.</x:v>
      </x:c>
    </x:row>
    <x:row r="8">
      <x:c r="A8" s="270" t="str">
        <x:v>AWR</x:v>
      </x:c>
      <x:c r="B8" s="291" t="n">
        <x:v>0.1</x:v>
      </x:c>
      <x:c r="C8" s="270" t="str">
        <x:v>Moderate</x:v>
      </x:c>
      <x:c r="D8" s="291" t="n">
        <x:v>0.16</x:v>
      </x:c>
      <x:c r="E8" s="291" t="n">
        <x:v>0.07</x:v>
      </x:c>
      <x:c r="F8" s="270" t="str">
        <x:v>Frozen from development only</x:v>
      </x:c>
      <x:c r="G8" s="270" t="str">
        <x:v>Weight needed for predictive ordering; not a gameplay-value claim.</x:v>
      </x:c>
    </x:row>
    <x:row r="9">
      <x:c r="A9" s="267" t="str">
        <x:v>STR</x:v>
      </x:c>
      <x:c r="B9" s="290" t="n">
        <x:v>0</x:v>
      </x:c>
      <x:c r="C9" s="267" t="str">
        <x:v>Structural zero</x:v>
      </x:c>
      <x:c r="D9" s="290" t="n">
        <x:v>0</x:v>
      </x:c>
      <x:c r="E9" s="290" t="n">
        <x:v>0</x:v>
      </x:c>
      <x:c r="F9" s="267" t="str">
        <x:v>Frozen from development only</x:v>
      </x:c>
      <x:c r="G9" s="267" t="str">
        <x:v>Weight needed for predictive ordering; not a gameplay-value claim.</x:v>
      </x:c>
    </x:row>
    <x:row r="10">
      <x:c r="A10" s="270" t="str">
        <x:v>TGH</x:v>
      </x:c>
      <x:c r="B10" s="291" t="n">
        <x:v>0</x:v>
      </x:c>
      <x:c r="C10" s="270" t="str">
        <x:v>Structural zero</x:v>
      </x:c>
      <x:c r="D10" s="291" t="n">
        <x:v>0</x:v>
      </x:c>
      <x:c r="E10" s="291" t="n">
        <x:v>0</x:v>
      </x:c>
      <x:c r="F10" s="270" t="str">
        <x:v>Frozen from development only</x:v>
      </x:c>
      <x:c r="G10" s="270" t="str">
        <x:v>Weight needed for predictive ordering; not a gameplay-value claim.</x:v>
      </x:c>
    </x:row>
    <x:row r="11">
      <x:c r="A11" s="267" t="str">
        <x:v>THP</x:v>
      </x:c>
      <x:c r="B11" s="290" t="n">
        <x:v>0.18</x:v>
      </x:c>
      <x:c r="C11" s="267" t="str">
        <x:v>Major</x:v>
      </x:c>
      <x:c r="D11" s="290" t="n">
        <x:v>0.25</x:v>
      </x:c>
      <x:c r="E11" s="290" t="n">
        <x:v>0.23</x:v>
      </x:c>
      <x:c r="F11" s="267" t="str">
        <x:v>Frozen from development only</x:v>
      </x:c>
      <x:c r="G11" s="267" t="str">
        <x:v>Weight needed for predictive ordering; not a gameplay-value claim.</x:v>
      </x:c>
    </x:row>
    <x:row r="12">
      <x:c r="A12" s="270" t="str">
        <x:v>TAC</x:v>
      </x:c>
      <x:c r="B12" s="291" t="n">
        <x:v>0</x:v>
      </x:c>
      <x:c r="C12" s="270" t="str">
        <x:v>Structural zero</x:v>
      </x:c>
      <x:c r="D12" s="291" t="n">
        <x:v>0</x:v>
      </x:c>
      <x:c r="E12" s="291" t="n">
        <x:v>0</x:v>
      </x:c>
      <x:c r="F12" s="270" t="str">
        <x:v>Frozen from development only</x:v>
      </x:c>
      <x:c r="G12" s="270" t="str">
        <x:v>Weight needed for predictive ordering; not a gameplay-value claim.</x:v>
      </x:c>
    </x:row>
    <x:row r="13">
      <x:c r="A13" s="267" t="str">
        <x:v>SAC</x:v>
      </x:c>
      <x:c r="B13" s="290" t="n">
        <x:v>0.12</x:v>
      </x:c>
      <x:c r="C13" s="267" t="str">
        <x:v>Moderate</x:v>
      </x:c>
      <x:c r="D13" s="290" t="n">
        <x:v>0.18</x:v>
      </x:c>
      <x:c r="E13" s="290" t="n">
        <x:v>0.15</x:v>
      </x:c>
      <x:c r="F13" s="267" t="str">
        <x:v>Frozen from development only</x:v>
      </x:c>
      <x:c r="G13" s="267" t="str">
        <x:v>Weight needed for predictive ordering; not a gameplay-value claim.</x:v>
      </x:c>
    </x:row>
    <x:row r="14">
      <x:c r="A14" s="270" t="str">
        <x:v>MAC</x:v>
      </x:c>
      <x:c r="B14" s="291" t="n">
        <x:v>0.12</x:v>
      </x:c>
      <x:c r="C14" s="270" t="str">
        <x:v>Moderate</x:v>
      </x:c>
      <x:c r="D14" s="291" t="n">
        <x:v>0.18</x:v>
      </x:c>
      <x:c r="E14" s="291" t="n">
        <x:v>0.14</x:v>
      </x:c>
      <x:c r="F14" s="270" t="str">
        <x:v>Frozen from development only</x:v>
      </x:c>
      <x:c r="G14" s="270" t="str">
        <x:v>Weight needed for predictive ordering; not a gameplay-value claim.</x:v>
      </x:c>
    </x:row>
    <x:row r="15">
      <x:c r="A15" s="267" t="str">
        <x:v>DAC</x:v>
      </x:c>
      <x:c r="B15" s="290" t="n">
        <x:v>0.18</x:v>
      </x:c>
      <x:c r="C15" s="267" t="str">
        <x:v>Major</x:v>
      </x:c>
      <x:c r="D15" s="290" t="n">
        <x:v>0.12</x:v>
      </x:c>
      <x:c r="E15" s="290" t="n">
        <x:v>0</x:v>
      </x:c>
      <x:c r="F15" s="267" t="str">
        <x:v>Frozen from development only</x:v>
      </x:c>
      <x:c r="G15" s="267" t="str">
        <x:v>Weight needed for predictive ordering; not a gameplay-value claim.</x:v>
      </x:c>
    </x:row>
    <x:row r="16">
      <x:c r="A16" s="270" t="str">
        <x:v>RUN</x:v>
      </x:c>
      <x:c r="B16" s="291" t="n">
        <x:v>0.01</x:v>
      </x:c>
      <x:c r="C16" s="270" t="str">
        <x:v>Low</x:v>
      </x:c>
      <x:c r="D16" s="291" t="n">
        <x:v>0.03</x:v>
      </x:c>
      <x:c r="E16" s="291" t="n">
        <x:v>0.1</x:v>
      </x:c>
      <x:c r="F16" s="270" t="str">
        <x:v>Frozen from development only</x:v>
      </x:c>
      <x:c r="G16" s="270" t="str">
        <x:v>Weight needed for predictive ordering; not a gameplay-value claim.</x:v>
      </x:c>
    </x:row>
    <x:row r="17">
      <x:c r="A17" s="267" t="str">
        <x:v>TUP</x:v>
      </x:c>
      <x:c r="B17" s="290" t="n">
        <x:v>0.09</x:v>
      </x:c>
      <x:c r="C17" s="267" t="str">
        <x:v>Moderate</x:v>
      </x:c>
      <x:c r="D17" s="290" t="n">
        <x:v>0.05</x:v>
      </x:c>
      <x:c r="E17" s="290" t="n">
        <x:v>0.07</x:v>
      </x:c>
      <x:c r="F17" s="267" t="str">
        <x:v>Frozen from development only</x:v>
      </x:c>
      <x:c r="G17" s="267" t="str">
        <x:v>Weight needed for predictive ordering; not a gameplay-value claim.</x:v>
      </x:c>
    </x:row>
    <x:row r="18">
      <x:c r="A18" s="270" t="str">
        <x:v>PAC</x:v>
      </x:c>
      <x:c r="B18" s="291" t="n">
        <x:v>0.04</x:v>
      </x:c>
      <x:c r="C18" s="270" t="str">
        <x:v>Low</x:v>
      </x:c>
      <x:c r="D18" s="291" t="n">
        <x:v>0.03</x:v>
      </x:c>
      <x:c r="E18" s="291" t="n">
        <x:v>0</x:v>
      </x:c>
      <x:c r="F18" s="270" t="str">
        <x:v>Frozen from development only</x:v>
      </x:c>
      <x:c r="G18" s="270" t="str">
        <x:v>Weight needed for predictive ordering; not a gameplay-value claim.</x:v>
      </x:c>
    </x:row>
    <x:row r="19">
      <x:c r="A19" s="267" t="str">
        <x:v>BSK</x:v>
      </x:c>
      <x:c r="B19" s="290" t="n">
        <x:v>0.04</x:v>
      </x:c>
      <x:c r="C19" s="267" t="str">
        <x:v>Low</x:v>
      </x:c>
      <x:c r="D19" s="290" t="n">
        <x:v>0</x:v>
      </x:c>
      <x:c r="E19" s="290" t="n">
        <x:v>0.1</x:v>
      </x:c>
      <x:c r="F19" s="267" t="str">
        <x:v>Frozen from development only</x:v>
      </x:c>
      <x:c r="G19" s="267" t="str">
        <x:v>Weight needed for predictive ordering; not a gameplay-value claim.</x:v>
      </x:c>
    </x:row>
    <x:row r="21">
      <x:c r="B21" t="str">
        <x:v>100%</x:v>
      </x:c>
    </x:row>
  </x:sheetData>
  <x:mergeCells>
    <x:mergeCell ref="A1:G1"/>
    <x:mergeCell ref="A2:G2"/>
  </x:mergeCells>
  <x:pageMargins left="0.7" right="0.7" top="0.75" bottom="0.75" header="0.3" footer="0.3"/>
</x:worksheet>
</file>

<file path=xl/worksheets/sheet39.xml><?xml version="1.0" encoding="utf-8"?>
<x:worksheet xmlns:x="http://schemas.openxmlformats.org/spreadsheetml/2006/main">
  <x:sheetFormatPr defaultRowHeight="15"/>
  <x:cols>
    <x:col min="1" max="1" width="23" hidden="0" customWidth="1"/>
    <x:col min="2" max="2" width="22" hidden="0" customWidth="1"/>
    <x:col min="3" max="3" width="25" hidden="0" customWidth="1"/>
    <x:col min="4" max="4" width="11" hidden="0" customWidth="1"/>
    <x:col min="5" max="5" width="10" hidden="0" customWidth="1"/>
    <x:col min="6" max="6" width="12" hidden="0" customWidth="1"/>
    <x:col min="7" max="7" width="11" hidden="0" customWidth="1"/>
    <x:col min="8" max="8" width="10" hidden="0" customWidth="1"/>
    <x:col min="9" max="9" width="12" hidden="0" customWidth="1"/>
    <x:col min="10" max="10" width="12" hidden="0" customWidth="1"/>
    <x:col min="11" max="11" width="10" hidden="0" customWidth="1"/>
    <x:col min="12" max="12" width="12" hidden="0" customWidth="1"/>
    <x:col min="13" max="13" width="27" hidden="0" customWidth="1"/>
    <x:col min="14" max="14" width="55" hidden="0" customWidth="1"/>
  </x:cols>
  <x:sheetData>
    <x:row r="1" ht="28" customHeight="1">
      <x:c r="A1" s="273" t="str">
        <x:v>QB Formula Validation — Development vs Independent Holdout</x:v>
      </x:c>
      <x:c r="B1" s="273"/>
      <x:c r="C1" s="273"/>
      <x:c r="D1" s="273"/>
      <x:c r="E1" s="273"/>
      <x:c r="F1" s="273"/>
      <x:c r="G1" s="273"/>
      <x:c r="H1" s="273"/>
      <x:c r="I1" s="273"/>
      <x:c r="J1" s="273"/>
      <x:c r="K1" s="273"/>
      <x:c r="L1" s="273"/>
      <x:c r="M1" s="273"/>
      <x:c r="N1" s="273"/>
    </x:row>
    <x:row r="2" ht="32" customHeight="1">
      <x:c r="A2" s="277" t="str">
        <x:v>Holdout players were fixed before fitting. Every validation pair contains at least one player-disjoint holdout card; independent results were not used to tune weights.</x:v>
      </x:c>
      <x:c r="B2" s="277"/>
      <x:c r="C2" s="277"/>
      <x:c r="D2" s="277"/>
      <x:c r="E2" s="277"/>
      <x:c r="F2" s="277"/>
      <x:c r="G2" s="277"/>
      <x:c r="H2" s="277"/>
      <x:c r="I2" s="277"/>
      <x:c r="J2" s="277"/>
      <x:c r="K2" s="277"/>
      <x:c r="L2" s="277"/>
      <x:c r="M2" s="277"/>
      <x:c r="N2" s="277"/>
    </x:row>
    <x:row r="4" ht="30" customHeight="1">
      <x:c r="A4" s="281" t="str">
        <x:v>Model_ID</x:v>
      </x:c>
      <x:c r="B4" s="281" t="str">
        <x:v>Scope</x:v>
      </x:c>
      <x:c r="C4" s="281" t="str">
        <x:v>Type</x:v>
      </x:c>
      <x:c r="D4" s="281" t="str">
        <x:v>Dev_Correct</x:v>
      </x:c>
      <x:c r="E4" s="281" t="str">
        <x:v>Dev_Total</x:v>
      </x:c>
      <x:c r="F4" s="281" t="str">
        <x:v>Dev_Accuracy</x:v>
      </x:c>
      <x:c r="G4" s="281" t="str">
        <x:v>Val_Correct</x:v>
      </x:c>
      <x:c r="H4" s="281" t="str">
        <x:v>Val_Total</x:v>
      </x:c>
      <x:c r="I4" s="281" t="str">
        <x:v>Val_Accuracy</x:v>
      </x:c>
      <x:c r="J4" s="281" t="str">
        <x:v>Full_Correct</x:v>
      </x:c>
      <x:c r="K4" s="281" t="str">
        <x:v>Full_Total</x:v>
      </x:c>
      <x:c r="L4" s="281" t="str">
        <x:v>Full_Accuracy</x:v>
      </x:c>
      <x:c r="M4" s="281" t="str">
        <x:v>Status</x:v>
      </x:c>
      <x:c r="N4" s="281" t="str">
        <x:v>Notes</x:v>
      </x:c>
    </x:row>
    <x:row r="5">
      <x:c r="A5" s="267" t="str">
        <x:v>QB-SHARED-001-GLOBAL</x:v>
      </x:c>
      <x:c r="B5" s="267" t="str">
        <x:v>All represented QBs</x:v>
      </x:c>
      <x:c r="C5" s="267" t="str">
        <x:v>Production</x:v>
      </x:c>
      <x:c r="D5" s="267" t="n">
        <x:v>1117</x:v>
      </x:c>
      <x:c r="E5" s="267" t="n">
        <x:v>1121</x:v>
      </x:c>
      <x:c r="F5" s="292" t="n">
        <x:f>IF(E5=0,"",D5/E5)</x:f>
        <x:v>0.9964317573595004</x:v>
      </x:c>
      <x:c r="G5" s="267" t="n">
        <x:v>929</x:v>
      </x:c>
      <x:c r="H5" s="267" t="n">
        <x:v>936</x:v>
      </x:c>
      <x:c r="I5" s="292" t="n">
        <x:f>IF(H5=0,"",G5/H5)</x:f>
        <x:v>0.9925213675213675</x:v>
      </x:c>
      <x:c r="J5" s="267" t="n">
        <x:v>2046</x:v>
      </x:c>
      <x:c r="K5" s="267" t="n">
        <x:v>2057</x:v>
      </x:c>
      <x:c r="L5" s="292" t="n">
        <x:f>IF(K5=0,"",J5/K5)</x:f>
        <x:v>0.9946524064171123</x:v>
      </x:c>
      <x:c r="M5" s="294" t="str">
        <x:v>OPERATIONALLY SOLVED / FROZEN</x:v>
      </x:c>
      <x:c r="N5" s="267" t="str">
        <x:v>Cross-archetype pairs; isolated inversions retained under ≥98% rule.</x:v>
      </x:c>
    </x:row>
    <x:row r="6">
      <x:c r="A6" s="270" t="str">
        <x:v>QB-SHARED-001</x:v>
      </x:c>
      <x:c r="B6" s="270" t="str">
        <x:v>Pocket Passer</x:v>
      </x:c>
      <x:c r="C6" s="270" t="str">
        <x:v>Production</x:v>
      </x:c>
      <x:c r="D6" s="270" t="n">
        <x:v>622</x:v>
      </x:c>
      <x:c r="E6" s="270" t="n">
        <x:v>622</x:v>
      </x:c>
      <x:c r="F6" s="293" t="n">
        <x:f>IF(E6=0,"",D6/E6)</x:f>
        <x:v>1</x:v>
      </x:c>
      <x:c r="G6" s="270" t="n">
        <x:v>458</x:v>
      </x:c>
      <x:c r="H6" s="270" t="n">
        <x:v>458</x:v>
      </x:c>
      <x:c r="I6" s="293" t="n">
        <x:f>IF(H6=0,"",G6/H6)</x:f>
        <x:v>1</x:v>
      </x:c>
      <x:c r="J6" s="270" t="n">
        <x:v>1080</x:v>
      </x:c>
      <x:c r="K6" s="270" t="n">
        <x:v>1080</x:v>
      </x:c>
      <x:c r="L6" s="293" t="n">
        <x:f>IF(K6=0,"",J6/K6)</x:f>
        <x:v>1</x:v>
      </x:c>
      <x:c r="M6" s="294" t="str">
        <x:v>OPERATIONALLY SOLVED / FROZEN</x:v>
      </x:c>
      <x:c r="N6" s="270" t="str">
        <x:v>Within-archetype ordering.</x:v>
      </x:c>
    </x:row>
    <x:row r="7">
      <x:c r="A7" s="267" t="str">
        <x:v>QB-SHARED-001</x:v>
      </x:c>
      <x:c r="B7" s="267" t="str">
        <x:v>Backfield Creator</x:v>
      </x:c>
      <x:c r="C7" s="267" t="str">
        <x:v>Production</x:v>
      </x:c>
      <x:c r="D7" s="267" t="n">
        <x:v>15</x:v>
      </x:c>
      <x:c r="E7" s="267" t="n">
        <x:v>15</x:v>
      </x:c>
      <x:c r="F7" s="292" t="n">
        <x:f>IF(E7=0,"",D7/E7)</x:f>
        <x:v>1</x:v>
      </x:c>
      <x:c r="G7" s="267" t="n">
        <x:v>18</x:v>
      </x:c>
      <x:c r="H7" s="267" t="n">
        <x:v>18</x:v>
      </x:c>
      <x:c r="I7" s="292" t="n">
        <x:f>IF(H7=0,"",G7/H7)</x:f>
        <x:v>1</x:v>
      </x:c>
      <x:c r="J7" s="267" t="n">
        <x:v>33</x:v>
      </x:c>
      <x:c r="K7" s="267" t="n">
        <x:v>33</x:v>
      </x:c>
      <x:c r="L7" s="292" t="n">
        <x:f>IF(K7=0,"",J7/K7)</x:f>
        <x:v>1</x:v>
      </x:c>
      <x:c r="M7" s="294" t="str">
        <x:v>OPERATIONALLY SOLVED / FROZEN</x:v>
      </x:c>
      <x:c r="N7" s="267" t="str">
        <x:v>Within-archetype ordering.</x:v>
      </x:c>
    </x:row>
    <x:row r="8">
      <x:c r="A8" s="270" t="str">
        <x:v>QB-SHARED-001</x:v>
      </x:c>
      <x:c r="B8" s="270" t="str">
        <x:v>Dual Threat</x:v>
      </x:c>
      <x:c r="C8" s="270" t="str">
        <x:v>Production</x:v>
      </x:c>
      <x:c r="D8" s="270" t="n">
        <x:v>17</x:v>
      </x:c>
      <x:c r="E8" s="270" t="n">
        <x:v>17</x:v>
      </x:c>
      <x:c r="F8" s="293" t="n">
        <x:f>IF(E8=0,"",D8/E8)</x:f>
        <x:v>1</x:v>
      </x:c>
      <x:c r="G8" s="270" t="n">
        <x:v>20</x:v>
      </x:c>
      <x:c r="H8" s="270" t="n">
        <x:v>20</x:v>
      </x:c>
      <x:c r="I8" s="293" t="n">
        <x:f>IF(H8=0,"",G8/H8)</x:f>
        <x:v>1</x:v>
      </x:c>
      <x:c r="J8" s="270" t="n">
        <x:v>37</x:v>
      </x:c>
      <x:c r="K8" s="270" t="n">
        <x:v>37</x:v>
      </x:c>
      <x:c r="L8" s="293" t="n">
        <x:f>IF(K8=0,"",J8/K8)</x:f>
        <x:v>1</x:v>
      </x:c>
      <x:c r="M8" s="294" t="str">
        <x:v>OPERATIONALLY SOLVED / FROZEN</x:v>
      </x:c>
      <x:c r="N8" s="270" t="str">
        <x:v>Within-archetype ordering.</x:v>
      </x:c>
    </x:row>
    <x:row r="9">
      <x:c r="A9" s="267" t="str">
        <x:v>QB-ARCH-PP-001</x:v>
      </x:c>
      <x:c r="B9" s="267" t="str">
        <x:v>Pocket Passer</x:v>
      </x:c>
      <x:c r="C9" s="267" t="str">
        <x:v>Archetype-only candidate</x:v>
      </x:c>
      <x:c r="D9" s="267" t="n">
        <x:v>622</x:v>
      </x:c>
      <x:c r="E9" s="267" t="n">
        <x:v>622</x:v>
      </x:c>
      <x:c r="F9" s="292" t="n">
        <x:f>IF(E9=0,"",D9/E9)</x:f>
        <x:v>1</x:v>
      </x:c>
      <x:c r="G9" s="267" t="n">
        <x:v>458</x:v>
      </x:c>
      <x:c r="H9" s="267" t="n">
        <x:v>458</x:v>
      </x:c>
      <x:c r="I9" s="292" t="n">
        <x:f>IF(H9=0,"",G9/H9)</x:f>
        <x:v>1</x:v>
      </x:c>
      <x:c r="J9" s="267" t="n">
        <x:v>1080</x:v>
      </x:c>
      <x:c r="K9" s="267" t="n">
        <x:v>1080</x:v>
      </x:c>
      <x:c r="L9" s="292" t="n">
        <x:f>IF(K9=0,"",J9/K9)</x:f>
        <x:v>1</x:v>
      </x:c>
      <x:c r="M9" s="267" t="str">
        <x:v>NOT PROMOTED</x:v>
      </x:c>
      <x:c r="N9" s="267" t="str">
        <x:v>Equivalent validation, unnecessary complexity.</x:v>
      </x:c>
    </x:row>
    <x:row r="10">
      <x:c r="A10" s="270" t="str">
        <x:v>QB-ARCH-BC-001</x:v>
      </x:c>
      <x:c r="B10" s="270" t="str">
        <x:v>Backfield Creator</x:v>
      </x:c>
      <x:c r="C10" s="270" t="str">
        <x:v>Archetype-only candidate</x:v>
      </x:c>
      <x:c r="D10" s="270" t="n">
        <x:v>15</x:v>
      </x:c>
      <x:c r="E10" s="270" t="n">
        <x:v>15</x:v>
      </x:c>
      <x:c r="F10" s="293" t="n">
        <x:f>IF(E10=0,"",D10/E10)</x:f>
        <x:v>1</x:v>
      </x:c>
      <x:c r="G10" s="270" t="n">
        <x:v>17</x:v>
      </x:c>
      <x:c r="H10" s="270" t="n">
        <x:v>18</x:v>
      </x:c>
      <x:c r="I10" s="293" t="n">
        <x:f>IF(H10=0,"",G10/H10)</x:f>
        <x:v>0.9444444444444444</x:v>
      </x:c>
      <x:c r="J10" s="270" t="n">
        <x:v>32</x:v>
      </x:c>
      <x:c r="K10" s="270" t="n">
        <x:v>33</x:v>
      </x:c>
      <x:c r="L10" s="293" t="n">
        <x:f>IF(K10=0,"",J10/K10)</x:f>
        <x:v>0.9696969696969697</x:v>
      </x:c>
      <x:c r="M10" s="295" t="str">
        <x:v>REJECTED</x:v>
      </x:c>
      <x:c r="N10" s="270" t="str">
        <x:v>17/18 validation falls below 98%.</x:v>
      </x:c>
    </x:row>
    <x:row r="11">
      <x:c r="A11" s="267" t="str">
        <x:v>QB-ARCH-DT-001</x:v>
      </x:c>
      <x:c r="B11" s="267" t="str">
        <x:v>Dual Threat</x:v>
      </x:c>
      <x:c r="C11" s="267" t="str">
        <x:v>Archetype-only candidate</x:v>
      </x:c>
      <x:c r="D11" s="267" t="n">
        <x:v>17</x:v>
      </x:c>
      <x:c r="E11" s="267" t="n">
        <x:v>17</x:v>
      </x:c>
      <x:c r="F11" s="292" t="n">
        <x:f>IF(E11=0,"",D11/E11)</x:f>
        <x:v>1</x:v>
      </x:c>
      <x:c r="G11" s="267" t="n">
        <x:v>18</x:v>
      </x:c>
      <x:c r="H11" s="267" t="n">
        <x:v>20</x:v>
      </x:c>
      <x:c r="I11" s="292" t="n">
        <x:f>IF(H11=0,"",G11/H11)</x:f>
        <x:v>0.9</x:v>
      </x:c>
      <x:c r="J11" s="267" t="n">
        <x:v>35</x:v>
      </x:c>
      <x:c r="K11" s="267" t="n">
        <x:v>37</x:v>
      </x:c>
      <x:c r="L11" s="292" t="n">
        <x:f>IF(K11=0,"",J11/K11)</x:f>
        <x:v>0.9459459459459459</x:v>
      </x:c>
      <x:c r="M11" s="295" t="str">
        <x:v>REJECTED</x:v>
      </x:c>
      <x:c r="N11" s="267" t="str">
        <x:v>18/20 validation falls below 98%.</x:v>
      </x:c>
    </x:row>
  </x:sheetData>
  <x:mergeCells>
    <x:mergeCell ref="A1:N1"/>
    <x:mergeCell ref="A2:N2"/>
  </x:mergeCells>
  <x:pageMargins left="0.7" right="0.7" top="0.75" bottom="0.75" header="0.3" footer="0.3"/>
</x:worksheet>
</file>

<file path=xl/worksheets/sheet40.xml><?xml version="1.0" encoding="utf-8"?>
<x:worksheet xmlns:x="http://schemas.openxmlformats.org/spreadsheetml/2006/main">
  <x:sheetFormatPr defaultRowHeight="15"/>
  <x:cols>
    <x:col min="1" max="1" width="20" hidden="0" customWidth="1"/>
    <x:col min="2" max="2" width="10" hidden="0" customWidth="1"/>
    <x:col min="3" max="3" width="10" hidden="0" customWidth="1"/>
    <x:col min="4" max="4" width="17" hidden="0" customWidth="1"/>
    <x:col min="5" max="5" width="17" hidden="0" customWidth="1"/>
    <x:col min="6" max="6" width="14" hidden="0" customWidth="1"/>
    <x:col min="7" max="7" width="14" hidden="0" customWidth="1"/>
    <x:col min="8" max="8" width="28" hidden="0" customWidth="1"/>
    <x:col min="9" max="9" width="55" hidden="0" customWidth="1"/>
  </x:cols>
  <x:sheetData>
    <x:row r="1" ht="28" customHeight="1">
      <x:c r="A1" s="273" t="str">
        <x:v>QB Empirical OVR Bands and Threshold Intervals</x:v>
      </x:c>
      <x:c r="B1" s="273"/>
      <x:c r="C1" s="273"/>
      <x:c r="D1" s="273"/>
      <x:c r="E1" s="273"/>
      <x:c r="F1" s="273"/>
      <x:c r="G1" s="273"/>
      <x:c r="H1" s="273"/>
      <x:c r="I1" s="273"/>
    </x:row>
    <x:row r="2" ht="32" customHeight="1">
      <x:c r="A2" s="277" t="str">
        <x:v>Observed development score bands constrain nonlinear/display conversion. Midpoints are operational separators, not asserted EA source-code thresholds.</x:v>
      </x:c>
      <x:c r="B2" s="277"/>
      <x:c r="C2" s="277"/>
      <x:c r="D2" s="277"/>
      <x:c r="E2" s="277"/>
      <x:c r="F2" s="277"/>
      <x:c r="G2" s="277"/>
      <x:c r="H2" s="277"/>
      <x:c r="I2" s="277"/>
    </x:row>
    <x:row r="4" ht="30" customHeight="1">
      <x:c r="A4" s="281" t="str">
        <x:v>Scope</x:v>
      </x:c>
      <x:c r="B4" s="281" t="str">
        <x:v>From_OVR</x:v>
      </x:c>
      <x:c r="C4" s="281" t="str">
        <x:v>To_OVR</x:v>
      </x:c>
      <x:c r="D4" s="281" t="str">
        <x:v>Lower_Band_Max</x:v>
      </x:c>
      <x:c r="E4" s="281" t="str">
        <x:v>Upper_Band_Min</x:v>
      </x:c>
      <x:c r="F4" s="281" t="str">
        <x:v>Midpoint</x:v>
      </x:c>
      <x:c r="G4" s="281" t="str">
        <x:v>Band_Result</x:v>
      </x:c>
      <x:c r="H4" s="281" t="str">
        <x:v>Evidence_Set</x:v>
      </x:c>
      <x:c r="I4" s="281" t="str">
        <x:v>Notes</x:v>
      </x:c>
    </x:row>
    <x:row r="5">
      <x:c r="A5" s="267" t="str">
        <x:v>Global</x:v>
      </x:c>
      <x:c r="B5" s="267" t="n">
        <x:v>79</x:v>
      </x:c>
      <x:c r="C5" s="267" t="n">
        <x:v>80</x:v>
      </x:c>
      <x:c r="D5" s="287" t="n">
        <x:v>76.38000000000001</x:v>
      </x:c>
      <x:c r="E5" s="287" t="n">
        <x:v>76.41000000000001</x:v>
      </x:c>
      <x:c r="F5" s="287" t="n">
        <x:v>76.39500000000001</x:v>
      </x:c>
      <x:c r="G5" s="267" t="str">
        <x:v>SEPARATED</x:v>
      </x:c>
      <x:c r="H5" s="267" t="str">
        <x:v>Development, cross-archetype</x:v>
      </x:c>
      <x:c r="I5" s="267" t="str">
        <x:v>Empirical midpoint; not treated as exact EA internal cut point.</x:v>
      </x:c>
    </x:row>
    <x:row r="6">
      <x:c r="A6" s="270" t="str">
        <x:v>Global</x:v>
      </x:c>
      <x:c r="B6" s="270" t="n">
        <x:v>80</x:v>
      </x:c>
      <x:c r="C6" s="270" t="n">
        <x:v>81</x:v>
      </x:c>
      <x:c r="D6" s="288" t="n">
        <x:v>77.72999999999999</x:v>
      </x:c>
      <x:c r="E6" s="288" t="n">
        <x:v>77.52</x:v>
      </x:c>
      <x:c r="F6" s="288" t="n">
        <x:v>77.625</x:v>
      </x:c>
      <x:c r="G6" s="270" t="str">
        <x:v>OVERLAP</x:v>
      </x:c>
      <x:c r="H6" s="270" t="str">
        <x:v>Development, cross-archetype</x:v>
      </x:c>
      <x:c r="I6" s="270" t="str">
        <x:v>Empirical midpoint; not treated as exact EA internal cut point.</x:v>
      </x:c>
    </x:row>
    <x:row r="7">
      <x:c r="A7" s="267" t="str">
        <x:v>Global</x:v>
      </x:c>
      <x:c r="B7" s="267" t="n">
        <x:v>81</x:v>
      </x:c>
      <x:c r="C7" s="267" t="n">
        <x:v>82</x:v>
      </x:c>
      <x:c r="D7" s="287" t="n">
        <x:v>78.9</x:v>
      </x:c>
      <x:c r="E7" s="287" t="n">
        <x:v>78.8</x:v>
      </x:c>
      <x:c r="F7" s="287" t="n">
        <x:v>78.85</x:v>
      </x:c>
      <x:c r="G7" s="267" t="str">
        <x:v>OVERLAP</x:v>
      </x:c>
      <x:c r="H7" s="267" t="str">
        <x:v>Development, cross-archetype</x:v>
      </x:c>
      <x:c r="I7" s="267" t="str">
        <x:v>Empirical midpoint; not treated as exact EA internal cut point.</x:v>
      </x:c>
    </x:row>
    <x:row r="8">
      <x:c r="A8" s="270" t="str">
        <x:v>Global</x:v>
      </x:c>
      <x:c r="B8" s="270" t="n">
        <x:v>82</x:v>
      </x:c>
      <x:c r="C8" s="270" t="n">
        <x:v>83</x:v>
      </x:c>
      <x:c r="D8" s="288" t="n">
        <x:v>79.86999999999999</x:v>
      </x:c>
      <x:c r="E8" s="288" t="n">
        <x:v>79.27</x:v>
      </x:c>
      <x:c r="F8" s="288" t="n">
        <x:v>79.57</x:v>
      </x:c>
      <x:c r="G8" s="270" t="str">
        <x:v>OVERLAP</x:v>
      </x:c>
      <x:c r="H8" s="270" t="str">
        <x:v>Development, cross-archetype</x:v>
      </x:c>
      <x:c r="I8" s="270" t="str">
        <x:v>Empirical midpoint; not treated as exact EA internal cut point.</x:v>
      </x:c>
    </x:row>
    <x:row r="9">
      <x:c r="A9" s="267" t="str">
        <x:v>Global</x:v>
      </x:c>
      <x:c r="B9" s="267" t="n">
        <x:v>83</x:v>
      </x:c>
      <x:c r="C9" s="267" t="n">
        <x:v>84</x:v>
      </x:c>
      <x:c r="D9" s="287" t="n">
        <x:v>80.39</x:v>
      </x:c>
      <x:c r="E9" s="287" t="n">
        <x:v>80.81</x:v>
      </x:c>
      <x:c r="F9" s="287" t="n">
        <x:v>80.6</x:v>
      </x:c>
      <x:c r="G9" s="267" t="str">
        <x:v>SEPARATED</x:v>
      </x:c>
      <x:c r="H9" s="267" t="str">
        <x:v>Development, cross-archetype</x:v>
      </x:c>
      <x:c r="I9" s="267" t="str">
        <x:v>Empirical midpoint; not treated as exact EA internal cut point.</x:v>
      </x:c>
    </x:row>
    <x:row r="10">
      <x:c r="A10" s="270" t="str">
        <x:v>Global</x:v>
      </x:c>
      <x:c r="B10" s="270" t="n">
        <x:v>84</x:v>
      </x:c>
      <x:c r="C10" s="270" t="n">
        <x:v>85</x:v>
      </x:c>
      <x:c r="D10" s="288" t="n">
        <x:v>81.85</x:v>
      </x:c>
      <x:c r="E10" s="288" t="n">
        <x:v>82.11999999999999</x:v>
      </x:c>
      <x:c r="F10" s="288" t="n">
        <x:v>81.98499999999999</x:v>
      </x:c>
      <x:c r="G10" s="270" t="str">
        <x:v>SEPARATED</x:v>
      </x:c>
      <x:c r="H10" s="270" t="str">
        <x:v>Development, cross-archetype</x:v>
      </x:c>
      <x:c r="I10" s="270" t="str">
        <x:v>Empirical midpoint; not treated as exact EA internal cut point.</x:v>
      </x:c>
    </x:row>
    <x:row r="11">
      <x:c r="A11" s="267" t="str">
        <x:v>Global</x:v>
      </x:c>
      <x:c r="B11" s="267" t="n">
        <x:v>85</x:v>
      </x:c>
      <x:c r="C11" s="267" t="n">
        <x:v>86</x:v>
      </x:c>
      <x:c r="D11" s="287" t="n">
        <x:v>82.69999999999999</x:v>
      </x:c>
      <x:c r="E11" s="287" t="n">
        <x:v>82.52999999999999</x:v>
      </x:c>
      <x:c r="F11" s="287" t="n">
        <x:v>82.61499999999998</x:v>
      </x:c>
      <x:c r="G11" s="267" t="str">
        <x:v>OVERLAP</x:v>
      </x:c>
      <x:c r="H11" s="267" t="str">
        <x:v>Development, cross-archetype</x:v>
      </x:c>
      <x:c r="I11" s="267" t="str">
        <x:v>Empirical midpoint; not treated as exact EA internal cut point.</x:v>
      </x:c>
    </x:row>
    <x:row r="12">
      <x:c r="A12" s="270" t="str">
        <x:v>Global</x:v>
      </x:c>
      <x:c r="B12" s="270" t="n">
        <x:v>86</x:v>
      </x:c>
      <x:c r="C12" s="270" t="n">
        <x:v>87</x:v>
      </x:c>
      <x:c r="D12" s="288" t="n">
        <x:v>83.00999999999998</x:v>
      </x:c>
      <x:c r="E12" s="288" t="n">
        <x:v>83.97999999999999</x:v>
      </x:c>
      <x:c r="F12" s="288" t="n">
        <x:v>83.49499999999998</x:v>
      </x:c>
      <x:c r="G12" s="270" t="str">
        <x:v>SEPARATED</x:v>
      </x:c>
      <x:c r="H12" s="270" t="str">
        <x:v>Development, cross-archetype</x:v>
      </x:c>
      <x:c r="I12" s="270" t="str">
        <x:v>Empirical midpoint; not treated as exact EA internal cut point.</x:v>
      </x:c>
    </x:row>
    <x:row r="13">
      <x:c r="A13" s="267" t="str">
        <x:v>Global</x:v>
      </x:c>
      <x:c r="B13" s="267" t="n">
        <x:v>87</x:v>
      </x:c>
      <x:c r="C13" s="267" t="n">
        <x:v>88</x:v>
      </x:c>
      <x:c r="D13" s="287" t="n">
        <x:v>84.02000000000001</x:v>
      </x:c>
      <x:c r="E13" s="287" t="n">
        <x:v>85.61</x:v>
      </x:c>
      <x:c r="F13" s="287" t="n">
        <x:v>84.815</x:v>
      </x:c>
      <x:c r="G13" s="267" t="str">
        <x:v>SEPARATED</x:v>
      </x:c>
      <x:c r="H13" s="267" t="str">
        <x:v>Development, cross-archetype</x:v>
      </x:c>
      <x:c r="I13" s="267" t="str">
        <x:v>Empirical midpoint; not treated as exact EA internal cut point.</x:v>
      </x:c>
    </x:row>
    <x:row r="14">
      <x:c r="A14" s="270" t="str">
        <x:v>Pocket Passer</x:v>
      </x:c>
      <x:c r="B14" s="270" t="n">
        <x:v>79</x:v>
      </x:c>
      <x:c r="C14" s="270" t="n">
        <x:v>80</x:v>
      </x:c>
      <x:c r="D14" s="288" t="n">
        <x:v>76.38000000000001</x:v>
      </x:c>
      <x:c r="E14" s="288" t="n">
        <x:v>76.41000000000001</x:v>
      </x:c>
      <x:c r="F14" s="288" t="n">
        <x:v>76.39500000000001</x:v>
      </x:c>
      <x:c r="G14" s="270" t="str">
        <x:v>SEPARATED</x:v>
      </x:c>
      <x:c r="H14" s="270" t="str">
        <x:v>Development, within archetype</x:v>
      </x:c>
      <x:c r="I14" s="270" t="str">
        <x:v>Empirical midpoint; not treated as exact EA internal cut point.</x:v>
      </x:c>
    </x:row>
    <x:row r="15">
      <x:c r="A15" s="267" t="str">
        <x:v>Pocket Passer</x:v>
      </x:c>
      <x:c r="B15" s="267" t="n">
        <x:v>80</x:v>
      </x:c>
      <x:c r="C15" s="267" t="n">
        <x:v>81</x:v>
      </x:c>
      <x:c r="D15" s="287" t="n">
        <x:v>77.47999999999999</x:v>
      </x:c>
      <x:c r="E15" s="287" t="n">
        <x:v>77.52</x:v>
      </x:c>
      <x:c r="F15" s="287" t="n">
        <x:v>77.5</x:v>
      </x:c>
      <x:c r="G15" s="267" t="str">
        <x:v>SEPARATED</x:v>
      </x:c>
      <x:c r="H15" s="267" t="str">
        <x:v>Development, within archetype</x:v>
      </x:c>
      <x:c r="I15" s="267" t="str">
        <x:v>Empirical midpoint; not treated as exact EA internal cut point.</x:v>
      </x:c>
    </x:row>
    <x:row r="16">
      <x:c r="A16" s="270" t="str">
        <x:v>Pocket Passer</x:v>
      </x:c>
      <x:c r="B16" s="270" t="n">
        <x:v>81</x:v>
      </x:c>
      <x:c r="C16" s="270" t="n">
        <x:v>82</x:v>
      </x:c>
      <x:c r="D16" s="288" t="n">
        <x:v>78.9</x:v>
      </x:c>
      <x:c r="E16" s="288" t="n">
        <x:v>78.97</x:v>
      </x:c>
      <x:c r="F16" s="288" t="n">
        <x:v>78.935</x:v>
      </x:c>
      <x:c r="G16" s="270" t="str">
        <x:v>SEPARATED</x:v>
      </x:c>
      <x:c r="H16" s="270" t="str">
        <x:v>Development, within archetype</x:v>
      </x:c>
      <x:c r="I16" s="270" t="str">
        <x:v>Empirical midpoint; not treated as exact EA internal cut point.</x:v>
      </x:c>
    </x:row>
    <x:row r="17">
      <x:c r="A17" s="267" t="str">
        <x:v>Pocket Passer</x:v>
      </x:c>
      <x:c r="B17" s="267" t="n">
        <x:v>82</x:v>
      </x:c>
      <x:c r="C17" s="267" t="n">
        <x:v>83</x:v>
      </x:c>
      <x:c r="D17" s="287" t="n">
        <x:v>78.97</x:v>
      </x:c>
      <x:c r="E17" s="287" t="n">
        <x:v>80.02000000000001</x:v>
      </x:c>
      <x:c r="F17" s="287" t="n">
        <x:v>79.495</x:v>
      </x:c>
      <x:c r="G17" s="267" t="str">
        <x:v>SEPARATED</x:v>
      </x:c>
      <x:c r="H17" s="267" t="str">
        <x:v>Development, within archetype</x:v>
      </x:c>
      <x:c r="I17" s="267" t="str">
        <x:v>Empirical midpoint; not treated as exact EA internal cut point.</x:v>
      </x:c>
    </x:row>
    <x:row r="18">
      <x:c r="A18" s="270" t="str">
        <x:v>Pocket Passer</x:v>
      </x:c>
      <x:c r="B18" s="270" t="n">
        <x:v>83</x:v>
      </x:c>
      <x:c r="C18" s="270" t="n">
        <x:v>84</x:v>
      </x:c>
      <x:c r="D18" s="288" t="n">
        <x:v>80.39</x:v>
      </x:c>
      <x:c r="E18" s="288" t="n">
        <x:v>80.88000000000001</x:v>
      </x:c>
      <x:c r="F18" s="288" t="n">
        <x:v>80.635</x:v>
      </x:c>
      <x:c r="G18" s="270" t="str">
        <x:v>SEPARATED</x:v>
      </x:c>
      <x:c r="H18" s="270" t="str">
        <x:v>Development, within archetype</x:v>
      </x:c>
      <x:c r="I18" s="270" t="str">
        <x:v>Empirical midpoint; not treated as exact EA internal cut point.</x:v>
      </x:c>
    </x:row>
    <x:row r="19">
      <x:c r="A19" s="267" t="str">
        <x:v>Pocket Passer</x:v>
      </x:c>
      <x:c r="B19" s="267" t="n">
        <x:v>84</x:v>
      </x:c>
      <x:c r="C19" s="267" t="n">
        <x:v>85</x:v>
      </x:c>
      <x:c r="D19" s="287" t="n">
        <x:v>81.85</x:v>
      </x:c>
      <x:c r="E19" s="287" t="n">
        <x:v>82.11999999999999</x:v>
      </x:c>
      <x:c r="F19" s="287" t="n">
        <x:v>81.98499999999999</x:v>
      </x:c>
      <x:c r="G19" s="267" t="str">
        <x:v>SEPARATED</x:v>
      </x:c>
      <x:c r="H19" s="267" t="str">
        <x:v>Development, within archetype</x:v>
      </x:c>
      <x:c r="I19" s="267" t="str">
        <x:v>Empirical midpoint; not treated as exact EA internal cut point.</x:v>
      </x:c>
    </x:row>
    <x:row r="20">
      <x:c r="A20" s="270" t="str">
        <x:v>Pocket Passer</x:v>
      </x:c>
      <x:c r="B20" s="270" t="n">
        <x:v>85</x:v>
      </x:c>
      <x:c r="C20" s="270" t="n">
        <x:v>86</x:v>
      </x:c>
      <x:c r="D20" s="288" t="n">
        <x:v>82.46</x:v>
      </x:c>
      <x:c r="E20" s="288" t="n">
        <x:v>82.52999999999999</x:v>
      </x:c>
      <x:c r="F20" s="288" t="n">
        <x:v>82.49499999999999</x:v>
      </x:c>
      <x:c r="G20" s="270" t="str">
        <x:v>SEPARATED</x:v>
      </x:c>
      <x:c r="H20" s="270" t="str">
        <x:v>Development, within archetype</x:v>
      </x:c>
      <x:c r="I20" s="270" t="str">
        <x:v>Empirical midpoint; not treated as exact EA internal cut point.</x:v>
      </x:c>
    </x:row>
    <x:row r="21">
      <x:c r="A21" s="267" t="str">
        <x:v>Pocket Passer</x:v>
      </x:c>
      <x:c r="B21" s="267" t="n">
        <x:v>86</x:v>
      </x:c>
      <x:c r="C21" s="267" t="n">
        <x:v>87</x:v>
      </x:c>
      <x:c r="D21" s="287" t="n">
        <x:v>82.90000000000002</x:v>
      </x:c>
      <x:c r="E21" s="287" t="n">
        <x:v>83.97999999999999</x:v>
      </x:c>
      <x:c r="F21" s="287" t="n">
        <x:v>83.44</x:v>
      </x:c>
      <x:c r="G21" s="267" t="str">
        <x:v>SEPARATED</x:v>
      </x:c>
      <x:c r="H21" s="267" t="str">
        <x:v>Development, within archetype</x:v>
      </x:c>
      <x:c r="I21" s="267" t="str">
        <x:v>Empirical midpoint; not treated as exact EA internal cut point.</x:v>
      </x:c>
    </x:row>
    <x:row r="22">
      <x:c r="A22" s="270" t="str">
        <x:v>Backfield Creator</x:v>
      </x:c>
      <x:c r="B22" s="270" t="n">
        <x:v>80</x:v>
      </x:c>
      <x:c r="C22" s="270" t="n">
        <x:v>81</x:v>
      </x:c>
      <x:c r="D22" s="288" t="n">
        <x:v>77.11999999999999</x:v>
      </x:c>
      <x:c r="E22" s="288" t="n">
        <x:v>78.45000000000002</x:v>
      </x:c>
      <x:c r="F22" s="288" t="n">
        <x:v>77.785</x:v>
      </x:c>
      <x:c r="G22" s="270" t="str">
        <x:v>SEPARATED</x:v>
      </x:c>
      <x:c r="H22" s="270" t="str">
        <x:v>Development, within archetype</x:v>
      </x:c>
      <x:c r="I22" s="270" t="str">
        <x:v>Empirical midpoint; not treated as exact EA internal cut point.</x:v>
      </x:c>
    </x:row>
    <x:row r="23">
      <x:c r="A23" s="267" t="str">
        <x:v>Backfield Creator</x:v>
      </x:c>
      <x:c r="B23" s="267" t="n">
        <x:v>81</x:v>
      </x:c>
      <x:c r="C23" s="267" t="n">
        <x:v>82</x:v>
      </x:c>
      <x:c r="D23" s="287" t="n">
        <x:v>78.45000000000002</x:v>
      </x:c>
      <x:c r="E23" s="287" t="n">
        <x:v>79.86999999999999</x:v>
      </x:c>
      <x:c r="F23" s="287" t="n">
        <x:v>79.16</x:v>
      </x:c>
      <x:c r="G23" s="267" t="str">
        <x:v>SEPARATED</x:v>
      </x:c>
      <x:c r="H23" s="267" t="str">
        <x:v>Development, within archetype</x:v>
      </x:c>
      <x:c r="I23" s="267" t="str">
        <x:v>Empirical midpoint; not treated as exact EA internal cut point.</x:v>
      </x:c>
    </x:row>
    <x:row r="24">
      <x:c r="A24" s="270" t="str">
        <x:v>Backfield Creator</x:v>
      </x:c>
      <x:c r="B24" s="270" t="n">
        <x:v>85</x:v>
      </x:c>
      <x:c r="C24" s="270" t="n">
        <x:v>86</x:v>
      </x:c>
      <x:c r="D24" s="288" t="n">
        <x:v>82.69999999999999</x:v>
      </x:c>
      <x:c r="E24" s="288" t="n">
        <x:v>83.00999999999998</x:v>
      </x:c>
      <x:c r="F24" s="288" t="n">
        <x:v>82.85499999999999</x:v>
      </x:c>
      <x:c r="G24" s="270" t="str">
        <x:v>SEPARATED</x:v>
      </x:c>
      <x:c r="H24" s="270" t="str">
        <x:v>Development, within archetype</x:v>
      </x:c>
      <x:c r="I24" s="270" t="str">
        <x:v>Empirical midpoint; not treated as exact EA internal cut point.</x:v>
      </x:c>
    </x:row>
    <x:row r="25">
      <x:c r="A25" s="267" t="str">
        <x:v>Dual Threat</x:v>
      </x:c>
      <x:c r="B25" s="267" t="n">
        <x:v>82</x:v>
      </x:c>
      <x:c r="C25" s="267" t="n">
        <x:v>83</x:v>
      </x:c>
      <x:c r="D25" s="287" t="n">
        <x:v>78.8</x:v>
      </x:c>
      <x:c r="E25" s="287" t="n">
        <x:v>79.27</x:v>
      </x:c>
      <x:c r="F25" s="287" t="n">
        <x:v>79.035</x:v>
      </x:c>
      <x:c r="G25" s="267" t="str">
        <x:v>SEPARATED</x:v>
      </x:c>
      <x:c r="H25" s="267" t="str">
        <x:v>Development, within archetype</x:v>
      </x:c>
      <x:c r="I25" s="267" t="str">
        <x:v>Empirical midpoint; not treated as exact EA internal cut point.</x:v>
      </x:c>
    </x:row>
    <x:row r="26">
      <x:c r="A26" s="270" t="str">
        <x:v>Dual Threat</x:v>
      </x:c>
      <x:c r="B26" s="270" t="n">
        <x:v>83</x:v>
      </x:c>
      <x:c r="C26" s="270" t="n">
        <x:v>84</x:v>
      </x:c>
      <x:c r="D26" s="288" t="n">
        <x:v>80.35</x:v>
      </x:c>
      <x:c r="E26" s="288" t="n">
        <x:v>80.81</x:v>
      </x:c>
      <x:c r="F26" s="288" t="n">
        <x:v>80.58</x:v>
      </x:c>
      <x:c r="G26" s="270" t="str">
        <x:v>SEPARATED</x:v>
      </x:c>
      <x:c r="H26" s="270" t="str">
        <x:v>Development, within archetype</x:v>
      </x:c>
      <x:c r="I26" s="270" t="str">
        <x:v>Empirical midpoint; not treated as exact EA internal cut point.</x:v>
      </x:c>
    </x:row>
  </x:sheetData>
  <x:mergeCells>
    <x:mergeCell ref="A1:I1"/>
    <x:mergeCell ref="A2:I2"/>
  </x:mergeCells>
  <x:pageMargins left="0.7" right="0.7" top="0.75" bottom="0.75" header="0.3" footer="0.3"/>
</x:worksheet>
</file>

<file path=xl/worksheets/sheet41.xml><?xml version="1.0" encoding="utf-8"?>
<x:worksheet xmlns:x="http://schemas.openxmlformats.org/spreadsheetml/2006/main">
  <x:sheetFormatPr defaultRowHeight="15"/>
  <x:cols>
    <x:col min="1" max="1" width="15" hidden="0" customWidth="1"/>
    <x:col min="2" max="2" width="22" hidden="0" customWidth="1"/>
    <x:col min="3" max="3" width="7" hidden="0" customWidth="1"/>
    <x:col min="4" max="4" width="27" hidden="0" customWidth="1"/>
    <x:col min="5" max="5" width="7" hidden="0" customWidth="1"/>
    <x:col min="6" max="6" width="7" hidden="0" customWidth="1"/>
    <x:col min="7" max="7" width="7" hidden="0" customWidth="1"/>
    <x:col min="8" max="8" width="7" hidden="0" customWidth="1"/>
    <x:col min="9" max="9" width="7" hidden="0" customWidth="1"/>
    <x:col min="10" max="10" width="7" hidden="0" customWidth="1"/>
    <x:col min="11" max="11" width="7" hidden="0" customWidth="1"/>
    <x:col min="12" max="12" width="7" hidden="0" customWidth="1"/>
    <x:col min="13" max="13" width="7" hidden="0" customWidth="1"/>
    <x:col min="14" max="14" width="7" hidden="0" customWidth="1"/>
    <x:col min="15" max="15" width="7" hidden="0" customWidth="1"/>
    <x:col min="16" max="16" width="7" hidden="0" customWidth="1"/>
    <x:col min="17" max="17" width="7" hidden="0" customWidth="1"/>
    <x:col min="18" max="18" width="7" hidden="0" customWidth="1"/>
    <x:col min="19" max="19" width="7" hidden="0" customWidth="1"/>
    <x:col min="20" max="20" width="13" hidden="0" customWidth="1"/>
    <x:col min="21" max="21" width="13" hidden="0" customWidth="1"/>
    <x:col min="22" max="22" width="36" hidden="0" customWidth="1"/>
    <x:col min="23" max="23" width="70" hidden="0" customWidth="1"/>
    <x:col min="24" max="24" width="13" hidden="0" customWidth="1"/>
  </x:cols>
  <x:sheetData>
    <x:row r="1" ht="28" customHeight="1">
      <x:c r="A1" s="273" t="str">
        <x:v>QB Progression Audit — Joey Harrington</x:v>
      </x:c>
      <x:c r="B1" s="273"/>
      <x:c r="C1" s="273"/>
      <x:c r="D1" s="273"/>
      <x:c r="E1" s="273"/>
      <x:c r="F1" s="273"/>
      <x:c r="G1" s="273"/>
      <x:c r="H1" s="273"/>
      <x:c r="I1" s="273"/>
      <x:c r="J1" s="273"/>
      <x:c r="K1" s="273"/>
      <x:c r="L1" s="273"/>
      <x:c r="M1" s="273"/>
      <x:c r="N1" s="273"/>
      <x:c r="O1" s="273"/>
      <x:c r="P1" s="273"/>
      <x:c r="Q1" s="273"/>
      <x:c r="R1" s="273"/>
      <x:c r="S1" s="273"/>
      <x:c r="T1" s="273"/>
      <x:c r="U1" s="273"/>
      <x:c r="V1" s="273"/>
      <x:c r="W1" s="273"/>
      <x:c r="X1" s="273"/>
    </x:row>
    <x:row r="2" ht="32" customHeight="1">
      <x:c r="A2" s="277" t="str">
        <x:v>Same-program observed states only: 79, 81, 84, and 86 OVR. Deltas are calculated from validated cards; no missing intermediate state is invented.</x:v>
      </x:c>
      <x:c r="B2" s="277"/>
      <x:c r="C2" s="277"/>
      <x:c r="D2" s="277"/>
      <x:c r="E2" s="277"/>
      <x:c r="F2" s="277"/>
      <x:c r="G2" s="277"/>
      <x:c r="H2" s="277"/>
      <x:c r="I2" s="277"/>
      <x:c r="J2" s="277"/>
      <x:c r="K2" s="277"/>
      <x:c r="L2" s="277"/>
      <x:c r="M2" s="277"/>
      <x:c r="N2" s="277"/>
      <x:c r="O2" s="277"/>
      <x:c r="P2" s="277"/>
      <x:c r="Q2" s="277"/>
      <x:c r="R2" s="277"/>
      <x:c r="S2" s="277"/>
      <x:c r="T2" s="277"/>
      <x:c r="U2" s="277"/>
      <x:c r="V2" s="277"/>
      <x:c r="W2" s="277"/>
      <x:c r="X2" s="277"/>
    </x:row>
    <x:row r="4" ht="30" customHeight="1">
      <x:c r="A4" s="281" t="str">
        <x:v>Progression_ID</x:v>
      </x:c>
      <x:c r="B4" s="281" t="str">
        <x:v>Player</x:v>
      </x:c>
      <x:c r="C4" s="281" t="str">
        <x:v>OVR</x:v>
      </x:c>
      <x:c r="D4" s="281" t="str">
        <x:v>Program</x:v>
      </x:c>
      <x:c r="E4" s="281" t="str">
        <x:v>SPD</x:v>
      </x:c>
      <x:c r="F4" s="281" t="str">
        <x:v>ACC</x:v>
      </x:c>
      <x:c r="G4" s="281" t="str">
        <x:v>AGI</x:v>
      </x:c>
      <x:c r="H4" s="281" t="str">
        <x:v>AWR</x:v>
      </x:c>
      <x:c r="I4" s="281" t="str">
        <x:v>STR</x:v>
      </x:c>
      <x:c r="J4" s="281" t="str">
        <x:v>TGH</x:v>
      </x:c>
      <x:c r="K4" s="281" t="str">
        <x:v>THP</x:v>
      </x:c>
      <x:c r="L4" s="281" t="str">
        <x:v>TAC</x:v>
      </x:c>
      <x:c r="M4" s="281" t="str">
        <x:v>SAC</x:v>
      </x:c>
      <x:c r="N4" s="281" t="str">
        <x:v>MAC</x:v>
      </x:c>
      <x:c r="O4" s="281" t="str">
        <x:v>DAC</x:v>
      </x:c>
      <x:c r="P4" s="281" t="str">
        <x:v>RUN</x:v>
      </x:c>
      <x:c r="Q4" s="281" t="str">
        <x:v>TUP</x:v>
      </x:c>
      <x:c r="R4" s="281" t="str">
        <x:v>PAC</x:v>
      </x:c>
      <x:c r="S4" s="281" t="str">
        <x:v>BSK</x:v>
      </x:c>
      <x:c r="T4" s="281" t="str">
        <x:v>Frozen_Score</x:v>
      </x:c>
      <x:c r="U4" s="281" t="str">
        <x:v>Source_ID</x:v>
      </x:c>
      <x:c r="V4" s="281" t="str">
        <x:v>Source_Locator</x:v>
      </x:c>
      <x:c r="W4" s="281" t="str">
        <x:v>Delta_From_Prior</x:v>
      </x:c>
      <x:c r="X4" s="281" t="str">
        <x:v>Status</x:v>
      </x:c>
    </x:row>
    <x:row r="5">
      <x:c r="A5" s="267" t="str">
        <x:v>QB-JH-79</x:v>
      </x:c>
      <x:c r="B5" s="267" t="str">
        <x:v>Joey Harrington</x:v>
      </x:c>
      <x:c r="C5" s="267" t="n">
        <x:v>79</x:v>
      </x:c>
      <x:c r="D5" s="267" t="str">
        <x:v>SI Legends - Millennium</x:v>
      </x:c>
      <x:c r="E5" s="267" t="n">
        <x:v>75</x:v>
      </x:c>
      <x:c r="F5" s="267" t="n">
        <x:v>77</x:v>
      </x:c>
      <x:c r="G5" s="267" t="n">
        <x:v>74</x:v>
      </x:c>
      <x:c r="H5" s="267" t="n">
        <x:v>80</x:v>
      </x:c>
      <x:c r="I5" s="267" t="n">
        <x:v>76</x:v>
      </x:c>
      <x:c r="J5" s="267" t="n">
        <x:v>90</x:v>
      </x:c>
      <x:c r="K5" s="267" t="n">
        <x:v>77</x:v>
      </x:c>
      <x:c r="L5" s="267" t="n">
        <x:v>86</x:v>
      </x:c>
      <x:c r="M5" s="267" t="n">
        <x:v>79</x:v>
      </x:c>
      <x:c r="N5" s="267" t="n">
        <x:v>79</x:v>
      </x:c>
      <x:c r="O5" s="267" t="n">
        <x:v>74</x:v>
      </x:c>
      <x:c r="P5" s="267" t="n">
        <x:v>77</x:v>
      </x:c>
      <x:c r="Q5" s="267" t="n">
        <x:v>73</x:v>
      </x:c>
      <x:c r="R5" s="267" t="n">
        <x:v>73</x:v>
      </x:c>
      <x:c r="S5" s="267" t="n">
        <x:v>76</x:v>
      </x:c>
      <x:c r="T5" s="287" t="n">
        <x:v>76.38000000000002</x:v>
      </x:c>
      <x:c r="U5" s="267" t="str">
        <x:v>SRC-QB-002</x:v>
      </x:c>
      <x:c r="V5" s="267" t="str">
        <x:v>Screenshot 2026-07-26 204922.jpg</x:v>
      </x:c>
      <x:c r="W5" s="267" t="str">
        <x:v>BASELINE</x:v>
      </x:c>
      <x:c r="X5" s="267" t="str">
        <x:v>VALIDATED</x:v>
      </x:c>
    </x:row>
    <x:row r="6">
      <x:c r="A6" s="270" t="str">
        <x:v>QB-JH-81</x:v>
      </x:c>
      <x:c r="B6" s="270" t="str">
        <x:v>Joey Harrington</x:v>
      </x:c>
      <x:c r="C6" s="270" t="n">
        <x:v>81</x:v>
      </x:c>
      <x:c r="D6" s="270" t="str">
        <x:v>SI Legends - Millennium</x:v>
      </x:c>
      <x:c r="E6" s="270" t="n">
        <x:v>77</x:v>
      </x:c>
      <x:c r="F6" s="270" t="n">
        <x:v>79</x:v>
      </x:c>
      <x:c r="G6" s="270" t="n">
        <x:v>76</x:v>
      </x:c>
      <x:c r="H6" s="270" t="n">
        <x:v>80</x:v>
      </x:c>
      <x:c r="I6" s="270" t="n">
        <x:v>78</x:v>
      </x:c>
      <x:c r="J6" s="270" t="n">
        <x:v>90</x:v>
      </x:c>
      <x:c r="K6" s="270" t="n">
        <x:v>79</x:v>
      </x:c>
      <x:c r="L6" s="270" t="n">
        <x:v>86</x:v>
      </x:c>
      <x:c r="M6" s="270" t="n">
        <x:v>81</x:v>
      </x:c>
      <x:c r="N6" s="270" t="n">
        <x:v>81</x:v>
      </x:c>
      <x:c r="O6" s="270" t="n">
        <x:v>76</x:v>
      </x:c>
      <x:c r="P6" s="270" t="n">
        <x:v>79</x:v>
      </x:c>
      <x:c r="Q6" s="270" t="n">
        <x:v>75</x:v>
      </x:c>
      <x:c r="R6" s="270" t="n">
        <x:v>75</x:v>
      </x:c>
      <x:c r="S6" s="270" t="n">
        <x:v>78</x:v>
      </x:c>
      <x:c r="T6" s="288" t="n">
        <x:v>78.18</x:v>
      </x:c>
      <x:c r="U6" s="270" t="str">
        <x:v>SRC-QB-001</x:v>
      </x:c>
      <x:c r="V6" s="270" t="n">
        <x:v>38</x:v>
      </x:c>
      <x:c r="W6" s="270" t="str">
        <x:v>SPD +2; ACC +2; AGI +2; STR +2; THP +2; SAC +2; MAC +2; DAC +2; RUN +2; TUP +2; PAC +2; BSK +2</x:v>
      </x:c>
      <x:c r="X6" s="270" t="str">
        <x:v>VALIDATED</x:v>
      </x:c>
    </x:row>
    <x:row r="7">
      <x:c r="A7" s="267" t="str">
        <x:v>QB-JH-84</x:v>
      </x:c>
      <x:c r="B7" s="267" t="str">
        <x:v>Joey Harrington</x:v>
      </x:c>
      <x:c r="C7" s="267" t="n">
        <x:v>84</x:v>
      </x:c>
      <x:c r="D7" s="267" t="str">
        <x:v>SI Legends - Millennium</x:v>
      </x:c>
      <x:c r="E7" s="267" t="n">
        <x:v>80</x:v>
      </x:c>
      <x:c r="F7" s="267" t="n">
        <x:v>82</x:v>
      </x:c>
      <x:c r="G7" s="267" t="n">
        <x:v>79</x:v>
      </x:c>
      <x:c r="H7" s="267" t="n">
        <x:v>80</x:v>
      </x:c>
      <x:c r="I7" s="267" t="n">
        <x:v>81</x:v>
      </x:c>
      <x:c r="J7" s="267" t="n">
        <x:v>90</x:v>
      </x:c>
      <x:c r="K7" s="267" t="n">
        <x:v>82</x:v>
      </x:c>
      <x:c r="L7" s="267" t="n">
        <x:v>86</x:v>
      </x:c>
      <x:c r="M7" s="267" t="n">
        <x:v>84</x:v>
      </x:c>
      <x:c r="N7" s="267" t="n">
        <x:v>84</x:v>
      </x:c>
      <x:c r="O7" s="267" t="n">
        <x:v>79</x:v>
      </x:c>
      <x:c r="P7" s="267" t="n">
        <x:v>82</x:v>
      </x:c>
      <x:c r="Q7" s="267" t="n">
        <x:v>79</x:v>
      </x:c>
      <x:c r="R7" s="267" t="n">
        <x:v>78</x:v>
      </x:c>
      <x:c r="S7" s="267" t="n">
        <x:v>81</x:v>
      </x:c>
      <x:c r="T7" s="287" t="n">
        <x:v>80.96999999999998</x:v>
      </x:c>
      <x:c r="U7" s="267" t="str">
        <x:v>SRC-QB-001</x:v>
      </x:c>
      <x:c r="V7" s="267" t="n">
        <x:v>13</x:v>
      </x:c>
      <x:c r="W7" s="267" t="str">
        <x:v>SPD +3; ACC +3; AGI +3; STR +3; THP +3; SAC +3; MAC +3; DAC +3; RUN +3; TUP +4; PAC +3; BSK +3</x:v>
      </x:c>
      <x:c r="X7" s="267" t="str">
        <x:v>VALIDATED</x:v>
      </x:c>
    </x:row>
    <x:row r="8">
      <x:c r="A8" s="270" t="str">
        <x:v>QB-JH-86</x:v>
      </x:c>
      <x:c r="B8" s="270" t="str">
        <x:v>Joey Harrington</x:v>
      </x:c>
      <x:c r="C8" s="270" t="n">
        <x:v>86</x:v>
      </x:c>
      <x:c r="D8" s="270" t="str">
        <x:v>SI Legends - Millennium</x:v>
      </x:c>
      <x:c r="E8" s="270" t="n">
        <x:v>82</x:v>
      </x:c>
      <x:c r="F8" s="270" t="n">
        <x:v>84</x:v>
      </x:c>
      <x:c r="G8" s="270" t="n">
        <x:v>81</x:v>
      </x:c>
      <x:c r="H8" s="270" t="n">
        <x:v>80</x:v>
      </x:c>
      <x:c r="I8" s="270" t="n">
        <x:v>83</x:v>
      </x:c>
      <x:c r="J8" s="270" t="n">
        <x:v>90</x:v>
      </x:c>
      <x:c r="K8" s="270" t="n">
        <x:v>84</x:v>
      </x:c>
      <x:c r="L8" s="270" t="n">
        <x:v>86</x:v>
      </x:c>
      <x:c r="M8" s="270" t="n">
        <x:v>86</x:v>
      </x:c>
      <x:c r="N8" s="270" t="n">
        <x:v>86</x:v>
      </x:c>
      <x:c r="O8" s="270" t="n">
        <x:v>81</x:v>
      </x:c>
      <x:c r="P8" s="270" t="n">
        <x:v>84</x:v>
      </x:c>
      <x:c r="Q8" s="270" t="n">
        <x:v>81</x:v>
      </x:c>
      <x:c r="R8" s="270" t="n">
        <x:v>80</x:v>
      </x:c>
      <x:c r="S8" s="270" t="n">
        <x:v>83</x:v>
      </x:c>
      <x:c r="T8" s="288" t="n">
        <x:v>82.77000000000001</x:v>
      </x:c>
      <x:c r="U8" s="270" t="str">
        <x:v>SRC-QB-001</x:v>
      </x:c>
      <x:c r="V8" s="270" t="n">
        <x:v>3</x:v>
      </x:c>
      <x:c r="W8" s="270" t="str">
        <x:v>SPD +2; ACC +2; AGI +2; STR +2; THP +2; SAC +2; MAC +2; DAC +2; RUN +2; TUP +2; PAC +2; BSK +2</x:v>
      </x:c>
      <x:c r="X8" s="270" t="str">
        <x:v>VALIDATED</x:v>
      </x:c>
    </x:row>
  </x:sheetData>
  <x:mergeCells>
    <x:mergeCell ref="A1:X1"/>
    <x:mergeCell ref="A2:X2"/>
  </x:mergeCells>
  <x:pageMargins left="0.7" right="0.7" top="0.75" bottom="0.75" header="0.3" footer="0.3"/>
</x:worksheet>
</file>

<file path=xl/worksheets/sheet42.xml><?xml version="1.0" encoding="utf-8"?>
<x:worksheet xmlns:x="http://schemas.openxmlformats.org/spreadsheetml/2006/main">
  <x:sheetFormatPr defaultRowHeight="15"/>
  <x:cols>
    <x:col min="1" max="1" width="28" hidden="0" customWidth="1"/>
    <x:col min="2" max="2" width="22" hidden="0" customWidth="1"/>
    <x:col min="3" max="3" width="28" hidden="0" customWidth="1"/>
    <x:col min="4" max="4" width="12" hidden="0" customWidth="1"/>
    <x:col min="5" max="5" width="10" hidden="0" customWidth="1"/>
    <x:col min="6" max="6" width="13" hidden="0" customWidth="1"/>
    <x:col min="7" max="7" width="28" hidden="0" customWidth="1"/>
    <x:col min="8" max="8" width="60" hidden="0" customWidth="1"/>
  </x:cols>
  <x:sheetData>
    <x:row r="1" ht="28" customHeight="1">
      <x:c r="A1" s="273" t="str">
        <x:v>QB Failed and Non-Promoted Hypotheses</x:v>
      </x:c>
      <x:c r="B1" s="273"/>
      <x:c r="C1" s="273"/>
      <x:c r="D1" s="273"/>
      <x:c r="E1" s="273"/>
      <x:c r="F1" s="273"/>
      <x:c r="G1" s="273"/>
      <x:c r="H1" s="273"/>
    </x:row>
    <x:row r="2" ht="32" customHeight="1">
      <x:c r="A2" s="277" t="str">
        <x:v>Failed candidates are preserved. Independent validation was never used to repair or tune a rejected formula.</x:v>
      </x:c>
      <x:c r="B2" s="277"/>
      <x:c r="C2" s="277"/>
      <x:c r="D2" s="277"/>
      <x:c r="E2" s="277"/>
      <x:c r="F2" s="277"/>
      <x:c r="G2" s="277"/>
      <x:c r="H2" s="277"/>
    </x:row>
    <x:row r="4" ht="30" customHeight="1">
      <x:c r="A4" s="281" t="str">
        <x:v>Candidate</x:v>
      </x:c>
      <x:c r="B4" s="281" t="str">
        <x:v>Scope</x:v>
      </x:c>
      <x:c r="C4" s="281" t="str">
        <x:v>Hypothesis_Type</x:v>
      </x:c>
      <x:c r="D4" s="281" t="str">
        <x:v>Dev_Correct</x:v>
      </x:c>
      <x:c r="E4" s="281" t="str">
        <x:v>Dev_Total</x:v>
      </x:c>
      <x:c r="F4" s="281" t="str">
        <x:v>Dev_Accuracy</x:v>
      </x:c>
      <x:c r="G4" s="281" t="str">
        <x:v>Disposition</x:v>
      </x:c>
      <x:c r="H4" s="281" t="str">
        <x:v>Reason_Preserved</x:v>
      </x:c>
    </x:row>
    <x:row r="5">
      <x:c r="A5" s="267" t="str">
        <x:v>M19-FIELD-GENERAL</x:v>
      </x:c>
      <x:c r="B5" s="267" t="str">
        <x:v>Pocket Passer</x:v>
      </x:c>
      <x:c r="C5" s="267" t="str">
        <x:v>Historical direct transfer</x:v>
      </x:c>
      <x:c r="D5" s="267" t="n">
        <x:v>596</x:v>
      </x:c>
      <x:c r="E5" s="267" t="n">
        <x:v>622</x:v>
      </x:c>
      <x:c r="F5" s="292" t="n">
        <x:v>0.9581993569131833</x:v>
      </x:c>
      <x:c r="G5" s="295" t="str">
        <x:v>REJECTED AS EXACT CFB27 MODEL</x:v>
      </x:c>
      <x:c r="H5" s="267" t="str">
        <x:v>Madden 19 retained only as architecture/reference.</x:v>
      </x:c>
    </x:row>
    <x:row r="6">
      <x:c r="A6" s="270" t="str">
        <x:v>M19-STRONG-ARM</x:v>
      </x:c>
      <x:c r="B6" s="270" t="str">
        <x:v>Pocket Passer</x:v>
      </x:c>
      <x:c r="C6" s="270" t="str">
        <x:v>Historical direct transfer</x:v>
      </x:c>
      <x:c r="D6" s="270" t="n">
        <x:v>569</x:v>
      </x:c>
      <x:c r="E6" s="270" t="n">
        <x:v>622</x:v>
      </x:c>
      <x:c r="F6" s="293" t="n">
        <x:v>0.9147909967845659</x:v>
      </x:c>
      <x:c r="G6" s="295" t="str">
        <x:v>REJECTED AS EXACT CFB27 MODEL</x:v>
      </x:c>
      <x:c r="H6" s="270" t="str">
        <x:v>Madden 19 retained only as architecture/reference.</x:v>
      </x:c>
    </x:row>
    <x:row r="7">
      <x:c r="A7" s="267" t="str">
        <x:v>M19-WEST-COAST</x:v>
      </x:c>
      <x:c r="B7" s="267" t="str">
        <x:v>Pocket Passer</x:v>
      </x:c>
      <x:c r="C7" s="267" t="str">
        <x:v>Historical direct transfer</x:v>
      </x:c>
      <x:c r="D7" s="267" t="n">
        <x:v>600</x:v>
      </x:c>
      <x:c r="E7" s="267" t="n">
        <x:v>622</x:v>
      </x:c>
      <x:c r="F7" s="292" t="n">
        <x:v>0.9646302250803859</x:v>
      </x:c>
      <x:c r="G7" s="295" t="str">
        <x:v>REJECTED AS EXACT CFB27 MODEL</x:v>
      </x:c>
      <x:c r="H7" s="267" t="str">
        <x:v>Madden 19 retained only as architecture/reference.</x:v>
      </x:c>
    </x:row>
    <x:row r="8">
      <x:c r="A8" s="270" t="str">
        <x:v>M19-SCRAMBLER</x:v>
      </x:c>
      <x:c r="B8" s="270" t="str">
        <x:v>Pocket Passer</x:v>
      </x:c>
      <x:c r="C8" s="270" t="str">
        <x:v>Historical direct transfer</x:v>
      </x:c>
      <x:c r="D8" s="270" t="n">
        <x:v>574</x:v>
      </x:c>
      <x:c r="E8" s="270" t="n">
        <x:v>622</x:v>
      </x:c>
      <x:c r="F8" s="293" t="n">
        <x:v>0.9228295819935691</x:v>
      </x:c>
      <x:c r="G8" s="295" t="str">
        <x:v>REJECTED AS EXACT CFB27 MODEL</x:v>
      </x:c>
      <x:c r="H8" s="270" t="str">
        <x:v>Madden 19 retained only as architecture/reference.</x:v>
      </x:c>
    </x:row>
    <x:row r="9">
      <x:c r="A9" s="267" t="str">
        <x:v>M19-FIELD-GENERAL</x:v>
      </x:c>
      <x:c r="B9" s="267" t="str">
        <x:v>Backfield Creator</x:v>
      </x:c>
      <x:c r="C9" s="267" t="str">
        <x:v>Historical direct transfer</x:v>
      </x:c>
      <x:c r="D9" s="267" t="n">
        <x:v>15</x:v>
      </x:c>
      <x:c r="E9" s="267" t="n">
        <x:v>15</x:v>
      </x:c>
      <x:c r="F9" s="292" t="n">
        <x:v>1</x:v>
      </x:c>
      <x:c r="G9" s="267" t="str">
        <x:v>DESCRIPTIVE ONLY</x:v>
      </x:c>
      <x:c r="H9" s="267" t="str">
        <x:v>Madden 19 retained only as architecture/reference.</x:v>
      </x:c>
    </x:row>
    <x:row r="10">
      <x:c r="A10" s="270" t="str">
        <x:v>M19-STRONG-ARM</x:v>
      </x:c>
      <x:c r="B10" s="270" t="str">
        <x:v>Backfield Creator</x:v>
      </x:c>
      <x:c r="C10" s="270" t="str">
        <x:v>Historical direct transfer</x:v>
      </x:c>
      <x:c r="D10" s="270" t="n">
        <x:v>14</x:v>
      </x:c>
      <x:c r="E10" s="270" t="n">
        <x:v>15</x:v>
      </x:c>
      <x:c r="F10" s="293" t="n">
        <x:v>0.9333333333333333</x:v>
      </x:c>
      <x:c r="G10" s="295" t="str">
        <x:v>REJECTED AS EXACT CFB27 MODEL</x:v>
      </x:c>
      <x:c r="H10" s="270" t="str">
        <x:v>Madden 19 retained only as architecture/reference.</x:v>
      </x:c>
    </x:row>
    <x:row r="11">
      <x:c r="A11" s="267" t="str">
        <x:v>M19-WEST-COAST</x:v>
      </x:c>
      <x:c r="B11" s="267" t="str">
        <x:v>Backfield Creator</x:v>
      </x:c>
      <x:c r="C11" s="267" t="str">
        <x:v>Historical direct transfer</x:v>
      </x:c>
      <x:c r="D11" s="267" t="n">
        <x:v>14</x:v>
      </x:c>
      <x:c r="E11" s="267" t="n">
        <x:v>15</x:v>
      </x:c>
      <x:c r="F11" s="292" t="n">
        <x:v>0.9333333333333333</x:v>
      </x:c>
      <x:c r="G11" s="295" t="str">
        <x:v>REJECTED AS EXACT CFB27 MODEL</x:v>
      </x:c>
      <x:c r="H11" s="267" t="str">
        <x:v>Madden 19 retained only as architecture/reference.</x:v>
      </x:c>
    </x:row>
    <x:row r="12">
      <x:c r="A12" s="270" t="str">
        <x:v>M19-SCRAMBLER</x:v>
      </x:c>
      <x:c r="B12" s="270" t="str">
        <x:v>Backfield Creator</x:v>
      </x:c>
      <x:c r="C12" s="270" t="str">
        <x:v>Historical direct transfer</x:v>
      </x:c>
      <x:c r="D12" s="270" t="n">
        <x:v>14</x:v>
      </x:c>
      <x:c r="E12" s="270" t="n">
        <x:v>15</x:v>
      </x:c>
      <x:c r="F12" s="293" t="n">
        <x:v>0.9333333333333333</x:v>
      </x:c>
      <x:c r="G12" s="295" t="str">
        <x:v>REJECTED AS EXACT CFB27 MODEL</x:v>
      </x:c>
      <x:c r="H12" s="270" t="str">
        <x:v>Madden 19 retained only as architecture/reference.</x:v>
      </x:c>
    </x:row>
    <x:row r="13">
      <x:c r="A13" s="267" t="str">
        <x:v>M19-FIELD-GENERAL</x:v>
      </x:c>
      <x:c r="B13" s="267" t="str">
        <x:v>Dual Threat</x:v>
      </x:c>
      <x:c r="C13" s="267" t="str">
        <x:v>Historical direct transfer</x:v>
      </x:c>
      <x:c r="D13" s="267" t="n">
        <x:v>16</x:v>
      </x:c>
      <x:c r="E13" s="267" t="n">
        <x:v>17</x:v>
      </x:c>
      <x:c r="F13" s="292" t="n">
        <x:v>0.9411764705882353</x:v>
      </x:c>
      <x:c r="G13" s="295" t="str">
        <x:v>REJECTED AS EXACT CFB27 MODEL</x:v>
      </x:c>
      <x:c r="H13" s="267" t="str">
        <x:v>Madden 19 retained only as architecture/reference.</x:v>
      </x:c>
    </x:row>
    <x:row r="14">
      <x:c r="A14" s="270" t="str">
        <x:v>M19-STRONG-ARM</x:v>
      </x:c>
      <x:c r="B14" s="270" t="str">
        <x:v>Dual Threat</x:v>
      </x:c>
      <x:c r="C14" s="270" t="str">
        <x:v>Historical direct transfer</x:v>
      </x:c>
      <x:c r="D14" s="270" t="n">
        <x:v>16</x:v>
      </x:c>
      <x:c r="E14" s="270" t="n">
        <x:v>17</x:v>
      </x:c>
      <x:c r="F14" s="293" t="n">
        <x:v>0.9411764705882353</x:v>
      </x:c>
      <x:c r="G14" s="295" t="str">
        <x:v>REJECTED AS EXACT CFB27 MODEL</x:v>
      </x:c>
      <x:c r="H14" s="270" t="str">
        <x:v>Madden 19 retained only as architecture/reference.</x:v>
      </x:c>
    </x:row>
    <x:row r="15">
      <x:c r="A15" s="267" t="str">
        <x:v>M19-WEST-COAST</x:v>
      </x:c>
      <x:c r="B15" s="267" t="str">
        <x:v>Dual Threat</x:v>
      </x:c>
      <x:c r="C15" s="267" t="str">
        <x:v>Historical direct transfer</x:v>
      </x:c>
      <x:c r="D15" s="267" t="n">
        <x:v>16</x:v>
      </x:c>
      <x:c r="E15" s="267" t="n">
        <x:v>17</x:v>
      </x:c>
      <x:c r="F15" s="292" t="n">
        <x:v>0.9411764705882353</x:v>
      </x:c>
      <x:c r="G15" s="295" t="str">
        <x:v>REJECTED AS EXACT CFB27 MODEL</x:v>
      </x:c>
      <x:c r="H15" s="267" t="str">
        <x:v>Madden 19 retained only as architecture/reference.</x:v>
      </x:c>
    </x:row>
    <x:row r="16">
      <x:c r="A16" s="270" t="str">
        <x:v>M19-SCRAMBLER</x:v>
      </x:c>
      <x:c r="B16" s="270" t="str">
        <x:v>Dual Threat</x:v>
      </x:c>
      <x:c r="C16" s="270" t="str">
        <x:v>Historical direct transfer</x:v>
      </x:c>
      <x:c r="D16" s="270" t="n">
        <x:v>16</x:v>
      </x:c>
      <x:c r="E16" s="270" t="n">
        <x:v>17</x:v>
      </x:c>
      <x:c r="F16" s="293" t="n">
        <x:v>0.9411764705882353</x:v>
      </x:c>
      <x:c r="G16" s="295" t="str">
        <x:v>REJECTED AS EXACT CFB27 MODEL</x:v>
      </x:c>
      <x:c r="H16" s="270" t="str">
        <x:v>Madden 19 retained only as architecture/reference.</x:v>
      </x:c>
    </x:row>
    <x:row r="17">
      <x:c r="A17" s="267" t="str">
        <x:v>M19-FIELD-GENERAL</x:v>
      </x:c>
      <x:c r="B17" s="267" t="str">
        <x:v>Pure Runner</x:v>
      </x:c>
      <x:c r="C17" s="267" t="str">
        <x:v>Historical direct transfer</x:v>
      </x:c>
      <x:c r="D17" s="267" t="n">
        <x:v>2</x:v>
      </x:c>
      <x:c r="E17" s="267" t="n">
        <x:v>2</x:v>
      </x:c>
      <x:c r="F17" s="292" t="n">
        <x:v>1</x:v>
      </x:c>
      <x:c r="G17" s="267" t="str">
        <x:v>DESCRIPTIVE ONLY</x:v>
      </x:c>
      <x:c r="H17" s="267" t="str">
        <x:v>Madden 19 retained only as architecture/reference.</x:v>
      </x:c>
    </x:row>
    <x:row r="18">
      <x:c r="A18" s="270" t="str">
        <x:v>M19-STRONG-ARM</x:v>
      </x:c>
      <x:c r="B18" s="270" t="str">
        <x:v>Pure Runner</x:v>
      </x:c>
      <x:c r="C18" s="270" t="str">
        <x:v>Historical direct transfer</x:v>
      </x:c>
      <x:c r="D18" s="270" t="n">
        <x:v>2</x:v>
      </x:c>
      <x:c r="E18" s="270" t="n">
        <x:v>2</x:v>
      </x:c>
      <x:c r="F18" s="293" t="n">
        <x:v>1</x:v>
      </x:c>
      <x:c r="G18" s="270" t="str">
        <x:v>DESCRIPTIVE ONLY</x:v>
      </x:c>
      <x:c r="H18" s="270" t="str">
        <x:v>Madden 19 retained only as architecture/reference.</x:v>
      </x:c>
    </x:row>
    <x:row r="19">
      <x:c r="A19" s="267" t="str">
        <x:v>M19-WEST-COAST</x:v>
      </x:c>
      <x:c r="B19" s="267" t="str">
        <x:v>Pure Runner</x:v>
      </x:c>
      <x:c r="C19" s="267" t="str">
        <x:v>Historical direct transfer</x:v>
      </x:c>
      <x:c r="D19" s="267" t="n">
        <x:v>2</x:v>
      </x:c>
      <x:c r="E19" s="267" t="n">
        <x:v>2</x:v>
      </x:c>
      <x:c r="F19" s="292" t="n">
        <x:v>1</x:v>
      </x:c>
      <x:c r="G19" s="267" t="str">
        <x:v>DESCRIPTIVE ONLY</x:v>
      </x:c>
      <x:c r="H19" s="267" t="str">
        <x:v>Madden 19 retained only as architecture/reference.</x:v>
      </x:c>
    </x:row>
    <x:row r="20">
      <x:c r="A20" s="270" t="str">
        <x:v>M19-SCRAMBLER</x:v>
      </x:c>
      <x:c r="B20" s="270" t="str">
        <x:v>Pure Runner</x:v>
      </x:c>
      <x:c r="C20" s="270" t="str">
        <x:v>Historical direct transfer</x:v>
      </x:c>
      <x:c r="D20" s="270" t="n">
        <x:v>2</x:v>
      </x:c>
      <x:c r="E20" s="270" t="n">
        <x:v>2</x:v>
      </x:c>
      <x:c r="F20" s="293" t="n">
        <x:v>1</x:v>
      </x:c>
      <x:c r="G20" s="270" t="str">
        <x:v>DESCRIPTIVE ONLY</x:v>
      </x:c>
      <x:c r="H20" s="270" t="str">
        <x:v>Madden 19 retained only as architecture/reference.</x:v>
      </x:c>
    </x:row>
    <x:row r="21">
      <x:c r="A21" s="267" t="str">
        <x:v>QB-ARCH-BC-001</x:v>
      </x:c>
      <x:c r="B21" s="267" t="str">
        <x:v>Backfield Creator</x:v>
      </x:c>
      <x:c r="C21" s="267" t="str">
        <x:v>Archetype-only optimized</x:v>
      </x:c>
      <x:c r="D21" s="267" t="n">
        <x:v>15</x:v>
      </x:c>
      <x:c r="E21" s="267" t="n">
        <x:v>15</x:v>
      </x:c>
      <x:c r="F21" s="292" t="n">
        <x:v>1</x:v>
      </x:c>
      <x:c r="G21" s="295" t="str">
        <x:v>REJECTED AFTER HOLDOUT</x:v>
      </x:c>
      <x:c r="H21" s="267" t="str">
        <x:v>Independent validation 17/18 (94.4%).</x:v>
      </x:c>
    </x:row>
    <x:row r="22">
      <x:c r="A22" s="270" t="str">
        <x:v>QB-ARCH-DT-001</x:v>
      </x:c>
      <x:c r="B22" s="270" t="str">
        <x:v>Dual Threat</x:v>
      </x:c>
      <x:c r="C22" s="270" t="str">
        <x:v>Archetype-only optimized</x:v>
      </x:c>
      <x:c r="D22" s="270" t="n">
        <x:v>17</x:v>
      </x:c>
      <x:c r="E22" s="270" t="n">
        <x:v>17</x:v>
      </x:c>
      <x:c r="F22" s="293" t="n">
        <x:v>1</x:v>
      </x:c>
      <x:c r="G22" s="295" t="str">
        <x:v>REJECTED AFTER HOLDOUT</x:v>
      </x:c>
      <x:c r="H22" s="270" t="str">
        <x:v>Independent validation 18/20 (90.0%).</x:v>
      </x:c>
    </x:row>
  </x:sheetData>
  <x:mergeCells>
    <x:mergeCell ref="A1:H1"/>
    <x:mergeCell ref="A2:H2"/>
  </x:mergeCells>
  <x:pageMargins left="0.7" right="0.7" top="0.75" bottom="0.75" header="0.3" footer="0.3"/>
</x:worksheet>
</file>

<file path=xl/worksheets/sheet43.xml><?xml version="1.0" encoding="utf-8"?>
<x:worksheet xmlns:x="http://schemas.openxmlformats.org/spreadsheetml/2006/main">
  <x:sheetFormatPr defaultRowHeight="15"/>
  <x:cols>
    <x:col min="1" max="1" width="18" hidden="0" customWidth="1"/>
    <x:col min="2" max="2" width="43" hidden="0" customWidth="1"/>
    <x:col min="3" max="3" width="30" hidden="0" customWidth="1"/>
    <x:col min="4" max="4" width="65" hidden="0" customWidth="1"/>
    <x:col min="5" max="5" width="65" hidden="0" customWidth="1"/>
  </x:cols>
  <x:sheetData>
    <x:row r="1" ht="28" customHeight="1">
      <x:c r="A1" s="273" t="str">
        <x:v>QB Formula Research — Architecture and Attribute Influence</x:v>
      </x:c>
      <x:c r="B1" s="273"/>
      <x:c r="C1" s="273"/>
      <x:c r="D1" s="273"/>
      <x:c r="E1" s="273"/>
    </x:row>
    <x:row r="2" ht="32" customHeight="1">
      <x:c r="A2" s="277" t="str">
        <x:v>Operational conclusions are separated from external Madden 19 reference material and unresolved evidence.</x:v>
      </x:c>
      <x:c r="B2" s="277"/>
      <x:c r="C2" s="277"/>
      <x:c r="D2" s="277"/>
      <x:c r="E2" s="277"/>
    </x:row>
    <x:row r="4" ht="30" customHeight="1">
      <x:c r="A4" s="281" t="str">
        <x:v>Area</x:v>
      </x:c>
      <x:c r="B4" s="281" t="str">
        <x:v>Finding</x:v>
      </x:c>
      <x:c r="C4" s="281" t="str">
        <x:v>Status</x:v>
      </x:c>
      <x:c r="D4" s="281" t="str">
        <x:v>Evidence</x:v>
      </x:c>
      <x:c r="E4" s="281" t="str">
        <x:v>Caveat / Rule</x:v>
      </x:c>
    </x:row>
    <x:row r="5">
      <x:c r="A5" s="267" t="str">
        <x:v>Architecture</x:v>
      </x:c>
      <x:c r="B5" s="267" t="str">
        <x:v>Shared positional weights</x:v>
      </x:c>
      <x:c r="C5" s="294" t="str">
        <x:v>SELECTED / FROZEN</x:v>
      </x:c>
      <x:c r="D5" s="267" t="str">
        <x:v>Same weights produce 100% within-archetype validation for PP/BC/DT; global holdout 99.25%.</x:v>
      </x:c>
      <x:c r="E5" s="267" t="str">
        <x:v>Archetype-specific display bands retained; Pure Runner excluded.</x:v>
      </x:c>
    </x:row>
    <x:row r="6">
      <x:c r="A6" s="270" t="str">
        <x:v>Architecture</x:v>
      </x:c>
      <x:c r="B6" s="270" t="str">
        <x:v>Archetype-specific weights</x:v>
      </x:c>
      <x:c r="C6" s="295" t="str">
        <x:v>REJECTED AS REQUIRED ARCHITECTURE</x:v>
      </x:c>
      <x:c r="D6" s="270" t="str">
        <x:v>BC and DT dev-only fits failed holdout at 94.4% and 90.0%.</x:v>
      </x:c>
      <x:c r="E6" s="270" t="str">
        <x:v>Models preserved in QB_Failed_Hypotheses.</x:v>
      </x:c>
    </x:row>
    <x:row r="7">
      <x:c r="A7" s="267" t="str">
        <x:v>Conversion</x:v>
      </x:c>
      <x:c r="B7" s="267" t="str">
        <x:v>Linear score + empirical nonlinear bands</x:v>
      </x:c>
      <x:c r="C7" s="267" t="str">
        <x:v>SUPPORTED</x:v>
      </x:c>
      <x:c r="D7" s="267" t="str">
        <x:v>All within-archetype observed adjacent bands are separated where both tiers exist.</x:v>
      </x:c>
      <x:c r="E7" s="267" t="str">
        <x:v>Several global cross-archetype bands overlap, consistent with band/modifier behavior.</x:v>
      </x:c>
    </x:row>
    <x:row r="8">
      <x:c r="A8" s="270" t="str">
        <x:v>Attribute</x:v>
      </x:c>
      <x:c r="B8" s="270" t="str">
        <x:v>THP / DAC</x:v>
      </x:c>
      <x:c r="C8" s="270" t="str">
        <x:v>MAJOR</x:v>
      </x:c>
      <x:c r="D8" s="270" t="str">
        <x:v>18% each in frozen shared score.</x:v>
      </x:c>
      <x:c r="E8" s="270" t="str">
        <x:v>Predictive influence, not gameplay utility.</x:v>
      </x:c>
    </x:row>
    <x:row r="9">
      <x:c r="A9" s="267" t="str">
        <x:v>Attribute</x:v>
      </x:c>
      <x:c r="B9" s="267" t="str">
        <x:v>AGI / AWR / SAC / MAC / TUP</x:v>
      </x:c>
      <x:c r="C9" s="267" t="str">
        <x:v>MODERATE</x:v>
      </x:c>
      <x:c r="D9" s="267" t="str">
        <x:v>8–12% each.</x:v>
      </x:c>
      <x:c r="E9" s="267" t="str">
        <x:v>Correlated ratings make causal attribution non-identifiable.</x:v>
      </x:c>
    </x:row>
    <x:row r="10">
      <x:c r="A10" s="270" t="str">
        <x:v>Attribute</x:v>
      </x:c>
      <x:c r="B10" s="270" t="str">
        <x:v>SPD / ACC / RUN / PAC / BSK</x:v>
      </x:c>
      <x:c r="C10" s="270" t="str">
        <x:v>LOW</x:v>
      </x:c>
      <x:c r="D10" s="270" t="str">
        <x:v>1–4% each.</x:v>
      </x:c>
      <x:c r="E10" s="270" t="str">
        <x:v>Low weights still contribute at thresholds.</x:v>
      </x:c>
    </x:row>
    <x:row r="11">
      <x:c r="A11" s="267" t="str">
        <x:v>Attribute</x:v>
      </x:c>
      <x:c r="B11" s="267" t="str">
        <x:v>STR / TGH / TAC</x:v>
      </x:c>
      <x:c r="C11" s="267" t="str">
        <x:v>STRUCTURAL ZERO</x:v>
      </x:c>
      <x:c r="D11" s="267" t="str">
        <x:v>0% needed in frozen predictive model.</x:v>
      </x:c>
      <x:c r="E11" s="267" t="str">
        <x:v>Do not interpret as zero gameplay value.</x:v>
      </x:c>
    </x:row>
    <x:row r="12">
      <x:c r="A12" s="270" t="str">
        <x:v>Attribute</x:v>
      </x:c>
      <x:c r="B12" s="270" t="str">
        <x:v>CAR / BCV / JKM / SPM / TRK / SFA / COD / BTK</x:v>
      </x:c>
      <x:c r="C12" s="294" t="str">
        <x:v>UNRESOLVED</x:v>
      </x:c>
      <x:c r="D12" s="270" t="str">
        <x:v>Incomplete page visibility prevents complete-case estimation.</x:v>
      </x:c>
      <x:c r="E12" s="270" t="str">
        <x:v>Prospective full-panel capture required.</x:v>
      </x:c>
    </x:row>
    <x:row r="13">
      <x:c r="A13" s="267" t="str">
        <x:v>Governance</x:v>
      </x:c>
      <x:c r="B13" s="267" t="str">
        <x:v>Prospective-only after freeze</x:v>
      </x:c>
      <x:c r="C13" s="267" t="str">
        <x:v>ACTIVE</x:v>
      </x:c>
      <x:c r="D13" s="267" t="str">
        <x:v>Reopen only after &lt;98% on ≥50 prospective cross-OVR pairs or ≥3 systematic failures.</x:v>
      </x:c>
      <x:c r="E13" s="267" t="str">
        <x:v>No isolated anomaly refit.</x:v>
      </x:c>
    </x:row>
  </x:sheetData>
  <x:mergeCells>
    <x:mergeCell ref="A1:E1"/>
    <x:mergeCell ref="A2:E2"/>
  </x:mergeCells>
  <x:pageMargins left="0.7" right="0.7" top="0.75" bottom="0.75" header="0.3" footer="0.3"/>
</x:worksheet>
</file>

<file path=xl/worksheets/sheet44.xml><?xml version="1.0" encoding="utf-8"?>
<x:worksheet xmlns:x="http://schemas.openxmlformats.org/spreadsheetml/2006/main">
  <x:sheetFormatPr defaultRowHeight="15"/>
  <x:cols>
    <x:col min="1" max="1" width="24" hidden="0" customWidth="1"/>
    <x:col min="2" max="2" width="14" hidden="0" customWidth="1"/>
    <x:col min="3" max="3" width="12" hidden="0" customWidth="1"/>
    <x:col min="4" max="4" width="21" hidden="0" customWidth="1"/>
    <x:col min="5" max="5" width="24" hidden="0" customWidth="1"/>
    <x:col min="6" max="6" width="21" hidden="0" customWidth="1"/>
    <x:col min="7" max="7" width="31" hidden="0" customWidth="1"/>
    <x:col min="8" max="8" width="20" hidden="0" customWidth="1"/>
    <x:col min="9" max="9" width="48" hidden="0" customWidth="1"/>
  </x:cols>
  <x:sheetData>
    <x:row r="1" ht="28" customHeight="1">
      <x:c r="A1" s="273" t="str">
        <x:v>QB STATUS BOARD</x:v>
      </x:c>
      <x:c r="B1" s="273"/>
      <x:c r="C1" s="273"/>
      <x:c r="D1" s="273"/>
      <x:c r="E1" s="273"/>
      <x:c r="F1" s="273"/>
      <x:c r="G1" s="273"/>
      <x:c r="H1" s="273"/>
      <x:c r="I1" s="273"/>
    </x:row>
    <x:row r="2" ht="32" customHeight="1">
      <x:c r="A2" s="277" t="str">
        <x:v>All adequately represented QB archetypes meet the ≥98% operational standard. Pure Runner remains an explicit insufficient-sample exception.</x:v>
      </x:c>
      <x:c r="B2" s="277"/>
      <x:c r="C2" s="277"/>
      <x:c r="D2" s="277"/>
      <x:c r="E2" s="277"/>
      <x:c r="F2" s="277"/>
      <x:c r="G2" s="277"/>
      <x:c r="H2" s="277"/>
      <x:c r="I2" s="277"/>
    </x:row>
    <x:row r="4" ht="30" customHeight="1">
      <x:c r="A4" s="281" t="str">
        <x:v>Archetype / Scope</x:v>
      </x:c>
      <x:c r="B4" s="281" t="str">
        <x:v>Unique Profiles</x:v>
      </x:c>
      <x:c r="C4" s="281" t="str">
        <x:v>OVR Range</x:v>
      </x:c>
      <x:c r="D4" s="281" t="str">
        <x:v>Development</x:v>
      </x:c>
      <x:c r="E4" s="281" t="str">
        <x:v>Independent Validation</x:v>
      </x:c>
      <x:c r="F4" s="281" t="str">
        <x:v>Full Population</x:v>
      </x:c>
      <x:c r="G4" s="281" t="str">
        <x:v>Status</x:v>
      </x:c>
      <x:c r="H4" s="281" t="str">
        <x:v>Production Model</x:v>
      </x:c>
      <x:c r="I4" s="281" t="str">
        <x:v>Next Action</x:v>
      </x:c>
    </x:row>
    <x:row r="5">
      <x:c r="A5" s="267" t="str">
        <x:v>Pocket Passer</x:v>
      </x:c>
      <x:c r="B5" s="267" t="n">
        <x:v>51</x:v>
      </x:c>
      <x:c r="C5" s="267" t="str">
        <x:v>79–88</x:v>
      </x:c>
      <x:c r="D5" s="267" t="str">
        <x:v>622/622 (100.0%)</x:v>
      </x:c>
      <x:c r="E5" s="267" t="str">
        <x:v>458/458 (100.0%)</x:v>
      </x:c>
      <x:c r="F5" s="267" t="str">
        <x:v>1080/1080 (100.0%)</x:v>
      </x:c>
      <x:c r="G5" s="294" t="str">
        <x:v>OPERATIONALLY SOLVED / FROZEN</x:v>
      </x:c>
      <x:c r="H5" s="267" t="str">
        <x:v>QB-SHARED-001</x:v>
      </x:c>
      <x:c r="I5" s="267" t="str">
        <x:v>Prospective validation only</x:v>
      </x:c>
    </x:row>
    <x:row r="6">
      <x:c r="A6" s="270" t="str">
        <x:v>Backfield Creator</x:v>
      </x:c>
      <x:c r="B6" s="270" t="n">
        <x:v>9</x:v>
      </x:c>
      <x:c r="C6" s="270" t="str">
        <x:v>80–88</x:v>
      </x:c>
      <x:c r="D6" s="270" t="str">
        <x:v>15/15 (100.0%)</x:v>
      </x:c>
      <x:c r="E6" s="270" t="str">
        <x:v>18/18 (100.0%)</x:v>
      </x:c>
      <x:c r="F6" s="270" t="str">
        <x:v>33/33 (100.0%)</x:v>
      </x:c>
      <x:c r="G6" s="294" t="str">
        <x:v>OPERATIONALLY SOLVED / FROZEN</x:v>
      </x:c>
      <x:c r="H6" s="270" t="str">
        <x:v>QB-SHARED-001</x:v>
      </x:c>
      <x:c r="I6" s="270" t="str">
        <x:v>Prospective validation only</x:v>
      </x:c>
    </x:row>
    <x:row r="7">
      <x:c r="A7" s="267" t="str">
        <x:v>Dual Threat</x:v>
      </x:c>
      <x:c r="B7" s="267" t="n">
        <x:v>10</x:v>
      </x:c>
      <x:c r="C7" s="267" t="str">
        <x:v>80–89</x:v>
      </x:c>
      <x:c r="D7" s="267" t="str">
        <x:v>17/17 (100.0%)</x:v>
      </x:c>
      <x:c r="E7" s="267" t="str">
        <x:v>20/20 (100.0%)</x:v>
      </x:c>
      <x:c r="F7" s="267" t="str">
        <x:v>37/37 (100.0%)</x:v>
      </x:c>
      <x:c r="G7" s="294" t="str">
        <x:v>OPERATIONALLY SOLVED / FROZEN</x:v>
      </x:c>
      <x:c r="H7" s="267" t="str">
        <x:v>QB-SHARED-001</x:v>
      </x:c>
      <x:c r="I7" s="267" t="str">
        <x:v>Prospective validation only</x:v>
      </x:c>
    </x:row>
    <x:row r="8">
      <x:c r="A8" s="270" t="str">
        <x:v>Pure Runner</x:v>
      </x:c>
      <x:c r="B8" s="270" t="n">
        <x:v>3</x:v>
      </x:c>
      <x:c r="C8" s="270" t="str">
        <x:v>80–83</x:v>
      </x:c>
      <x:c r="D8" s="270" t="str">
        <x:v>2/2 (100.0%)</x:v>
      </x:c>
      <x:c r="E8" s="270" t="str">
        <x:v>—</x:v>
      </x:c>
      <x:c r="F8" s="270" t="str">
        <x:v>2/2 (100.0%)</x:v>
      </x:c>
      <x:c r="G8" s="294" t="str">
        <x:v>INSUFFICIENT EVIDENCE / UNSOLVED</x:v>
      </x:c>
      <x:c r="H8" s="270" t="str">
        <x:v>Reference only</x:v>
      </x:c>
      <x:c r="I8" s="270" t="str">
        <x:v>Complete exact Pure Runner assignment</x:v>
      </x:c>
    </x:row>
    <x:row r="9">
      <x:c r="A9" s="267" t="str">
        <x:v>GLOBAL REPRESENTED</x:v>
      </x:c>
      <x:c r="B9" s="267" t="n">
        <x:v>70</x:v>
      </x:c>
      <x:c r="C9" s="267" t="str">
        <x:v>79–89</x:v>
      </x:c>
      <x:c r="D9" s="267" t="str">
        <x:v>1117/1121 (99.6%)</x:v>
      </x:c>
      <x:c r="E9" s="267" t="str">
        <x:v>929/936 (99.3%)</x:v>
      </x:c>
      <x:c r="F9" s="267" t="str">
        <x:v>2046/2057 (99.5%)</x:v>
      </x:c>
      <x:c r="G9" s="294" t="str">
        <x:v>OPERATIONALLY SOLVED / FROZEN</x:v>
      </x:c>
      <x:c r="H9" s="267" t="str">
        <x:v>QB-SHARED-001</x:v>
      </x:c>
      <x:c r="I9" s="267" t="str">
        <x:v>11 isolated cross-archetype inversions retained</x:v>
      </x:c>
    </x:row>
    <x:row r="11" ht="28" customHeight="1">
      <x:c r="A11" s="299" t="str">
        <x:v>QB FORMULA PHASE COMPLETE.</x:v>
      </x:c>
      <x:c r="B11" s="299"/>
      <x:c r="C11" s="299"/>
      <x:c r="D11" s="299"/>
      <x:c r="E11" s="299"/>
      <x:c r="F11" s="299"/>
      <x:c r="G11" s="299"/>
      <x:c r="H11" s="299"/>
      <x:c r="I11" s="299"/>
    </x:row>
  </x:sheetData>
  <x:mergeCells>
    <x:mergeCell ref="A1:I1"/>
    <x:mergeCell ref="A2:I2"/>
    <x:mergeCell ref="A11:I11"/>
  </x:mergeCells>
  <x:pageMargins left="0.7" right="0.7" top="0.75" bottom="0.75" header="0.3" footer="0.3"/>
</x:worksheet>
</file>

<file path=xl/worksheets/sheet45.xml><?xml version="1.0" encoding="utf-8"?>
<x:worksheet xmlns:x="http://schemas.openxmlformats.org/spreadsheetml/2006/main">
  <x:sheetFormatPr defaultRowHeight="15"/>
  <x:cols>
    <x:col min="1" max="1" width="16" hidden="0" customWidth="1"/>
    <x:col min="2" max="2" width="23" hidden="0" customWidth="1"/>
    <x:col min="3" max="3" width="7" hidden="0" customWidth="1"/>
    <x:col min="4" max="4" width="21" hidden="0" customWidth="1"/>
    <x:col min="5" max="5" width="24" hidden="0" customWidth="1"/>
    <x:col min="6" max="6" width="7" hidden="0" customWidth="1"/>
    <x:col min="7" max="7" width="7" hidden="0" customWidth="1"/>
    <x:col min="8" max="8" width="7" hidden="0" customWidth="1"/>
    <x:col min="9" max="9" width="7" hidden="0" customWidth="1"/>
    <x:col min="10" max="10" width="7" hidden="0" customWidth="1"/>
    <x:col min="11" max="11" width="7" hidden="0" customWidth="1"/>
    <x:col min="12" max="12" width="7" hidden="0" customWidth="1"/>
    <x:col min="13" max="13" width="7" hidden="0" customWidth="1"/>
    <x:col min="14" max="14" width="7" hidden="0" customWidth="1"/>
    <x:col min="15" max="15" width="7" hidden="0" customWidth="1"/>
    <x:col min="16" max="16" width="7" hidden="0" customWidth="1"/>
    <x:col min="17" max="17" width="7" hidden="0" customWidth="1"/>
    <x:col min="18" max="18" width="7" hidden="0" customWidth="1"/>
    <x:col min="19" max="19" width="7" hidden="0" customWidth="1"/>
    <x:col min="20" max="20" width="7" hidden="0" customWidth="1"/>
    <x:col min="21" max="21" width="13" hidden="0" customWidth="1"/>
    <x:col min="22" max="22" width="16" hidden="0" customWidth="1"/>
    <x:col min="23" max="23" width="11" hidden="0" customWidth="1"/>
    <x:col min="24" max="24" width="10" hidden="0" customWidth="1"/>
    <x:col min="25" max="25" width="10" hidden="0" customWidth="1"/>
    <x:col min="26" max="26" width="15" hidden="0" customWidth="1"/>
    <x:col min="27" max="27" width="25" hidden="0" customWidth="1"/>
    <x:col min="28" max="28" width="14" hidden="0" customWidth="1"/>
    <x:col min="29" max="29" width="14" hidden="0" customWidth="1"/>
    <x:col min="30" max="30" width="50" hidden="0" customWidth="1"/>
  </x:cols>
  <x:sheetData>
    <x:row r="1" ht="28" customHeight="1">
      <x:c r="A1" s="273" t="str">
        <x:v>QB Prospective Validation — Frozen Model Intake</x:v>
      </x:c>
      <x:c r="B1" s="273"/>
      <x:c r="C1" s="273"/>
      <x:c r="D1" s="273"/>
      <x:c r="E1" s="273"/>
      <x:c r="F1" s="273"/>
      <x:c r="G1" s="273"/>
      <x:c r="H1" s="273"/>
      <x:c r="I1" s="273"/>
      <x:c r="J1" s="273"/>
      <x:c r="K1" s="273"/>
      <x:c r="L1" s="273"/>
      <x:c r="M1" s="273"/>
      <x:c r="N1" s="273"/>
      <x:c r="O1" s="273"/>
      <x:c r="P1" s="273"/>
      <x:c r="Q1" s="273"/>
      <x:c r="R1" s="273"/>
      <x:c r="S1" s="273"/>
      <x:c r="T1" s="273"/>
      <x:c r="U1" s="273"/>
      <x:c r="V1" s="273"/>
      <x:c r="W1" s="273"/>
      <x:c r="X1" s="273"/>
      <x:c r="Y1" s="273"/>
      <x:c r="Z1" s="273"/>
      <x:c r="AA1" s="273"/>
      <x:c r="AB1" s="273"/>
      <x:c r="AC1" s="273"/>
    </x:row>
    <x:row r="2" ht="32" customHeight="1">
      <x:c r="A2" s="277" t="str">
        <x:v>Score every future Pocket Passer, Backfield Creator, or Dual Threat card with QB-SHARED-001. Do not alter weights. Reopen only if prospective accuracy falls below 98% over ≥50 pairs or ≥3 failures share one systematic pattern.</x:v>
      </x:c>
      <x:c r="B2" s="277"/>
      <x:c r="C2" s="277"/>
      <x:c r="D2" s="277"/>
      <x:c r="E2" s="277"/>
      <x:c r="F2" s="277"/>
      <x:c r="G2" s="277"/>
      <x:c r="H2" s="277"/>
      <x:c r="I2" s="277"/>
      <x:c r="J2" s="277"/>
      <x:c r="K2" s="277"/>
      <x:c r="L2" s="277"/>
      <x:c r="M2" s="277"/>
      <x:c r="N2" s="277"/>
      <x:c r="O2" s="277"/>
      <x:c r="P2" s="277"/>
      <x:c r="Q2" s="277"/>
      <x:c r="R2" s="277"/>
      <x:c r="S2" s="277"/>
      <x:c r="T2" s="277"/>
      <x:c r="U2" s="277"/>
      <x:c r="V2" s="277"/>
      <x:c r="W2" s="277"/>
      <x:c r="X2" s="277"/>
      <x:c r="Y2" s="277"/>
      <x:c r="Z2" s="277"/>
      <x:c r="AA2" s="277"/>
      <x:c r="AB2" s="277"/>
      <x:c r="AC2" s="277"/>
    </x:row>
    <x:row r="4" ht="30" customHeight="1">
      <x:c r="A4" s="281" t="str">
        <x:v>Prospective_ID</x:v>
      </x:c>
      <x:c r="B4" s="281" t="str">
        <x:v>Player</x:v>
      </x:c>
      <x:c r="C4" s="281" t="str">
        <x:v>OVR</x:v>
      </x:c>
      <x:c r="D4" s="281" t="str">
        <x:v>Archetype</x:v>
      </x:c>
      <x:c r="E4" s="281" t="str">
        <x:v>Program</x:v>
      </x:c>
      <x:c r="F4" s="281" t="str">
        <x:v>SPD</x:v>
      </x:c>
      <x:c r="G4" s="281" t="str">
        <x:v>ACC</x:v>
      </x:c>
      <x:c r="H4" s="281" t="str">
        <x:v>AGI</x:v>
      </x:c>
      <x:c r="I4" s="281" t="str">
        <x:v>AWR</x:v>
      </x:c>
      <x:c r="J4" s="281" t="str">
        <x:v>STR</x:v>
      </x:c>
      <x:c r="K4" s="281" t="str">
        <x:v>TGH</x:v>
      </x:c>
      <x:c r="L4" s="281" t="str">
        <x:v>THP</x:v>
      </x:c>
      <x:c r="M4" s="281" t="str">
        <x:v>TAC</x:v>
      </x:c>
      <x:c r="N4" s="281" t="str">
        <x:v>SAC</x:v>
      </x:c>
      <x:c r="O4" s="281" t="str">
        <x:v>MAC</x:v>
      </x:c>
      <x:c r="P4" s="281" t="str">
        <x:v>DAC</x:v>
      </x:c>
      <x:c r="Q4" s="281" t="str">
        <x:v>RUN</x:v>
      </x:c>
      <x:c r="R4" s="281" t="str">
        <x:v>TUP</x:v>
      </x:c>
      <x:c r="S4" s="281" t="str">
        <x:v>PAC</x:v>
      </x:c>
      <x:c r="T4" s="281" t="str">
        <x:v>BSK</x:v>
      </x:c>
      <x:c r="U4" s="281" t="str">
        <x:v>Frozen_Score</x:v>
      </x:c>
      <x:c r="V4" s="281" t="str">
        <x:v>Expected_Band</x:v>
      </x:c>
      <x:c r="W4" s="281" t="str">
        <x:v>Pair_Count</x:v>
      </x:c>
      <x:c r="X4" s="281" t="str">
        <x:v>Correct</x:v>
      </x:c>
      <x:c r="Y4" s="281" t="str">
        <x:v>Failures</x:v>
      </x:c>
      <x:c r="Z4" s="281" t="str">
        <x:v>Result</x:v>
      </x:c>
      <x:c r="AA4" s="281" t="str">
        <x:v>Source</x:v>
      </x:c>
      <x:c r="AB4" s="281" t="str">
        <x:v>Date</x:v>
      </x:c>
      <x:c r="AC4" s="281" t="str">
        <x:v>Notes</x:v>
      </x:c>
    </x:row>
    <x:row r="5">
      <x:c r="A5" s="267" t="str">
        <x:v>QB-PROS-0001</x:v>
      </x:c>
      <x:c r="B5" s="267" t="str"/>
      <x:c r="C5" s="267" t="str"/>
      <x:c r="D5" s="267" t="str"/>
      <x:c r="E5" s="267" t="str"/>
      <x:c r="F5" s="267" t="str"/>
      <x:c r="G5" s="267" t="str"/>
      <x:c r="H5" s="267" t="str"/>
      <x:c r="I5" s="267" t="str"/>
      <x:c r="J5" s="267" t="str"/>
      <x:c r="K5" s="267" t="str"/>
      <x:c r="L5" s="267" t="str"/>
      <x:c r="M5" s="267" t="str"/>
      <x:c r="N5" s="267" t="str"/>
      <x:c r="O5" s="267" t="str"/>
      <x:c r="P5" s="267" t="str"/>
      <x:c r="Q5" s="267" t="str"/>
      <x:c r="R5" s="267" t="str"/>
      <x:c r="S5" s="267" t="str"/>
      <x:c r="T5" s="267" t="str"/>
      <x:c r="U5" s="267" t="str"/>
      <x:c r="V5" s="267" t="str"/>
      <x:c r="W5" s="267" t="str"/>
      <x:c r="X5" s="267" t="str"/>
      <x:c r="Y5" s="267" t="str"/>
      <x:c r="Z5" s="289" t="str">
        <x:v>PENDING</x:v>
      </x:c>
      <x:c r="AA5" s="267" t="str"/>
      <x:c r="AB5" s="267" t="str"/>
      <x:c r="AC5" s="267" t="str"/>
    </x:row>
  </x:sheetData>
  <x:mergeCells>
    <x:mergeCell ref="A1:AC1"/>
    <x:mergeCell ref="A2:AC2"/>
  </x:mergeCells>
  <x:pageMargins left="0.7" right="0.7" top="0.75" bottom="0.75" header="0.3" footer="0.3"/>
</x:worksheet>
</file>

<file path=xl/worksheets/sheet46.xml><?xml version="1.0" encoding="utf-8"?>
<x:worksheet xmlns:x="http://schemas.openxmlformats.org/spreadsheetml/2006/main">
  <x:sheetFormatPr defaultRowHeight="15"/>
  <x:cols>
    <x:col min="1" max="1" width="18" hidden="0" customWidth="1"/>
    <x:col min="2" max="2" width="18" hidden="0" customWidth="1"/>
    <x:col min="3" max="3" width="40" hidden="0" customWidth="1"/>
    <x:col min="4" max="4" width="90" hidden="0" customWidth="1"/>
    <x:col min="5" max="5" width="50" hidden="0" customWidth="1"/>
    <x:col min="6" max="6" width="70" hidden="0" customWidth="1"/>
    <x:col min="7" max="7" width="12" hidden="0" customWidth="1"/>
    <x:col min="8" max="8" width="12" hidden="0" customWidth="1"/>
  </x:cols>
  <x:sheetData>
    <x:row r="1" ht="28" customHeight="1">
      <x:c r="A1" s="273" t="str">
        <x:v>QB Research Backlog and Exact Next Assignment</x:v>
      </x:c>
      <x:c r="B1" s="273"/>
      <x:c r="C1" s="273"/>
      <x:c r="D1" s="273"/>
      <x:c r="E1" s="273"/>
      <x:c r="F1" s="273"/>
      <x:c r="G1" s="273"/>
      <x:c r="H1" s="273"/>
    </x:row>
    <x:row r="2" ht="32" customHeight="1">
      <x:c r="A2" s="277" t="str">
        <x:v>Only Pure Runner remains unsolved. These are the minimum acquisition and controlled-upgrade experiments required before fitting a CFB27 Pure Runner formula.</x:v>
      </x:c>
      <x:c r="B2" s="277"/>
      <x:c r="C2" s="277"/>
      <x:c r="D2" s="277"/>
      <x:c r="E2" s="277"/>
      <x:c r="F2" s="277"/>
      <x:c r="G2" s="277"/>
      <x:c r="H2" s="277"/>
    </x:row>
    <x:row r="4" ht="30" customHeight="1">
      <x:c r="A4" s="281" t="str">
        <x:v>Assignment_ID</x:v>
      </x:c>
      <x:c r="B4" s="281" t="str">
        <x:v>Archetype</x:v>
      </x:c>
      <x:c r="C4" s="281" t="str">
        <x:v>Exact Assignment</x:v>
      </x:c>
      <x:c r="D4" s="281" t="str">
        <x:v>Starting State</x:v>
      </x:c>
      <x:c r="E4" s="281" t="str">
        <x:v>Action</x:v>
      </x:c>
      <x:c r="F4" s="281" t="str">
        <x:v>Result Required</x:v>
      </x:c>
      <x:c r="G4" s="281" t="str">
        <x:v>Priority</x:v>
      </x:c>
      <x:c r="H4" s="281" t="str">
        <x:v>Status</x:v>
      </x:c>
    </x:row>
    <x:row r="5">
      <x:c r="A5" s="267" t="str">
        <x:v>QB-PR-DATA</x:v>
      </x:c>
      <x:c r="B5" s="267" t="str">
        <x:v>Pure Runner</x:v>
      </x:c>
      <x:c r="C5" s="267" t="str">
        <x:v>Acquire 5 additional real cards</x:v>
      </x:c>
      <x:c r="D5" s="267" t="str">
        <x:v>Need ≥8 profiles, ≥3 OVR tiers, and a 3-card holdout.</x:v>
      </x:c>
      <x:c r="E5" s="267" t="str">
        <x:v>At least 2 cards at OVR81/82; 2 at OVR84+; 1 additional distinct profile. Capture full General, Passing, and Ball Carrier panels.</x:v>
      </x:c>
      <x:c r="F5" s="267" t="str">
        <x:v>Dataset reaches evidence floor without duplicates.</x:v>
      </x:c>
      <x:c r="G5" s="267" t="str">
        <x:v>HIGH</x:v>
      </x:c>
      <x:c r="H5" s="289" t="str">
        <x:v>OPEN</x:v>
      </x:c>
    </x:row>
    <x:row r="6">
      <x:c r="A6" s="270" t="str">
        <x:v>QB-PR-SPD</x:v>
      </x:c>
      <x:c r="B6" s="270" t="str">
        <x:v>Pure Runner</x:v>
      </x:c>
      <x:c r="C6" s="270" t="str">
        <x:v>Controlled SPD threshold track</x:v>
      </x:c>
      <x:c r="D6" s="270" t="str">
        <x:v>KaMario Taylor 80 baseline: SPD 83, ACC 83, AGI 83, AWR 67, STR 56, TGH 80, THP 75, TAC 78, SAC 70, MAC 70, DAC 70, RUN 80, TUP 67, PAC 65, BSK 74.</x:v>
      </x:c>
      <x:c r="E6" s="270" t="str">
        <x:v>Reset/clone baseline; add SPD only, +1 per step.</x:v>
      </x:c>
      <x:c r="F6" s="270" t="str">
        <x:v>Record each new SPD and whether OVR stayed 80 or became 81; stop at first increase and include last no-change state.</x:v>
      </x:c>
      <x:c r="G6" s="270" t="str">
        <x:v>HIGH</x:v>
      </x:c>
      <x:c r="H6" s="289" t="str">
        <x:v>OPEN</x:v>
      </x:c>
    </x:row>
    <x:row r="7">
      <x:c r="A7" s="267" t="str">
        <x:v>QB-PR-THP</x:v>
      </x:c>
      <x:c r="B7" s="267" t="str">
        <x:v>Pure Runner</x:v>
      </x:c>
      <x:c r="C7" s="267" t="str">
        <x:v>Controlled THP threshold track</x:v>
      </x:c>
      <x:c r="D7" s="267" t="str">
        <x:v>Same KaMario Taylor 80 baseline.</x:v>
      </x:c>
      <x:c r="E7" s="267" t="str">
        <x:v>Reset/clone baseline; add THP only, +1 per step.</x:v>
      </x:c>
      <x:c r="F7" s="267" t="str">
        <x:v>Record each new THP and OVR result; stop at first increase plus last no-change.</x:v>
      </x:c>
      <x:c r="G7" s="267" t="str">
        <x:v>HIGH</x:v>
      </x:c>
      <x:c r="H7" s="289" t="str">
        <x:v>OPEN</x:v>
      </x:c>
    </x:row>
    <x:row r="8">
      <x:c r="A8" s="270" t="str">
        <x:v>QB-PR-AWR</x:v>
      </x:c>
      <x:c r="B8" s="270" t="str">
        <x:v>Pure Runner</x:v>
      </x:c>
      <x:c r="C8" s="270" t="str">
        <x:v>Controlled AWR threshold track</x:v>
      </x:c>
      <x:c r="D8" s="270" t="str">
        <x:v>Same KaMario Taylor 80 baseline.</x:v>
      </x:c>
      <x:c r="E8" s="270" t="str">
        <x:v>Reset/clone baseline; add AWR only, +1 per step.</x:v>
      </x:c>
      <x:c r="F8" s="270" t="str">
        <x:v>Record each new AWR and OVR result; stop at first increase plus last no-change.</x:v>
      </x:c>
      <x:c r="G8" s="270" t="str">
        <x:v>HIGH</x:v>
      </x:c>
      <x:c r="H8" s="289" t="str">
        <x:v>OPEN</x:v>
      </x:c>
    </x:row>
    <x:row r="9">
      <x:c r="A9" s="267" t="str">
        <x:v>QB-PR-RUN</x:v>
      </x:c>
      <x:c r="B9" s="267" t="str">
        <x:v>Pure Runner</x:v>
      </x:c>
      <x:c r="C9" s="267" t="str">
        <x:v>Controlled RUN threshold track</x:v>
      </x:c>
      <x:c r="D9" s="267" t="str">
        <x:v>Same KaMario Taylor 80 baseline.</x:v>
      </x:c>
      <x:c r="E9" s="267" t="str">
        <x:v>Reset/clone baseline; add RUN only, +1 per step.</x:v>
      </x:c>
      <x:c r="F9" s="267" t="str">
        <x:v>Record each new RUN and OVR result; stop at first increase plus last no-change.</x:v>
      </x:c>
      <x:c r="G9" s="267" t="str">
        <x:v>HIGH</x:v>
      </x:c>
      <x:c r="H9" s="289" t="str">
        <x:v>OPEN</x:v>
      </x:c>
    </x:row>
    <x:row r="10">
      <x:c r="A10" s="270" t="str">
        <x:v>QB-OPT-MOB</x:v>
      </x:c>
      <x:c r="B10" s="270" t="str">
        <x:v>All QB</x:v>
      </x:c>
      <x:c r="C10" s="270" t="str">
        <x:v>Capture optional mobility fields</x:v>
      </x:c>
      <x:c r="D10" s="270" t="str">
        <x:v>CAR/BCV/JKM/SPM/TRK/SFA/COD/BTK incomplete in current population.</x:v>
      </x:c>
      <x:c r="E10" s="270" t="str">
        <x:v>For each future QB screenshot include entire Ball Carrier panel.</x:v>
      </x:c>
      <x:c r="F10" s="270" t="str">
        <x:v>Values entered only when readable; no historical guesses.</x:v>
      </x:c>
      <x:c r="G10" s="270" t="str">
        <x:v>MEDIUM</x:v>
      </x:c>
      <x:c r="H10" s="289" t="str">
        <x:v>OPEN</x:v>
      </x:c>
    </x:row>
  </x:sheetData>
  <x:mergeCells>
    <x:mergeCell ref="A1:H1"/>
    <x:mergeCell ref="A2:H2"/>
  </x:mergeCells>
  <x:pageMargins left="0.7" right="0.7" top="0.75" bottom="0.75" header="0.3" footer="0.3"/>
</x:worksheet>
</file>

<file path=xl/worksheets/sheet47.xml><?xml version="1.0" encoding="utf-8"?>
<x:worksheet xmlns:x="http://schemas.openxmlformats.org/spreadsheetml/2006/main">
  <x:sheetFormatPr defaultRowHeight="15"/>
  <x:cols>
    <x:col min="1" max="1" width="18" hidden="0" customWidth="1"/>
    <x:col min="2" max="2" width="14" hidden="0" customWidth="1"/>
    <x:col min="3" max="3" width="20" hidden="0" customWidth="1"/>
    <x:col min="4" max="4" width="12" hidden="0" customWidth="1"/>
    <x:col min="5" max="5" width="15" hidden="0" customWidth="1"/>
    <x:col min="6" max="6" width="17" hidden="0" customWidth="1"/>
    <x:col min="7" max="7" width="32" hidden="0" customWidth="1"/>
    <x:col min="8" max="8" width="14" hidden="0" customWidth="1"/>
    <x:col min="9" max="9" width="60" hidden="0" customWidth="1"/>
  </x:cols>
  <x:sheetData>
    <x:row r="1" ht="28" customHeight="1">
      <x:c r="A1" s="273" t="str">
        <x:v>QB Ingestion and Deduplication Log</x:v>
      </x:c>
      <x:c r="B1" s="273"/>
      <x:c r="C1" s="273"/>
      <x:c r="D1" s="273"/>
      <x:c r="E1" s="273"/>
      <x:c r="F1" s="273"/>
      <x:c r="G1" s="273"/>
      <x:c r="H1" s="273"/>
      <x:c r="I1" s="273"/>
    </x:row>
    <x:row r="2" ht="32" customHeight="1">
      <x:c r="A2" s="277" t="str">
        <x:v>Counts reconcile source pages, card/version records, and unique rating profiles. Source duplicates never enter model accuracy denominators.</x:v>
      </x:c>
      <x:c r="B2" s="277"/>
      <x:c r="C2" s="277"/>
      <x:c r="D2" s="277"/>
      <x:c r="E2" s="277"/>
      <x:c r="F2" s="277"/>
      <x:c r="G2" s="277"/>
      <x:c r="H2" s="277"/>
      <x:c r="I2" s="277"/>
    </x:row>
    <x:row r="4" ht="30" customHeight="1">
      <x:c r="A4" s="281" t="str">
        <x:v>Checkpoint</x:v>
      </x:c>
      <x:c r="B4" s="281" t="str">
        <x:v>Source_Items</x:v>
      </x:c>
      <x:c r="C4" s="281" t="str">
        <x:v>Non_QB_or_Duplicate</x:v>
      </x:c>
      <x:c r="D4" s="281" t="str">
        <x:v>Usable_QB</x:v>
      </x:c>
      <x:c r="E4" s="281" t="str">
        <x:v>Solved_Profiles</x:v>
      </x:c>
      <x:c r="F4" s="281" t="str">
        <x:v>Unsolved_Profiles</x:v>
      </x:c>
      <x:c r="G4" s="281" t="str">
        <x:v>Source</x:v>
      </x:c>
      <x:c r="H4" s="281" t="str">
        <x:v>Status</x:v>
      </x:c>
      <x:c r="I4" s="281" t="str">
        <x:v>Notes</x:v>
      </x:c>
    </x:row>
    <x:row r="5">
      <x:c r="A5" s="267" t="str">
        <x:v>QB-AUDIT-001</x:v>
      </x:c>
      <x:c r="B5" s="267" t="n">
        <x:v>74</x:v>
      </x:c>
      <x:c r="C5" s="267" t="n">
        <x:v>1</x:v>
      </x:c>
      <x:c r="D5" s="267" t="n">
        <x:v>73</x:v>
      </x:c>
      <x:c r="E5" s="267" t="n">
        <x:v>73</x:v>
      </x:c>
      <x:c r="F5" s="267" t="n">
        <x:v>0</x:v>
      </x:c>
      <x:c r="G5" s="267" t="str">
        <x:v>all qb.pdf</x:v>
      </x:c>
      <x:c r="H5" s="294" t="str">
        <x:v>COMPLETE</x:v>
      </x:c>
      <x:c r="I5" s="267" t="str">
        <x:v>Page56 exact duplicate excluded.</x:v>
      </x:c>
    </x:row>
    <x:row r="6">
      <x:c r="A6" s="270" t="str">
        <x:v>QB-PROG-001</x:v>
      </x:c>
      <x:c r="B6" s="270" t="n">
        <x:v>45</x:v>
      </x:c>
      <x:c r="C6" s="270" t="n">
        <x:v>41</x:v>
      </x:c>
      <x:c r="D6" s="270" t="n">
        <x:v>4</x:v>
      </x:c>
      <x:c r="E6" s="270" t="n">
        <x:v>1</x:v>
      </x:c>
      <x:c r="F6" s="270" t="n">
        <x:v>3</x:v>
      </x:c>
      <x:c r="G6" s="270" t="str">
        <x:v>players wlevel progression</x:v>
      </x:c>
      <x:c r="H6" s="294" t="str">
        <x:v>COMPLETE</x:v>
      </x:c>
      <x:c r="I6" s="270" t="str">
        <x:v>Four QB images; 79 is new boundary, 81/84/86 reconcile.</x:v>
      </x:c>
    </x:row>
    <x:row r="7">
      <x:c r="A7" s="267" t="str">
        <x:v>QB-MODEL-001</x:v>
      </x:c>
      <x:c r="B7" s="267" t="n">
        <x:v>73</x:v>
      </x:c>
      <x:c r="C7" s="267" t="n">
        <x:v>0</x:v>
      </x:c>
      <x:c r="D7" s="267" t="n">
        <x:v>73</x:v>
      </x:c>
      <x:c r="E7" s="267" t="n">
        <x:v>70</x:v>
      </x:c>
      <x:c r="F7" s="267" t="n">
        <x:v>3</x:v>
      </x:c>
      <x:c r="G7" s="267" t="str">
        <x:v>QB unique rating profiles</x:v>
      </x:c>
      <x:c r="H7" s="294" t="str">
        <x:v>COMPLETE</x:v>
      </x:c>
      <x:c r="I7" s="267" t="str">
        <x:v>70 adequately represented profiles solved; 3 Pure Runner research-only.</x:v>
      </x:c>
    </x:row>
  </x:sheetData>
  <x:mergeCells>
    <x:mergeCell ref="A1:I1"/>
    <x:mergeCell ref="A2:I2"/>
  </x:mergeCells>
  <x:pageMargins left="0.7" right="0.7" top="0.75" bottom="0.75" header="0.3" footer="0.3"/>
</x:worksheet>
</file>